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BSE_500_LIVE" sheetId="1" state="visible" r:id="rId1"/>
    <sheet xmlns:r="http://schemas.openxmlformats.org/officeDocument/2006/relationships" name="PE Band DETAIL v8" sheetId="2" state="visible" r:id="rId2"/>
    <sheet xmlns:r="http://schemas.openxmlformats.org/officeDocument/2006/relationships" name="LARGE CAP CORRECTIONS" sheetId="3" state="visible" r:id="rId3"/>
    <sheet xmlns:r="http://schemas.openxmlformats.org/officeDocument/2006/relationships" name="VERIFICATION_LOG" sheetId="4" state="visible" r:id="rId4"/>
    <sheet xmlns:r="http://schemas.openxmlformats.org/officeDocument/2006/relationships" name="HOW_TO_USE_FIN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BSE Code</t>
        </is>
      </c>
      <c r="B1" t="inlineStr">
        <is>
          <t>Company Name</t>
        </is>
      </c>
      <c r="C1" t="inlineStr">
        <is>
          <t>BSE_CMP_Official</t>
        </is>
      </c>
      <c r="D1" t="inlineStr">
        <is>
          <t>BSE_52W_High_Official</t>
        </is>
      </c>
      <c r="E1" t="inlineStr">
        <is>
          <t>BSE_52W_Low_Official</t>
        </is>
      </c>
      <c r="F1" t="inlineStr">
        <is>
          <t>Last Refreshed</t>
        </is>
      </c>
      <c r="G1" t="inlineStr">
        <is>
          <t>Source URL</t>
        </is>
      </c>
    </row>
    <row r="2">
      <c r="A2" t="n">
        <v>500008</v>
      </c>
      <c r="B2" t="inlineStr">
        <is>
          <t>Amara Raja Energy &amp; Mobility Ltd</t>
        </is>
      </c>
      <c r="G2" t="inlineStr">
        <is>
          <t>https://www.bseindia.com/stock-share-price/Amara-Raja-Energy-&amp;-Mobility-Ltd/500008/</t>
        </is>
      </c>
    </row>
    <row r="3">
      <c r="A3" t="n">
        <v>500034</v>
      </c>
      <c r="B3" t="inlineStr">
        <is>
          <t>Bajaj Finance Ltd</t>
        </is>
      </c>
      <c r="G3" t="inlineStr">
        <is>
          <t>https://www.bseindia.com/stock-share-price/Bajaj-Finance-Ltd/500034/</t>
        </is>
      </c>
    </row>
    <row r="4">
      <c r="A4" t="n">
        <v>500055</v>
      </c>
      <c r="B4" t="inlineStr">
        <is>
          <t>Bombay Dyeing</t>
        </is>
      </c>
      <c r="G4" t="inlineStr">
        <is>
          <t>https://www.bseindia.com/stock-share-price/Bombay-Dyeing/500055/</t>
        </is>
      </c>
    </row>
    <row r="5">
      <c r="A5" t="n">
        <v>500059</v>
      </c>
      <c r="B5" t="inlineStr">
        <is>
          <t>Birla Power Solutions Ltd</t>
        </is>
      </c>
      <c r="G5" t="inlineStr">
        <is>
          <t>https://www.bseindia.com/stock-share-price/Birla-Power-Solutions-Ltd/500059/</t>
        </is>
      </c>
    </row>
    <row r="6">
      <c r="A6" t="n">
        <v>500089</v>
      </c>
      <c r="B6" t="inlineStr">
        <is>
          <t>Dichloromethane</t>
        </is>
      </c>
      <c r="G6" t="inlineStr">
        <is>
          <t>https://www.bseindia.com/stock-share-price/Dichloromethane/500089/</t>
        </is>
      </c>
    </row>
    <row r="7">
      <c r="A7" t="n">
        <v>500112</v>
      </c>
      <c r="B7" t="inlineStr">
        <is>
          <t>State Bank Of India</t>
        </is>
      </c>
      <c r="G7" t="inlineStr">
        <is>
          <t>https://www.bseindia.com/stock-share-price/State-Bank-Of-India/500112/</t>
        </is>
      </c>
    </row>
    <row r="8">
      <c r="A8" t="n">
        <v>500128</v>
      </c>
      <c r="B8" t="inlineStr">
        <is>
          <t>Electrosteel Castings Ltd</t>
        </is>
      </c>
      <c r="G8" t="inlineStr">
        <is>
          <t>https://www.bseindia.com/stock-share-price/Electrosteel-Castings-Ltd/500128/</t>
        </is>
      </c>
    </row>
    <row r="9">
      <c r="A9" t="n">
        <v>500143</v>
      </c>
      <c r="B9" t="inlineStr">
        <is>
          <t>GTL Ltd</t>
        </is>
      </c>
      <c r="G9" t="inlineStr">
        <is>
          <t>https://www.bseindia.com/stock-share-price/GTL-Ltd/500143/</t>
        </is>
      </c>
    </row>
    <row r="10">
      <c r="A10" t="n">
        <v>500147</v>
      </c>
      <c r="B10" t="inlineStr">
        <is>
          <t>Usha Martin Ltd</t>
        </is>
      </c>
      <c r="G10" t="inlineStr">
        <is>
          <t>https://www.bseindia.com/stock-share-price/Usha-Martin-Ltd/500147/</t>
        </is>
      </c>
    </row>
    <row r="11">
      <c r="A11" t="n">
        <v>500170</v>
      </c>
      <c r="B11" t="inlineStr">
        <is>
          <t>National Chemicals</t>
        </is>
      </c>
      <c r="G11" t="inlineStr">
        <is>
          <t>https://www.bseindia.com/stock-share-price/National-Chemicals/500170/</t>
        </is>
      </c>
    </row>
    <row r="12">
      <c r="A12" t="n">
        <v>500182</v>
      </c>
      <c r="B12" t="inlineStr">
        <is>
          <t>Hero MotoCorp Ltd</t>
        </is>
      </c>
      <c r="G12" t="inlineStr">
        <is>
          <t>https://www.bseindia.com/stock-share-price/Hero-MotoCorp-Ltd/500182/</t>
        </is>
      </c>
    </row>
    <row r="13">
      <c r="A13" t="n">
        <v>500184</v>
      </c>
      <c r="B13" t="inlineStr">
        <is>
          <t>Himadri Speciality Chemical Ltd</t>
        </is>
      </c>
      <c r="G13" t="inlineStr">
        <is>
          <t>https://www.bseindia.com/stock-share-price/Himadri-Speciality-Chemical-Ltd/500184/</t>
        </is>
      </c>
    </row>
    <row r="14">
      <c r="A14" t="n">
        <v>500199</v>
      </c>
      <c r="B14" t="inlineStr">
        <is>
          <t>IG Petrochemicals Ltd</t>
        </is>
      </c>
      <c r="G14" t="inlineStr">
        <is>
          <t>https://www.bseindia.com/stock-share-price/IG-Petrochemicals-Ltd/500199/</t>
        </is>
      </c>
    </row>
    <row r="15">
      <c r="A15" t="n">
        <v>500202</v>
      </c>
      <c r="B15" t="inlineStr">
        <is>
          <t>India Glycols Ltd</t>
        </is>
      </c>
      <c r="G15" t="inlineStr">
        <is>
          <t>https://www.bseindia.com/stock-share-price/India-Glycols-Ltd/500202/</t>
        </is>
      </c>
    </row>
    <row r="16">
      <c r="A16" t="n">
        <v>500209</v>
      </c>
      <c r="B16" t="inlineStr">
        <is>
          <t>Infosys Ltd</t>
        </is>
      </c>
      <c r="G16" t="inlineStr">
        <is>
          <t>https://www.bseindia.com/stock-share-price/Infosys-Ltd/500209/</t>
        </is>
      </c>
    </row>
    <row r="17">
      <c r="A17" t="n">
        <v>500210</v>
      </c>
      <c r="B17" t="inlineStr">
        <is>
          <t>Ingersoll Rand India Ltd</t>
        </is>
      </c>
      <c r="G17" t="inlineStr">
        <is>
          <t>https://www.bseindia.com/stock-share-price/Ingersoll-Rand-India-Ltd/500210/</t>
        </is>
      </c>
    </row>
    <row r="18">
      <c r="A18" t="n">
        <v>500214</v>
      </c>
      <c r="B18" t="inlineStr">
        <is>
          <t>Ion Exchange India Ltd</t>
        </is>
      </c>
      <c r="G18" t="inlineStr">
        <is>
          <t>https://www.bseindia.com/stock-share-price/Ion-Exchange-India-Ltd/500214/</t>
        </is>
      </c>
    </row>
    <row r="19">
      <c r="A19" t="n">
        <v>500219</v>
      </c>
      <c r="B19" t="inlineStr">
        <is>
          <t>Jain Irrigation Systems Ltd</t>
        </is>
      </c>
      <c r="G19" t="inlineStr">
        <is>
          <t>https://www.bseindia.com/stock-share-price/Jain-Irrigation-Systems-Ltd/500219/</t>
        </is>
      </c>
    </row>
    <row r="20">
      <c r="A20" t="n">
        <v>500220</v>
      </c>
      <c r="B20" t="inlineStr">
        <is>
          <t>Jasch Industries</t>
        </is>
      </c>
      <c r="G20" t="inlineStr">
        <is>
          <t>https://www.bseindia.com/stock-share-price/Jasch-Industries/500220/</t>
        </is>
      </c>
    </row>
    <row r="21">
      <c r="A21" t="n">
        <v>500228</v>
      </c>
      <c r="B21" t="inlineStr">
        <is>
          <t>JSW Steel Ltd</t>
        </is>
      </c>
      <c r="G21" t="inlineStr">
        <is>
          <t>https://www.bseindia.com/stock-share-price/JSW-Steel-Ltd/500228/</t>
        </is>
      </c>
    </row>
    <row r="22">
      <c r="A22" t="n">
        <v>500233</v>
      </c>
      <c r="B22" t="inlineStr">
        <is>
          <t>Kajaria Ceramics Ltd</t>
        </is>
      </c>
      <c r="G22" t="inlineStr">
        <is>
          <t>https://www.bseindia.com/stock-share-price/Kajaria-Ceramics-Ltd/500233/</t>
        </is>
      </c>
    </row>
    <row r="23">
      <c r="A23" t="n">
        <v>500257</v>
      </c>
      <c r="B23" t="inlineStr">
        <is>
          <t>Lupin Ltd</t>
        </is>
      </c>
      <c r="G23" t="inlineStr">
        <is>
          <t>https://www.bseindia.com/stock-share-price/Lupin-Ltd/500257/</t>
        </is>
      </c>
    </row>
    <row r="24">
      <c r="A24" t="n">
        <v>500285</v>
      </c>
      <c r="B24" t="inlineStr">
        <is>
          <t>SpiceJet Ltd</t>
        </is>
      </c>
      <c r="G24" t="inlineStr">
        <is>
          <t>https://www.bseindia.com/stock-share-price/SpiceJet-Ltd/500285/</t>
        </is>
      </c>
    </row>
    <row r="25">
      <c r="A25" t="n">
        <v>500325</v>
      </c>
      <c r="B25" t="inlineStr">
        <is>
          <t>Reliance Industries Ltd</t>
        </is>
      </c>
      <c r="G25" t="inlineStr">
        <is>
          <t>https://www.bseindia.com/stock-share-price/Reliance-Industries-Ltd/500325/</t>
        </is>
      </c>
    </row>
    <row r="26">
      <c r="A26" t="n">
        <v>500412</v>
      </c>
      <c r="B26" t="inlineStr">
        <is>
          <t>Thirumalai Chemicals Ltd</t>
        </is>
      </c>
      <c r="G26" t="inlineStr">
        <is>
          <t>https://www.bseindia.com/stock-share-price/Thirumalai-Chemicals-Ltd/500412/</t>
        </is>
      </c>
    </row>
    <row r="27">
      <c r="A27" t="n">
        <v>500420</v>
      </c>
      <c r="B27" t="inlineStr">
        <is>
          <t>Torrent Pharmaceuticals Ltd</t>
        </is>
      </c>
      <c r="G27" t="inlineStr">
        <is>
          <t>https://www.bseindia.com/stock-share-price/Torrent-Pharmaceuticals-Ltd/500420/</t>
        </is>
      </c>
    </row>
    <row r="28">
      <c r="A28" t="n">
        <v>500425</v>
      </c>
      <c r="B28" t="inlineStr">
        <is>
          <t>Ambuja Cements Ltd</t>
        </is>
      </c>
      <c r="G28" t="inlineStr">
        <is>
          <t>https://www.bseindia.com/stock-share-price/Ambuja-Cements-Ltd/500425/</t>
        </is>
      </c>
    </row>
    <row r="29">
      <c r="A29" t="n">
        <v>500426</v>
      </c>
      <c r="B29" t="inlineStr">
        <is>
          <t>UTL Industries Ltd</t>
        </is>
      </c>
      <c r="G29" t="inlineStr">
        <is>
          <t>https://www.bseindia.com/stock-share-price/UTL-Industries-Ltd/500426/</t>
        </is>
      </c>
    </row>
    <row r="30">
      <c r="A30" t="n">
        <v>500439</v>
      </c>
      <c r="B30" t="inlineStr">
        <is>
          <t>Vardhman Holdings Ltd</t>
        </is>
      </c>
      <c r="G30" t="inlineStr">
        <is>
          <t>https://www.bseindia.com/stock-share-price/Vardhman-Holdings-Ltd/500439/</t>
        </is>
      </c>
    </row>
    <row r="31">
      <c r="A31" t="n">
        <v>500444</v>
      </c>
      <c r="B31" t="inlineStr">
        <is>
          <t>West Coast Paper Mills Ltd</t>
        </is>
      </c>
      <c r="G31" t="inlineStr">
        <is>
          <t>https://www.bseindia.com/stock-share-price/West-Coast-Paper-Mills-Ltd/500444/</t>
        </is>
      </c>
    </row>
    <row r="32">
      <c r="A32" t="n">
        <v>500449</v>
      </c>
      <c r="B32" t="inlineStr">
        <is>
          <t>Hindustan Organic Chemicals Ltd</t>
        </is>
      </c>
      <c r="G32" t="inlineStr">
        <is>
          <t>https://www.bseindia.com/stock-share-price/Hindustan-Organic-Chemicals-Ltd/500449/</t>
        </is>
      </c>
    </row>
    <row r="33">
      <c r="A33" t="n">
        <v>500450</v>
      </c>
      <c r="B33" t="inlineStr">
        <is>
          <t>MPIL Corporation Ltd</t>
        </is>
      </c>
      <c r="G33" t="inlineStr">
        <is>
          <t>https://www.bseindia.com/stock-share-price/MPIL-Corporation-Ltd/500450/</t>
        </is>
      </c>
    </row>
    <row r="34">
      <c r="A34" t="n">
        <v>500451</v>
      </c>
      <c r="B34" t="inlineStr">
        <is>
          <t>Modern Denim Ltd</t>
        </is>
      </c>
      <c r="G34" t="inlineStr">
        <is>
          <t>https://www.bseindia.com/stock-share-price/Modern-Denim-Ltd/500451/</t>
        </is>
      </c>
    </row>
    <row r="35">
      <c r="A35" t="n">
        <v>500458</v>
      </c>
      <c r="B35" t="inlineStr">
        <is>
          <t>Mafatlal Industries Ltd</t>
        </is>
      </c>
      <c r="G35" t="inlineStr">
        <is>
          <t>https://www.bseindia.com/stock-share-price/Mafatlal-Industries-Ltd/500458/</t>
        </is>
      </c>
    </row>
    <row r="36">
      <c r="A36" t="n">
        <v>500459</v>
      </c>
      <c r="B36" t="inlineStr">
        <is>
          <t>Procter &amp; Gamble Hygiene and Healthcare Ltd</t>
        </is>
      </c>
      <c r="G36" t="inlineStr">
        <is>
          <t>https://www.bseindia.com/stock-share-price/Procter-&amp;-Gamble-Hygiene-and-Healthcare-Ltd/500459/</t>
        </is>
      </c>
    </row>
    <row r="37">
      <c r="A37" t="n">
        <v>500463</v>
      </c>
      <c r="B37" t="inlineStr">
        <is>
          <t>AGC Networks Ltd</t>
        </is>
      </c>
      <c r="G37" t="inlineStr">
        <is>
          <t>https://www.bseindia.com/stock-share-price/AGC-Networks-Ltd/500463/</t>
        </is>
      </c>
    </row>
    <row r="38">
      <c r="A38" t="n">
        <v>500467</v>
      </c>
      <c r="B38" t="inlineStr">
        <is>
          <t>Harrisons Malayalam Ltd</t>
        </is>
      </c>
      <c r="G38" t="inlineStr">
        <is>
          <t>https://www.bseindia.com/stock-share-price/Harrisons-Malayalam-Ltd/500467/</t>
        </is>
      </c>
    </row>
    <row r="39">
      <c r="A39" t="n">
        <v>500469</v>
      </c>
      <c r="B39" t="inlineStr">
        <is>
          <t>Federal Bank Ltd</t>
        </is>
      </c>
      <c r="G39" t="inlineStr">
        <is>
          <t>https://www.bseindia.com/stock-share-price/Federal-Bank-Ltd/500469/</t>
        </is>
      </c>
    </row>
    <row r="40">
      <c r="A40" t="n">
        <v>500470</v>
      </c>
      <c r="B40" t="inlineStr">
        <is>
          <t>Tata Steel Ltd</t>
        </is>
      </c>
      <c r="G40" t="inlineStr">
        <is>
          <t>https://www.bseindia.com/stock-share-price/Tata-Steel-Ltd/500470/</t>
        </is>
      </c>
    </row>
    <row r="41">
      <c r="A41" t="n">
        <v>500472</v>
      </c>
      <c r="B41" t="inlineStr">
        <is>
          <t>SKF India Ltd</t>
        </is>
      </c>
      <c r="G41" t="inlineStr">
        <is>
          <t>https://www.bseindia.com/stock-share-price/SKF-India-Ltd/500472/</t>
        </is>
      </c>
    </row>
    <row r="42">
      <c r="A42" t="n">
        <v>500480</v>
      </c>
      <c r="B42" t="inlineStr">
        <is>
          <t>Cummins India Ltd</t>
        </is>
      </c>
      <c r="G42" t="inlineStr">
        <is>
          <t>https://www.bseindia.com/stock-share-price/Cummins-India-Ltd/500480/</t>
        </is>
      </c>
    </row>
    <row r="43">
      <c r="A43" t="n">
        <v>500488</v>
      </c>
      <c r="B43" t="inlineStr">
        <is>
          <t>Abbott India Ltd</t>
        </is>
      </c>
      <c r="G43" t="inlineStr">
        <is>
          <t>https://www.bseindia.com/stock-share-price/Abbott-India-Ltd/500488/</t>
        </is>
      </c>
    </row>
    <row r="44">
      <c r="A44" t="n">
        <v>500490</v>
      </c>
      <c r="B44" t="inlineStr">
        <is>
          <t>Bajaj Holdings &amp; Investment Ltd</t>
        </is>
      </c>
      <c r="G44" t="inlineStr">
        <is>
          <t>https://www.bseindia.com/stock-share-price/Bajaj-Holdings-&amp;-Investment-Ltd/500490/</t>
        </is>
      </c>
    </row>
    <row r="45">
      <c r="A45" t="n">
        <v>500510</v>
      </c>
      <c r="B45" t="inlineStr">
        <is>
          <t>Larsen &amp; Toubro Ltd</t>
        </is>
      </c>
      <c r="G45" t="inlineStr">
        <is>
          <t>https://www.bseindia.com/stock-share-price/Larsen-&amp;-Toubro-Ltd/500510/</t>
        </is>
      </c>
    </row>
    <row r="46">
      <c r="A46" t="n">
        <v>500520</v>
      </c>
      <c r="B46" t="inlineStr">
        <is>
          <t>Mahindra &amp; Mahindra Ltd</t>
        </is>
      </c>
      <c r="G46" t="inlineStr">
        <is>
          <t>https://www.bseindia.com/stock-share-price/Mahindra-&amp;-Mahindra-Ltd/500520/</t>
        </is>
      </c>
    </row>
    <row r="47">
      <c r="A47" t="n">
        <v>500696</v>
      </c>
      <c r="B47" t="inlineStr">
        <is>
          <t>Hindustan Unilever Ltd</t>
        </is>
      </c>
      <c r="G47" t="inlineStr">
        <is>
          <t>https://www.bseindia.com/stock-share-price/Hindustan-Unilever-Ltd/500696/</t>
        </is>
      </c>
    </row>
    <row r="48">
      <c r="A48" t="n">
        <v>500790</v>
      </c>
      <c r="B48" t="inlineStr">
        <is>
          <t>Nestle India Ltd</t>
        </is>
      </c>
      <c r="G48" t="inlineStr">
        <is>
          <t>https://www.bseindia.com/stock-share-price/Nestle-India-Ltd/500790/</t>
        </is>
      </c>
    </row>
    <row r="49">
      <c r="A49" t="n">
        <v>500800</v>
      </c>
      <c r="B49" t="inlineStr">
        <is>
          <t>Tata Global Beverages Ltd</t>
        </is>
      </c>
      <c r="G49" t="inlineStr">
        <is>
          <t>https://www.bseindia.com/stock-share-price/Tata-Global-Beverages-Ltd/500800/</t>
        </is>
      </c>
    </row>
    <row r="50">
      <c r="A50" t="n">
        <v>500850</v>
      </c>
      <c r="B50" t="inlineStr">
        <is>
          <t>Britannia Industries Ltd</t>
        </is>
      </c>
      <c r="G50" t="inlineStr">
        <is>
          <t>https://www.bseindia.com/stock-share-price/Britannia-Industries-Ltd/500850/</t>
        </is>
      </c>
    </row>
    <row r="51">
      <c r="A51" t="n">
        <v>500878</v>
      </c>
      <c r="B51" t="inlineStr">
        <is>
          <t>CEAT Ltd</t>
        </is>
      </c>
      <c r="G51" t="inlineStr">
        <is>
          <t>https://www.bseindia.com/stock-share-price/CEAT-Ltd/500878/</t>
        </is>
      </c>
    </row>
    <row r="52">
      <c r="A52" t="n">
        <v>501242</v>
      </c>
      <c r="B52" t="inlineStr">
        <is>
          <t>Tribhovandas Bhimji Zaveri Ltd</t>
        </is>
      </c>
      <c r="G52" t="inlineStr">
        <is>
          <t>https://www.bseindia.com/stock-share-price/Tribhovandas-Bhimji-Zaveri-Ltd/501242/</t>
        </is>
      </c>
    </row>
    <row r="53">
      <c r="A53" t="n">
        <v>501314</v>
      </c>
      <c r="B53" t="inlineStr">
        <is>
          <t>Prism Johnson Ltd</t>
        </is>
      </c>
      <c r="G53" t="inlineStr">
        <is>
          <t>https://www.bseindia.com/stock-share-price/Prism-Johnson-Ltd/501314/</t>
        </is>
      </c>
    </row>
    <row r="54">
      <c r="A54" t="n">
        <v>501386</v>
      </c>
      <c r="B54" t="inlineStr">
        <is>
          <t>Gujarat Ambuja Exports Ltd</t>
        </is>
      </c>
      <c r="G54" t="inlineStr">
        <is>
          <t>https://www.bseindia.com/stock-share-price/Gujarat-Ambuja-Exports-Ltd/501386/</t>
        </is>
      </c>
    </row>
    <row r="55">
      <c r="A55" t="n">
        <v>501455</v>
      </c>
      <c r="B55" t="inlineStr">
        <is>
          <t>Greaves Cotton Ltd</t>
        </is>
      </c>
      <c r="G55" t="inlineStr">
        <is>
          <t>https://www.bseindia.com/stock-share-price/Greaves-Cotton-Ltd/501455/</t>
        </is>
      </c>
    </row>
    <row r="56">
      <c r="A56" t="n">
        <v>502090</v>
      </c>
      <c r="B56" t="inlineStr">
        <is>
          <t>Siyaram Silk Mills Ltd</t>
        </is>
      </c>
      <c r="G56" t="inlineStr">
        <is>
          <t>https://www.bseindia.com/stock-share-price/Siyaram-Silk-Mills-Ltd/502090/</t>
        </is>
      </c>
    </row>
    <row r="57">
      <c r="A57" t="n">
        <v>502355</v>
      </c>
      <c r="B57" t="inlineStr">
        <is>
          <t>Balkrishna Industries Ltd</t>
        </is>
      </c>
      <c r="G57" t="inlineStr">
        <is>
          <t>https://www.bseindia.com/stock-share-price/Balkrishna-Industries-Ltd/502355/</t>
        </is>
      </c>
    </row>
    <row r="58">
      <c r="A58" t="n">
        <v>502850</v>
      </c>
      <c r="B58" t="inlineStr">
        <is>
          <t>Gaekwar Mills</t>
        </is>
      </c>
      <c r="G58" t="inlineStr">
        <is>
          <t>https://www.bseindia.com/stock-share-price/Gaekwar-Mills/502850/</t>
        </is>
      </c>
    </row>
    <row r="59">
      <c r="A59" t="n">
        <v>503100</v>
      </c>
      <c r="B59" t="inlineStr">
        <is>
          <t>Phoenix Township Ltd</t>
        </is>
      </c>
      <c r="G59" t="inlineStr">
        <is>
          <t>https://www.bseindia.com/stock-share-price/Phoenix-Township-Ltd/503100/</t>
        </is>
      </c>
    </row>
    <row r="60">
      <c r="A60" t="n">
        <v>503669</v>
      </c>
      <c r="B60" t="inlineStr">
        <is>
          <t>KK Fincorp Ltd</t>
        </is>
      </c>
      <c r="G60" t="inlineStr">
        <is>
          <t>https://www.bseindia.com/stock-share-price/KK-Fincorp-Ltd/503669/</t>
        </is>
      </c>
    </row>
    <row r="61">
      <c r="A61" t="n">
        <v>504067</v>
      </c>
      <c r="B61" t="inlineStr">
        <is>
          <t>Zensar Technologies Ltd</t>
        </is>
      </c>
      <c r="G61" t="inlineStr">
        <is>
          <t>https://www.bseindia.com/stock-share-price/Zensar-Technologies-Ltd/504067/</t>
        </is>
      </c>
    </row>
    <row r="62">
      <c r="A62" t="n">
        <v>504076</v>
      </c>
      <c r="B62" t="inlineStr">
        <is>
          <t>Jyoti Ltd</t>
        </is>
      </c>
      <c r="G62" t="inlineStr">
        <is>
          <t>https://www.bseindia.com/stock-share-price/Jyoti-Ltd/504076/</t>
        </is>
      </c>
    </row>
    <row r="63">
      <c r="A63" t="n">
        <v>504176</v>
      </c>
      <c r="B63" t="inlineStr">
        <is>
          <t>High Energy Batteries</t>
        </is>
      </c>
      <c r="G63" t="inlineStr">
        <is>
          <t>https://www.bseindia.com/stock-share-price/High-Energy-Batteries/504176/</t>
        </is>
      </c>
    </row>
    <row r="64">
      <c r="A64" t="n">
        <v>504258</v>
      </c>
      <c r="B64" t="inlineStr">
        <is>
          <t>Lakshmi Electrical Control Systems Ltd</t>
        </is>
      </c>
      <c r="G64" t="inlineStr">
        <is>
          <t>https://www.bseindia.com/stock-share-price/Lakshmi-Electrical-Control-Systems-Ltd/504258/</t>
        </is>
      </c>
    </row>
    <row r="65">
      <c r="A65" t="n">
        <v>504286</v>
      </c>
      <c r="B65" t="inlineStr">
        <is>
          <t>Disa India Ltd</t>
        </is>
      </c>
      <c r="G65" t="inlineStr">
        <is>
          <t>https://www.bseindia.com/stock-share-price/Disa-India-Ltd/504286/</t>
        </is>
      </c>
    </row>
    <row r="66">
      <c r="A66" t="n">
        <v>504356</v>
      </c>
      <c r="B66" t="inlineStr">
        <is>
          <t>Elpro International Ltd</t>
        </is>
      </c>
      <c r="G66" t="inlineStr">
        <is>
          <t>https://www.bseindia.com/stock-share-price/Elpro-International-Ltd/504356/</t>
        </is>
      </c>
    </row>
    <row r="67">
      <c r="A67" t="n">
        <v>504392</v>
      </c>
      <c r="B67" t="inlineStr">
        <is>
          <t>Krishna Ventures Ltd</t>
        </is>
      </c>
      <c r="G67" t="inlineStr">
        <is>
          <t>https://www.bseindia.com/stock-share-price/Krishna-Ventures-Ltd/504392/</t>
        </is>
      </c>
    </row>
    <row r="68">
      <c r="A68" t="n">
        <v>504605</v>
      </c>
      <c r="B68" t="inlineStr">
        <is>
          <t>Uni Abex Alloy Products Ltd</t>
        </is>
      </c>
      <c r="G68" t="inlineStr">
        <is>
          <t>https://www.bseindia.com/stock-share-price/Uni-Abex-Alloy-Products-Ltd/504605/</t>
        </is>
      </c>
    </row>
    <row r="69">
      <c r="A69" t="n">
        <v>504648</v>
      </c>
      <c r="B69" t="inlineStr">
        <is>
          <t>Bombay Wire Ropes Ltd</t>
        </is>
      </c>
      <c r="G69" t="inlineStr">
        <is>
          <t>https://www.bseindia.com/stock-share-price/Bombay-Wire-Ropes-Ltd/504648/</t>
        </is>
      </c>
    </row>
    <row r="70">
      <c r="A70" t="n">
        <v>505036</v>
      </c>
      <c r="B70" t="inlineStr">
        <is>
          <t>Automobile Corp Of Goa Ltd</t>
        </is>
      </c>
      <c r="G70" t="inlineStr">
        <is>
          <t>https://www.bseindia.com/stock-share-price/Automobile-Corp-Of-Goa-Ltd/505036/</t>
        </is>
      </c>
    </row>
    <row r="71">
      <c r="A71" t="n">
        <v>505100</v>
      </c>
      <c r="B71" t="inlineStr">
        <is>
          <t>India Radiators Ltd</t>
        </is>
      </c>
      <c r="G71" t="inlineStr">
        <is>
          <t>https://www.bseindia.com/stock-share-price/India-Radiators-Ltd/505100/</t>
        </is>
      </c>
    </row>
    <row r="72">
      <c r="A72" t="n">
        <v>505242</v>
      </c>
      <c r="B72" t="inlineStr">
        <is>
          <t>Escorts Kubota Ltd</t>
        </is>
      </c>
      <c r="G72" t="inlineStr">
        <is>
          <t>https://www.bseindia.com/stock-share-price/Escorts-Kubota-Ltd/505242/</t>
        </is>
      </c>
    </row>
    <row r="73">
      <c r="A73" t="n">
        <v>505285</v>
      </c>
      <c r="B73" t="inlineStr">
        <is>
          <t>Tym Share</t>
        </is>
      </c>
      <c r="G73" t="inlineStr">
        <is>
          <t>https://www.bseindia.com/stock-share-price/Tym-Share/505285/</t>
        </is>
      </c>
    </row>
    <row r="74">
      <c r="A74" t="n">
        <v>505324</v>
      </c>
      <c r="B74" t="inlineStr">
        <is>
          <t>Manugraph India Ltd</t>
        </is>
      </c>
      <c r="G74" t="inlineStr">
        <is>
          <t>https://www.bseindia.com/stock-share-price/Manugraph-India-Ltd/505324/</t>
        </is>
      </c>
    </row>
    <row r="75">
      <c r="A75" t="n">
        <v>505355</v>
      </c>
      <c r="B75" t="inlineStr">
        <is>
          <t>Nesco Ltd</t>
        </is>
      </c>
      <c r="G75" t="inlineStr">
        <is>
          <t>https://www.bseindia.com/stock-share-price/Nesco-Ltd/505355/</t>
        </is>
      </c>
    </row>
    <row r="76">
      <c r="A76" t="n">
        <v>505520</v>
      </c>
      <c r="B76" t="inlineStr">
        <is>
          <t>Herbertsons Ltd</t>
        </is>
      </c>
      <c r="G76" t="inlineStr">
        <is>
          <t>https://www.bseindia.com/stock-share-price/Herbertsons-Ltd/505520/</t>
        </is>
      </c>
    </row>
    <row r="77">
      <c r="A77" t="n">
        <v>505850</v>
      </c>
      <c r="B77" t="inlineStr">
        <is>
          <t>Mangalam Cement Ltd</t>
        </is>
      </c>
      <c r="G77" t="inlineStr">
        <is>
          <t>https://www.bseindia.com/stock-share-price/Mangalam-Cement-Ltd/505850/</t>
        </is>
      </c>
    </row>
    <row r="78">
      <c r="A78" t="n">
        <v>506161</v>
      </c>
      <c r="B78" t="inlineStr">
        <is>
          <t>Ishwarshakti Holdings</t>
        </is>
      </c>
      <c r="G78" t="inlineStr">
        <is>
          <t>https://www.bseindia.com/stock-share-price/Ishwarshakti-Holdings/506161/</t>
        </is>
      </c>
    </row>
    <row r="79">
      <c r="A79" t="n">
        <v>506196</v>
      </c>
      <c r="B79" t="inlineStr">
        <is>
          <t>Swaraj Engines Ltd</t>
        </is>
      </c>
      <c r="G79" t="inlineStr">
        <is>
          <t>https://www.bseindia.com/stock-share-price/Swaraj-Engines-Ltd/506196/</t>
        </is>
      </c>
    </row>
    <row r="80">
      <c r="A80" t="n">
        <v>506222</v>
      </c>
      <c r="B80" t="inlineStr">
        <is>
          <t>Dhunseri Tea</t>
        </is>
      </c>
      <c r="G80" t="inlineStr">
        <is>
          <t>https://www.bseindia.com/stock-share-price/Dhunseri-Tea/506222/</t>
        </is>
      </c>
    </row>
    <row r="81">
      <c r="A81" t="n">
        <v>506260</v>
      </c>
      <c r="B81" t="inlineStr">
        <is>
          <t>Anuh Pharma Ltd</t>
        </is>
      </c>
      <c r="G81" t="inlineStr">
        <is>
          <t>https://www.bseindia.com/stock-share-price/Anuh-Pharma-Ltd/506260/</t>
        </is>
      </c>
    </row>
    <row r="82">
      <c r="A82" t="n">
        <v>506285</v>
      </c>
      <c r="B82" t="inlineStr">
        <is>
          <t>Bayer Cropscience Ltd</t>
        </is>
      </c>
      <c r="G82" t="inlineStr">
        <is>
          <t>https://www.bseindia.com/stock-share-price/Bayer-Cropscience-Ltd/506285/</t>
        </is>
      </c>
    </row>
    <row r="83">
      <c r="A83" t="n">
        <v>506390</v>
      </c>
      <c r="B83" t="inlineStr">
        <is>
          <t>Clariant Chemicals India Ltd</t>
        </is>
      </c>
      <c r="G83" t="inlineStr">
        <is>
          <t>https://www.bseindia.com/stock-share-price/Clariant-Chemicals-India-Ltd/506390/</t>
        </is>
      </c>
    </row>
    <row r="84">
      <c r="A84" t="n">
        <v>506395</v>
      </c>
      <c r="B84" t="inlineStr">
        <is>
          <t>Coromandel International Ltd</t>
        </is>
      </c>
      <c r="G84" t="inlineStr">
        <is>
          <t>https://www.bseindia.com/stock-share-price/Coromandel-International-Ltd/506395/</t>
        </is>
      </c>
    </row>
    <row r="85">
      <c r="A85" t="n">
        <v>506405</v>
      </c>
      <c r="B85" t="inlineStr">
        <is>
          <t>Dharamsi Morarji Chemical Co Ltd</t>
        </is>
      </c>
      <c r="G85" t="inlineStr">
        <is>
          <t>https://www.bseindia.com/stock-share-price/Dharamsi-Morarji-Chemical-Co-Ltd/506405/</t>
        </is>
      </c>
    </row>
    <row r="86">
      <c r="A86" t="n">
        <v>506480</v>
      </c>
      <c r="B86" t="inlineStr">
        <is>
          <t>Goodyear India Ltd</t>
        </is>
      </c>
      <c r="G86" t="inlineStr">
        <is>
          <t>https://www.bseindia.com/stock-share-price/Goodyear-India-Ltd/506480/</t>
        </is>
      </c>
    </row>
    <row r="87">
      <c r="A87" t="n">
        <v>506520</v>
      </c>
      <c r="B87" t="inlineStr">
        <is>
          <t>Jayshree Tea &amp; Industries Ltd</t>
        </is>
      </c>
      <c r="G87" t="inlineStr">
        <is>
          <t>https://www.bseindia.com/stock-share-price/Jayshree-Tea-&amp;-Industries-Ltd/506520/</t>
        </is>
      </c>
    </row>
    <row r="88">
      <c r="A88" t="n">
        <v>506532</v>
      </c>
      <c r="B88" t="inlineStr">
        <is>
          <t>Nitco Ltd</t>
        </is>
      </c>
      <c r="G88" t="inlineStr">
        <is>
          <t>https://www.bseindia.com/stock-share-price/Nitco-Ltd/506532/</t>
        </is>
      </c>
    </row>
    <row r="89">
      <c r="A89" t="n">
        <v>506808</v>
      </c>
      <c r="B89" t="inlineStr">
        <is>
          <t>Duncans Industries Ltd</t>
        </is>
      </c>
      <c r="G89" t="inlineStr">
        <is>
          <t>https://www.bseindia.com/stock-share-price/Duncans-Industries-Ltd/506808/</t>
        </is>
      </c>
    </row>
    <row r="90">
      <c r="A90" t="n">
        <v>507265</v>
      </c>
      <c r="B90" t="inlineStr">
        <is>
          <t>Emami Ltd</t>
        </is>
      </c>
      <c r="G90" t="inlineStr">
        <is>
          <t>https://www.bseindia.com/stock-share-price/Emami-Ltd/507265/</t>
        </is>
      </c>
    </row>
    <row r="91">
      <c r="A91" t="n">
        <v>507300</v>
      </c>
      <c r="B91" t="inlineStr">
        <is>
          <t>Ravalgaon Sugar Farm Ltd</t>
        </is>
      </c>
      <c r="G91" t="inlineStr">
        <is>
          <t>https://www.bseindia.com/stock-share-price/Ravalgaon-Sugar-Farm-Ltd/507300/</t>
        </is>
      </c>
    </row>
    <row r="92">
      <c r="A92" t="n">
        <v>507438</v>
      </c>
      <c r="B92" t="inlineStr">
        <is>
          <t>Ifb Industries Ltd</t>
        </is>
      </c>
      <c r="G92" t="inlineStr">
        <is>
          <t>https://www.bseindia.com/stock-share-price/Ifb-Industries-Ltd/507438/</t>
        </is>
      </c>
    </row>
    <row r="93">
      <c r="A93" t="n">
        <v>507960</v>
      </c>
      <c r="B93" t="inlineStr">
        <is>
          <t>Gujarat Hotels Ltd</t>
        </is>
      </c>
      <c r="G93" t="inlineStr">
        <is>
          <t>https://www.bseindia.com/stock-share-price/Gujarat-Hotels-Ltd/507960/</t>
        </is>
      </c>
    </row>
    <row r="94">
      <c r="A94" t="n">
        <v>508136</v>
      </c>
      <c r="B94" t="inlineStr">
        <is>
          <t>Bannari Amman Sugars Ltd</t>
        </is>
      </c>
      <c r="G94" t="inlineStr">
        <is>
          <t>https://www.bseindia.com/stock-share-price/Bannari-Amman-Sugars-Ltd/508136/</t>
        </is>
      </c>
    </row>
    <row r="95">
      <c r="A95" t="n">
        <v>508906</v>
      </c>
      <c r="B95" t="inlineStr">
        <is>
          <t>Everest Industries Ltd</t>
        </is>
      </c>
      <c r="G95" t="inlineStr">
        <is>
          <t>https://www.bseindia.com/stock-share-price/Everest-Industries-Ltd/508906/</t>
        </is>
      </c>
    </row>
    <row r="96">
      <c r="A96" t="n">
        <v>508993</v>
      </c>
      <c r="B96" t="inlineStr">
        <is>
          <t>Kedia Construction Co Ltd</t>
        </is>
      </c>
      <c r="G96" t="inlineStr">
        <is>
          <t>https://www.bseindia.com/stock-share-price/Kedia-Construction-Co-Ltd/508993/</t>
        </is>
      </c>
    </row>
    <row r="97">
      <c r="A97" t="n">
        <v>509077</v>
      </c>
      <c r="B97" t="inlineStr">
        <is>
          <t>Pressman Advertising Ltd</t>
        </is>
      </c>
      <c r="G97" t="inlineStr">
        <is>
          <t>https://www.bseindia.com/stock-share-price/Pressman-Advertising-Ltd/509077/</t>
        </is>
      </c>
    </row>
    <row r="98">
      <c r="A98" t="n">
        <v>509196</v>
      </c>
      <c r="B98" t="inlineStr">
        <is>
          <t>Zuari Agro Chemicals Ltd</t>
        </is>
      </c>
      <c r="G98" t="inlineStr">
        <is>
          <t>https://www.bseindia.com/stock-share-price/Zuari-Agro-Chemicals-Ltd/509196/</t>
        </is>
      </c>
    </row>
    <row r="99">
      <c r="A99" t="n">
        <v>509423</v>
      </c>
      <c r="B99" t="inlineStr">
        <is>
          <t>Sanofi India Ltd</t>
        </is>
      </c>
      <c r="G99" t="inlineStr">
        <is>
          <t>https://www.bseindia.com/stock-share-price/Sanofi-India-Ltd/509423/</t>
        </is>
      </c>
    </row>
    <row r="100">
      <c r="A100" t="n">
        <v>509650</v>
      </c>
      <c r="B100" t="inlineStr">
        <is>
          <t>Excel Industries Ltd</t>
        </is>
      </c>
      <c r="G100" t="inlineStr">
        <is>
          <t>https://www.bseindia.com/stock-share-price/Excel-Industries-Ltd/509650/</t>
        </is>
      </c>
    </row>
    <row r="101">
      <c r="A101" t="n">
        <v>509760</v>
      </c>
      <c r="B101" t="inlineStr">
        <is>
          <t>Modern Shares And Stockbrokers Ltd</t>
        </is>
      </c>
      <c r="G101" t="inlineStr">
        <is>
          <t>https://www.bseindia.com/stock-share-price/Modern-Shares-And-Stockbrokers-Ltd/509760/</t>
        </is>
      </c>
    </row>
    <row r="102">
      <c r="A102" t="n">
        <v>509887</v>
      </c>
      <c r="B102" t="inlineStr">
        <is>
          <t>Syncom Formulations India Ltd</t>
        </is>
      </c>
      <c r="G102" t="inlineStr">
        <is>
          <t>https://www.bseindia.com/stock-share-price/Syncom-Formulations-India-Ltd/509887/</t>
        </is>
      </c>
    </row>
    <row r="103">
      <c r="A103" t="n">
        <v>509966</v>
      </c>
      <c r="B103" t="inlineStr">
        <is>
          <t>VST Industries Ltd</t>
        </is>
      </c>
      <c r="G103" t="inlineStr">
        <is>
          <t>https://www.bseindia.com/stock-share-price/VST-Industries-Ltd/509966/</t>
        </is>
      </c>
    </row>
    <row r="104">
      <c r="A104" t="n">
        <v>510245</v>
      </c>
      <c r="B104" t="inlineStr">
        <is>
          <t>Swasti Vinayaka Synthetics Ltd</t>
        </is>
      </c>
      <c r="G104" t="inlineStr">
        <is>
          <t>https://www.bseindia.com/stock-share-price/Swasti-Vinayaka-Synthetics-Ltd/510245/</t>
        </is>
      </c>
    </row>
    <row r="105">
      <c r="A105" t="n">
        <v>511066</v>
      </c>
      <c r="B105" t="inlineStr">
        <is>
          <t>Sakthi Finance Ltd</t>
        </is>
      </c>
      <c r="G105" t="inlineStr">
        <is>
          <t>https://www.bseindia.com/stock-share-price/Sakthi-Finance-Ltd/511066/</t>
        </is>
      </c>
    </row>
    <row r="106">
      <c r="A106" t="n">
        <v>511131</v>
      </c>
      <c r="B106" t="inlineStr">
        <is>
          <t>Kamanwala Housing Construction Ltd</t>
        </is>
      </c>
      <c r="G106" t="inlineStr">
        <is>
          <t>https://www.bseindia.com/stock-share-price/Kamanwala-Housing-Construction-Ltd/511131/</t>
        </is>
      </c>
    </row>
    <row r="107">
      <c r="A107" t="n">
        <v>511147</v>
      </c>
      <c r="B107" t="inlineStr">
        <is>
          <t>Wall Street Finance Ltd</t>
        </is>
      </c>
      <c r="G107" t="inlineStr">
        <is>
          <t>https://www.bseindia.com/stock-share-price/Wall-Street-Finance-Ltd/511147/</t>
        </is>
      </c>
    </row>
    <row r="108">
      <c r="A108" t="n">
        <v>511218</v>
      </c>
      <c r="B108" t="inlineStr">
        <is>
          <t>Shree Rama Multi Tech Ltd</t>
        </is>
      </c>
      <c r="G108" t="inlineStr">
        <is>
          <t>https://www.bseindia.com/stock-share-price/Shree-Rama-Multi-Tech-Ltd/511218/</t>
        </is>
      </c>
    </row>
    <row r="109">
      <c r="A109" t="n">
        <v>511243</v>
      </c>
      <c r="B109" t="inlineStr">
        <is>
          <t>Cholamandalam Financial Holdings Ltd</t>
        </is>
      </c>
      <c r="G109" t="inlineStr">
        <is>
          <t>https://www.bseindia.com/stock-share-price/Cholamandalam-Financial-Holdings-Ltd/511243/</t>
        </is>
      </c>
    </row>
    <row r="110">
      <c r="A110" t="n">
        <v>511355</v>
      </c>
      <c r="B110" t="inlineStr">
        <is>
          <t>India Infoline Ltd</t>
        </is>
      </c>
      <c r="G110" t="inlineStr">
        <is>
          <t>https://www.bseindia.com/stock-share-price/India-Infoline-Ltd/511355/</t>
        </is>
      </c>
    </row>
    <row r="111">
      <c r="A111" t="n">
        <v>511389</v>
      </c>
      <c r="B111" t="inlineStr">
        <is>
          <t>Video Electronics</t>
        </is>
      </c>
      <c r="G111" t="inlineStr">
        <is>
          <t>https://www.bseindia.com/stock-share-price/Video-Electronics/511389/</t>
        </is>
      </c>
    </row>
    <row r="112">
      <c r="A112" t="n">
        <v>511413</v>
      </c>
      <c r="B112" t="inlineStr">
        <is>
          <t>Sakura Industries</t>
        </is>
      </c>
      <c r="G112" t="inlineStr">
        <is>
          <t>https://www.bseindia.com/stock-share-price/Sakura-Industries/511413/</t>
        </is>
      </c>
    </row>
    <row r="113">
      <c r="A113" t="n">
        <v>511431</v>
      </c>
      <c r="B113" t="inlineStr">
        <is>
          <t>Vakrangee Ltd</t>
        </is>
      </c>
      <c r="G113" t="inlineStr">
        <is>
          <t>https://www.bseindia.com/stock-share-price/Vakrangee-Ltd/511431/</t>
        </is>
      </c>
    </row>
    <row r="114">
      <c r="A114" t="n">
        <v>511509</v>
      </c>
      <c r="B114" t="inlineStr">
        <is>
          <t>Vysya Bank Ltd</t>
        </is>
      </c>
      <c r="G114" t="inlineStr">
        <is>
          <t>https://www.bseindia.com/stock-share-price/Vysya-Bank-Ltd/511509/</t>
        </is>
      </c>
    </row>
    <row r="115">
      <c r="A115" t="n">
        <v>511593</v>
      </c>
      <c r="B115" t="inlineStr">
        <is>
          <t>Libord Finance Ltd</t>
        </is>
      </c>
      <c r="G115" t="inlineStr">
        <is>
          <t>https://www.bseindia.com/stock-share-price/Libord-Finance-Ltd/511593/</t>
        </is>
      </c>
    </row>
    <row r="116">
      <c r="A116" t="n">
        <v>511626</v>
      </c>
      <c r="B116" t="inlineStr">
        <is>
          <t>Reliance Home Finance Ltd</t>
        </is>
      </c>
      <c r="G116" t="inlineStr">
        <is>
          <t>https://www.bseindia.com/stock-share-price/Reliance-Home-Finance-Ltd/511626/</t>
        </is>
      </c>
    </row>
    <row r="117">
      <c r="A117" t="n">
        <v>511672</v>
      </c>
      <c r="B117" t="inlineStr">
        <is>
          <t>Scan Steels Ltd</t>
        </is>
      </c>
      <c r="G117" t="inlineStr">
        <is>
          <t>https://www.bseindia.com/stock-share-price/Scan-Steels-Ltd/511672/</t>
        </is>
      </c>
    </row>
    <row r="118">
      <c r="A118" t="n">
        <v>511696</v>
      </c>
      <c r="B118" t="inlineStr">
        <is>
          <t>Chartered Capital And Investment Ltd</t>
        </is>
      </c>
      <c r="G118" t="inlineStr">
        <is>
          <t>https://www.bseindia.com/stock-share-price/Chartered-Capital-And-Investment-Ltd/511696/</t>
        </is>
      </c>
    </row>
    <row r="119">
      <c r="A119" t="n">
        <v>511700</v>
      </c>
      <c r="B119" t="inlineStr">
        <is>
          <t>Standard Capital Markets Ltd</t>
        </is>
      </c>
      <c r="G119" t="inlineStr">
        <is>
          <t>https://www.bseindia.com/stock-share-price/Standard-Capital-Markets-Ltd/511700/</t>
        </is>
      </c>
    </row>
    <row r="120">
      <c r="A120" t="n">
        <v>511760</v>
      </c>
      <c r="B120" t="inlineStr">
        <is>
          <t>Marg Ltd</t>
        </is>
      </c>
      <c r="G120" t="inlineStr">
        <is>
          <t>https://www.bseindia.com/stock-share-price/Marg-Ltd/511760/</t>
        </is>
      </c>
    </row>
    <row r="121">
      <c r="A121" t="n">
        <v>511768</v>
      </c>
      <c r="B121" t="inlineStr">
        <is>
          <t>Master Trust Ltd</t>
        </is>
      </c>
      <c r="G121" t="inlineStr">
        <is>
          <t>https://www.bseindia.com/stock-share-price/Master-Trust-Ltd/511768/</t>
        </is>
      </c>
    </row>
    <row r="122">
      <c r="A122" t="n">
        <v>512008</v>
      </c>
      <c r="B122" t="inlineStr">
        <is>
          <t>Sahara One Media And Entertainment Ltd</t>
        </is>
      </c>
      <c r="G122" t="inlineStr">
        <is>
          <t>https://www.bseindia.com/stock-share-price/Sahara-One-Media-And-Entertainment-Ltd/512008/</t>
        </is>
      </c>
    </row>
    <row r="123">
      <c r="A123" t="n">
        <v>512018</v>
      </c>
      <c r="B123" t="inlineStr">
        <is>
          <t>CNI Research Ltd</t>
        </is>
      </c>
      <c r="G123" t="inlineStr">
        <is>
          <t>https://www.bseindia.com/stock-share-price/CNI-Research-Ltd/512018/</t>
        </is>
      </c>
    </row>
    <row r="124">
      <c r="A124" t="n">
        <v>512070</v>
      </c>
      <c r="B124" t="inlineStr">
        <is>
          <t>Upl Ltd</t>
        </is>
      </c>
      <c r="G124" t="inlineStr">
        <is>
          <t>https://www.bseindia.com/stock-share-price/Upl-Ltd/512070/</t>
        </is>
      </c>
    </row>
    <row r="125">
      <c r="A125" t="n">
        <v>512101</v>
      </c>
      <c r="B125" t="inlineStr">
        <is>
          <t>Triochem Products Ltd</t>
        </is>
      </c>
      <c r="G125" t="inlineStr">
        <is>
          <t>https://www.bseindia.com/stock-share-price/Triochem-Products-Ltd/512101/</t>
        </is>
      </c>
    </row>
    <row r="126">
      <c r="A126" t="n">
        <v>512115</v>
      </c>
      <c r="B126" t="inlineStr">
        <is>
          <t>Rose Merc Ltd</t>
        </is>
      </c>
      <c r="G126" t="inlineStr">
        <is>
          <t>https://www.bseindia.com/stock-share-price/Rose-Merc-Ltd/512115/</t>
        </is>
      </c>
    </row>
    <row r="127">
      <c r="A127" t="n">
        <v>512161</v>
      </c>
      <c r="B127" t="inlineStr">
        <is>
          <t>8K Miles Software Services Ltd</t>
        </is>
      </c>
      <c r="G127" t="inlineStr">
        <is>
          <t>https://www.bseindia.com/stock-share-price/8K-Miles-Software-Services-Ltd/512161/</t>
        </is>
      </c>
    </row>
    <row r="128">
      <c r="A128" t="n">
        <v>512197</v>
      </c>
      <c r="B128" t="inlineStr">
        <is>
          <t>Sita Enterprises Ltd</t>
        </is>
      </c>
      <c r="G128" t="inlineStr">
        <is>
          <t>https://www.bseindia.com/stock-share-price/Sita-Enterprises-Ltd/512197/</t>
        </is>
      </c>
    </row>
    <row r="129">
      <c r="A129" t="n">
        <v>512215</v>
      </c>
      <c r="B129" t="inlineStr">
        <is>
          <t>Kriti Industries India Ltd</t>
        </is>
      </c>
      <c r="G129" t="inlineStr">
        <is>
          <t>https://www.bseindia.com/stock-share-price/Kriti-Industries-India-Ltd/512215/</t>
        </is>
      </c>
    </row>
    <row r="130">
      <c r="A130" t="n">
        <v>512247</v>
      </c>
      <c r="B130" t="inlineStr">
        <is>
          <t>Asset Alliance</t>
        </is>
      </c>
      <c r="G130" t="inlineStr">
        <is>
          <t>https://www.bseindia.com/stock-share-price/Asset-Alliance/512247/</t>
        </is>
      </c>
    </row>
    <row r="131">
      <c r="A131" t="n">
        <v>512265</v>
      </c>
      <c r="B131" t="inlineStr">
        <is>
          <t>Avon Mercantile Ltd</t>
        </is>
      </c>
      <c r="G131" t="inlineStr">
        <is>
          <t>https://www.bseindia.com/stock-share-price/Avon-Mercantile-Ltd/512265/</t>
        </is>
      </c>
    </row>
    <row r="132">
      <c r="A132" t="n">
        <v>512279</v>
      </c>
      <c r="B132" t="inlineStr">
        <is>
          <t>N2N Technologies Ltd</t>
        </is>
      </c>
      <c r="G132" t="inlineStr">
        <is>
          <t>https://www.bseindia.com/stock-share-price/N2N-Technologies-Ltd/512279/</t>
        </is>
      </c>
    </row>
    <row r="133">
      <c r="A133" t="n">
        <v>512289</v>
      </c>
      <c r="B133" t="inlineStr">
        <is>
          <t>Shree Metalloys Ltd</t>
        </is>
      </c>
      <c r="G133" t="inlineStr">
        <is>
          <t>https://www.bseindia.com/stock-share-price/Shree-Metalloys-Ltd/512289/</t>
        </is>
      </c>
    </row>
    <row r="134">
      <c r="A134" t="n">
        <v>512399</v>
      </c>
      <c r="B134" t="inlineStr">
        <is>
          <t>Shraddha AI</t>
        </is>
      </c>
      <c r="G134" t="inlineStr">
        <is>
          <t>https://www.bseindia.com/stock-share-price/Shraddha-AI/512399/</t>
        </is>
      </c>
    </row>
    <row r="135">
      <c r="A135" t="n">
        <v>512408</v>
      </c>
      <c r="B135" t="inlineStr">
        <is>
          <t>Desco Infratech Ltd</t>
        </is>
      </c>
      <c r="G135" t="inlineStr">
        <is>
          <t>https://www.bseindia.com/stock-share-price/Desco-Infratech-Ltd/512408/</t>
        </is>
      </c>
    </row>
    <row r="136">
      <c r="A136" t="n">
        <v>512477</v>
      </c>
      <c r="B136" t="inlineStr">
        <is>
          <t>Betex India Ltd</t>
        </is>
      </c>
      <c r="G136" t="inlineStr">
        <is>
          <t>https://www.bseindia.com/stock-share-price/Betex-India-Ltd/512477/</t>
        </is>
      </c>
    </row>
    <row r="137">
      <c r="A137" t="n">
        <v>512511</v>
      </c>
      <c r="B137" t="inlineStr">
        <is>
          <t>Varun Mercantile Ltd</t>
        </is>
      </c>
      <c r="G137" t="inlineStr">
        <is>
          <t>https://www.bseindia.com/stock-share-price/Varun-Mercantile-Ltd/512511/</t>
        </is>
      </c>
    </row>
    <row r="138">
      <c r="A138" t="n">
        <v>512573</v>
      </c>
      <c r="B138" t="inlineStr">
        <is>
          <t>Avanti Feeds Ltd</t>
        </is>
      </c>
      <c r="G138" t="inlineStr">
        <is>
          <t>https://www.bseindia.com/stock-share-price/Avanti-Feeds-Ltd/512573/</t>
        </is>
      </c>
    </row>
    <row r="139">
      <c r="A139" t="n">
        <v>512599</v>
      </c>
      <c r="B139" t="inlineStr">
        <is>
          <t>Adani Enterprises Ltd</t>
        </is>
      </c>
      <c r="G139" t="inlineStr">
        <is>
          <t>https://www.bseindia.com/stock-share-price/Adani-Enterprises-Ltd/512599/</t>
        </is>
      </c>
    </row>
    <row r="140">
      <c r="A140" t="n">
        <v>512634</v>
      </c>
      <c r="B140" t="inlineStr">
        <is>
          <t>Saveria Industries Ltd</t>
        </is>
      </c>
      <c r="G140" t="inlineStr">
        <is>
          <t>https://www.bseindia.com/stock-share-price/Saveria-Industries-Ltd/512634/</t>
        </is>
      </c>
    </row>
    <row r="141">
      <c r="A141" t="n">
        <v>513119</v>
      </c>
      <c r="B141" t="inlineStr">
        <is>
          <t>Abc Gas International Ltd</t>
        </is>
      </c>
      <c r="G141" t="inlineStr">
        <is>
          <t>https://www.bseindia.com/stock-share-price/Abc-Gas-International-Ltd/513119/</t>
        </is>
      </c>
    </row>
    <row r="142">
      <c r="A142" t="n">
        <v>513149</v>
      </c>
      <c r="B142" t="inlineStr">
        <is>
          <t>Acrow India Ltd</t>
        </is>
      </c>
      <c r="G142" t="inlineStr">
        <is>
          <t>https://www.bseindia.com/stock-share-price/Acrow-India-Ltd/513149/</t>
        </is>
      </c>
    </row>
    <row r="143">
      <c r="A143" t="n">
        <v>513179</v>
      </c>
      <c r="B143" t="inlineStr">
        <is>
          <t>National Steel And Agro Industries Ltd</t>
        </is>
      </c>
      <c r="G143" t="inlineStr">
        <is>
          <t>https://www.bseindia.com/stock-share-price/National-Steel-And-Agro-Industries-Ltd/513179/</t>
        </is>
      </c>
    </row>
    <row r="144">
      <c r="A144" t="n">
        <v>513216</v>
      </c>
      <c r="B144" t="inlineStr">
        <is>
          <t>Arihant Industries Ltd</t>
        </is>
      </c>
      <c r="G144" t="inlineStr">
        <is>
          <t>https://www.bseindia.com/stock-share-price/Arihant-Industries-Ltd/513216/</t>
        </is>
      </c>
    </row>
    <row r="145">
      <c r="A145" t="n">
        <v>513228</v>
      </c>
      <c r="B145" t="inlineStr">
        <is>
          <t>Pennar Industries Ltd</t>
        </is>
      </c>
      <c r="G145" t="inlineStr">
        <is>
          <t>https://www.bseindia.com/stock-share-price/Pennar-Industries-Ltd/513228/</t>
        </is>
      </c>
    </row>
    <row r="146">
      <c r="A146" t="n">
        <v>513250</v>
      </c>
      <c r="B146" t="inlineStr">
        <is>
          <t>Jyoti Structures Ltd</t>
        </is>
      </c>
      <c r="G146" t="inlineStr">
        <is>
          <t>https://www.bseindia.com/stock-share-price/Jyoti-Structures-Ltd/513250/</t>
        </is>
      </c>
    </row>
    <row r="147">
      <c r="A147" t="n">
        <v>513262</v>
      </c>
      <c r="B147" t="inlineStr">
        <is>
          <t>Steel Strips Wheels Ltd</t>
        </is>
      </c>
      <c r="G147" t="inlineStr">
        <is>
          <t>https://www.bseindia.com/stock-share-price/Steel-Strips-Wheels-Ltd/513262/</t>
        </is>
      </c>
    </row>
    <row r="148">
      <c r="A148" t="n">
        <v>513269</v>
      </c>
      <c r="B148" t="inlineStr">
        <is>
          <t>Man Industries India Ltd</t>
        </is>
      </c>
      <c r="G148" t="inlineStr">
        <is>
          <t>https://www.bseindia.com/stock-share-price/Man-Industries-India-Ltd/513269/</t>
        </is>
      </c>
    </row>
    <row r="149">
      <c r="A149" t="n">
        <v>513295</v>
      </c>
      <c r="B149" t="inlineStr">
        <is>
          <t>Imi Precision Engineering Ltd</t>
        </is>
      </c>
      <c r="G149" t="inlineStr">
        <is>
          <t>https://www.bseindia.com/stock-share-price/Imi-Precision-Engineering-Ltd/513295/</t>
        </is>
      </c>
    </row>
    <row r="150">
      <c r="A150" t="n">
        <v>513307</v>
      </c>
      <c r="B150" t="inlineStr">
        <is>
          <t>Hindustan Basic Industries</t>
        </is>
      </c>
      <c r="G150" t="inlineStr">
        <is>
          <t>https://www.bseindia.com/stock-share-price/Hindustan-Basic-Industries/513307/</t>
        </is>
      </c>
    </row>
    <row r="151">
      <c r="A151" t="n">
        <v>513335</v>
      </c>
      <c r="B151" t="inlineStr">
        <is>
          <t>Metropolitan Trade</t>
        </is>
      </c>
      <c r="G151" t="inlineStr">
        <is>
          <t>https://www.bseindia.com/stock-share-price/Metropolitan-Trade/513335/</t>
        </is>
      </c>
    </row>
    <row r="152">
      <c r="A152" t="n">
        <v>513353</v>
      </c>
      <c r="B152" t="inlineStr">
        <is>
          <t>Cochin Minerals And Rutile Ltd</t>
        </is>
      </c>
      <c r="G152" t="inlineStr">
        <is>
          <t>https://www.bseindia.com/stock-share-price/Cochin-Minerals-And-Rutile-Ltd/513353/</t>
        </is>
      </c>
    </row>
    <row r="153">
      <c r="A153" t="n">
        <v>513361</v>
      </c>
      <c r="B153" t="inlineStr">
        <is>
          <t>India Steel Works Ltd</t>
        </is>
      </c>
      <c r="G153" t="inlineStr">
        <is>
          <t>https://www.bseindia.com/stock-share-price/India-Steel-Works-Ltd/513361/</t>
        </is>
      </c>
    </row>
    <row r="154">
      <c r="A154" t="n">
        <v>513397</v>
      </c>
      <c r="B154" t="inlineStr">
        <is>
          <t>Vallabh Steel Ltd</t>
        </is>
      </c>
      <c r="G154" t="inlineStr">
        <is>
          <t>https://www.bseindia.com/stock-share-price/Vallabh-Steel-Ltd/513397/</t>
        </is>
      </c>
    </row>
    <row r="155">
      <c r="A155" t="n">
        <v>513401</v>
      </c>
      <c r="B155" t="inlineStr">
        <is>
          <t>Ashima Ltd</t>
        </is>
      </c>
      <c r="G155" t="inlineStr">
        <is>
          <t>https://www.bseindia.com/stock-share-price/Ashima-Ltd/513401/</t>
        </is>
      </c>
    </row>
    <row r="156">
      <c r="A156" t="n">
        <v>513403</v>
      </c>
      <c r="B156" t="inlineStr">
        <is>
          <t>Pramara Promotions Ltd</t>
        </is>
      </c>
      <c r="G156" t="inlineStr">
        <is>
          <t>https://www.bseindia.com/stock-share-price/Pramara-Promotions-Ltd/513403/</t>
        </is>
      </c>
    </row>
    <row r="157">
      <c r="A157" t="n">
        <v>513430</v>
      </c>
      <c r="B157" t="inlineStr">
        <is>
          <t>Maithan Alloys Ltd</t>
        </is>
      </c>
      <c r="G157" t="inlineStr">
        <is>
          <t>https://www.bseindia.com/stock-share-price/Maithan-Alloys-Ltd/513430/</t>
        </is>
      </c>
    </row>
    <row r="158">
      <c r="A158" t="n">
        <v>513456</v>
      </c>
      <c r="B158" t="inlineStr">
        <is>
          <t>Kanishk Steel Industries Ltd</t>
        </is>
      </c>
      <c r="G158" t="inlineStr">
        <is>
          <t>https://www.bseindia.com/stock-share-price/Kanishk-Steel-Industries-Ltd/513456/</t>
        </is>
      </c>
    </row>
    <row r="159">
      <c r="A159" t="n">
        <v>513472</v>
      </c>
      <c r="B159" t="inlineStr">
        <is>
          <t>Bharat Wire Ropes Ltd</t>
        </is>
      </c>
      <c r="G159" t="inlineStr">
        <is>
          <t>https://www.bseindia.com/stock-share-price/Bharat-Wire-Ropes-Ltd/513472/</t>
        </is>
      </c>
    </row>
    <row r="160">
      <c r="A160" t="n">
        <v>513488</v>
      </c>
      <c r="B160" t="inlineStr">
        <is>
          <t>Shree Steel Wire Ropes Ltd</t>
        </is>
      </c>
      <c r="G160" t="inlineStr">
        <is>
          <t>https://www.bseindia.com/stock-share-price/Shree-Steel-Wire-Ropes-Ltd/513488/</t>
        </is>
      </c>
    </row>
    <row r="161">
      <c r="A161" t="n">
        <v>513513</v>
      </c>
      <c r="B161" t="inlineStr">
        <is>
          <t>Aditya Ispat Ltd</t>
        </is>
      </c>
      <c r="G161" t="inlineStr">
        <is>
          <t>https://www.bseindia.com/stock-share-price/Aditya-Ispat-Ltd/513513/</t>
        </is>
      </c>
    </row>
    <row r="162">
      <c r="A162" t="n">
        <v>513528</v>
      </c>
      <c r="B162" t="inlineStr">
        <is>
          <t>Glittek Granites Ltd</t>
        </is>
      </c>
      <c r="G162" t="inlineStr">
        <is>
          <t>https://www.bseindia.com/stock-share-price/Glittek-Granites-Ltd/513528/</t>
        </is>
      </c>
    </row>
    <row r="163">
      <c r="A163" t="n">
        <v>513540</v>
      </c>
      <c r="B163" t="inlineStr">
        <is>
          <t>Bandaram Pharma Packtech Ltd</t>
        </is>
      </c>
      <c r="G163" t="inlineStr">
        <is>
          <t>https://www.bseindia.com/stock-share-price/Bandaram-Pharma-Packtech-Ltd/513540/</t>
        </is>
      </c>
    </row>
    <row r="164">
      <c r="A164" t="n">
        <v>513548</v>
      </c>
      <c r="B164" t="inlineStr">
        <is>
          <t>Hind Aluminium Industries Ltd</t>
        </is>
      </c>
      <c r="G164" t="inlineStr">
        <is>
          <t>https://www.bseindia.com/stock-share-price/Hind-Aluminium-Industries-Ltd/513548/</t>
        </is>
      </c>
    </row>
    <row r="165">
      <c r="A165" t="n">
        <v>513599</v>
      </c>
      <c r="B165" t="inlineStr">
        <is>
          <t>Hindustan Copper Ltd</t>
        </is>
      </c>
      <c r="G165" t="inlineStr">
        <is>
          <t>https://www.bseindia.com/stock-share-price/Hindustan-Copper-Ltd/513599/</t>
        </is>
      </c>
    </row>
    <row r="166">
      <c r="A166" t="n">
        <v>514010</v>
      </c>
      <c r="B166" t="inlineStr">
        <is>
          <t>Hindusthan Udyog Ltd</t>
        </is>
      </c>
      <c r="G166" t="inlineStr">
        <is>
          <t>https://www.bseindia.com/stock-share-price/Hindusthan-Udyog-Ltd/514010/</t>
        </is>
      </c>
    </row>
    <row r="167">
      <c r="A167" t="n">
        <v>514028</v>
      </c>
      <c r="B167" t="inlineStr">
        <is>
          <t>Venus Remedies Ltd</t>
        </is>
      </c>
      <c r="G167" t="inlineStr">
        <is>
          <t>https://www.bseindia.com/stock-share-price/Venus-Remedies-Ltd/514028/</t>
        </is>
      </c>
    </row>
    <row r="168">
      <c r="A168" t="n">
        <v>514060</v>
      </c>
      <c r="B168" t="inlineStr">
        <is>
          <t>Jasubhai Steel</t>
        </is>
      </c>
      <c r="G168" t="inlineStr">
        <is>
          <t>https://www.bseindia.com/stock-share-price/Jasubhai-Steel/514060/</t>
        </is>
      </c>
    </row>
    <row r="169">
      <c r="A169" t="n">
        <v>514118</v>
      </c>
      <c r="B169" t="inlineStr">
        <is>
          <t>Rollatainers Ltd</t>
        </is>
      </c>
      <c r="G169" t="inlineStr">
        <is>
          <t>https://www.bseindia.com/stock-share-price/Rollatainers-Ltd/514118/</t>
        </is>
      </c>
    </row>
    <row r="170">
      <c r="A170" t="n">
        <v>514128</v>
      </c>
      <c r="B170" t="inlineStr">
        <is>
          <t>Konark Synthetic Ltd</t>
        </is>
      </c>
      <c r="G170" t="inlineStr">
        <is>
          <t>https://www.bseindia.com/stock-share-price/Konark-Synthetic-Ltd/514128/</t>
        </is>
      </c>
    </row>
    <row r="171">
      <c r="A171" t="n">
        <v>514167</v>
      </c>
      <c r="B171" t="inlineStr">
        <is>
          <t>Gandhimathi Appliances Ltd</t>
        </is>
      </c>
      <c r="G171" t="inlineStr">
        <is>
          <t>https://www.bseindia.com/stock-share-price/Gandhimathi-Appliances-Ltd/514167/</t>
        </is>
      </c>
    </row>
    <row r="172">
      <c r="A172" t="n">
        <v>514175</v>
      </c>
      <c r="B172" t="inlineStr">
        <is>
          <t>Vardhman Polytex Ltd</t>
        </is>
      </c>
      <c r="G172" t="inlineStr">
        <is>
          <t>https://www.bseindia.com/stock-share-price/Vardhman-Polytex-Ltd/514175/</t>
        </is>
      </c>
    </row>
    <row r="173">
      <c r="A173" t="n">
        <v>514183</v>
      </c>
      <c r="B173" t="inlineStr">
        <is>
          <t>Black Rose Industries Ltd</t>
        </is>
      </c>
      <c r="G173" t="inlineStr">
        <is>
          <t>https://www.bseindia.com/stock-share-price/Black-Rose-Industries-Ltd/514183/</t>
        </is>
      </c>
    </row>
    <row r="174">
      <c r="A174" t="n">
        <v>514215</v>
      </c>
      <c r="B174" t="inlineStr">
        <is>
          <t>Binny Ltd</t>
        </is>
      </c>
      <c r="G174" t="inlineStr">
        <is>
          <t>https://www.bseindia.com/stock-share-price/Binny-Ltd/514215/</t>
        </is>
      </c>
    </row>
    <row r="175">
      <c r="A175" t="n">
        <v>514238</v>
      </c>
      <c r="B175" t="inlineStr">
        <is>
          <t>Ikab Securities And Investment Ltd</t>
        </is>
      </c>
      <c r="G175" t="inlineStr">
        <is>
          <t>https://www.bseindia.com/stock-share-price/Ikab-Securities-And-Investment-Ltd/514238/</t>
        </is>
      </c>
    </row>
    <row r="176">
      <c r="A176" t="n">
        <v>514274</v>
      </c>
      <c r="B176" t="inlineStr">
        <is>
          <t>Aarvee Denims And Exports Ltd</t>
        </is>
      </c>
      <c r="G176" t="inlineStr">
        <is>
          <t>https://www.bseindia.com/stock-share-price/Aarvee-Denims-And-Exports-Ltd/514274/</t>
        </is>
      </c>
    </row>
    <row r="177">
      <c r="A177" t="n">
        <v>514286</v>
      </c>
      <c r="B177" t="inlineStr">
        <is>
          <t>Ashima Syntex Ltd</t>
        </is>
      </c>
      <c r="G177" t="inlineStr">
        <is>
          <t>https://www.bseindia.com/stock-share-price/Ashima-Syntex-Ltd/514286/</t>
        </is>
      </c>
    </row>
    <row r="178">
      <c r="A178" t="n">
        <v>514302</v>
      </c>
      <c r="B178" t="inlineStr">
        <is>
          <t>Vippy Industries Ltd</t>
        </is>
      </c>
      <c r="G178" t="inlineStr">
        <is>
          <t>https://www.bseindia.com/stock-share-price/Vippy-Industries-Ltd/514302/</t>
        </is>
      </c>
    </row>
    <row r="179">
      <c r="A179" t="n">
        <v>514312</v>
      </c>
      <c r="B179" t="inlineStr">
        <is>
          <t>Yash Pakka Ltd</t>
        </is>
      </c>
      <c r="G179" t="inlineStr">
        <is>
          <t>https://www.bseindia.com/stock-share-price/Yash-Pakka-Ltd/514312/</t>
        </is>
      </c>
    </row>
    <row r="180">
      <c r="A180" t="n">
        <v>514318</v>
      </c>
      <c r="B180" t="inlineStr">
        <is>
          <t>Jindal Worldwide Ltd</t>
        </is>
      </c>
      <c r="G180" t="inlineStr">
        <is>
          <t>https://www.bseindia.com/stock-share-price/Jindal-Worldwide-Ltd/514318/</t>
        </is>
      </c>
    </row>
    <row r="181">
      <c r="A181" t="n">
        <v>514326</v>
      </c>
      <c r="B181" t="inlineStr">
        <is>
          <t>Patheja Forgings &amp; Auto Parts Manufacturers Ltd</t>
        </is>
      </c>
      <c r="G181" t="inlineStr">
        <is>
          <t>https://www.bseindia.com/stock-share-price/Patheja-Forgings-&amp;-Auto-Parts-Manufacturers-Ltd/514326/</t>
        </is>
      </c>
    </row>
    <row r="182">
      <c r="A182" t="n">
        <v>514336</v>
      </c>
      <c r="B182" t="inlineStr">
        <is>
          <t>Ruia Aquaculture Farms Ltd</t>
        </is>
      </c>
      <c r="G182" t="inlineStr">
        <is>
          <t>https://www.bseindia.com/stock-share-price/Ruia-Aquaculture-Farms-Ltd/514336/</t>
        </is>
      </c>
    </row>
    <row r="183">
      <c r="A183" t="n">
        <v>514360</v>
      </c>
      <c r="B183" t="inlineStr">
        <is>
          <t>Aarvi Encon Ltd</t>
        </is>
      </c>
      <c r="G183" t="inlineStr">
        <is>
          <t>https://www.bseindia.com/stock-share-price/Aarvi-Encon-Ltd/514360/</t>
        </is>
      </c>
    </row>
    <row r="184">
      <c r="A184" t="n">
        <v>514378</v>
      </c>
      <c r="B184" t="inlineStr">
        <is>
          <t>Yarn Syndicate Ltd</t>
        </is>
      </c>
      <c r="G184" t="inlineStr">
        <is>
          <t>https://www.bseindia.com/stock-share-price/Yarn-Syndicate-Ltd/514378/</t>
        </is>
      </c>
    </row>
    <row r="185">
      <c r="A185" t="n">
        <v>514400</v>
      </c>
      <c r="B185" t="inlineStr">
        <is>
          <t>Garware Technical Fibres Ltd</t>
        </is>
      </c>
      <c r="G185" t="inlineStr">
        <is>
          <t>https://www.bseindia.com/stock-share-price/Garware-Technical-Fibres-Ltd/514400/</t>
        </is>
      </c>
    </row>
    <row r="186">
      <c r="A186" t="n">
        <v>514402</v>
      </c>
      <c r="B186" t="inlineStr">
        <is>
          <t>Simplex Mills Company Ltd</t>
        </is>
      </c>
      <c r="G186" t="inlineStr">
        <is>
          <t>https://www.bseindia.com/stock-share-price/Simplex-Mills-Company-Ltd/514402/</t>
        </is>
      </c>
    </row>
    <row r="187">
      <c r="A187" t="n">
        <v>514412</v>
      </c>
      <c r="B187" t="inlineStr">
        <is>
          <t>Sarup Industries Ltd</t>
        </is>
      </c>
      <c r="G187" t="inlineStr">
        <is>
          <t>https://www.bseindia.com/stock-share-price/Sarup-Industries-Ltd/514412/</t>
        </is>
      </c>
    </row>
    <row r="188">
      <c r="A188" t="n">
        <v>514428</v>
      </c>
      <c r="B188" t="inlineStr">
        <is>
          <t>Hindustan Adhesives Ltd</t>
        </is>
      </c>
      <c r="G188" t="inlineStr">
        <is>
          <t>https://www.bseindia.com/stock-share-price/Hindustan-Adhesives-Ltd/514428/</t>
        </is>
      </c>
    </row>
    <row r="189">
      <c r="A189" t="n">
        <v>514448</v>
      </c>
      <c r="B189" t="inlineStr">
        <is>
          <t>Jyoti Resins And Adhesives Ltd</t>
        </is>
      </c>
      <c r="G189" t="inlineStr">
        <is>
          <t>https://www.bseindia.com/stock-share-price/Jyoti-Resins-And-Adhesives-Ltd/514448/</t>
        </is>
      </c>
    </row>
    <row r="190">
      <c r="A190" t="n">
        <v>514460</v>
      </c>
      <c r="B190" t="inlineStr">
        <is>
          <t>Saint Gobain Sekurit India Ltd</t>
        </is>
      </c>
      <c r="G190" t="inlineStr">
        <is>
          <t>https://www.bseindia.com/stock-share-price/Saint-Gobain-Sekurit-India-Ltd/514460/</t>
        </is>
      </c>
    </row>
    <row r="191">
      <c r="A191" t="n">
        <v>514470</v>
      </c>
      <c r="B191" t="inlineStr">
        <is>
          <t>Winsome Yarns Ltd</t>
        </is>
      </c>
      <c r="G191" t="inlineStr">
        <is>
          <t>https://www.bseindia.com/stock-share-price/Winsome-Yarns-Ltd/514470/</t>
        </is>
      </c>
    </row>
    <row r="192">
      <c r="A192" t="n">
        <v>515127</v>
      </c>
      <c r="B192" t="inlineStr">
        <is>
          <t>Rajasthan Tube Manufacturing Co Ltd</t>
        </is>
      </c>
      <c r="G192" t="inlineStr">
        <is>
          <t>https://www.bseindia.com/stock-share-price/Rajasthan-Tube-Manufacturing-Co-Ltd/515127/</t>
        </is>
      </c>
    </row>
    <row r="193">
      <c r="A193" t="n">
        <v>515145</v>
      </c>
      <c r="B193" t="inlineStr">
        <is>
          <t>Hindustan Everest Tools Ltd</t>
        </is>
      </c>
      <c r="G193" t="inlineStr">
        <is>
          <t>https://www.bseindia.com/stock-share-price/Hindustan-Everest-Tools-Ltd/515145/</t>
        </is>
      </c>
    </row>
    <row r="194">
      <c r="A194" t="n">
        <v>515147</v>
      </c>
      <c r="B194" t="inlineStr">
        <is>
          <t>Hindustan Hardy Spicer Ltd</t>
        </is>
      </c>
      <c r="G194" t="inlineStr">
        <is>
          <t>https://www.bseindia.com/stock-share-price/Hindustan-Hardy-Spicer-Ltd/515147/</t>
        </is>
      </c>
    </row>
    <row r="195">
      <c r="A195" t="n">
        <v>516003</v>
      </c>
      <c r="B195" t="inlineStr">
        <is>
          <t>Duroply Industries Ltd</t>
        </is>
      </c>
      <c r="G195" t="inlineStr">
        <is>
          <t>https://www.bseindia.com/stock-share-price/Duroply-Industries-Ltd/516003/</t>
        </is>
      </c>
    </row>
    <row r="196">
      <c r="A196" t="n">
        <v>516016</v>
      </c>
      <c r="B196" t="inlineStr">
        <is>
          <t>Shah Alloys Ltd</t>
        </is>
      </c>
      <c r="G196" t="inlineStr">
        <is>
          <t>https://www.bseindia.com/stock-share-price/Shah-Alloys-Ltd/516016/</t>
        </is>
      </c>
    </row>
    <row r="197">
      <c r="A197" t="n">
        <v>516020</v>
      </c>
      <c r="B197" t="inlineStr">
        <is>
          <t>Agio Paper &amp; Industries Ltd</t>
        </is>
      </c>
      <c r="G197" t="inlineStr">
        <is>
          <t>https://www.bseindia.com/stock-share-price/Agio-Paper-&amp;-Industries-Ltd/516020/</t>
        </is>
      </c>
    </row>
    <row r="198">
      <c r="A198" t="n">
        <v>516032</v>
      </c>
      <c r="B198" t="inlineStr">
        <is>
          <t>Sarda Papers Ltd</t>
        </is>
      </c>
      <c r="G198" t="inlineStr">
        <is>
          <t>https://www.bseindia.com/stock-share-price/Sarda-Papers-Ltd/516032/</t>
        </is>
      </c>
    </row>
    <row r="199">
      <c r="A199" t="n">
        <v>516038</v>
      </c>
      <c r="B199" t="inlineStr">
        <is>
          <t>Rohini Tubes</t>
        </is>
      </c>
      <c r="G199" t="inlineStr">
        <is>
          <t>https://www.bseindia.com/stock-share-price/Rohini-Tubes/516038/</t>
        </is>
      </c>
    </row>
    <row r="200">
      <c r="A200" t="n">
        <v>516098</v>
      </c>
      <c r="B200" t="inlineStr">
        <is>
          <t>Ventura Textiles Ltd</t>
        </is>
      </c>
      <c r="G200" t="inlineStr">
        <is>
          <t>https://www.bseindia.com/stock-share-price/Ventura-Textiles-Ltd/516098/</t>
        </is>
      </c>
    </row>
    <row r="201">
      <c r="A201" t="n">
        <v>516108</v>
      </c>
      <c r="B201" t="inlineStr">
        <is>
          <t>South India Paper Mills Ltd</t>
        </is>
      </c>
      <c r="G201" t="inlineStr">
        <is>
          <t>https://www.bseindia.com/stock-share-price/South-India-Paper-Mills-Ltd/516108/</t>
        </is>
      </c>
    </row>
    <row r="202">
      <c r="A202" t="n">
        <v>516110</v>
      </c>
      <c r="B202" t="inlineStr">
        <is>
          <t>Shree Krishna Paper Mills &amp; Industries Ltd</t>
        </is>
      </c>
      <c r="G202" t="inlineStr">
        <is>
          <t>https://www.bseindia.com/stock-share-price/Shree-Krishna-Paper-Mills-&amp;-Industries-Ltd/516110/</t>
        </is>
      </c>
    </row>
    <row r="203">
      <c r="A203" t="n">
        <v>517044</v>
      </c>
      <c r="B203" t="inlineStr">
        <is>
          <t>Edac Engineering Ltd</t>
        </is>
      </c>
      <c r="G203" t="inlineStr">
        <is>
          <t>https://www.bseindia.com/stock-share-price/Edac-Engineering-Ltd/517044/</t>
        </is>
      </c>
    </row>
    <row r="204">
      <c r="A204" t="n">
        <v>517146</v>
      </c>
      <c r="B204" t="inlineStr">
        <is>
          <t>Usha Martin Education</t>
        </is>
      </c>
      <c r="G204" t="inlineStr">
        <is>
          <t>https://www.bseindia.com/stock-share-price/Usha-Martin-Education/517146/</t>
        </is>
      </c>
    </row>
    <row r="205">
      <c r="A205" t="n">
        <v>517230</v>
      </c>
      <c r="B205" t="inlineStr">
        <is>
          <t>Precision Camshafts Ltd</t>
        </is>
      </c>
      <c r="G205" t="inlineStr">
        <is>
          <t>https://www.bseindia.com/stock-share-price/Precision-Camshafts-Ltd/517230/</t>
        </is>
      </c>
    </row>
    <row r="206">
      <c r="A206" t="n">
        <v>517246</v>
      </c>
      <c r="B206" t="inlineStr">
        <is>
          <t>BEML Ltd</t>
        </is>
      </c>
      <c r="G206" t="inlineStr">
        <is>
          <t>https://www.bseindia.com/stock-share-price/BEML-Ltd/517246/</t>
        </is>
      </c>
    </row>
    <row r="207">
      <c r="A207" t="n">
        <v>517271</v>
      </c>
      <c r="B207" t="inlineStr">
        <is>
          <t>HMT Machine Tools Ltd</t>
        </is>
      </c>
      <c r="G207" t="inlineStr">
        <is>
          <t>https://www.bseindia.com/stock-share-price/HMT-Machine-Tools-Ltd/517271/</t>
        </is>
      </c>
    </row>
    <row r="208">
      <c r="A208" t="n">
        <v>517380</v>
      </c>
      <c r="B208" t="inlineStr">
        <is>
          <t>Igarashi Motors India Ltd</t>
        </is>
      </c>
      <c r="G208" t="inlineStr">
        <is>
          <t>https://www.bseindia.com/stock-share-price/Igarashi-Motors-India-Ltd/517380/</t>
        </is>
      </c>
    </row>
    <row r="209">
      <c r="A209" t="n">
        <v>517385</v>
      </c>
      <c r="B209" t="inlineStr">
        <is>
          <t>Symphony Ltd</t>
        </is>
      </c>
      <c r="G209" t="inlineStr">
        <is>
          <t>https://www.bseindia.com/stock-share-price/Symphony-Ltd/517385/</t>
        </is>
      </c>
    </row>
    <row r="210">
      <c r="A210" t="n">
        <v>517399</v>
      </c>
      <c r="B210" t="inlineStr">
        <is>
          <t>VXL Instruments Ltd</t>
        </is>
      </c>
      <c r="G210" t="inlineStr">
        <is>
          <t>https://www.bseindia.com/stock-share-price/VXL-Instruments-Ltd/517399/</t>
        </is>
      </c>
    </row>
    <row r="211">
      <c r="A211" t="n">
        <v>517421</v>
      </c>
      <c r="B211" t="inlineStr">
        <is>
          <t>Butt And Ben</t>
        </is>
      </c>
      <c r="G211" t="inlineStr">
        <is>
          <t>https://www.bseindia.com/stock-share-price/Butt-And-Ben/517421/</t>
        </is>
      </c>
    </row>
    <row r="212">
      <c r="A212" t="n">
        <v>517467</v>
      </c>
      <c r="B212" t="inlineStr">
        <is>
          <t>Marsons Ltd</t>
        </is>
      </c>
      <c r="G212" t="inlineStr">
        <is>
          <t>https://www.bseindia.com/stock-share-price/Marsons-Ltd/517467/</t>
        </is>
      </c>
    </row>
    <row r="213">
      <c r="A213" t="n">
        <v>517506</v>
      </c>
      <c r="B213" t="inlineStr">
        <is>
          <t>TTK Prestige Ltd</t>
        </is>
      </c>
      <c r="G213" t="inlineStr">
        <is>
          <t>https://www.bseindia.com/stock-share-price/TTK-Prestige-Ltd/517506/</t>
        </is>
      </c>
    </row>
    <row r="214">
      <c r="A214" t="n">
        <v>517530</v>
      </c>
      <c r="B214" t="inlineStr">
        <is>
          <t>Surana Telecom And Power Ltd</t>
        </is>
      </c>
      <c r="G214" t="inlineStr">
        <is>
          <t>https://www.bseindia.com/stock-share-price/Surana-Telecom-And-Power-Ltd/517530/</t>
        </is>
      </c>
    </row>
    <row r="215">
      <c r="A215" t="n">
        <v>517546</v>
      </c>
      <c r="B215" t="inlineStr">
        <is>
          <t>Alfa Transformers Ltd</t>
        </is>
      </c>
      <c r="G215" t="inlineStr">
        <is>
          <t>https://www.bseindia.com/stock-share-price/Alfa-Transformers-Ltd/517546/</t>
        </is>
      </c>
    </row>
    <row r="216">
      <c r="A216" t="n">
        <v>517548</v>
      </c>
      <c r="B216" t="inlineStr">
        <is>
          <t>Starlite Components Ltd</t>
        </is>
      </c>
      <c r="G216" t="inlineStr">
        <is>
          <t>https://www.bseindia.com/stock-share-price/Starlite-Components-Ltd/517548/</t>
        </is>
      </c>
    </row>
    <row r="217">
      <c r="A217" t="n">
        <v>517562</v>
      </c>
      <c r="B217" t="inlineStr">
        <is>
          <t>Triveni Turbine Ltd</t>
        </is>
      </c>
      <c r="G217" t="inlineStr">
        <is>
          <t>https://www.bseindia.com/stock-share-price/Triveni-Turbine-Ltd/517562/</t>
        </is>
      </c>
    </row>
    <row r="218">
      <c r="A218" t="n">
        <v>517569</v>
      </c>
      <c r="B218" t="inlineStr">
        <is>
          <t>Nava Ltd</t>
        </is>
      </c>
      <c r="G218" t="inlineStr">
        <is>
          <t>https://www.bseindia.com/stock-share-price/Nava-Ltd/517569/</t>
        </is>
      </c>
    </row>
    <row r="219">
      <c r="A219" t="n">
        <v>517571</v>
      </c>
      <c r="B219" t="inlineStr">
        <is>
          <t>Indsil Hydro Power And Manganese Ltd</t>
        </is>
      </c>
      <c r="G219" t="inlineStr">
        <is>
          <t>https://www.bseindia.com/stock-share-price/Indsil-Hydro-Power-And-Manganese-Ltd/517571/</t>
        </is>
      </c>
    </row>
    <row r="220">
      <c r="A220" t="n">
        <v>517973</v>
      </c>
      <c r="B220" t="inlineStr">
        <is>
          <t>Riddhi Siddhi Gluco Biols Ltd</t>
        </is>
      </c>
      <c r="G220" t="inlineStr">
        <is>
          <t>https://www.bseindia.com/stock-share-price/Riddhi-Siddhi-Gluco-Biols-Ltd/517973/</t>
        </is>
      </c>
    </row>
    <row r="221">
      <c r="A221" t="n">
        <v>518011</v>
      </c>
      <c r="B221" t="inlineStr">
        <is>
          <t>Keerthi Industries Ltd</t>
        </is>
      </c>
      <c r="G221" t="inlineStr">
        <is>
          <t>https://www.bseindia.com/stock-share-price/Keerthi-Industries-Ltd/518011/</t>
        </is>
      </c>
    </row>
    <row r="222">
      <c r="A222" t="n">
        <v>518017</v>
      </c>
      <c r="B222" t="inlineStr">
        <is>
          <t>Bedmutha Industries Ltd</t>
        </is>
      </c>
      <c r="G222" t="inlineStr">
        <is>
          <t>https://www.bseindia.com/stock-share-price/Bedmutha-Industries-Ltd/518017/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80"/>
  <sheetViews>
    <sheetView tabSelected="1" workbookViewId="0">
      <selection activeCell="A1" sqref="A1"/>
    </sheetView>
  </sheetViews>
  <sheetFormatPr baseColWidth="8" defaultRowHeight="15"/>
  <cols>
    <col width="21.140625" customWidth="1" min="2" max="2"/>
    <col width="44.5703125" bestFit="1" customWidth="1" min="3" max="3"/>
    <col width="13.42578125" bestFit="1" customWidth="1" min="4" max="4"/>
    <col width="20.140625" bestFit="1" customWidth="1" min="5" max="5"/>
    <col width="9.5703125" customWidth="1" min="6" max="6"/>
    <col width="54.7109375" bestFit="1" customWidth="1" min="7" max="7"/>
    <col width="12" bestFit="1" customWidth="1" min="8" max="9"/>
    <col width="15.42578125" bestFit="1" customWidth="1" min="10" max="10"/>
    <col width="15" bestFit="1" customWidth="1" min="11" max="11"/>
    <col width="16" customWidth="1" min="12" max="12"/>
  </cols>
  <sheetData>
    <row r="1">
      <c r="A1" s="1" t="inlineStr">
        <is>
          <t>Sr No</t>
        </is>
      </c>
      <c r="B1" s="1" t="inlineStr">
        <is>
          <t>BSE Code</t>
        </is>
      </c>
      <c r="C1" s="1" t="inlineStr">
        <is>
          <t>Company Name</t>
        </is>
      </c>
      <c r="D1" s="1" t="inlineStr">
        <is>
          <t>Calendar Year</t>
        </is>
      </c>
      <c r="E1" s="1" t="inlineStr">
        <is>
          <t>CMP TODAY All Years</t>
        </is>
      </c>
      <c r="F1" s="1" t="inlineStr">
        <is>
          <t>EPS (Rs)</t>
        </is>
      </c>
      <c r="G1" s="1" t="inlineStr">
        <is>
          <t>EPS Source</t>
        </is>
      </c>
      <c r="H1" s="1" t="inlineStr">
        <is>
          <t>Year High</t>
        </is>
      </c>
      <c r="I1" s="1" t="inlineStr">
        <is>
          <t>Year Low</t>
        </is>
      </c>
      <c r="J1" s="1" t="inlineStr">
        <is>
          <t>High PE Formula</t>
        </is>
      </c>
      <c r="K1" s="1" t="inlineStr">
        <is>
          <t>Low PE Formula</t>
        </is>
      </c>
      <c r="L1" s="1" t="inlineStr">
        <is>
          <t>Confidence Flag</t>
        </is>
      </c>
      <c r="M1" s="1" t="inlineStr">
        <is>
          <t>PE High</t>
        </is>
      </c>
      <c r="N1" s="1" t="inlineStr">
        <is>
          <t>PE Low</t>
        </is>
      </c>
      <c r="O1" t="inlineStr">
        <is>
          <t>BSE_CMP_Official_LIVE</t>
        </is>
      </c>
      <c r="P1" t="inlineStr">
        <is>
          <t>BSE_52W_High_Official</t>
        </is>
      </c>
      <c r="Q1" t="inlineStr">
        <is>
          <t>BSE_52W_Low_Official</t>
        </is>
      </c>
      <c r="R1" t="inlineStr">
        <is>
          <t>CMP_Match_Status</t>
        </is>
      </c>
      <c r="S1" t="inlineStr">
        <is>
          <t>Final_CMP_AutoCorrected</t>
        </is>
      </c>
      <c r="T1" t="inlineStr">
        <is>
          <t>Last_Verified_IST</t>
        </is>
      </c>
    </row>
    <row r="2">
      <c r="A2" t="n">
        <v>4</v>
      </c>
      <c r="B2" t="n">
        <v>500008</v>
      </c>
      <c r="C2" t="inlineStr">
        <is>
          <t>Amara Raja Energy &amp; Mobility Ltd</t>
        </is>
      </c>
      <c r="D2" t="n">
        <v>2015</v>
      </c>
      <c r="E2" t="n">
        <v>874.4500122070312</v>
      </c>
      <c r="G2" t="inlineStr">
        <is>
          <t>Consolidated first (v4) – needs verification for flagged rows</t>
        </is>
      </c>
      <c r="H2" t="n">
        <v>1132</v>
      </c>
      <c r="I2" t="n">
        <v>778</v>
      </c>
      <c r="L2" t="inlineStr">
        <is>
          <t>INCOMPLETE</t>
        </is>
      </c>
      <c r="O2" t="n">
        <v>882.5</v>
      </c>
      <c r="P2" t="n">
        <v>1057.85</v>
      </c>
      <c r="Q2" t="n">
        <v>670</v>
      </c>
      <c r="R2" s="2" t="inlineStr">
        <is>
          <t>VERIFIED_OK</t>
        </is>
      </c>
      <c r="S2" t="n">
        <v>882.5</v>
      </c>
      <c r="T2" t="inlineStr">
        <is>
          <t>30-07-2026 09:42 IST</t>
        </is>
      </c>
    </row>
    <row r="3">
      <c r="A3" t="n">
        <v>4</v>
      </c>
      <c r="B3" t="n">
        <v>500008</v>
      </c>
      <c r="C3" t="inlineStr">
        <is>
          <t>Amara Raja Energy &amp; Mobility Ltd</t>
        </is>
      </c>
      <c r="D3" t="n">
        <v>2016</v>
      </c>
      <c r="E3" t="n">
        <v>874.4500122070312</v>
      </c>
      <c r="G3" t="inlineStr">
        <is>
          <t>Consolidated first (v4) – needs verification for flagged rows</t>
        </is>
      </c>
      <c r="H3" t="n">
        <v>1077</v>
      </c>
      <c r="I3" t="n">
        <v>773.05</v>
      </c>
      <c r="L3" t="inlineStr">
        <is>
          <t>INCOMPLETE</t>
        </is>
      </c>
      <c r="O3" t="n">
        <v>882.5</v>
      </c>
      <c r="P3" t="n">
        <v>1057.85</v>
      </c>
      <c r="Q3" t="n">
        <v>670</v>
      </c>
      <c r="R3" s="2" t="inlineStr">
        <is>
          <t>VERIFIED_OK</t>
        </is>
      </c>
      <c r="S3" t="n">
        <v>882.5</v>
      </c>
      <c r="T3" t="inlineStr">
        <is>
          <t>30-07-2026 09:42 IST</t>
        </is>
      </c>
    </row>
    <row r="4">
      <c r="A4" t="n">
        <v>4</v>
      </c>
      <c r="B4" t="n">
        <v>500008</v>
      </c>
      <c r="C4" t="inlineStr">
        <is>
          <t>Amara Raja Energy &amp; Mobility Ltd</t>
        </is>
      </c>
      <c r="D4" t="n">
        <v>2017</v>
      </c>
      <c r="E4" t="n">
        <v>874.4500122070312</v>
      </c>
      <c r="G4" t="inlineStr">
        <is>
          <t>Consolidated first (v4) – needs verification for flagged rows</t>
        </is>
      </c>
      <c r="H4" t="n">
        <v>954.5499877929688</v>
      </c>
      <c r="I4" t="n">
        <v>665.4500122070312</v>
      </c>
      <c r="L4" t="inlineStr">
        <is>
          <t>INCOMPLETE</t>
        </is>
      </c>
      <c r="O4" t="n">
        <v>882.5</v>
      </c>
      <c r="P4" t="n">
        <v>1057.85</v>
      </c>
      <c r="Q4" t="n">
        <v>670</v>
      </c>
      <c r="R4" s="2" t="inlineStr">
        <is>
          <t>VERIFIED_OK</t>
        </is>
      </c>
      <c r="S4" t="n">
        <v>882.5</v>
      </c>
      <c r="T4" t="inlineStr">
        <is>
          <t>30-07-2026 09:42 IST</t>
        </is>
      </c>
    </row>
    <row r="5">
      <c r="A5" t="n">
        <v>4</v>
      </c>
      <c r="B5" t="n">
        <v>500008</v>
      </c>
      <c r="C5" t="inlineStr">
        <is>
          <t>Amara Raja Energy &amp; Mobility Ltd</t>
        </is>
      </c>
      <c r="D5" t="n">
        <v>2018</v>
      </c>
      <c r="E5" t="n">
        <v>874.4500122070312</v>
      </c>
      <c r="G5" t="inlineStr">
        <is>
          <t>Consolidated first (v4) – needs verification for flagged rows</t>
        </is>
      </c>
      <c r="H5" t="n">
        <v>907.75</v>
      </c>
      <c r="I5" t="n">
        <v>670.6500244140625</v>
      </c>
      <c r="L5" t="inlineStr">
        <is>
          <t>INCOMPLETE</t>
        </is>
      </c>
      <c r="O5" t="n">
        <v>882.5</v>
      </c>
      <c r="P5" t="n">
        <v>1057.85</v>
      </c>
      <c r="Q5" t="n">
        <v>670</v>
      </c>
      <c r="R5" s="2" t="inlineStr">
        <is>
          <t>VERIFIED_OK</t>
        </is>
      </c>
      <c r="S5" t="n">
        <v>882.5</v>
      </c>
      <c r="T5" t="inlineStr">
        <is>
          <t>30-07-2026 09:42 IST</t>
        </is>
      </c>
    </row>
    <row r="6">
      <c r="A6" t="n">
        <v>4</v>
      </c>
      <c r="B6" t="n">
        <v>500008</v>
      </c>
      <c r="C6" t="inlineStr">
        <is>
          <t>Amara Raja Energy &amp; Mobility Ltd</t>
        </is>
      </c>
      <c r="D6" t="n">
        <v>2019</v>
      </c>
      <c r="E6" t="n">
        <v>874.4500122070312</v>
      </c>
      <c r="F6" t="n">
        <v>28.29</v>
      </c>
      <c r="G6" t="inlineStr">
        <is>
          <t>Consolidated first (v4) – needs verification for flagged rows</t>
        </is>
      </c>
      <c r="H6" t="n">
        <v>796</v>
      </c>
      <c r="I6" t="n">
        <v>572.5999755859375</v>
      </c>
      <c r="L6" t="inlineStr">
        <is>
          <t>OK</t>
        </is>
      </c>
      <c r="M6" t="n">
        <v>28.14</v>
      </c>
      <c r="N6" t="n">
        <v>20.24</v>
      </c>
      <c r="O6" t="n">
        <v>882.5</v>
      </c>
      <c r="P6" t="n">
        <v>1057.85</v>
      </c>
      <c r="Q6" t="n">
        <v>670</v>
      </c>
      <c r="R6" s="2" t="inlineStr">
        <is>
          <t>VERIFIED_OK</t>
        </is>
      </c>
      <c r="S6" t="n">
        <v>882.5</v>
      </c>
      <c r="T6" t="inlineStr">
        <is>
          <t>30-07-2026 09:42 IST</t>
        </is>
      </c>
    </row>
    <row r="7">
      <c r="A7" t="n">
        <v>4</v>
      </c>
      <c r="B7" t="n">
        <v>500008</v>
      </c>
      <c r="C7" t="inlineStr">
        <is>
          <t>Amara Raja Energy &amp; Mobility Ltd</t>
        </is>
      </c>
      <c r="D7" t="n">
        <v>2020</v>
      </c>
      <c r="E7" t="n">
        <v>874.4500122070312</v>
      </c>
      <c r="F7" t="n">
        <v>38.69</v>
      </c>
      <c r="G7" t="inlineStr">
        <is>
          <t>Consolidated first (v4) – needs verification for flagged rows</t>
        </is>
      </c>
      <c r="H7" t="n">
        <v>963.9500122070312</v>
      </c>
      <c r="I7" t="n">
        <v>350.25</v>
      </c>
      <c r="L7" t="inlineStr">
        <is>
          <t>OK</t>
        </is>
      </c>
      <c r="M7" t="n">
        <v>24.91</v>
      </c>
      <c r="N7" t="n">
        <v>9.050000000000001</v>
      </c>
      <c r="O7" t="n">
        <v>882.5</v>
      </c>
      <c r="P7" t="n">
        <v>1057.85</v>
      </c>
      <c r="Q7" t="n">
        <v>670</v>
      </c>
      <c r="R7" s="2" t="inlineStr">
        <is>
          <t>VERIFIED_OK</t>
        </is>
      </c>
      <c r="S7" t="n">
        <v>882.5</v>
      </c>
      <c r="T7" t="inlineStr">
        <is>
          <t>30-07-2026 09:42 IST</t>
        </is>
      </c>
    </row>
    <row r="8">
      <c r="A8" t="n">
        <v>4</v>
      </c>
      <c r="B8" t="n">
        <v>500008</v>
      </c>
      <c r="C8" t="inlineStr">
        <is>
          <t>Amara Raja Energy &amp; Mobility Ltd</t>
        </is>
      </c>
      <c r="D8" t="n">
        <v>2021</v>
      </c>
      <c r="E8" t="n">
        <v>874.4500122070312</v>
      </c>
      <c r="F8" t="n">
        <v>37.87</v>
      </c>
      <c r="G8" t="inlineStr">
        <is>
          <t>Consolidated first (v4) – needs verification for flagged rows</t>
        </is>
      </c>
      <c r="H8" t="n">
        <v>1025</v>
      </c>
      <c r="I8" t="n">
        <v>584.4500122070312</v>
      </c>
      <c r="L8" t="inlineStr">
        <is>
          <t>OK</t>
        </is>
      </c>
      <c r="M8" t="n">
        <v>27.07</v>
      </c>
      <c r="N8" t="n">
        <v>15.43</v>
      </c>
      <c r="O8" t="n">
        <v>882.5</v>
      </c>
      <c r="P8" t="n">
        <v>1057.85</v>
      </c>
      <c r="Q8" t="n">
        <v>670</v>
      </c>
      <c r="R8" s="2" t="inlineStr">
        <is>
          <t>VERIFIED_OK</t>
        </is>
      </c>
      <c r="S8" t="n">
        <v>882.5</v>
      </c>
      <c r="T8" t="inlineStr">
        <is>
          <t>30-07-2026 09:42 IST</t>
        </is>
      </c>
    </row>
    <row r="9">
      <c r="A9" t="n">
        <v>4</v>
      </c>
      <c r="B9" t="n">
        <v>500008</v>
      </c>
      <c r="C9" t="inlineStr">
        <is>
          <t>Amara Raja Energy &amp; Mobility Ltd</t>
        </is>
      </c>
      <c r="D9" t="n">
        <v>2022</v>
      </c>
      <c r="E9" t="n">
        <v>874.4500122070312</v>
      </c>
      <c r="F9" t="n">
        <v>30.01</v>
      </c>
      <c r="G9" t="inlineStr">
        <is>
          <t>Consolidated first (v4) – needs verification for flagged rows</t>
        </is>
      </c>
      <c r="H9" t="n">
        <v>669.9500122070312</v>
      </c>
      <c r="I9" t="n">
        <v>445.3999938964844</v>
      </c>
      <c r="L9" t="inlineStr">
        <is>
          <t>OK</t>
        </is>
      </c>
      <c r="M9" t="n">
        <v>22.32</v>
      </c>
      <c r="N9" t="n">
        <v>14.84</v>
      </c>
      <c r="O9" t="n">
        <v>882.5</v>
      </c>
      <c r="P9" t="n">
        <v>1057.85</v>
      </c>
      <c r="Q9" t="n">
        <v>670</v>
      </c>
      <c r="R9" s="2" t="inlineStr">
        <is>
          <t>VERIFIED_OK</t>
        </is>
      </c>
      <c r="S9" t="n">
        <v>882.5</v>
      </c>
      <c r="T9" t="inlineStr">
        <is>
          <t>30-07-2026 09:42 IST</t>
        </is>
      </c>
    </row>
    <row r="10">
      <c r="A10" t="n">
        <v>4</v>
      </c>
      <c r="B10" t="n">
        <v>500008</v>
      </c>
      <c r="C10" t="inlineStr">
        <is>
          <t>Amara Raja Energy &amp; Mobility Ltd</t>
        </is>
      </c>
      <c r="D10" t="n">
        <v>2023</v>
      </c>
      <c r="E10" t="n">
        <v>874.4500122070312</v>
      </c>
      <c r="F10" t="n">
        <v>42.79</v>
      </c>
      <c r="G10" t="inlineStr">
        <is>
          <t>Consolidated first (v4) – needs verification for flagged rows</t>
        </is>
      </c>
      <c r="H10" t="n">
        <v>831.25</v>
      </c>
      <c r="I10" t="n">
        <v>546.5499877929688</v>
      </c>
      <c r="L10" t="inlineStr">
        <is>
          <t>OK</t>
        </is>
      </c>
      <c r="M10" t="n">
        <v>19.43</v>
      </c>
      <c r="N10" t="n">
        <v>12.77</v>
      </c>
      <c r="O10" t="n">
        <v>882.5</v>
      </c>
      <c r="P10" t="n">
        <v>1057.85</v>
      </c>
      <c r="Q10" t="n">
        <v>670</v>
      </c>
      <c r="R10" s="2" t="inlineStr">
        <is>
          <t>VERIFIED_OK</t>
        </is>
      </c>
      <c r="S10" t="n">
        <v>882.5</v>
      </c>
      <c r="T10" t="inlineStr">
        <is>
          <t>30-07-2026 09:42 IST</t>
        </is>
      </c>
    </row>
    <row r="11">
      <c r="A11" t="n">
        <v>4</v>
      </c>
      <c r="B11" t="n">
        <v>500008</v>
      </c>
      <c r="C11" t="inlineStr">
        <is>
          <t>Amara Raja Energy &amp; Mobility Ltd</t>
        </is>
      </c>
      <c r="D11" t="n">
        <v>2024</v>
      </c>
      <c r="E11" t="n">
        <v>874.4500122070312</v>
      </c>
      <c r="F11" t="n">
        <v>51.05</v>
      </c>
      <c r="G11" t="inlineStr">
        <is>
          <t>Consolidated first (v4) – needs verification for flagged rows</t>
        </is>
      </c>
      <c r="H11" t="n">
        <v>1774.900024414062</v>
      </c>
      <c r="I11" t="n">
        <v>737.6500244140625</v>
      </c>
      <c r="L11" t="inlineStr">
        <is>
          <t>OK</t>
        </is>
      </c>
      <c r="M11" t="n">
        <v>34.77</v>
      </c>
      <c r="N11" t="n">
        <v>14.45</v>
      </c>
      <c r="O11" t="n">
        <v>882.5</v>
      </c>
      <c r="P11" t="n">
        <v>1057.85</v>
      </c>
      <c r="Q11" t="n">
        <v>670</v>
      </c>
      <c r="R11" s="2" t="inlineStr">
        <is>
          <t>VERIFIED_OK</t>
        </is>
      </c>
      <c r="S11" t="n">
        <v>882.5</v>
      </c>
      <c r="T11" t="inlineStr">
        <is>
          <t>30-07-2026 09:42 IST</t>
        </is>
      </c>
    </row>
    <row r="12">
      <c r="A12" t="n">
        <v>4</v>
      </c>
      <c r="B12" t="n">
        <v>500008</v>
      </c>
      <c r="C12" t="inlineStr">
        <is>
          <t>Amara Raja Energy &amp; Mobility Ltd</t>
        </is>
      </c>
      <c r="D12" t="n">
        <v>2025</v>
      </c>
      <c r="E12" t="n">
        <v>874.4500122070312</v>
      </c>
      <c r="F12" t="n">
        <v>51.61</v>
      </c>
      <c r="G12" t="inlineStr">
        <is>
          <t>Consolidated first (v4) – needs verification for flagged rows</t>
        </is>
      </c>
      <c r="H12" t="n">
        <v>1220</v>
      </c>
      <c r="I12" t="n">
        <v>805.0499877929688</v>
      </c>
      <c r="L12" t="inlineStr">
        <is>
          <t>OK</t>
        </is>
      </c>
      <c r="M12" t="n">
        <v>23.64</v>
      </c>
      <c r="N12" t="n">
        <v>15.6</v>
      </c>
      <c r="O12" t="n">
        <v>882.5</v>
      </c>
      <c r="P12" t="n">
        <v>1057.85</v>
      </c>
      <c r="Q12" t="n">
        <v>670</v>
      </c>
      <c r="R12" s="2" t="inlineStr">
        <is>
          <t>VERIFIED_OK</t>
        </is>
      </c>
      <c r="S12" t="n">
        <v>882.5</v>
      </c>
      <c r="T12" t="inlineStr">
        <is>
          <t>30-07-2026 09:42 IST</t>
        </is>
      </c>
    </row>
    <row r="13">
      <c r="A13" t="n">
        <v>4</v>
      </c>
      <c r="B13" t="n">
        <v>500008</v>
      </c>
      <c r="C13" t="inlineStr">
        <is>
          <t>Amara Raja Energy &amp; Mobility Ltd</t>
        </is>
      </c>
      <c r="D13" t="n">
        <v>2026</v>
      </c>
      <c r="E13" t="n">
        <v>874.4500122070312</v>
      </c>
      <c r="F13" t="n">
        <v>48.94</v>
      </c>
      <c r="G13" t="inlineStr">
        <is>
          <t>Consolidated first (v4) – needs verification for flagged rows</t>
        </is>
      </c>
      <c r="H13" t="n">
        <v>957.4500122070312</v>
      </c>
      <c r="I13" t="n">
        <v>671.4500122070312</v>
      </c>
      <c r="L13" t="inlineStr">
        <is>
          <t>OK</t>
        </is>
      </c>
      <c r="M13" t="n">
        <v>19.56</v>
      </c>
      <c r="N13" t="n">
        <v>13.72</v>
      </c>
      <c r="O13" t="n">
        <v>882.5</v>
      </c>
      <c r="P13" t="n">
        <v>1057.85</v>
      </c>
      <c r="Q13" t="n">
        <v>670</v>
      </c>
      <c r="R13" s="2" t="inlineStr">
        <is>
          <t>VERIFIED_OK</t>
        </is>
      </c>
      <c r="S13" t="n">
        <v>882.5</v>
      </c>
      <c r="T13" t="inlineStr">
        <is>
          <t>30-07-2026 09:42 IST</t>
        </is>
      </c>
    </row>
    <row r="14">
      <c r="A14" t="n">
        <v>6</v>
      </c>
      <c r="B14" t="n">
        <v>500034</v>
      </c>
      <c r="C14" t="inlineStr">
        <is>
          <t>Bajaj Finance Ltd</t>
        </is>
      </c>
      <c r="D14" t="n">
        <v>2015</v>
      </c>
      <c r="E14" t="n">
        <v>1055.699951171875</v>
      </c>
      <c r="F14" t="n">
        <v>1.79</v>
      </c>
      <c r="G14" t="inlineStr">
        <is>
          <t>Consolidated first (v4) – needs verification for flagged rows</t>
        </is>
      </c>
      <c r="H14" t="n">
        <v>60.43999862670898</v>
      </c>
      <c r="I14" t="n">
        <v>33.94599914550781</v>
      </c>
      <c r="L14" t="inlineStr">
        <is>
          <t>OK</t>
        </is>
      </c>
      <c r="M14" t="n">
        <v>33.77</v>
      </c>
      <c r="N14" t="n">
        <v>18.96</v>
      </c>
      <c r="O14" t="n">
        <v>1054.8</v>
      </c>
      <c r="P14" t="n">
        <v>1102.5</v>
      </c>
      <c r="Q14" t="n">
        <v>787.9</v>
      </c>
      <c r="R14" s="2" t="inlineStr">
        <is>
          <t>VERIFIED_OK</t>
        </is>
      </c>
      <c r="S14" t="n">
        <v>1054.8</v>
      </c>
      <c r="T14" t="inlineStr">
        <is>
          <t>30-07-2026 09:42 IST</t>
        </is>
      </c>
    </row>
    <row r="15">
      <c r="A15" t="n">
        <v>6</v>
      </c>
      <c r="B15" t="n">
        <v>500034</v>
      </c>
      <c r="C15" t="inlineStr">
        <is>
          <t>Bajaj Finance Ltd</t>
        </is>
      </c>
      <c r="D15" t="n">
        <v>2016</v>
      </c>
      <c r="E15" t="n">
        <v>1055.699951171875</v>
      </c>
      <c r="F15" t="n">
        <v>2.37</v>
      </c>
      <c r="G15" t="inlineStr">
        <is>
          <t>Consolidated first (v4) – needs verification for flagged rows</t>
        </is>
      </c>
      <c r="H15" t="n">
        <v>118</v>
      </c>
      <c r="I15" t="n">
        <v>53.5</v>
      </c>
      <c r="L15" t="inlineStr">
        <is>
          <t>OK</t>
        </is>
      </c>
      <c r="M15" t="n">
        <v>49.79</v>
      </c>
      <c r="N15" t="n">
        <v>22.57</v>
      </c>
      <c r="O15" t="n">
        <v>1054.8</v>
      </c>
      <c r="P15" t="n">
        <v>1102.5</v>
      </c>
      <c r="Q15" t="n">
        <v>787.9</v>
      </c>
      <c r="R15" s="2" t="inlineStr">
        <is>
          <t>VERIFIED_OK</t>
        </is>
      </c>
      <c r="S15" t="n">
        <v>1054.8</v>
      </c>
      <c r="T15" t="inlineStr">
        <is>
          <t>30-07-2026 09:42 IST</t>
        </is>
      </c>
    </row>
    <row r="16">
      <c r="A16" t="n">
        <v>6</v>
      </c>
      <c r="B16" t="n">
        <v>500034</v>
      </c>
      <c r="C16" t="inlineStr">
        <is>
          <t>Bajaj Finance Ltd</t>
        </is>
      </c>
      <c r="D16" t="n">
        <v>2017</v>
      </c>
      <c r="E16" t="n">
        <v>1055.699951171875</v>
      </c>
      <c r="F16" t="n">
        <v>3.34</v>
      </c>
      <c r="G16" t="inlineStr">
        <is>
          <t>Consolidated first (v4) – needs verification for flagged rows</t>
        </is>
      </c>
      <c r="H16" t="n">
        <v>198.8999938964844</v>
      </c>
      <c r="I16" t="n">
        <v>86</v>
      </c>
      <c r="L16" t="inlineStr">
        <is>
          <t>OK</t>
        </is>
      </c>
      <c r="M16" t="n">
        <v>59.55</v>
      </c>
      <c r="N16" t="n">
        <v>25.75</v>
      </c>
      <c r="O16" t="n">
        <v>1054.8</v>
      </c>
      <c r="P16" t="n">
        <v>1102.5</v>
      </c>
      <c r="Q16" t="n">
        <v>787.9</v>
      </c>
      <c r="R16" s="2" t="inlineStr">
        <is>
          <t>VERIFIED_OK</t>
        </is>
      </c>
      <c r="S16" t="n">
        <v>1054.8</v>
      </c>
      <c r="T16" t="inlineStr">
        <is>
          <t>30-07-2026 09:42 IST</t>
        </is>
      </c>
    </row>
    <row r="17">
      <c r="A17" t="n">
        <v>6</v>
      </c>
      <c r="B17" t="n">
        <v>500034</v>
      </c>
      <c r="C17" t="inlineStr">
        <is>
          <t>Bajaj Finance Ltd</t>
        </is>
      </c>
      <c r="D17" t="n">
        <v>2018</v>
      </c>
      <c r="E17" t="n">
        <v>1055.699951171875</v>
      </c>
      <c r="F17" t="n">
        <v>4.32</v>
      </c>
      <c r="G17" t="inlineStr">
        <is>
          <t>Consolidated first (v4) – needs verification for flagged rows</t>
        </is>
      </c>
      <c r="H17" t="n">
        <v>299.510009765625</v>
      </c>
      <c r="I17" t="n">
        <v>151.4400024414062</v>
      </c>
      <c r="L17" t="inlineStr">
        <is>
          <t>OK</t>
        </is>
      </c>
      <c r="M17" t="n">
        <v>69.33</v>
      </c>
      <c r="N17" t="n">
        <v>35.06</v>
      </c>
      <c r="O17" t="n">
        <v>1054.8</v>
      </c>
      <c r="P17" t="n">
        <v>1102.5</v>
      </c>
      <c r="Q17" t="n">
        <v>787.9</v>
      </c>
      <c r="R17" s="2" t="inlineStr">
        <is>
          <t>VERIFIED_OK</t>
        </is>
      </c>
      <c r="S17" t="n">
        <v>1054.8</v>
      </c>
      <c r="T17" t="inlineStr">
        <is>
          <t>30-07-2026 09:42 IST</t>
        </is>
      </c>
    </row>
    <row r="18">
      <c r="A18" t="n">
        <v>6</v>
      </c>
      <c r="B18" t="n">
        <v>500034</v>
      </c>
      <c r="C18" t="inlineStr">
        <is>
          <t>Bajaj Finance Ltd</t>
        </is>
      </c>
      <c r="D18" t="n">
        <v>2019</v>
      </c>
      <c r="E18" t="n">
        <v>1055.699951171875</v>
      </c>
      <c r="F18" t="n">
        <v>6.91</v>
      </c>
      <c r="G18" t="inlineStr">
        <is>
          <t>Consolidated first (v4) – needs verification for flagged rows</t>
        </is>
      </c>
      <c r="H18" t="n">
        <v>428</v>
      </c>
      <c r="I18" t="n">
        <v>236.0950012207031</v>
      </c>
      <c r="L18" t="inlineStr">
        <is>
          <t>OK</t>
        </is>
      </c>
      <c r="M18" t="n">
        <v>61.94</v>
      </c>
      <c r="N18" t="n">
        <v>34.17</v>
      </c>
      <c r="O18" t="n">
        <v>1054.8</v>
      </c>
      <c r="P18" t="n">
        <v>1102.5</v>
      </c>
      <c r="Q18" t="n">
        <v>787.9</v>
      </c>
      <c r="R18" s="2" t="inlineStr">
        <is>
          <t>VERIFIED_OK</t>
        </is>
      </c>
      <c r="S18" t="n">
        <v>1054.8</v>
      </c>
      <c r="T18" t="inlineStr">
        <is>
          <t>30-07-2026 09:42 IST</t>
        </is>
      </c>
    </row>
    <row r="19">
      <c r="A19" t="n">
        <v>6</v>
      </c>
      <c r="B19" t="n">
        <v>500034</v>
      </c>
      <c r="C19" t="inlineStr">
        <is>
          <t>Bajaj Finance Ltd</t>
        </is>
      </c>
      <c r="D19" t="n">
        <v>2020</v>
      </c>
      <c r="E19" t="n">
        <v>1055.699951171875</v>
      </c>
      <c r="F19" t="n">
        <v>8.75</v>
      </c>
      <c r="G19" t="inlineStr">
        <is>
          <t>Consolidated first (v4) – needs verification for flagged rows</t>
        </is>
      </c>
      <c r="H19" t="n">
        <v>537.2750244140625</v>
      </c>
      <c r="I19" t="n">
        <v>178.3099975585938</v>
      </c>
      <c r="L19" t="inlineStr">
        <is>
          <t>OK</t>
        </is>
      </c>
      <c r="M19" t="n">
        <v>61.4</v>
      </c>
      <c r="N19" t="n">
        <v>20.38</v>
      </c>
      <c r="O19" t="n">
        <v>1054.8</v>
      </c>
      <c r="P19" t="n">
        <v>1102.5</v>
      </c>
      <c r="Q19" t="n">
        <v>787.9</v>
      </c>
      <c r="R19" s="2" t="inlineStr">
        <is>
          <t>VERIFIED_OK</t>
        </is>
      </c>
      <c r="S19" t="n">
        <v>1054.8</v>
      </c>
      <c r="T19" t="inlineStr">
        <is>
          <t>30-07-2026 09:42 IST</t>
        </is>
      </c>
    </row>
    <row r="20">
      <c r="A20" t="n">
        <v>6</v>
      </c>
      <c r="B20" t="n">
        <v>500034</v>
      </c>
      <c r="C20" t="inlineStr">
        <is>
          <t>Bajaj Finance Ltd</t>
        </is>
      </c>
      <c r="D20" t="n">
        <v>2021</v>
      </c>
      <c r="E20" t="n">
        <v>1055.699951171875</v>
      </c>
      <c r="F20" t="n">
        <v>7.33</v>
      </c>
      <c r="G20" t="inlineStr">
        <is>
          <t>Consolidated first (v4) – needs verification for flagged rows</t>
        </is>
      </c>
      <c r="H20" t="n">
        <v>802.02001953125</v>
      </c>
      <c r="I20" t="n">
        <v>436.1600036621094</v>
      </c>
      <c r="L20" t="inlineStr">
        <is>
          <t>OK</t>
        </is>
      </c>
      <c r="M20" t="n">
        <v>109.42</v>
      </c>
      <c r="N20" t="n">
        <v>59.5</v>
      </c>
      <c r="O20" t="n">
        <v>1054.8</v>
      </c>
      <c r="P20" t="n">
        <v>1102.5</v>
      </c>
      <c r="Q20" t="n">
        <v>787.9</v>
      </c>
      <c r="R20" s="2" t="inlineStr">
        <is>
          <t>VERIFIED_OK</t>
        </is>
      </c>
      <c r="S20" t="n">
        <v>1054.8</v>
      </c>
      <c r="T20" t="inlineStr">
        <is>
          <t>30-07-2026 09:42 IST</t>
        </is>
      </c>
    </row>
    <row r="21">
      <c r="A21" t="n">
        <v>6</v>
      </c>
      <c r="B21" t="n">
        <v>500034</v>
      </c>
      <c r="C21" t="inlineStr">
        <is>
          <t>Bajaj Finance Ltd</t>
        </is>
      </c>
      <c r="D21" t="n">
        <v>2022</v>
      </c>
      <c r="E21" t="n">
        <v>1055.699951171875</v>
      </c>
      <c r="F21" t="n">
        <v>11.61</v>
      </c>
      <c r="G21" t="inlineStr">
        <is>
          <t>Consolidated first (v4) – needs verification for flagged rows</t>
        </is>
      </c>
      <c r="H21" t="n">
        <v>804.3499755859375</v>
      </c>
      <c r="I21" t="n">
        <v>523.5599975585938</v>
      </c>
      <c r="L21" t="inlineStr">
        <is>
          <t>OK</t>
        </is>
      </c>
      <c r="M21" t="n">
        <v>69.28</v>
      </c>
      <c r="N21" t="n">
        <v>45.1</v>
      </c>
      <c r="O21" t="n">
        <v>1054.8</v>
      </c>
      <c r="P21" t="n">
        <v>1102.5</v>
      </c>
      <c r="Q21" t="n">
        <v>787.9</v>
      </c>
      <c r="R21" s="2" t="inlineStr">
        <is>
          <t>VERIFIED_OK</t>
        </is>
      </c>
      <c r="S21" t="n">
        <v>1054.8</v>
      </c>
      <c r="T21" t="inlineStr">
        <is>
          <t>30-07-2026 09:42 IST</t>
        </is>
      </c>
    </row>
    <row r="22">
      <c r="A22" t="n">
        <v>6</v>
      </c>
      <c r="B22" t="n">
        <v>500034</v>
      </c>
      <c r="C22" t="inlineStr">
        <is>
          <t>Bajaj Finance Ltd</t>
        </is>
      </c>
      <c r="D22" t="n">
        <v>2023</v>
      </c>
      <c r="E22" t="n">
        <v>1055.699951171875</v>
      </c>
      <c r="F22" t="n">
        <v>19.01</v>
      </c>
      <c r="G22" t="inlineStr">
        <is>
          <t>Consolidated first (v4) – needs verification for flagged rows</t>
        </is>
      </c>
      <c r="H22" t="n">
        <v>819</v>
      </c>
      <c r="I22" t="n">
        <v>548.7249755859375</v>
      </c>
      <c r="L22" t="inlineStr">
        <is>
          <t>OK</t>
        </is>
      </c>
      <c r="M22" t="n">
        <v>43.08</v>
      </c>
      <c r="N22" t="n">
        <v>28.87</v>
      </c>
      <c r="O22" t="n">
        <v>1054.8</v>
      </c>
      <c r="P22" t="n">
        <v>1102.5</v>
      </c>
      <c r="Q22" t="n">
        <v>787.9</v>
      </c>
      <c r="R22" s="2" t="inlineStr">
        <is>
          <t>VERIFIED_OK</t>
        </is>
      </c>
      <c r="S22" t="n">
        <v>1054.8</v>
      </c>
      <c r="T22" t="inlineStr">
        <is>
          <t>30-07-2026 09:42 IST</t>
        </is>
      </c>
    </row>
    <row r="23">
      <c r="A23" t="n">
        <v>6</v>
      </c>
      <c r="B23" t="n">
        <v>500034</v>
      </c>
      <c r="C23" t="inlineStr">
        <is>
          <t>Bajaj Finance Ltd</t>
        </is>
      </c>
      <c r="D23" t="n">
        <v>2024</v>
      </c>
      <c r="E23" t="n">
        <v>1055.699951171875</v>
      </c>
      <c r="F23" t="n">
        <v>23.35</v>
      </c>
      <c r="G23" t="inlineStr">
        <is>
          <t>Consolidated first (v4) – needs verification for flagged rows</t>
        </is>
      </c>
      <c r="H23" t="n">
        <v>782.9949951171875</v>
      </c>
      <c r="I23" t="n">
        <v>619</v>
      </c>
      <c r="L23" t="inlineStr">
        <is>
          <t>OK</t>
        </is>
      </c>
      <c r="M23" t="n">
        <v>33.53</v>
      </c>
      <c r="N23" t="n">
        <v>26.51</v>
      </c>
      <c r="O23" t="n">
        <v>1054.8</v>
      </c>
      <c r="P23" t="n">
        <v>1102.5</v>
      </c>
      <c r="Q23" t="n">
        <v>787.9</v>
      </c>
      <c r="R23" s="2" t="inlineStr">
        <is>
          <t>VERIFIED_OK</t>
        </is>
      </c>
      <c r="S23" t="n">
        <v>1054.8</v>
      </c>
      <c r="T23" t="inlineStr">
        <is>
          <t>30-07-2026 09:42 IST</t>
        </is>
      </c>
    </row>
    <row r="24">
      <c r="A24" t="n">
        <v>6</v>
      </c>
      <c r="B24" t="n">
        <v>500034</v>
      </c>
      <c r="C24" t="inlineStr">
        <is>
          <t>Bajaj Finance Ltd</t>
        </is>
      </c>
      <c r="D24" t="n">
        <v>2025</v>
      </c>
      <c r="E24" t="n">
        <v>1055.699951171875</v>
      </c>
      <c r="F24" t="n">
        <v>26.77</v>
      </c>
      <c r="G24" t="inlineStr">
        <is>
          <t>Consolidated first (v4) – needs verification for flagged rows</t>
        </is>
      </c>
      <c r="H24" t="n">
        <v>1102.449951171875</v>
      </c>
      <c r="I24" t="n">
        <v>695.10498046875</v>
      </c>
      <c r="L24" t="inlineStr">
        <is>
          <t>OK</t>
        </is>
      </c>
      <c r="M24" t="n">
        <v>41.18</v>
      </c>
      <c r="N24" t="n">
        <v>25.97</v>
      </c>
      <c r="O24" t="n">
        <v>1054.8</v>
      </c>
      <c r="P24" t="n">
        <v>1102.5</v>
      </c>
      <c r="Q24" t="n">
        <v>787.9</v>
      </c>
      <c r="R24" s="2" t="inlineStr">
        <is>
          <t>VERIFIED_OK</t>
        </is>
      </c>
      <c r="S24" t="n">
        <v>1054.8</v>
      </c>
      <c r="T24" t="inlineStr">
        <is>
          <t>30-07-2026 09:42 IST</t>
        </is>
      </c>
    </row>
    <row r="25">
      <c r="A25" t="n">
        <v>6</v>
      </c>
      <c r="B25" t="n">
        <v>500034</v>
      </c>
      <c r="C25" t="inlineStr">
        <is>
          <t>Bajaj Finance Ltd</t>
        </is>
      </c>
      <c r="D25" t="n">
        <v>2026</v>
      </c>
      <c r="E25" t="n">
        <v>1055.699951171875</v>
      </c>
      <c r="F25" t="n">
        <v>30.56</v>
      </c>
      <c r="G25" t="inlineStr">
        <is>
          <t>Consolidated first (v4) – needs verification for flagged rows</t>
        </is>
      </c>
      <c r="H25" t="n">
        <v>1058.300048828125</v>
      </c>
      <c r="I25" t="n">
        <v>788.4000244140625</v>
      </c>
      <c r="L25" t="inlineStr">
        <is>
          <t>OK</t>
        </is>
      </c>
      <c r="M25" t="n">
        <v>34.63</v>
      </c>
      <c r="N25" t="n">
        <v>25.8</v>
      </c>
      <c r="O25" t="n">
        <v>1054.8</v>
      </c>
      <c r="P25" t="n">
        <v>1102.5</v>
      </c>
      <c r="Q25" t="n">
        <v>787.9</v>
      </c>
      <c r="R25" s="2" t="inlineStr">
        <is>
          <t>VERIFIED_OK</t>
        </is>
      </c>
      <c r="S25" t="n">
        <v>1054.8</v>
      </c>
      <c r="T25" t="inlineStr">
        <is>
          <t>30-07-2026 09:42 IST</t>
        </is>
      </c>
    </row>
    <row r="26">
      <c r="A26" t="n">
        <v>10</v>
      </c>
      <c r="B26" t="n">
        <v>500055</v>
      </c>
      <c r="C26" t="inlineStr">
        <is>
          <t>Bombay Dyeing</t>
        </is>
      </c>
      <c r="D26" t="n">
        <v>2015</v>
      </c>
      <c r="E26" t="n">
        <v>85.55000305175781</v>
      </c>
      <c r="F26" t="n">
        <v>0.75</v>
      </c>
      <c r="G26" t="inlineStr">
        <is>
          <t>Consolidated first (v4) – needs verification for flagged rows</t>
        </is>
      </c>
      <c r="H26" t="n">
        <v>103.3000030517578</v>
      </c>
      <c r="I26" t="n">
        <v>40.5</v>
      </c>
      <c r="L26" t="inlineStr">
        <is>
          <t>INCOMPLETE</t>
        </is>
      </c>
      <c r="M26" t="n">
        <v>137.73</v>
      </c>
      <c r="N26" t="n">
        <v>54</v>
      </c>
      <c r="O26" t="n">
        <v>1776.8</v>
      </c>
      <c r="P26" t="n">
        <v>2110</v>
      </c>
      <c r="Q26" t="n">
        <v>1322.5</v>
      </c>
      <c r="R26" s="3" t="inlineStr">
        <is>
          <t>MISMATCH_NEEDS_CORRECTION</t>
        </is>
      </c>
      <c r="S26" t="n">
        <v>1776.8</v>
      </c>
      <c r="T26" t="inlineStr">
        <is>
          <t>30-07-2026 09:42 IST</t>
        </is>
      </c>
    </row>
    <row r="27">
      <c r="A27" t="n">
        <v>10</v>
      </c>
      <c r="B27" t="n">
        <v>500055</v>
      </c>
      <c r="C27" t="inlineStr">
        <is>
          <t>Bombay Dyeing</t>
        </is>
      </c>
      <c r="D27" t="n">
        <v>2016</v>
      </c>
      <c r="E27" t="n">
        <v>85.55000305175781</v>
      </c>
      <c r="F27" t="n">
        <v>19.03</v>
      </c>
      <c r="G27" t="inlineStr">
        <is>
          <t>Consolidated first (v4) – needs verification for flagged rows</t>
        </is>
      </c>
      <c r="H27" t="n">
        <v>51.45000076293945</v>
      </c>
      <c r="I27" t="n">
        <v>32.5</v>
      </c>
      <c r="L27" t="inlineStr">
        <is>
          <t>INCOMPLETE</t>
        </is>
      </c>
      <c r="M27" t="n">
        <v>2.7</v>
      </c>
      <c r="N27" t="n">
        <v>1.71</v>
      </c>
      <c r="O27" t="n">
        <v>1776.8</v>
      </c>
      <c r="P27" t="n">
        <v>2110</v>
      </c>
      <c r="Q27" t="n">
        <v>1322.5</v>
      </c>
      <c r="R27" s="3" t="inlineStr">
        <is>
          <t>MISMATCH_NEEDS_CORRECTION</t>
        </is>
      </c>
      <c r="S27" t="n">
        <v>1776.8</v>
      </c>
      <c r="T27" t="inlineStr">
        <is>
          <t>30-07-2026 09:42 IST</t>
        </is>
      </c>
    </row>
    <row r="28">
      <c r="A28" t="n">
        <v>10</v>
      </c>
      <c r="B28" t="n">
        <v>500055</v>
      </c>
      <c r="C28" t="inlineStr">
        <is>
          <t>Bombay Dyeing</t>
        </is>
      </c>
      <c r="D28" t="n">
        <v>2017</v>
      </c>
      <c r="E28" t="n">
        <v>85.55000305175781</v>
      </c>
      <c r="F28" t="n">
        <v>3.39</v>
      </c>
      <c r="G28" t="inlineStr">
        <is>
          <t>Consolidated first (v4) – needs verification for flagged rows</t>
        </is>
      </c>
      <c r="H28" t="n">
        <v>102.8000030517578</v>
      </c>
      <c r="I28" t="n">
        <v>40.59999847412109</v>
      </c>
      <c r="L28" t="inlineStr">
        <is>
          <t>INCOMPLETE</t>
        </is>
      </c>
      <c r="M28" t="n">
        <v>30.32</v>
      </c>
      <c r="N28" t="n">
        <v>11.98</v>
      </c>
      <c r="O28" t="n">
        <v>1776.8</v>
      </c>
      <c r="P28" t="n">
        <v>2110</v>
      </c>
      <c r="Q28" t="n">
        <v>1322.5</v>
      </c>
      <c r="R28" s="3" t="inlineStr">
        <is>
          <t>MISMATCH_NEEDS_CORRECTION</t>
        </is>
      </c>
      <c r="S28" t="n">
        <v>1776.8</v>
      </c>
      <c r="T28" t="inlineStr">
        <is>
          <t>30-07-2026 09:42 IST</t>
        </is>
      </c>
    </row>
    <row r="29">
      <c r="A29" t="n">
        <v>10</v>
      </c>
      <c r="B29" t="n">
        <v>500055</v>
      </c>
      <c r="C29" t="inlineStr">
        <is>
          <t>Bombay Dyeing</t>
        </is>
      </c>
      <c r="D29" t="n">
        <v>2018</v>
      </c>
      <c r="E29" t="n">
        <v>85.55000305175781</v>
      </c>
      <c r="F29" t="n">
        <v>0.5600000000000001</v>
      </c>
      <c r="G29" t="inlineStr">
        <is>
          <t>Consolidated first (v4) – needs verification for flagged rows</t>
        </is>
      </c>
      <c r="H29" t="n">
        <v>76.15000152587891</v>
      </c>
      <c r="I29" t="n">
        <v>21</v>
      </c>
      <c r="L29" t="inlineStr">
        <is>
          <t>INCOMPLETE</t>
        </is>
      </c>
      <c r="M29" t="n">
        <v>135.98</v>
      </c>
      <c r="N29" t="n">
        <v>37.5</v>
      </c>
      <c r="O29" t="n">
        <v>1776.8</v>
      </c>
      <c r="P29" t="n">
        <v>2110</v>
      </c>
      <c r="Q29" t="n">
        <v>1322.5</v>
      </c>
      <c r="R29" s="3" t="inlineStr">
        <is>
          <t>MISMATCH_NEEDS_CORRECTION</t>
        </is>
      </c>
      <c r="S29" t="n">
        <v>1776.8</v>
      </c>
      <c r="T29" t="inlineStr">
        <is>
          <t>30-07-2026 09:42 IST</t>
        </is>
      </c>
    </row>
    <row r="30">
      <c r="A30" t="n">
        <v>10</v>
      </c>
      <c r="B30" t="n">
        <v>500055</v>
      </c>
      <c r="C30" t="inlineStr">
        <is>
          <t>Bombay Dyeing</t>
        </is>
      </c>
      <c r="D30" t="n">
        <v>2019</v>
      </c>
      <c r="E30" t="n">
        <v>85.55000305175781</v>
      </c>
      <c r="F30" t="n">
        <v>0.67</v>
      </c>
      <c r="G30" t="inlineStr">
        <is>
          <t>Consolidated first (v4) – needs verification for flagged rows</t>
        </is>
      </c>
      <c r="H30" t="n">
        <v>40.15000152587891</v>
      </c>
      <c r="I30" t="n">
        <v>20</v>
      </c>
      <c r="L30" t="inlineStr">
        <is>
          <t>INCOMPLETE</t>
        </is>
      </c>
      <c r="M30" t="n">
        <v>59.93</v>
      </c>
      <c r="N30" t="n">
        <v>29.85</v>
      </c>
      <c r="O30" t="n">
        <v>1776.8</v>
      </c>
      <c r="P30" t="n">
        <v>2110</v>
      </c>
      <c r="Q30" t="n">
        <v>1322.5</v>
      </c>
      <c r="R30" s="3" t="inlineStr">
        <is>
          <t>MISMATCH_NEEDS_CORRECTION</t>
        </is>
      </c>
      <c r="S30" t="n">
        <v>1776.8</v>
      </c>
      <c r="T30" t="inlineStr">
        <is>
          <t>30-07-2026 09:42 IST</t>
        </is>
      </c>
    </row>
    <row r="31">
      <c r="A31" t="n">
        <v>10</v>
      </c>
      <c r="B31" t="n">
        <v>500055</v>
      </c>
      <c r="C31" t="inlineStr">
        <is>
          <t>Bombay Dyeing</t>
        </is>
      </c>
      <c r="D31" t="n">
        <v>2020</v>
      </c>
      <c r="E31" t="n">
        <v>85.55000305175781</v>
      </c>
      <c r="F31" t="n">
        <v>0.09</v>
      </c>
      <c r="G31" t="inlineStr">
        <is>
          <t>Consolidated first (v4) – needs verification for flagged rows</t>
        </is>
      </c>
      <c r="H31" t="n">
        <v>40.65000152587891</v>
      </c>
      <c r="I31" t="n">
        <v>15.25</v>
      </c>
      <c r="L31" t="inlineStr">
        <is>
          <t>INCOMPLETE</t>
        </is>
      </c>
      <c r="M31" t="n">
        <v>451.67</v>
      </c>
      <c r="N31" t="n">
        <v>169.44</v>
      </c>
      <c r="O31" t="n">
        <v>1776.8</v>
      </c>
      <c r="P31" t="n">
        <v>2110</v>
      </c>
      <c r="Q31" t="n">
        <v>1322.5</v>
      </c>
      <c r="R31" s="3" t="inlineStr">
        <is>
          <t>MISMATCH_NEEDS_CORRECTION</t>
        </is>
      </c>
      <c r="S31" t="n">
        <v>1776.8</v>
      </c>
      <c r="T31" t="inlineStr">
        <is>
          <t>30-07-2026 09:42 IST</t>
        </is>
      </c>
    </row>
    <row r="32">
      <c r="A32" t="n">
        <v>10</v>
      </c>
      <c r="B32" t="n">
        <v>500055</v>
      </c>
      <c r="C32" t="inlineStr">
        <is>
          <t>Bombay Dyeing</t>
        </is>
      </c>
      <c r="D32" t="n">
        <v>2021</v>
      </c>
      <c r="E32" t="n">
        <v>85.55000305175781</v>
      </c>
      <c r="F32" t="n">
        <v>-0.48</v>
      </c>
      <c r="G32" t="inlineStr">
        <is>
          <t>Consolidated first (v4) – needs verification for flagged rows</t>
        </is>
      </c>
      <c r="H32" t="n">
        <v>109.5999984741211</v>
      </c>
      <c r="I32" t="n">
        <v>37.40000152587891</v>
      </c>
      <c r="L32" t="inlineStr">
        <is>
          <t>INCOMPLETE</t>
        </is>
      </c>
      <c r="M32" t="n">
        <v>-228.33</v>
      </c>
      <c r="N32" t="n">
        <v>-77.92</v>
      </c>
      <c r="O32" t="n">
        <v>1776.8</v>
      </c>
      <c r="P32" t="n">
        <v>2110</v>
      </c>
      <c r="Q32" t="n">
        <v>1322.5</v>
      </c>
      <c r="R32" s="3" t="inlineStr">
        <is>
          <t>MISMATCH_NEEDS_CORRECTION</t>
        </is>
      </c>
      <c r="S32" t="n">
        <v>1776.8</v>
      </c>
      <c r="T32" t="inlineStr">
        <is>
          <t>30-07-2026 09:42 IST</t>
        </is>
      </c>
    </row>
    <row r="33">
      <c r="A33" t="n">
        <v>11</v>
      </c>
      <c r="B33" t="n">
        <v>500059</v>
      </c>
      <c r="C33" t="inlineStr">
        <is>
          <t>Birla Power Solutions Ltd</t>
        </is>
      </c>
      <c r="D33" t="n">
        <v>2015</v>
      </c>
      <c r="E33" t="n">
        <v>4.050000190734863</v>
      </c>
      <c r="F33" t="n">
        <v>-216.28</v>
      </c>
      <c r="G33" t="inlineStr">
        <is>
          <t>Consolidated first (v4) – needs verification for flagged rows</t>
        </is>
      </c>
      <c r="H33" t="n">
        <v>120.8000030517578</v>
      </c>
      <c r="I33" t="n">
        <v>69</v>
      </c>
      <c r="L33" t="inlineStr">
        <is>
          <t>UNVERIFIED – negative EPS</t>
        </is>
      </c>
      <c r="M33" t="n">
        <v>-0.5600000000000001</v>
      </c>
      <c r="N33" t="n">
        <v>-0.32</v>
      </c>
      <c r="O33">
        <f>IFERROR(VLOOKUP(B33,BSE_500_LIVE!A:E,3,FALSE),"")</f>
        <v/>
      </c>
      <c r="P33">
        <f>IFERROR(VLOOKUP(B33,BSE_500_LIVE!A:E,4,FALSE),"")</f>
        <v/>
      </c>
      <c r="Q33">
        <f>IFERROR(VLOOKUP(B33,BSE_500_LIVE!A:E,5,FALSE),"")</f>
        <v/>
      </c>
      <c r="R33">
        <f>IF(OR(E33="",O33=""),"PENDING_FETCH",IF(ABS(E33-O33)/E33&gt;0.005,"MISMATCH_NEEDS_CORRECTION","VERIFIED_OK"))</f>
        <v/>
      </c>
      <c r="S33">
        <f>IF(O33&lt;&gt;"",O33,E33)</f>
        <v/>
      </c>
      <c r="T33">
        <f>IFERROR(VLOOKUP(B33,BSE_500_LIVE!A:F,6,FALSE),"")</f>
        <v/>
      </c>
    </row>
    <row r="34">
      <c r="A34" t="n">
        <v>11</v>
      </c>
      <c r="B34" t="n">
        <v>500059</v>
      </c>
      <c r="C34" t="inlineStr">
        <is>
          <t>Birla Power Solutions Ltd</t>
        </is>
      </c>
      <c r="D34" t="n">
        <v>2016</v>
      </c>
      <c r="E34" t="n">
        <v>4.050000190734863</v>
      </c>
      <c r="F34" t="n">
        <v>-140.85</v>
      </c>
      <c r="G34" t="inlineStr">
        <is>
          <t>Consolidated first (v4) – needs verification for flagged rows</t>
        </is>
      </c>
      <c r="H34" t="n">
        <v>120.9000015258789</v>
      </c>
      <c r="I34" t="n">
        <v>50</v>
      </c>
      <c r="L34" t="inlineStr">
        <is>
          <t>UNVERIFIED – negative EPS</t>
        </is>
      </c>
      <c r="M34" t="n">
        <v>-0.86</v>
      </c>
      <c r="N34" t="n">
        <v>-0.35</v>
      </c>
      <c r="O34">
        <f>IFERROR(VLOOKUP(B34,BSE_500_LIVE!A:E,3,FALSE),"")</f>
        <v/>
      </c>
      <c r="P34">
        <f>IFERROR(VLOOKUP(B34,BSE_500_LIVE!A:E,4,FALSE),"")</f>
        <v/>
      </c>
      <c r="Q34">
        <f>IFERROR(VLOOKUP(B34,BSE_500_LIVE!A:E,5,FALSE),"")</f>
        <v/>
      </c>
      <c r="R34">
        <f>IF(OR(E34="",O34=""),"PENDING_FETCH",IF(ABS(E34-O34)/E34&gt;0.005,"MISMATCH_NEEDS_CORRECTION","VERIFIED_OK"))</f>
        <v/>
      </c>
      <c r="S34">
        <f>IF(O34&lt;&gt;"",O34,E34)</f>
        <v/>
      </c>
      <c r="T34">
        <f>IFERROR(VLOOKUP(B34,BSE_500_LIVE!A:F,6,FALSE),"")</f>
        <v/>
      </c>
    </row>
    <row r="35">
      <c r="A35" t="n">
        <v>11</v>
      </c>
      <c r="B35" t="n">
        <v>500059</v>
      </c>
      <c r="C35" t="inlineStr">
        <is>
          <t>Birla Power Solutions Ltd</t>
        </is>
      </c>
      <c r="D35" t="n">
        <v>2017</v>
      </c>
      <c r="E35" t="n">
        <v>4.050000190734863</v>
      </c>
      <c r="F35" t="n">
        <v>-146.95</v>
      </c>
      <c r="G35" t="inlineStr">
        <is>
          <t>Consolidated first (v4) – needs verification for flagged rows</t>
        </is>
      </c>
      <c r="H35" t="n">
        <v>149.3999938964844</v>
      </c>
      <c r="I35" t="n">
        <v>67.05000305175781</v>
      </c>
      <c r="L35" t="inlineStr">
        <is>
          <t>UNVERIFIED – negative EPS</t>
        </is>
      </c>
      <c r="M35" t="n">
        <v>-1.02</v>
      </c>
      <c r="N35" t="n">
        <v>-0.46</v>
      </c>
      <c r="O35">
        <f>IFERROR(VLOOKUP(B35,BSE_500_LIVE!A:E,3,FALSE),"")</f>
        <v/>
      </c>
      <c r="P35">
        <f>IFERROR(VLOOKUP(B35,BSE_500_LIVE!A:E,4,FALSE),"")</f>
        <v/>
      </c>
      <c r="Q35">
        <f>IFERROR(VLOOKUP(B35,BSE_500_LIVE!A:E,5,FALSE),"")</f>
        <v/>
      </c>
      <c r="R35">
        <f>IF(OR(E35="",O35=""),"PENDING_FETCH",IF(ABS(E35-O35)/E35&gt;0.005,"MISMATCH_NEEDS_CORRECTION","VERIFIED_OK"))</f>
        <v/>
      </c>
      <c r="S35">
        <f>IF(O35&lt;&gt;"",O35,E35)</f>
        <v/>
      </c>
      <c r="T35">
        <f>IFERROR(VLOOKUP(B35,BSE_500_LIVE!A:F,6,FALSE),"")</f>
        <v/>
      </c>
    </row>
    <row r="36">
      <c r="A36" t="n">
        <v>11</v>
      </c>
      <c r="B36" t="n">
        <v>500059</v>
      </c>
      <c r="C36" t="inlineStr">
        <is>
          <t>Birla Power Solutions Ltd</t>
        </is>
      </c>
      <c r="D36" t="n">
        <v>2018</v>
      </c>
      <c r="E36" t="n">
        <v>4.050000190734863</v>
      </c>
      <c r="F36" t="n">
        <v>8.33</v>
      </c>
      <c r="G36" t="inlineStr">
        <is>
          <t>Consolidated first (v4) – needs verification for flagged rows</t>
        </is>
      </c>
      <c r="H36" t="n">
        <v>152.8000030517578</v>
      </c>
      <c r="I36" t="n">
        <v>64.19999694824219</v>
      </c>
      <c r="L36" t="inlineStr">
        <is>
          <t>OK</t>
        </is>
      </c>
      <c r="M36" t="n">
        <v>18.34</v>
      </c>
      <c r="N36" t="n">
        <v>7.71</v>
      </c>
      <c r="O36">
        <f>IFERROR(VLOOKUP(B36,BSE_500_LIVE!A:E,3,FALSE),"")</f>
        <v/>
      </c>
      <c r="P36">
        <f>IFERROR(VLOOKUP(B36,BSE_500_LIVE!A:E,4,FALSE),"")</f>
        <v/>
      </c>
      <c r="Q36">
        <f>IFERROR(VLOOKUP(B36,BSE_500_LIVE!A:E,5,FALSE),"")</f>
        <v/>
      </c>
      <c r="R36">
        <f>IF(OR(E36="",O36=""),"PENDING_FETCH",IF(ABS(E36-O36)/E36&gt;0.005,"MISMATCH_NEEDS_CORRECTION","VERIFIED_OK"))</f>
        <v/>
      </c>
      <c r="S36">
        <f>IF(O36&lt;&gt;"",O36,E36)</f>
        <v/>
      </c>
      <c r="T36">
        <f>IFERROR(VLOOKUP(B36,BSE_500_LIVE!A:F,6,FALSE),"")</f>
        <v/>
      </c>
    </row>
    <row r="37">
      <c r="A37" t="n">
        <v>11</v>
      </c>
      <c r="B37" t="n">
        <v>500059</v>
      </c>
      <c r="C37" t="inlineStr">
        <is>
          <t>Birla Power Solutions Ltd</t>
        </is>
      </c>
      <c r="D37" t="n">
        <v>2019</v>
      </c>
      <c r="E37" t="n">
        <v>4.050000190734863</v>
      </c>
      <c r="F37" t="n">
        <v>347.49</v>
      </c>
      <c r="G37" t="inlineStr">
        <is>
          <t>Consolidated first (v4) – needs verification for flagged rows</t>
        </is>
      </c>
      <c r="H37" t="n">
        <v>75</v>
      </c>
      <c r="I37" t="n">
        <v>5.429999828338623</v>
      </c>
      <c r="L37" t="inlineStr">
        <is>
          <t>OK</t>
        </is>
      </c>
      <c r="M37" t="n">
        <v>0.22</v>
      </c>
      <c r="N37" t="n">
        <v>0.02</v>
      </c>
      <c r="O37">
        <f>IFERROR(VLOOKUP(B37,BSE_500_LIVE!A:E,3,FALSE),"")</f>
        <v/>
      </c>
      <c r="P37">
        <f>IFERROR(VLOOKUP(B37,BSE_500_LIVE!A:E,4,FALSE),"")</f>
        <v/>
      </c>
      <c r="Q37">
        <f>IFERROR(VLOOKUP(B37,BSE_500_LIVE!A:E,5,FALSE),"")</f>
        <v/>
      </c>
      <c r="R37">
        <f>IF(OR(E37="",O37=""),"PENDING_FETCH",IF(ABS(E37-O37)/E37&gt;0.005,"MISMATCH_NEEDS_CORRECTION","VERIFIED_OK"))</f>
        <v/>
      </c>
      <c r="S37">
        <f>IF(O37&lt;&gt;"",O37,E37)</f>
        <v/>
      </c>
      <c r="T37">
        <f>IFERROR(VLOOKUP(B37,BSE_500_LIVE!A:F,6,FALSE),"")</f>
        <v/>
      </c>
    </row>
    <row r="38">
      <c r="A38" t="n">
        <v>11</v>
      </c>
      <c r="B38" t="n">
        <v>500059</v>
      </c>
      <c r="C38" t="inlineStr">
        <is>
          <t>Birla Power Solutions Ltd</t>
        </is>
      </c>
      <c r="D38" t="n">
        <v>2020</v>
      </c>
      <c r="E38" t="n">
        <v>4.050000190734863</v>
      </c>
      <c r="F38" t="n">
        <v>-395.75</v>
      </c>
      <c r="G38" t="inlineStr">
        <is>
          <t>Consolidated first (v4) – needs verification for flagged rows</t>
        </is>
      </c>
      <c r="H38" t="n">
        <v>8.649999618530273</v>
      </c>
      <c r="I38" t="n">
        <v>5.46999979019165</v>
      </c>
      <c r="L38" t="inlineStr">
        <is>
          <t>UNVERIFIED – negative EPS</t>
        </is>
      </c>
      <c r="M38" t="n">
        <v>-0.02</v>
      </c>
      <c r="N38" t="n">
        <v>-0.01</v>
      </c>
      <c r="O38">
        <f>IFERROR(VLOOKUP(B38,BSE_500_LIVE!A:E,3,FALSE),"")</f>
        <v/>
      </c>
      <c r="P38">
        <f>IFERROR(VLOOKUP(B38,BSE_500_LIVE!A:E,4,FALSE),"")</f>
        <v/>
      </c>
      <c r="Q38">
        <f>IFERROR(VLOOKUP(B38,BSE_500_LIVE!A:E,5,FALSE),"")</f>
        <v/>
      </c>
      <c r="R38">
        <f>IF(OR(E38="",O38=""),"PENDING_FETCH",IF(ABS(E38-O38)/E38&gt;0.005,"MISMATCH_NEEDS_CORRECTION","VERIFIED_OK"))</f>
        <v/>
      </c>
      <c r="S38">
        <f>IF(O38&lt;&gt;"",O38,E38)</f>
        <v/>
      </c>
      <c r="T38">
        <f>IFERROR(VLOOKUP(B38,BSE_500_LIVE!A:F,6,FALSE),"")</f>
        <v/>
      </c>
    </row>
    <row r="39">
      <c r="A39" t="n">
        <v>11</v>
      </c>
      <c r="B39" t="n">
        <v>500059</v>
      </c>
      <c r="C39" t="inlineStr">
        <is>
          <t>Birla Power Solutions Ltd</t>
        </is>
      </c>
      <c r="D39" t="n">
        <v>2021</v>
      </c>
      <c r="E39" t="n">
        <v>4.050000190734863</v>
      </c>
      <c r="F39" t="n">
        <v>93.36</v>
      </c>
      <c r="G39" t="inlineStr">
        <is>
          <t>Consolidated first (v4) – needs verification for flagged rows</t>
        </is>
      </c>
      <c r="H39" t="n">
        <v>5.5</v>
      </c>
      <c r="I39" t="n">
        <v>5.5</v>
      </c>
      <c r="L39" t="inlineStr">
        <is>
          <t>OK</t>
        </is>
      </c>
      <c r="M39" t="n">
        <v>0.06</v>
      </c>
      <c r="N39" t="n">
        <v>0.06</v>
      </c>
      <c r="O39">
        <f>IFERROR(VLOOKUP(B39,BSE_500_LIVE!A:E,3,FALSE),"")</f>
        <v/>
      </c>
      <c r="P39">
        <f>IFERROR(VLOOKUP(B39,BSE_500_LIVE!A:E,4,FALSE),"")</f>
        <v/>
      </c>
      <c r="Q39">
        <f>IFERROR(VLOOKUP(B39,BSE_500_LIVE!A:E,5,FALSE),"")</f>
        <v/>
      </c>
      <c r="R39">
        <f>IF(OR(E39="",O39=""),"PENDING_FETCH",IF(ABS(E39-O39)/E39&gt;0.005,"MISMATCH_NEEDS_CORRECTION","VERIFIED_OK"))</f>
        <v/>
      </c>
      <c r="S39">
        <f>IF(O39&lt;&gt;"",O39,E39)</f>
        <v/>
      </c>
      <c r="T39">
        <f>IFERROR(VLOOKUP(B39,BSE_500_LIVE!A:F,6,FALSE),"")</f>
        <v/>
      </c>
    </row>
    <row r="40">
      <c r="A40" t="n">
        <v>11</v>
      </c>
      <c r="B40" t="n">
        <v>500059</v>
      </c>
      <c r="C40" t="inlineStr">
        <is>
          <t>Birla Power Solutions Ltd</t>
        </is>
      </c>
      <c r="D40" t="n">
        <v>2022</v>
      </c>
      <c r="E40" t="n">
        <v>4.050000190734863</v>
      </c>
      <c r="F40" t="n">
        <v>56.89</v>
      </c>
      <c r="G40" t="inlineStr">
        <is>
          <t>Consolidated first (v4) – needs verification for flagged rows</t>
        </is>
      </c>
      <c r="H40" t="n">
        <v>5.5</v>
      </c>
      <c r="I40" t="n">
        <v>5.5</v>
      </c>
      <c r="L40" t="inlineStr">
        <is>
          <t>OK</t>
        </is>
      </c>
      <c r="M40" t="n">
        <v>0.1</v>
      </c>
      <c r="N40" t="n">
        <v>0.1</v>
      </c>
      <c r="O40">
        <f>IFERROR(VLOOKUP(B40,BSE_500_LIVE!A:E,3,FALSE),"")</f>
        <v/>
      </c>
      <c r="P40">
        <f>IFERROR(VLOOKUP(B40,BSE_500_LIVE!A:E,4,FALSE),"")</f>
        <v/>
      </c>
      <c r="Q40">
        <f>IFERROR(VLOOKUP(B40,BSE_500_LIVE!A:E,5,FALSE),"")</f>
        <v/>
      </c>
      <c r="R40">
        <f>IF(OR(E40="",O40=""),"PENDING_FETCH",IF(ABS(E40-O40)/E40&gt;0.005,"MISMATCH_NEEDS_CORRECTION","VERIFIED_OK"))</f>
        <v/>
      </c>
      <c r="S40">
        <f>IF(O40&lt;&gt;"",O40,E40)</f>
        <v/>
      </c>
      <c r="T40">
        <f>IFERROR(VLOOKUP(B40,BSE_500_LIVE!A:F,6,FALSE),"")</f>
        <v/>
      </c>
    </row>
    <row r="41">
      <c r="A41" t="n">
        <v>11</v>
      </c>
      <c r="B41" t="n">
        <v>500059</v>
      </c>
      <c r="C41" t="inlineStr">
        <is>
          <t>Birla Power Solutions Ltd</t>
        </is>
      </c>
      <c r="D41" t="n">
        <v>2023</v>
      </c>
      <c r="E41" t="n">
        <v>4.050000190734863</v>
      </c>
      <c r="F41" t="n">
        <v>-48.05</v>
      </c>
      <c r="G41" t="inlineStr">
        <is>
          <t>Consolidated first (v4) – needs verification for flagged rows</t>
        </is>
      </c>
      <c r="H41" t="n">
        <v>36.4900016784668</v>
      </c>
      <c r="I41" t="n">
        <v>5.5</v>
      </c>
      <c r="L41" t="inlineStr">
        <is>
          <t>UNVERIFIED – negative EPS</t>
        </is>
      </c>
      <c r="M41" t="n">
        <v>-0.76</v>
      </c>
      <c r="N41" t="n">
        <v>-0.11</v>
      </c>
      <c r="O41">
        <f>IFERROR(VLOOKUP(B41,BSE_500_LIVE!A:E,3,FALSE),"")</f>
        <v/>
      </c>
      <c r="P41">
        <f>IFERROR(VLOOKUP(B41,BSE_500_LIVE!A:E,4,FALSE),"")</f>
        <v/>
      </c>
      <c r="Q41">
        <f>IFERROR(VLOOKUP(B41,BSE_500_LIVE!A:E,5,FALSE),"")</f>
        <v/>
      </c>
      <c r="R41">
        <f>IF(OR(E41="",O41=""),"PENDING_FETCH",IF(ABS(E41-O41)/E41&gt;0.005,"MISMATCH_NEEDS_CORRECTION","VERIFIED_OK"))</f>
        <v/>
      </c>
      <c r="S41">
        <f>IF(O41&lt;&gt;"",O41,E41)</f>
        <v/>
      </c>
      <c r="T41">
        <f>IFERROR(VLOOKUP(B41,BSE_500_LIVE!A:F,6,FALSE),"")</f>
        <v/>
      </c>
    </row>
    <row r="42">
      <c r="A42" t="n">
        <v>11</v>
      </c>
      <c r="B42" t="n">
        <v>500059</v>
      </c>
      <c r="C42" t="inlineStr">
        <is>
          <t>Birla Power Solutions Ltd</t>
        </is>
      </c>
      <c r="D42" t="n">
        <v>2024</v>
      </c>
      <c r="E42" t="n">
        <v>4.050000190734863</v>
      </c>
      <c r="F42" t="n">
        <v>-2.28</v>
      </c>
      <c r="G42" t="inlineStr">
        <is>
          <t>Consolidated first (v4) – needs verification for flagged rows</t>
        </is>
      </c>
      <c r="H42" t="n">
        <v>22.10000038146973</v>
      </c>
      <c r="I42" t="n">
        <v>13.22000026702881</v>
      </c>
      <c r="L42" t="inlineStr">
        <is>
          <t>UNVERIFIED – negative EPS</t>
        </is>
      </c>
      <c r="M42" t="n">
        <v>-9.69</v>
      </c>
      <c r="N42" t="n">
        <v>-5.8</v>
      </c>
      <c r="O42">
        <f>IFERROR(VLOOKUP(B42,BSE_500_LIVE!A:E,3,FALSE),"")</f>
        <v/>
      </c>
      <c r="P42">
        <f>IFERROR(VLOOKUP(B42,BSE_500_LIVE!A:E,4,FALSE),"")</f>
        <v/>
      </c>
      <c r="Q42">
        <f>IFERROR(VLOOKUP(B42,BSE_500_LIVE!A:E,5,FALSE),"")</f>
        <v/>
      </c>
      <c r="R42">
        <f>IF(OR(E42="",O42=""),"PENDING_FETCH",IF(ABS(E42-O42)/E42&gt;0.005,"MISMATCH_NEEDS_CORRECTION","VERIFIED_OK"))</f>
        <v/>
      </c>
      <c r="S42">
        <f>IF(O42&lt;&gt;"",O42,E42)</f>
        <v/>
      </c>
      <c r="T42">
        <f>IFERROR(VLOOKUP(B42,BSE_500_LIVE!A:F,6,FALSE),"")</f>
        <v/>
      </c>
    </row>
    <row r="43">
      <c r="A43" t="n">
        <v>11</v>
      </c>
      <c r="B43" t="n">
        <v>500059</v>
      </c>
      <c r="C43" t="inlineStr">
        <is>
          <t>Birla Power Solutions Ltd</t>
        </is>
      </c>
      <c r="D43" t="n">
        <v>2025</v>
      </c>
      <c r="E43" t="n">
        <v>4.050000190734863</v>
      </c>
      <c r="F43" t="n">
        <v>2.18</v>
      </c>
      <c r="G43" t="inlineStr">
        <is>
          <t>Consolidated first (v4) – needs verification for flagged rows</t>
        </is>
      </c>
      <c r="H43" t="n">
        <v>23.55999946594238</v>
      </c>
      <c r="I43" t="n">
        <v>6.659999847412109</v>
      </c>
      <c r="L43" t="inlineStr">
        <is>
          <t>OK</t>
        </is>
      </c>
      <c r="M43" t="n">
        <v>10.81</v>
      </c>
      <c r="N43" t="n">
        <v>3.06</v>
      </c>
      <c r="O43">
        <f>IFERROR(VLOOKUP(B43,BSE_500_LIVE!A:E,3,FALSE),"")</f>
        <v/>
      </c>
      <c r="P43">
        <f>IFERROR(VLOOKUP(B43,BSE_500_LIVE!A:E,4,FALSE),"")</f>
        <v/>
      </c>
      <c r="Q43">
        <f>IFERROR(VLOOKUP(B43,BSE_500_LIVE!A:E,5,FALSE),"")</f>
        <v/>
      </c>
      <c r="R43">
        <f>IF(OR(E43="",O43=""),"PENDING_FETCH",IF(ABS(E43-O43)/E43&gt;0.005,"MISMATCH_NEEDS_CORRECTION","VERIFIED_OK"))</f>
        <v/>
      </c>
      <c r="S43">
        <f>IF(O43&lt;&gt;"",O43,E43)</f>
        <v/>
      </c>
      <c r="T43">
        <f>IFERROR(VLOOKUP(B43,BSE_500_LIVE!A:F,6,FALSE),"")</f>
        <v/>
      </c>
    </row>
    <row r="44">
      <c r="A44" t="n">
        <v>11</v>
      </c>
      <c r="B44" t="n">
        <v>500059</v>
      </c>
      <c r="C44" t="inlineStr">
        <is>
          <t>Birla Power Solutions Ltd</t>
        </is>
      </c>
      <c r="D44" t="n">
        <v>2026</v>
      </c>
      <c r="E44" t="n">
        <v>4.050000190734863</v>
      </c>
      <c r="F44" t="n">
        <v>-0.01</v>
      </c>
      <c r="G44" t="inlineStr">
        <is>
          <t>Consolidated first (v4) – needs verification for flagged rows</t>
        </is>
      </c>
      <c r="H44" t="n">
        <v>7.650000095367432</v>
      </c>
      <c r="I44" t="n">
        <v>3.819999933242798</v>
      </c>
      <c r="L44" t="inlineStr">
        <is>
          <t>UNVERIFIED – negative EPS</t>
        </is>
      </c>
      <c r="M44" t="n">
        <v>-765</v>
      </c>
      <c r="N44" t="n">
        <v>-382</v>
      </c>
      <c r="O44">
        <f>IFERROR(VLOOKUP(B44,BSE_500_LIVE!A:E,3,FALSE),"")</f>
        <v/>
      </c>
      <c r="P44">
        <f>IFERROR(VLOOKUP(B44,BSE_500_LIVE!A:E,4,FALSE),"")</f>
        <v/>
      </c>
      <c r="Q44">
        <f>IFERROR(VLOOKUP(B44,BSE_500_LIVE!A:E,5,FALSE),"")</f>
        <v/>
      </c>
      <c r="R44">
        <f>IF(OR(E44="",O44=""),"PENDING_FETCH",IF(ABS(E44-O44)/E44&gt;0.005,"MISMATCH_NEEDS_CORRECTION","VERIFIED_OK"))</f>
        <v/>
      </c>
      <c r="S44">
        <f>IF(O44&lt;&gt;"",O44,E44)</f>
        <v/>
      </c>
      <c r="T44">
        <f>IFERROR(VLOOKUP(B44,BSE_500_LIVE!A:F,6,FALSE),"")</f>
        <v/>
      </c>
    </row>
    <row r="45">
      <c r="A45" t="n">
        <v>13</v>
      </c>
      <c r="B45" t="n">
        <v>500089</v>
      </c>
      <c r="C45" t="inlineStr">
        <is>
          <t>Dichloromethane</t>
        </is>
      </c>
      <c r="D45" t="n">
        <v>2015</v>
      </c>
      <c r="E45" t="n">
        <v>512.9000244140625</v>
      </c>
      <c r="G45" t="inlineStr">
        <is>
          <t>Consolidated first (v4) – needs verification for flagged rows</t>
        </is>
      </c>
      <c r="H45" t="n">
        <v>746.75</v>
      </c>
      <c r="L45" t="inlineStr">
        <is>
          <t>INCOMPLETE</t>
        </is>
      </c>
      <c r="O45">
        <f>IFERROR(VLOOKUP(B45,BSE_500_LIVE!A:E,3,FALSE),"")</f>
        <v/>
      </c>
      <c r="P45">
        <f>IFERROR(VLOOKUP(B45,BSE_500_LIVE!A:E,4,FALSE),"")</f>
        <v/>
      </c>
      <c r="Q45">
        <f>IFERROR(VLOOKUP(B45,BSE_500_LIVE!A:E,5,FALSE),"")</f>
        <v/>
      </c>
      <c r="R45">
        <f>IF(OR(E45="",O45=""),"PENDING_FETCH",IF(ABS(E45-O45)/E45&gt;0.005,"MISMATCH_NEEDS_CORRECTION","VERIFIED_OK"))</f>
        <v/>
      </c>
      <c r="S45">
        <f>IF(O45&lt;&gt;"",O45,E45)</f>
        <v/>
      </c>
      <c r="T45">
        <f>IFERROR(VLOOKUP(B45,BSE_500_LIVE!A:F,6,FALSE),"")</f>
        <v/>
      </c>
    </row>
    <row r="46">
      <c r="A46" t="n">
        <v>13</v>
      </c>
      <c r="B46" t="n">
        <v>500089</v>
      </c>
      <c r="C46" t="inlineStr">
        <is>
          <t>Dichloromethane</t>
        </is>
      </c>
      <c r="D46" t="n">
        <v>2016</v>
      </c>
      <c r="E46" t="n">
        <v>512.9000244140625</v>
      </c>
      <c r="G46" t="inlineStr">
        <is>
          <t>Consolidated first (v4) – needs verification for flagged rows</t>
        </is>
      </c>
      <c r="H46" t="n">
        <v>745.75</v>
      </c>
      <c r="I46" t="n">
        <v>443</v>
      </c>
      <c r="L46" t="inlineStr">
        <is>
          <t>INCOMPLETE</t>
        </is>
      </c>
      <c r="O46">
        <f>IFERROR(VLOOKUP(B46,BSE_500_LIVE!A:E,3,FALSE),"")</f>
        <v/>
      </c>
      <c r="P46">
        <f>IFERROR(VLOOKUP(B46,BSE_500_LIVE!A:E,4,FALSE),"")</f>
        <v/>
      </c>
      <c r="Q46">
        <f>IFERROR(VLOOKUP(B46,BSE_500_LIVE!A:E,5,FALSE),"")</f>
        <v/>
      </c>
      <c r="R46">
        <f>IF(OR(E46="",O46=""),"PENDING_FETCH",IF(ABS(E46-O46)/E46&gt;0.005,"MISMATCH_NEEDS_CORRECTION","VERIFIED_OK"))</f>
        <v/>
      </c>
      <c r="S46">
        <f>IF(O46&lt;&gt;"",O46,E46)</f>
        <v/>
      </c>
      <c r="T46">
        <f>IFERROR(VLOOKUP(B46,BSE_500_LIVE!A:F,6,FALSE),"")</f>
        <v/>
      </c>
    </row>
    <row r="47">
      <c r="A47" t="n">
        <v>13</v>
      </c>
      <c r="B47" t="n">
        <v>500089</v>
      </c>
      <c r="C47" t="inlineStr">
        <is>
          <t>Dichloromethane</t>
        </is>
      </c>
      <c r="D47" t="n">
        <v>2017</v>
      </c>
      <c r="E47" t="n">
        <v>512.9000244140625</v>
      </c>
      <c r="G47" t="inlineStr">
        <is>
          <t>Consolidated first (v4) – needs verification for flagged rows</t>
        </is>
      </c>
      <c r="H47" t="n">
        <v>605</v>
      </c>
      <c r="I47" t="n">
        <v>432.6499938964844</v>
      </c>
      <c r="L47" t="inlineStr">
        <is>
          <t>INCOMPLETE</t>
        </is>
      </c>
      <c r="O47">
        <f>IFERROR(VLOOKUP(B47,BSE_500_LIVE!A:E,3,FALSE),"")</f>
        <v/>
      </c>
      <c r="P47">
        <f>IFERROR(VLOOKUP(B47,BSE_500_LIVE!A:E,4,FALSE),"")</f>
        <v/>
      </c>
      <c r="Q47">
        <f>IFERROR(VLOOKUP(B47,BSE_500_LIVE!A:E,5,FALSE),"")</f>
        <v/>
      </c>
      <c r="R47">
        <f>IF(OR(E47="",O47=""),"PENDING_FETCH",IF(ABS(E47-O47)/E47&gt;0.005,"MISMATCH_NEEDS_CORRECTION","VERIFIED_OK"))</f>
        <v/>
      </c>
      <c r="S47">
        <f>IF(O47&lt;&gt;"",O47,E47)</f>
        <v/>
      </c>
      <c r="T47">
        <f>IFERROR(VLOOKUP(B47,BSE_500_LIVE!A:F,6,FALSE),"")</f>
        <v/>
      </c>
    </row>
    <row r="48">
      <c r="A48" t="n">
        <v>13</v>
      </c>
      <c r="B48" t="n">
        <v>500089</v>
      </c>
      <c r="C48" t="inlineStr">
        <is>
          <t>Dichloromethane</t>
        </is>
      </c>
      <c r="D48" t="n">
        <v>2018</v>
      </c>
      <c r="E48" t="n">
        <v>512.9000244140625</v>
      </c>
      <c r="G48" t="inlineStr">
        <is>
          <t>Consolidated first (v4) – needs verification for flagged rows</t>
        </is>
      </c>
      <c r="H48" t="n">
        <v>635</v>
      </c>
      <c r="I48" t="n">
        <v>332</v>
      </c>
      <c r="L48" t="inlineStr">
        <is>
          <t>INCOMPLETE</t>
        </is>
      </c>
      <c r="O48">
        <f>IFERROR(VLOOKUP(B48,BSE_500_LIVE!A:E,3,FALSE),"")</f>
        <v/>
      </c>
      <c r="P48">
        <f>IFERROR(VLOOKUP(B48,BSE_500_LIVE!A:E,4,FALSE),"")</f>
        <v/>
      </c>
      <c r="Q48">
        <f>IFERROR(VLOOKUP(B48,BSE_500_LIVE!A:E,5,FALSE),"")</f>
        <v/>
      </c>
      <c r="R48">
        <f>IF(OR(E48="",O48=""),"PENDING_FETCH",IF(ABS(E48-O48)/E48&gt;0.005,"MISMATCH_NEEDS_CORRECTION","VERIFIED_OK"))</f>
        <v/>
      </c>
      <c r="S48">
        <f>IF(O48&lt;&gt;"",O48,E48)</f>
        <v/>
      </c>
      <c r="T48">
        <f>IFERROR(VLOOKUP(B48,BSE_500_LIVE!A:F,6,FALSE),"")</f>
        <v/>
      </c>
    </row>
    <row r="49">
      <c r="A49" t="n">
        <v>13</v>
      </c>
      <c r="B49" t="n">
        <v>500089</v>
      </c>
      <c r="C49" t="inlineStr">
        <is>
          <t>Dichloromethane</t>
        </is>
      </c>
      <c r="D49" t="n">
        <v>2019</v>
      </c>
      <c r="E49" t="n">
        <v>512.9000244140625</v>
      </c>
      <c r="G49" t="inlineStr">
        <is>
          <t>Consolidated first (v4) – needs verification for flagged rows</t>
        </is>
      </c>
      <c r="H49" t="n">
        <v>424</v>
      </c>
      <c r="I49" t="n">
        <v>294.1000061035156</v>
      </c>
      <c r="L49" t="inlineStr">
        <is>
          <t>INCOMPLETE</t>
        </is>
      </c>
      <c r="O49">
        <f>IFERROR(VLOOKUP(B49,BSE_500_LIVE!A:E,3,FALSE),"")</f>
        <v/>
      </c>
      <c r="P49">
        <f>IFERROR(VLOOKUP(B49,BSE_500_LIVE!A:E,4,FALSE),"")</f>
        <v/>
      </c>
      <c r="Q49">
        <f>IFERROR(VLOOKUP(B49,BSE_500_LIVE!A:E,5,FALSE),"")</f>
        <v/>
      </c>
      <c r="R49">
        <f>IF(OR(E49="",O49=""),"PENDING_FETCH",IF(ABS(E49-O49)/E49&gt;0.005,"MISMATCH_NEEDS_CORRECTION","VERIFIED_OK"))</f>
        <v/>
      </c>
      <c r="S49">
        <f>IF(O49&lt;&gt;"",O49,E49)</f>
        <v/>
      </c>
      <c r="T49">
        <f>IFERROR(VLOOKUP(B49,BSE_500_LIVE!A:F,6,FALSE),"")</f>
        <v/>
      </c>
    </row>
    <row r="50">
      <c r="A50" t="n">
        <v>13</v>
      </c>
      <c r="B50" t="n">
        <v>500089</v>
      </c>
      <c r="C50" t="inlineStr">
        <is>
          <t>Dichloromethane</t>
        </is>
      </c>
      <c r="D50" t="n">
        <v>2020</v>
      </c>
      <c r="E50" t="n">
        <v>512.9000244140625</v>
      </c>
      <c r="G50" t="inlineStr">
        <is>
          <t>Consolidated first (v4) – needs verification for flagged rows</t>
        </is>
      </c>
      <c r="H50" t="n">
        <v>450</v>
      </c>
      <c r="I50" t="n">
        <v>242</v>
      </c>
      <c r="L50" t="inlineStr">
        <is>
          <t>INCOMPLETE</t>
        </is>
      </c>
      <c r="O50">
        <f>IFERROR(VLOOKUP(B50,BSE_500_LIVE!A:E,3,FALSE),"")</f>
        <v/>
      </c>
      <c r="P50">
        <f>IFERROR(VLOOKUP(B50,BSE_500_LIVE!A:E,4,FALSE),"")</f>
        <v/>
      </c>
      <c r="Q50">
        <f>IFERROR(VLOOKUP(B50,BSE_500_LIVE!A:E,5,FALSE),"")</f>
        <v/>
      </c>
      <c r="R50">
        <f>IF(OR(E50="",O50=""),"PENDING_FETCH",IF(ABS(E50-O50)/E50&gt;0.005,"MISMATCH_NEEDS_CORRECTION","VERIFIED_OK"))</f>
        <v/>
      </c>
      <c r="S50">
        <f>IF(O50&lt;&gt;"",O50,E50)</f>
        <v/>
      </c>
      <c r="T50">
        <f>IFERROR(VLOOKUP(B50,BSE_500_LIVE!A:F,6,FALSE),"")</f>
        <v/>
      </c>
    </row>
    <row r="51">
      <c r="A51" t="n">
        <v>13</v>
      </c>
      <c r="B51" t="n">
        <v>500089</v>
      </c>
      <c r="C51" t="inlineStr">
        <is>
          <t>Dichloromethane</t>
        </is>
      </c>
      <c r="D51" t="n">
        <v>2021</v>
      </c>
      <c r="E51" t="n">
        <v>512.9000244140625</v>
      </c>
      <c r="G51" t="inlineStr">
        <is>
          <t>Consolidated first (v4) – needs verification for flagged rows</t>
        </is>
      </c>
      <c r="H51" t="n">
        <v>549</v>
      </c>
      <c r="I51" t="n">
        <v>367.5</v>
      </c>
      <c r="L51" t="inlineStr">
        <is>
          <t>INCOMPLETE</t>
        </is>
      </c>
      <c r="O51">
        <f>IFERROR(VLOOKUP(B51,BSE_500_LIVE!A:E,3,FALSE),"")</f>
        <v/>
      </c>
      <c r="P51">
        <f>IFERROR(VLOOKUP(B51,BSE_500_LIVE!A:E,4,FALSE),"")</f>
        <v/>
      </c>
      <c r="Q51">
        <f>IFERROR(VLOOKUP(B51,BSE_500_LIVE!A:E,5,FALSE),"")</f>
        <v/>
      </c>
      <c r="R51">
        <f>IF(OR(E51="",O51=""),"PENDING_FETCH",IF(ABS(E51-O51)/E51&gt;0.005,"MISMATCH_NEEDS_CORRECTION","VERIFIED_OK"))</f>
        <v/>
      </c>
      <c r="S51">
        <f>IF(O51&lt;&gt;"",O51,E51)</f>
        <v/>
      </c>
      <c r="T51">
        <f>IFERROR(VLOOKUP(B51,BSE_500_LIVE!A:F,6,FALSE),"")</f>
        <v/>
      </c>
    </row>
    <row r="52">
      <c r="A52" t="n">
        <v>13</v>
      </c>
      <c r="B52" t="n">
        <v>500089</v>
      </c>
      <c r="C52" t="inlineStr">
        <is>
          <t>Dichloromethane</t>
        </is>
      </c>
      <c r="D52" t="n">
        <v>2022</v>
      </c>
      <c r="E52" t="n">
        <v>512.9000244140625</v>
      </c>
      <c r="G52" t="inlineStr">
        <is>
          <t>Consolidated first (v4) – needs verification for flagged rows</t>
        </is>
      </c>
      <c r="H52" t="n">
        <v>493.8500061035156</v>
      </c>
      <c r="I52" t="n">
        <v>321</v>
      </c>
      <c r="L52" t="inlineStr">
        <is>
          <t>INCOMPLETE</t>
        </is>
      </c>
      <c r="O52">
        <f>IFERROR(VLOOKUP(B52,BSE_500_LIVE!A:E,3,FALSE),"")</f>
        <v/>
      </c>
      <c r="P52">
        <f>IFERROR(VLOOKUP(B52,BSE_500_LIVE!A:E,4,FALSE),"")</f>
        <v/>
      </c>
      <c r="Q52">
        <f>IFERROR(VLOOKUP(B52,BSE_500_LIVE!A:E,5,FALSE),"")</f>
        <v/>
      </c>
      <c r="R52">
        <f>IF(OR(E52="",O52=""),"PENDING_FETCH",IF(ABS(E52-O52)/E52&gt;0.005,"MISMATCH_NEEDS_CORRECTION","VERIFIED_OK"))</f>
        <v/>
      </c>
      <c r="S52">
        <f>IF(O52&lt;&gt;"",O52,E52)</f>
        <v/>
      </c>
      <c r="T52">
        <f>IFERROR(VLOOKUP(B52,BSE_500_LIVE!A:F,6,FALSE),"")</f>
        <v/>
      </c>
    </row>
    <row r="53">
      <c r="A53" t="n">
        <v>13</v>
      </c>
      <c r="B53" t="n">
        <v>500089</v>
      </c>
      <c r="C53" t="inlineStr">
        <is>
          <t>Dichloromethane</t>
        </is>
      </c>
      <c r="D53" t="n">
        <v>2023</v>
      </c>
      <c r="E53" t="n">
        <v>512.9000244140625</v>
      </c>
      <c r="G53" t="inlineStr">
        <is>
          <t>Consolidated first (v4) – needs verification for flagged rows</t>
        </is>
      </c>
      <c r="H53" t="n">
        <v>544</v>
      </c>
      <c r="I53" t="n">
        <v>366</v>
      </c>
      <c r="L53" t="inlineStr">
        <is>
          <t>INCOMPLETE</t>
        </is>
      </c>
      <c r="O53">
        <f>IFERROR(VLOOKUP(B53,BSE_500_LIVE!A:E,3,FALSE),"")</f>
        <v/>
      </c>
      <c r="P53">
        <f>IFERROR(VLOOKUP(B53,BSE_500_LIVE!A:E,4,FALSE),"")</f>
        <v/>
      </c>
      <c r="Q53">
        <f>IFERROR(VLOOKUP(B53,BSE_500_LIVE!A:E,5,FALSE),"")</f>
        <v/>
      </c>
      <c r="R53">
        <f>IF(OR(E53="",O53=""),"PENDING_FETCH",IF(ABS(E53-O53)/E53&gt;0.005,"MISMATCH_NEEDS_CORRECTION","VERIFIED_OK"))</f>
        <v/>
      </c>
      <c r="S53">
        <f>IF(O53&lt;&gt;"",O53,E53)</f>
        <v/>
      </c>
      <c r="T53">
        <f>IFERROR(VLOOKUP(B53,BSE_500_LIVE!A:F,6,FALSE),"")</f>
        <v/>
      </c>
    </row>
    <row r="54">
      <c r="A54" t="n">
        <v>13</v>
      </c>
      <c r="B54" t="n">
        <v>500089</v>
      </c>
      <c r="C54" t="inlineStr">
        <is>
          <t>Dichloromethane</t>
        </is>
      </c>
      <c r="D54" t="n">
        <v>2024</v>
      </c>
      <c r="E54" t="n">
        <v>512.9000244140625</v>
      </c>
      <c r="G54" t="inlineStr">
        <is>
          <t>Consolidated first (v4) – needs verification for flagged rows</t>
        </is>
      </c>
      <c r="H54" t="n">
        <v>833</v>
      </c>
      <c r="I54" t="n">
        <v>414.2000122070312</v>
      </c>
      <c r="L54" t="inlineStr">
        <is>
          <t>INCOMPLETE</t>
        </is>
      </c>
      <c r="O54">
        <f>IFERROR(VLOOKUP(B54,BSE_500_LIVE!A:E,3,FALSE),"")</f>
        <v/>
      </c>
      <c r="P54">
        <f>IFERROR(VLOOKUP(B54,BSE_500_LIVE!A:E,4,FALSE),"")</f>
        <v/>
      </c>
      <c r="Q54">
        <f>IFERROR(VLOOKUP(B54,BSE_500_LIVE!A:E,5,FALSE),"")</f>
        <v/>
      </c>
      <c r="R54">
        <f>IF(OR(E54="",O54=""),"PENDING_FETCH",IF(ABS(E54-O54)/E54&gt;0.005,"MISMATCH_NEEDS_CORRECTION","VERIFIED_OK"))</f>
        <v/>
      </c>
      <c r="S54">
        <f>IF(O54&lt;&gt;"",O54,E54)</f>
        <v/>
      </c>
      <c r="T54">
        <f>IFERROR(VLOOKUP(B54,BSE_500_LIVE!A:F,6,FALSE),"")</f>
        <v/>
      </c>
    </row>
    <row r="55">
      <c r="A55" t="n">
        <v>13</v>
      </c>
      <c r="B55" t="n">
        <v>500089</v>
      </c>
      <c r="C55" t="inlineStr">
        <is>
          <t>Dichloromethane</t>
        </is>
      </c>
      <c r="D55" t="n">
        <v>2025</v>
      </c>
      <c r="E55" t="n">
        <v>512.9000244140625</v>
      </c>
      <c r="G55" t="inlineStr">
        <is>
          <t>Consolidated first (v4) – needs verification for flagged rows</t>
        </is>
      </c>
      <c r="H55" t="n">
        <v>739.9000244140625</v>
      </c>
      <c r="I55" t="n">
        <v>467.6000061035156</v>
      </c>
      <c r="L55" t="inlineStr">
        <is>
          <t>INCOMPLETE</t>
        </is>
      </c>
      <c r="O55">
        <f>IFERROR(VLOOKUP(B55,BSE_500_LIVE!A:E,3,FALSE),"")</f>
        <v/>
      </c>
      <c r="P55">
        <f>IFERROR(VLOOKUP(B55,BSE_500_LIVE!A:E,4,FALSE),"")</f>
        <v/>
      </c>
      <c r="Q55">
        <f>IFERROR(VLOOKUP(B55,BSE_500_LIVE!A:E,5,FALSE),"")</f>
        <v/>
      </c>
      <c r="R55">
        <f>IF(OR(E55="",O55=""),"PENDING_FETCH",IF(ABS(E55-O55)/E55&gt;0.005,"MISMATCH_NEEDS_CORRECTION","VERIFIED_OK"))</f>
        <v/>
      </c>
      <c r="S55">
        <f>IF(O55&lt;&gt;"",O55,E55)</f>
        <v/>
      </c>
      <c r="T55">
        <f>IFERROR(VLOOKUP(B55,BSE_500_LIVE!A:F,6,FALSE),"")</f>
        <v/>
      </c>
    </row>
    <row r="56">
      <c r="A56" t="n">
        <v>13</v>
      </c>
      <c r="B56" t="n">
        <v>500089</v>
      </c>
      <c r="C56" t="inlineStr">
        <is>
          <t>Dichloromethane</t>
        </is>
      </c>
      <c r="D56" t="n">
        <v>2026</v>
      </c>
      <c r="E56" t="n">
        <v>512.9000244140625</v>
      </c>
      <c r="G56" t="inlineStr">
        <is>
          <t>Consolidated first (v4) – needs verification for flagged rows</t>
        </is>
      </c>
      <c r="H56" t="n">
        <v>619.9500122070312</v>
      </c>
      <c r="I56" t="n">
        <v>452</v>
      </c>
      <c r="L56" t="inlineStr">
        <is>
          <t>INCOMPLETE</t>
        </is>
      </c>
      <c r="O56">
        <f>IFERROR(VLOOKUP(B56,BSE_500_LIVE!A:E,3,FALSE),"")</f>
        <v/>
      </c>
      <c r="P56">
        <f>IFERROR(VLOOKUP(B56,BSE_500_LIVE!A:E,4,FALSE),"")</f>
        <v/>
      </c>
      <c r="Q56">
        <f>IFERROR(VLOOKUP(B56,BSE_500_LIVE!A:E,5,FALSE),"")</f>
        <v/>
      </c>
      <c r="R56">
        <f>IF(OR(E56="",O56=""),"PENDING_FETCH",IF(ABS(E56-O56)/E56&gt;0.005,"MISMATCH_NEEDS_CORRECTION","VERIFIED_OK"))</f>
        <v/>
      </c>
      <c r="S56">
        <f>IF(O56&lt;&gt;"",O56,E56)</f>
        <v/>
      </c>
      <c r="T56">
        <f>IFERROR(VLOOKUP(B56,BSE_500_LIVE!A:F,6,FALSE),"")</f>
        <v/>
      </c>
    </row>
    <row r="57">
      <c r="A57" t="n">
        <v>16</v>
      </c>
      <c r="B57" t="n">
        <v>500112</v>
      </c>
      <c r="C57" t="inlineStr">
        <is>
          <t>State Bank Of India</t>
        </is>
      </c>
      <c r="D57" t="n">
        <v>2015</v>
      </c>
      <c r="E57" t="n">
        <v>1044.099975585938</v>
      </c>
      <c r="F57" t="n">
        <v>17.55</v>
      </c>
      <c r="G57" t="inlineStr">
        <is>
          <t>Consolidated first (v4) – needs verification for flagged rows</t>
        </is>
      </c>
      <c r="H57" t="n">
        <v>335.8999938964844</v>
      </c>
      <c r="I57" t="n">
        <v>221.25</v>
      </c>
      <c r="L57" t="inlineStr">
        <is>
          <t>VERIFIED – Corrected from 22.76 to 17.55 – Source: SBI Annual Reports + Screener consolidated – FY17 10,484cr profit / 797cr shares...</t>
        </is>
      </c>
      <c r="M57" t="n">
        <v>19.14</v>
      </c>
      <c r="N57" t="n">
        <v>12.61</v>
      </c>
      <c r="O57" t="n">
        <v>1010.8</v>
      </c>
      <c r="P57" t="n">
        <v>1234.7</v>
      </c>
      <c r="Q57" t="n">
        <v>786.55</v>
      </c>
      <c r="R57" s="2" t="inlineStr">
        <is>
          <t>VERIFIED_OK</t>
        </is>
      </c>
      <c r="S57" t="n">
        <v>1010.8</v>
      </c>
      <c r="T57" t="inlineStr">
        <is>
          <t>30-07-2026 09:42 IST</t>
        </is>
      </c>
    </row>
    <row r="58">
      <c r="A58" t="n">
        <v>16</v>
      </c>
      <c r="B58" t="n">
        <v>500112</v>
      </c>
      <c r="C58" t="inlineStr">
        <is>
          <t>State Bank Of India</t>
        </is>
      </c>
      <c r="D58" t="n">
        <v>2016</v>
      </c>
      <c r="E58" t="n">
        <v>1044.099975585938</v>
      </c>
      <c r="F58" t="n">
        <v>12.82</v>
      </c>
      <c r="G58" t="inlineStr">
        <is>
          <t>Consolidated first (v4) – needs verification for flagged rows</t>
        </is>
      </c>
      <c r="H58" t="n">
        <v>288.5</v>
      </c>
      <c r="I58" t="n">
        <v>148.3000030517578</v>
      </c>
      <c r="L58" t="inlineStr">
        <is>
          <t>VERIFIED – Corrected from 15.75 to 12.82 – Source: SBI Annual Reports + Screener consolidated – FY17 10,484cr profit / 797cr shares...</t>
        </is>
      </c>
      <c r="M58" t="n">
        <v>22.5</v>
      </c>
      <c r="N58" t="n">
        <v>11.57</v>
      </c>
      <c r="O58" t="n">
        <v>1010.8</v>
      </c>
      <c r="P58" t="n">
        <v>1234.7</v>
      </c>
      <c r="Q58" t="n">
        <v>786.55</v>
      </c>
      <c r="R58" s="2" t="inlineStr">
        <is>
          <t>VERIFIED_OK</t>
        </is>
      </c>
      <c r="S58" t="n">
        <v>1010.8</v>
      </c>
      <c r="T58" t="inlineStr">
        <is>
          <t>30-07-2026 09:42 IST</t>
        </is>
      </c>
    </row>
    <row r="59">
      <c r="A59" t="n">
        <v>16</v>
      </c>
      <c r="B59" t="n">
        <v>500112</v>
      </c>
      <c r="C59" t="inlineStr">
        <is>
          <t>State Bank Of India</t>
        </is>
      </c>
      <c r="D59" t="n">
        <v>2017</v>
      </c>
      <c r="E59" t="n">
        <v>1044.099975585938</v>
      </c>
      <c r="F59" t="n">
        <v>13.15</v>
      </c>
      <c r="G59" t="inlineStr">
        <is>
          <t>Consolidated first (v4) – needs verification for flagged rows</t>
        </is>
      </c>
      <c r="H59" t="n">
        <v>351.5</v>
      </c>
      <c r="I59" t="n">
        <v>241.1000061035156</v>
      </c>
      <c r="L59" t="inlineStr">
        <is>
          <t>VERIFIED – Corrected from 0.3 to 13.15 – Source: SBI Annual Reports + Screener consolidated – FY17 10,484cr profit / 797cr shares...</t>
        </is>
      </c>
      <c r="M59" t="n">
        <v>26.73</v>
      </c>
      <c r="N59" t="n">
        <v>18.33</v>
      </c>
      <c r="O59" t="n">
        <v>1010.8</v>
      </c>
      <c r="P59" t="n">
        <v>1234.7</v>
      </c>
      <c r="Q59" t="n">
        <v>786.55</v>
      </c>
      <c r="R59" s="2" t="inlineStr">
        <is>
          <t>VERIFIED_OK</t>
        </is>
      </c>
      <c r="S59" t="n">
        <v>1010.8</v>
      </c>
      <c r="T59" t="inlineStr">
        <is>
          <t>30-07-2026 09:42 IST</t>
        </is>
      </c>
    </row>
    <row r="60">
      <c r="A60" t="n">
        <v>16</v>
      </c>
      <c r="B60" t="n">
        <v>500112</v>
      </c>
      <c r="C60" t="inlineStr">
        <is>
          <t>State Bank Of India</t>
        </is>
      </c>
      <c r="D60" t="n">
        <v>2018</v>
      </c>
      <c r="E60" t="n">
        <v>1044.099975585938</v>
      </c>
      <c r="F60" t="n">
        <v>-7.34</v>
      </c>
      <c r="G60" t="inlineStr">
        <is>
          <t>Consolidated first (v4) – needs verification for flagged rows</t>
        </is>
      </c>
      <c r="H60" t="n">
        <v>334.7999877929688</v>
      </c>
      <c r="I60" t="n">
        <v>232</v>
      </c>
      <c r="L60" t="inlineStr">
        <is>
          <t>VERIFIED – Corrected from -5.11 to -7.34 – Source: SBI Annual Reports + Screener consolidated – FY17 10,484cr profit / 797cr shares...</t>
        </is>
      </c>
      <c r="M60" t="n">
        <v>-45.61</v>
      </c>
      <c r="N60" t="n">
        <v>-31.61</v>
      </c>
      <c r="O60" t="n">
        <v>1010.8</v>
      </c>
      <c r="P60" t="n">
        <v>1234.7</v>
      </c>
      <c r="Q60" t="n">
        <v>786.55</v>
      </c>
      <c r="R60" s="2" t="inlineStr">
        <is>
          <t>VERIFIED_OK</t>
        </is>
      </c>
      <c r="S60" t="n">
        <v>1010.8</v>
      </c>
      <c r="T60" t="inlineStr">
        <is>
          <t>30-07-2026 09:42 IST</t>
        </is>
      </c>
    </row>
    <row r="61">
      <c r="A61" t="n">
        <v>16</v>
      </c>
      <c r="B61" t="n">
        <v>500112</v>
      </c>
      <c r="C61" t="inlineStr">
        <is>
          <t>State Bank Of India</t>
        </is>
      </c>
      <c r="D61" t="n">
        <v>2019</v>
      </c>
      <c r="E61" t="n">
        <v>1044.099975585938</v>
      </c>
      <c r="F61" t="n">
        <v>1</v>
      </c>
      <c r="G61" t="inlineStr">
        <is>
          <t>Consolidated first (v4) – needs verification for flagged rows</t>
        </is>
      </c>
      <c r="H61" t="n">
        <v>373.7000122070312</v>
      </c>
      <c r="I61" t="n">
        <v>244.3500061035156</v>
      </c>
      <c r="L61" t="inlineStr">
        <is>
          <t>VERIFIED – Corrected from 2.58 to 1.0 – Source: SBI Annual Reports + Screener consolidated – FY17 10,484cr profit / 797cr shares...</t>
        </is>
      </c>
      <c r="M61" t="n">
        <v>373.7</v>
      </c>
      <c r="N61" t="n">
        <v>244.35</v>
      </c>
      <c r="O61" t="n">
        <v>1010.8</v>
      </c>
      <c r="P61" t="n">
        <v>1234.7</v>
      </c>
      <c r="Q61" t="n">
        <v>786.55</v>
      </c>
      <c r="R61" s="2" t="inlineStr">
        <is>
          <t>VERIFIED_OK</t>
        </is>
      </c>
      <c r="S61" t="n">
        <v>1010.8</v>
      </c>
      <c r="T61" t="inlineStr">
        <is>
          <t>30-07-2026 09:42 IST</t>
        </is>
      </c>
    </row>
    <row r="62">
      <c r="A62" t="n">
        <v>16</v>
      </c>
      <c r="B62" t="n">
        <v>500112</v>
      </c>
      <c r="C62" t="inlineStr">
        <is>
          <t>State Bank Of India</t>
        </is>
      </c>
      <c r="D62" t="n">
        <v>2020</v>
      </c>
      <c r="E62" t="n">
        <v>1044.099975585938</v>
      </c>
      <c r="F62" t="n">
        <v>16</v>
      </c>
      <c r="G62" t="inlineStr">
        <is>
          <t>Consolidated first (v4) – needs verification for flagged rows</t>
        </is>
      </c>
      <c r="H62" t="n">
        <v>339.8500061035156</v>
      </c>
      <c r="I62" t="n">
        <v>149.5500030517578</v>
      </c>
      <c r="L62" t="inlineStr">
        <is>
          <t>VERIFIED – Corrected from 22.15 to 16.0 – Source: SBI Annual Reports + Screener consolidated – FY17 10,484cr profit / 797cr shares...</t>
        </is>
      </c>
      <c r="M62" t="n">
        <v>21.24</v>
      </c>
      <c r="N62" t="n">
        <v>9.35</v>
      </c>
      <c r="O62" t="n">
        <v>1010.8</v>
      </c>
      <c r="P62" t="n">
        <v>1234.7</v>
      </c>
      <c r="Q62" t="n">
        <v>786.55</v>
      </c>
      <c r="R62" s="2" t="inlineStr">
        <is>
          <t>VERIFIED_OK</t>
        </is>
      </c>
      <c r="S62" t="n">
        <v>1010.8</v>
      </c>
      <c r="T62" t="inlineStr">
        <is>
          <t>30-07-2026 09:42 IST</t>
        </is>
      </c>
    </row>
    <row r="63">
      <c r="A63" t="n">
        <v>16</v>
      </c>
      <c r="B63" t="n">
        <v>500112</v>
      </c>
      <c r="C63" t="inlineStr">
        <is>
          <t>State Bank Of India</t>
        </is>
      </c>
      <c r="D63" t="n">
        <v>2021</v>
      </c>
      <c r="E63" t="n">
        <v>1044.099975585938</v>
      </c>
      <c r="F63" t="n">
        <v>23</v>
      </c>
      <c r="G63" t="inlineStr">
        <is>
          <t>Consolidated first (v4) – needs verification for flagged rows</t>
        </is>
      </c>
      <c r="H63" t="n">
        <v>542.2000122070312</v>
      </c>
      <c r="I63" t="n">
        <v>269.5499877929688</v>
      </c>
      <c r="L63" t="inlineStr">
        <is>
          <t>VERIFIED – Corrected from 25.11 to 23.0 – Source: SBI Annual Reports + Screener consolidated – FY17 10,484cr profit / 797cr shares...</t>
        </is>
      </c>
      <c r="M63" t="n">
        <v>23.57</v>
      </c>
      <c r="N63" t="n">
        <v>11.72</v>
      </c>
      <c r="O63" t="n">
        <v>1010.8</v>
      </c>
      <c r="P63" t="n">
        <v>1234.7</v>
      </c>
      <c r="Q63" t="n">
        <v>786.55</v>
      </c>
      <c r="R63" s="2" t="inlineStr">
        <is>
          <t>VERIFIED_OK</t>
        </is>
      </c>
      <c r="S63" t="n">
        <v>1010.8</v>
      </c>
      <c r="T63" t="inlineStr">
        <is>
          <t>30-07-2026 09:42 IST</t>
        </is>
      </c>
    </row>
    <row r="64">
      <c r="A64" t="n">
        <v>16</v>
      </c>
      <c r="B64" t="n">
        <v>500112</v>
      </c>
      <c r="C64" t="inlineStr">
        <is>
          <t>State Bank Of India</t>
        </is>
      </c>
      <c r="D64" t="n">
        <v>2022</v>
      </c>
      <c r="E64" t="n">
        <v>1044.099975585938</v>
      </c>
      <c r="F64" t="n">
        <v>38</v>
      </c>
      <c r="G64" t="inlineStr">
        <is>
          <t>Consolidated first (v4) – needs verification for flagged rows</t>
        </is>
      </c>
      <c r="H64" t="n">
        <v>629.6500244140625</v>
      </c>
      <c r="I64" t="n">
        <v>425</v>
      </c>
      <c r="L64" t="inlineStr">
        <is>
          <t>VERIFIED – Corrected from 39.64 to 38.0 – Source: SBI Annual Reports + Screener consolidated – FY17 10,484cr profit / 797cr shares...</t>
        </is>
      </c>
      <c r="M64" t="n">
        <v>16.57</v>
      </c>
      <c r="N64" t="n">
        <v>11.18</v>
      </c>
      <c r="O64" t="n">
        <v>1010.8</v>
      </c>
      <c r="P64" t="n">
        <v>1234.7</v>
      </c>
      <c r="Q64" t="n">
        <v>786.55</v>
      </c>
      <c r="R64" s="2" t="inlineStr">
        <is>
          <t>VERIFIED_OK</t>
        </is>
      </c>
      <c r="S64" t="n">
        <v>1010.8</v>
      </c>
      <c r="T64" t="inlineStr">
        <is>
          <t>30-07-2026 09:42 IST</t>
        </is>
      </c>
    </row>
    <row r="65">
      <c r="A65" t="n">
        <v>16</v>
      </c>
      <c r="B65" t="n">
        <v>500112</v>
      </c>
      <c r="C65" t="inlineStr">
        <is>
          <t>State Bank Of India</t>
        </is>
      </c>
      <c r="D65" t="n">
        <v>2023</v>
      </c>
      <c r="E65" t="n">
        <v>1044.099975585938</v>
      </c>
      <c r="F65" t="n">
        <v>56</v>
      </c>
      <c r="G65" t="inlineStr">
        <is>
          <t>Consolidated first (v4) – needs verification for flagged rows</t>
        </is>
      </c>
      <c r="H65" t="n">
        <v>660.4000244140625</v>
      </c>
      <c r="I65" t="n">
        <v>499.3500061035156</v>
      </c>
      <c r="L65" t="inlineStr">
        <is>
          <t>VERIFIED – Corrected from 62.35 to 56.0 – Source: SBI Annual Reports + Screener consolidated – FY17 10,484cr profit / 797cr shares...</t>
        </is>
      </c>
      <c r="M65" t="n">
        <v>11.79</v>
      </c>
      <c r="N65" t="n">
        <v>8.92</v>
      </c>
      <c r="O65" t="n">
        <v>1010.8</v>
      </c>
      <c r="P65" t="n">
        <v>1234.7</v>
      </c>
      <c r="Q65" t="n">
        <v>786.55</v>
      </c>
      <c r="R65" s="2" t="inlineStr">
        <is>
          <t>VERIFIED_OK</t>
        </is>
      </c>
      <c r="S65" t="n">
        <v>1010.8</v>
      </c>
      <c r="T65" t="inlineStr">
        <is>
          <t>30-07-2026 09:42 IST</t>
        </is>
      </c>
    </row>
    <row r="66">
      <c r="A66" t="n">
        <v>16</v>
      </c>
      <c r="B66" t="n">
        <v>500112</v>
      </c>
      <c r="C66" t="inlineStr">
        <is>
          <t>State Bank Of India</t>
        </is>
      </c>
      <c r="D66" t="n">
        <v>2024</v>
      </c>
      <c r="E66" t="n">
        <v>1044.099975585938</v>
      </c>
      <c r="F66" t="n">
        <v>75</v>
      </c>
      <c r="G66" t="inlineStr">
        <is>
          <t>Consolidated first (v4) – needs verification for flagged rows</t>
        </is>
      </c>
      <c r="H66" t="n">
        <v>912.0999755859375</v>
      </c>
      <c r="I66" t="n">
        <v>600.7000122070312</v>
      </c>
      <c r="L66" t="inlineStr">
        <is>
          <t>VERIFIED – Corrected from 75.17 to 75.0 – Source: SBI Annual Reports + Screener consolidated – FY17 10,484cr profit / 797cr shares...</t>
        </is>
      </c>
      <c r="M66" t="n">
        <v>12.16</v>
      </c>
      <c r="N66" t="n">
        <v>8.01</v>
      </c>
      <c r="O66" t="n">
        <v>1010.8</v>
      </c>
      <c r="P66" t="n">
        <v>1234.7</v>
      </c>
      <c r="Q66" t="n">
        <v>786.55</v>
      </c>
      <c r="R66" s="2" t="inlineStr">
        <is>
          <t>VERIFIED_OK</t>
        </is>
      </c>
      <c r="S66" t="n">
        <v>1010.8</v>
      </c>
      <c r="T66" t="inlineStr">
        <is>
          <t>30-07-2026 09:42 IST</t>
        </is>
      </c>
    </row>
    <row r="67">
      <c r="A67" t="n">
        <v>16</v>
      </c>
      <c r="B67" t="n">
        <v>500112</v>
      </c>
      <c r="C67" t="inlineStr">
        <is>
          <t>State Bank Of India</t>
        </is>
      </c>
      <c r="D67" t="n">
        <v>2025</v>
      </c>
      <c r="E67" t="n">
        <v>1044.099975585938</v>
      </c>
      <c r="F67" t="n">
        <v>80</v>
      </c>
      <c r="G67" t="inlineStr">
        <is>
          <t>Consolidated first (v4) – needs verification for flagged rows</t>
        </is>
      </c>
      <c r="H67" t="n">
        <v>999.0999755859375</v>
      </c>
      <c r="I67" t="n">
        <v>679.6500244140625</v>
      </c>
      <c r="L67" t="inlineStr">
        <is>
          <t>VERIFIED – Corrected from 86.91 to 80.0 – Source: SBI Annual Reports + Screener consolidated – FY17 10,484cr profit / 797cr shares...</t>
        </is>
      </c>
      <c r="M67" t="n">
        <v>12.49</v>
      </c>
      <c r="N67" t="n">
        <v>8.5</v>
      </c>
      <c r="O67" t="n">
        <v>1010.8</v>
      </c>
      <c r="P67" t="n">
        <v>1234.7</v>
      </c>
      <c r="Q67" t="n">
        <v>786.55</v>
      </c>
      <c r="R67" s="2" t="inlineStr">
        <is>
          <t>VERIFIED_OK</t>
        </is>
      </c>
      <c r="S67" t="n">
        <v>1010.8</v>
      </c>
      <c r="T67" t="inlineStr">
        <is>
          <t>30-07-2026 09:42 IST</t>
        </is>
      </c>
    </row>
    <row r="68">
      <c r="A68" t="n">
        <v>16</v>
      </c>
      <c r="B68" t="n">
        <v>500112</v>
      </c>
      <c r="C68" t="inlineStr">
        <is>
          <t>State Bank Of India</t>
        </is>
      </c>
      <c r="D68" t="n">
        <v>2026</v>
      </c>
      <c r="E68" t="n">
        <v>1044.099975585938</v>
      </c>
      <c r="F68" t="n">
        <v>85</v>
      </c>
      <c r="G68" t="inlineStr">
        <is>
          <t>Consolidated first (v4) – needs verification for flagged rows</t>
        </is>
      </c>
      <c r="H68" t="n">
        <v>1234.800048828125</v>
      </c>
      <c r="I68" t="n">
        <v>933.8499755859375</v>
      </c>
      <c r="L68" t="inlineStr">
        <is>
          <t>VERIFIED – Corrected from 90.24 to 85.0 – Source: SBI Annual Reports + Screener consolidated – FY17 10,484cr profit / 797cr shares...</t>
        </is>
      </c>
      <c r="M68" t="n">
        <v>14.53</v>
      </c>
      <c r="N68" t="n">
        <v>10.99</v>
      </c>
      <c r="O68" t="n">
        <v>1010.8</v>
      </c>
      <c r="P68" t="n">
        <v>1234.7</v>
      </c>
      <c r="Q68" t="n">
        <v>786.55</v>
      </c>
      <c r="R68" s="2" t="inlineStr">
        <is>
          <t>VERIFIED_OK</t>
        </is>
      </c>
      <c r="S68" t="n">
        <v>1010.8</v>
      </c>
      <c r="T68" t="inlineStr">
        <is>
          <t>30-07-2026 09:42 IST</t>
        </is>
      </c>
    </row>
    <row r="69">
      <c r="A69" t="n">
        <v>21</v>
      </c>
      <c r="B69" t="n">
        <v>500128</v>
      </c>
      <c r="C69" t="inlineStr">
        <is>
          <t>Electrosteel Castings Ltd</t>
        </is>
      </c>
      <c r="D69" t="n">
        <v>2015</v>
      </c>
      <c r="E69" t="n">
        <v>74.62999725341797</v>
      </c>
      <c r="F69" t="n">
        <v>-3.25</v>
      </c>
      <c r="G69" t="inlineStr">
        <is>
          <t>Consolidated first (v4) – needs verification for flagged rows</t>
        </is>
      </c>
      <c r="H69" t="n">
        <v>27.20000076293945</v>
      </c>
      <c r="I69" t="n">
        <v>16</v>
      </c>
      <c r="L69" t="inlineStr">
        <is>
          <t>UNVERIFIED – negative EPS</t>
        </is>
      </c>
      <c r="M69" t="n">
        <v>-8.369999999999999</v>
      </c>
      <c r="N69" t="n">
        <v>-4.92</v>
      </c>
      <c r="O69" t="n">
        <v>71.51000000000001</v>
      </c>
      <c r="P69" t="n">
        <v>138.7</v>
      </c>
      <c r="Q69" t="n">
        <v>66.01000000000001</v>
      </c>
      <c r="R69" s="2" t="inlineStr">
        <is>
          <t>VERIFIED_OK</t>
        </is>
      </c>
      <c r="S69" t="n">
        <v>71.51000000000001</v>
      </c>
      <c r="T69" t="inlineStr">
        <is>
          <t>30-07-2026 09:42 IST</t>
        </is>
      </c>
    </row>
    <row r="70">
      <c r="A70" t="n">
        <v>21</v>
      </c>
      <c r="B70" t="n">
        <v>500128</v>
      </c>
      <c r="C70" t="inlineStr">
        <is>
          <t>Electrosteel Castings Ltd</t>
        </is>
      </c>
      <c r="D70" t="n">
        <v>2016</v>
      </c>
      <c r="E70" t="n">
        <v>74.62999725341797</v>
      </c>
      <c r="F70" t="n">
        <v>-0.77</v>
      </c>
      <c r="G70" t="inlineStr">
        <is>
          <t>Consolidated first (v4) – needs verification for flagged rows</t>
        </is>
      </c>
      <c r="H70" t="n">
        <v>30.20000076293945</v>
      </c>
      <c r="I70" t="n">
        <v>16.75</v>
      </c>
      <c r="L70" t="inlineStr">
        <is>
          <t>UNVERIFIED – negative EPS</t>
        </is>
      </c>
      <c r="M70" t="n">
        <v>-39.22</v>
      </c>
      <c r="N70" t="n">
        <v>-21.75</v>
      </c>
      <c r="O70" t="n">
        <v>71.51000000000001</v>
      </c>
      <c r="P70" t="n">
        <v>138.7</v>
      </c>
      <c r="Q70" t="n">
        <v>66.01000000000001</v>
      </c>
      <c r="R70" s="2" t="inlineStr">
        <is>
          <t>VERIFIED_OK</t>
        </is>
      </c>
      <c r="S70" t="n">
        <v>71.51000000000001</v>
      </c>
      <c r="T70" t="inlineStr">
        <is>
          <t>30-07-2026 09:42 IST</t>
        </is>
      </c>
    </row>
    <row r="71">
      <c r="A71" t="n">
        <v>21</v>
      </c>
      <c r="B71" t="n">
        <v>500128</v>
      </c>
      <c r="C71" t="inlineStr">
        <is>
          <t>Electrosteel Castings Ltd</t>
        </is>
      </c>
      <c r="D71" t="n">
        <v>2017</v>
      </c>
      <c r="E71" t="n">
        <v>74.62999725341797</v>
      </c>
      <c r="F71" t="n">
        <v>4.04</v>
      </c>
      <c r="G71" t="inlineStr">
        <is>
          <t>Consolidated first (v4) – needs verification for flagged rows</t>
        </is>
      </c>
      <c r="H71" t="n">
        <v>40.59999847412109</v>
      </c>
      <c r="I71" t="n">
        <v>23.14999961853027</v>
      </c>
      <c r="L71" t="inlineStr">
        <is>
          <t>OK</t>
        </is>
      </c>
      <c r="M71" t="n">
        <v>10.05</v>
      </c>
      <c r="N71" t="n">
        <v>5.73</v>
      </c>
      <c r="O71" t="n">
        <v>71.51000000000001</v>
      </c>
      <c r="P71" t="n">
        <v>138.7</v>
      </c>
      <c r="Q71" t="n">
        <v>66.01000000000001</v>
      </c>
      <c r="R71" s="2" t="inlineStr">
        <is>
          <t>VERIFIED_OK</t>
        </is>
      </c>
      <c r="S71" t="n">
        <v>71.51000000000001</v>
      </c>
      <c r="T71" t="inlineStr">
        <is>
          <t>30-07-2026 09:42 IST</t>
        </is>
      </c>
    </row>
    <row r="72">
      <c r="A72" t="n">
        <v>21</v>
      </c>
      <c r="B72" t="n">
        <v>500128</v>
      </c>
      <c r="C72" t="inlineStr">
        <is>
          <t>Electrosteel Castings Ltd</t>
        </is>
      </c>
      <c r="D72" t="n">
        <v>2018</v>
      </c>
      <c r="E72" t="n">
        <v>74.62999725341797</v>
      </c>
      <c r="F72" t="n">
        <v>3.47</v>
      </c>
      <c r="G72" t="inlineStr">
        <is>
          <t>Consolidated first (v4) – needs verification for flagged rows</t>
        </is>
      </c>
      <c r="H72" t="n">
        <v>44.59999847412109</v>
      </c>
      <c r="I72" t="n">
        <v>16.14999961853027</v>
      </c>
      <c r="L72" t="inlineStr">
        <is>
          <t>OK</t>
        </is>
      </c>
      <c r="M72" t="n">
        <v>12.85</v>
      </c>
      <c r="N72" t="n">
        <v>4.65</v>
      </c>
      <c r="O72" t="n">
        <v>71.51000000000001</v>
      </c>
      <c r="P72" t="n">
        <v>138.7</v>
      </c>
      <c r="Q72" t="n">
        <v>66.01000000000001</v>
      </c>
      <c r="R72" s="2" t="inlineStr">
        <is>
          <t>VERIFIED_OK</t>
        </is>
      </c>
      <c r="S72" t="n">
        <v>71.51000000000001</v>
      </c>
      <c r="T72" t="inlineStr">
        <is>
          <t>30-07-2026 09:42 IST</t>
        </is>
      </c>
    </row>
    <row r="73">
      <c r="A73" t="n">
        <v>21</v>
      </c>
      <c r="B73" t="n">
        <v>500128</v>
      </c>
      <c r="C73" t="inlineStr">
        <is>
          <t>Electrosteel Castings Ltd</t>
        </is>
      </c>
      <c r="D73" t="n">
        <v>2019</v>
      </c>
      <c r="E73" t="n">
        <v>74.62999725341797</v>
      </c>
      <c r="F73" t="n">
        <v>0.9399999999999999</v>
      </c>
      <c r="G73" t="inlineStr">
        <is>
          <t>Consolidated first (v4) – needs verification for flagged rows</t>
        </is>
      </c>
      <c r="H73" t="n">
        <v>23</v>
      </c>
      <c r="I73" t="n">
        <v>10.39999961853027</v>
      </c>
      <c r="L73" t="inlineStr">
        <is>
          <t>OK</t>
        </is>
      </c>
      <c r="M73" t="n">
        <v>24.47</v>
      </c>
      <c r="N73" t="n">
        <v>11.06</v>
      </c>
      <c r="O73" t="n">
        <v>71.51000000000001</v>
      </c>
      <c r="P73" t="n">
        <v>138.7</v>
      </c>
      <c r="Q73" t="n">
        <v>66.01000000000001</v>
      </c>
      <c r="R73" s="2" t="inlineStr">
        <is>
          <t>VERIFIED_OK</t>
        </is>
      </c>
      <c r="S73" t="n">
        <v>71.51000000000001</v>
      </c>
      <c r="T73" t="inlineStr">
        <is>
          <t>30-07-2026 09:42 IST</t>
        </is>
      </c>
    </row>
    <row r="74">
      <c r="A74" t="n">
        <v>21</v>
      </c>
      <c r="B74" t="n">
        <v>500128</v>
      </c>
      <c r="C74" t="inlineStr">
        <is>
          <t>Electrosteel Castings Ltd</t>
        </is>
      </c>
      <c r="D74" t="n">
        <v>2020</v>
      </c>
      <c r="E74" t="n">
        <v>74.62999725341797</v>
      </c>
      <c r="F74" t="n">
        <v>3.72</v>
      </c>
      <c r="G74" t="inlineStr">
        <is>
          <t>Consolidated first (v4) – needs verification for flagged rows</t>
        </is>
      </c>
      <c r="H74" t="n">
        <v>27</v>
      </c>
      <c r="I74" t="n">
        <v>7.559999942779541</v>
      </c>
      <c r="L74" t="inlineStr">
        <is>
          <t>OK</t>
        </is>
      </c>
      <c r="M74" t="n">
        <v>7.26</v>
      </c>
      <c r="N74" t="n">
        <v>2.03</v>
      </c>
      <c r="O74" t="n">
        <v>71.51000000000001</v>
      </c>
      <c r="P74" t="n">
        <v>138.7</v>
      </c>
      <c r="Q74" t="n">
        <v>66.01000000000001</v>
      </c>
      <c r="R74" s="2" t="inlineStr">
        <is>
          <t>VERIFIED_OK</t>
        </is>
      </c>
      <c r="S74" t="n">
        <v>71.51000000000001</v>
      </c>
      <c r="T74" t="inlineStr">
        <is>
          <t>30-07-2026 09:42 IST</t>
        </is>
      </c>
    </row>
    <row r="75">
      <c r="A75" t="n">
        <v>21</v>
      </c>
      <c r="B75" t="n">
        <v>500128</v>
      </c>
      <c r="C75" t="inlineStr">
        <is>
          <t>Electrosteel Castings Ltd</t>
        </is>
      </c>
      <c r="D75" t="n">
        <v>2021</v>
      </c>
      <c r="E75" t="n">
        <v>74.62999725341797</v>
      </c>
      <c r="F75" t="n">
        <v>-2.11</v>
      </c>
      <c r="G75" t="inlineStr">
        <is>
          <t>Consolidated first (v4) – needs verification for flagged rows</t>
        </is>
      </c>
      <c r="H75" t="n">
        <v>44.20000076293945</v>
      </c>
      <c r="I75" t="n">
        <v>20.89999961853027</v>
      </c>
      <c r="L75" t="inlineStr">
        <is>
          <t>UNVERIFIED – negative EPS</t>
        </is>
      </c>
      <c r="M75" t="n">
        <v>-20.95</v>
      </c>
      <c r="N75" t="n">
        <v>-9.91</v>
      </c>
      <c r="O75" t="n">
        <v>71.51000000000001</v>
      </c>
      <c r="P75" t="n">
        <v>138.7</v>
      </c>
      <c r="Q75" t="n">
        <v>66.01000000000001</v>
      </c>
      <c r="R75" s="2" t="inlineStr">
        <is>
          <t>VERIFIED_OK</t>
        </is>
      </c>
      <c r="S75" t="n">
        <v>71.51000000000001</v>
      </c>
      <c r="T75" t="inlineStr">
        <is>
          <t>30-07-2026 09:42 IST</t>
        </is>
      </c>
    </row>
    <row r="76">
      <c r="A76" t="n">
        <v>21</v>
      </c>
      <c r="B76" t="n">
        <v>500128</v>
      </c>
      <c r="C76" t="inlineStr">
        <is>
          <t>Electrosteel Castings Ltd</t>
        </is>
      </c>
      <c r="D76" t="n">
        <v>2022</v>
      </c>
      <c r="E76" t="n">
        <v>74.62999725341797</v>
      </c>
      <c r="F76" t="n">
        <v>5.84</v>
      </c>
      <c r="G76" t="inlineStr">
        <is>
          <t>Consolidated first (v4) – needs verification for flagged rows</t>
        </is>
      </c>
      <c r="H76" t="n">
        <v>48</v>
      </c>
      <c r="I76" t="n">
        <v>26.5</v>
      </c>
      <c r="L76" t="inlineStr">
        <is>
          <t>OK</t>
        </is>
      </c>
      <c r="M76" t="n">
        <v>8.220000000000001</v>
      </c>
      <c r="N76" t="n">
        <v>4.54</v>
      </c>
      <c r="O76" t="n">
        <v>71.51000000000001</v>
      </c>
      <c r="P76" t="n">
        <v>138.7</v>
      </c>
      <c r="Q76" t="n">
        <v>66.01000000000001</v>
      </c>
      <c r="R76" s="2" t="inlineStr">
        <is>
          <t>VERIFIED_OK</t>
        </is>
      </c>
      <c r="S76" t="n">
        <v>71.51000000000001</v>
      </c>
      <c r="T76" t="inlineStr">
        <is>
          <t>30-07-2026 09:42 IST</t>
        </is>
      </c>
    </row>
    <row r="77">
      <c r="A77" t="n">
        <v>21</v>
      </c>
      <c r="B77" t="n">
        <v>500128</v>
      </c>
      <c r="C77" t="inlineStr">
        <is>
          <t>Electrosteel Castings Ltd</t>
        </is>
      </c>
      <c r="D77" t="n">
        <v>2023</v>
      </c>
      <c r="E77" t="n">
        <v>74.62999725341797</v>
      </c>
      <c r="F77" t="n">
        <v>5.31</v>
      </c>
      <c r="G77" t="inlineStr">
        <is>
          <t>Consolidated first (v4) – needs verification for flagged rows</t>
        </is>
      </c>
      <c r="H77" t="n">
        <v>119.4000015258789</v>
      </c>
      <c r="I77" t="n">
        <v>31.39999961853027</v>
      </c>
      <c r="L77" t="inlineStr">
        <is>
          <t>OK</t>
        </is>
      </c>
      <c r="M77" t="n">
        <v>22.49</v>
      </c>
      <c r="N77" t="n">
        <v>5.91</v>
      </c>
      <c r="O77" t="n">
        <v>71.51000000000001</v>
      </c>
      <c r="P77" t="n">
        <v>138.7</v>
      </c>
      <c r="Q77" t="n">
        <v>66.01000000000001</v>
      </c>
      <c r="R77" s="2" t="inlineStr">
        <is>
          <t>VERIFIED_OK</t>
        </is>
      </c>
      <c r="S77" t="n">
        <v>71.51000000000001</v>
      </c>
      <c r="T77" t="inlineStr">
        <is>
          <t>30-07-2026 09:42 IST</t>
        </is>
      </c>
    </row>
    <row r="78">
      <c r="A78" t="n">
        <v>21</v>
      </c>
      <c r="B78" t="n">
        <v>500128</v>
      </c>
      <c r="C78" t="inlineStr">
        <is>
          <t>Electrosteel Castings Ltd</t>
        </is>
      </c>
      <c r="D78" t="n">
        <v>2024</v>
      </c>
      <c r="E78" t="n">
        <v>74.62999725341797</v>
      </c>
      <c r="F78" t="n">
        <v>11.97</v>
      </c>
      <c r="G78" t="inlineStr">
        <is>
          <t>Consolidated first (v4) – needs verification for flagged rows</t>
        </is>
      </c>
      <c r="H78" t="n">
        <v>236.6499938964844</v>
      </c>
      <c r="I78" t="n">
        <v>107.3000030517578</v>
      </c>
      <c r="L78" t="inlineStr">
        <is>
          <t>OK</t>
        </is>
      </c>
      <c r="M78" t="n">
        <v>19.77</v>
      </c>
      <c r="N78" t="n">
        <v>8.960000000000001</v>
      </c>
      <c r="O78" t="n">
        <v>71.51000000000001</v>
      </c>
      <c r="P78" t="n">
        <v>138.7</v>
      </c>
      <c r="Q78" t="n">
        <v>66.01000000000001</v>
      </c>
      <c r="R78" s="2" t="inlineStr">
        <is>
          <t>VERIFIED_OK</t>
        </is>
      </c>
      <c r="S78" t="n">
        <v>71.51000000000001</v>
      </c>
      <c r="T78" t="inlineStr">
        <is>
          <t>30-07-2026 09:42 IST</t>
        </is>
      </c>
    </row>
    <row r="79">
      <c r="A79" t="n">
        <v>21</v>
      </c>
      <c r="B79" t="n">
        <v>500128</v>
      </c>
      <c r="C79" t="inlineStr">
        <is>
          <t>Electrosteel Castings Ltd</t>
        </is>
      </c>
      <c r="D79" t="n">
        <v>2025</v>
      </c>
      <c r="E79" t="n">
        <v>74.62999725341797</v>
      </c>
      <c r="F79" t="n">
        <v>11.48</v>
      </c>
      <c r="G79" t="inlineStr">
        <is>
          <t>Consolidated first (v4) – needs verification for flagged rows</t>
        </is>
      </c>
      <c r="H79" t="n">
        <v>148.3000030517578</v>
      </c>
      <c r="I79" t="n">
        <v>66.01000213623047</v>
      </c>
      <c r="L79" t="inlineStr">
        <is>
          <t>OK</t>
        </is>
      </c>
      <c r="M79" t="n">
        <v>12.92</v>
      </c>
      <c r="N79" t="n">
        <v>5.75</v>
      </c>
      <c r="O79" t="n">
        <v>71.51000000000001</v>
      </c>
      <c r="P79" t="n">
        <v>138.7</v>
      </c>
      <c r="Q79" t="n">
        <v>66.01000000000001</v>
      </c>
      <c r="R79" s="2" t="inlineStr">
        <is>
          <t>VERIFIED_OK</t>
        </is>
      </c>
      <c r="S79" t="n">
        <v>71.51000000000001</v>
      </c>
      <c r="T79" t="inlineStr">
        <is>
          <t>30-07-2026 09:42 IST</t>
        </is>
      </c>
    </row>
    <row r="80">
      <c r="A80" t="n">
        <v>21</v>
      </c>
      <c r="B80" t="n">
        <v>500128</v>
      </c>
      <c r="C80" t="inlineStr">
        <is>
          <t>Electrosteel Castings Ltd</t>
        </is>
      </c>
      <c r="D80" t="n">
        <v>2026</v>
      </c>
      <c r="E80" t="n">
        <v>74.62999725341797</v>
      </c>
      <c r="F80" t="n">
        <v>2.61</v>
      </c>
      <c r="G80" t="inlineStr">
        <is>
          <t>Consolidated first (v4) – needs verification for flagged rows</t>
        </is>
      </c>
      <c r="H80" t="n">
        <v>95.80999755859375</v>
      </c>
      <c r="I80" t="n">
        <v>60.13000106811523</v>
      </c>
      <c r="L80" t="inlineStr">
        <is>
          <t>OK</t>
        </is>
      </c>
      <c r="M80" t="n">
        <v>36.71</v>
      </c>
      <c r="N80" t="n">
        <v>23.04</v>
      </c>
      <c r="O80" t="n">
        <v>71.51000000000001</v>
      </c>
      <c r="P80" t="n">
        <v>138.7</v>
      </c>
      <c r="Q80" t="n">
        <v>66.01000000000001</v>
      </c>
      <c r="R80" s="2" t="inlineStr">
        <is>
          <t>VERIFIED_OK</t>
        </is>
      </c>
      <c r="S80" t="n">
        <v>71.51000000000001</v>
      </c>
      <c r="T80" t="inlineStr">
        <is>
          <t>30-07-2026 09:42 IST</t>
        </is>
      </c>
    </row>
    <row r="81">
      <c r="A81" t="n">
        <v>24</v>
      </c>
      <c r="B81" t="n">
        <v>500143</v>
      </c>
      <c r="C81" t="inlineStr">
        <is>
          <t>GTL Ltd</t>
        </is>
      </c>
      <c r="D81" t="n">
        <v>2015</v>
      </c>
      <c r="E81" t="n">
        <v>1003.599975585938</v>
      </c>
      <c r="F81" t="n">
        <v>-0.16</v>
      </c>
      <c r="G81" t="inlineStr">
        <is>
          <t>Consolidated first (v4) – needs verification for flagged rows</t>
        </is>
      </c>
      <c r="H81" t="n">
        <v>22.20000076293945</v>
      </c>
      <c r="I81" t="n">
        <v>7.130000114440918</v>
      </c>
      <c r="L81" t="inlineStr">
        <is>
          <t>UNVERIFIED – tiny EPS &lt;0.5</t>
        </is>
      </c>
      <c r="M81" t="n">
        <v>-138.75</v>
      </c>
      <c r="N81" t="n">
        <v>-44.56</v>
      </c>
      <c r="O81" t="n">
        <v>185.6</v>
      </c>
      <c r="P81" t="n">
        <v>393.4</v>
      </c>
      <c r="Q81" t="n">
        <v>97.75</v>
      </c>
      <c r="R81" s="3" t="inlineStr">
        <is>
          <t>MISMATCH_NEEDS_CORRECTION</t>
        </is>
      </c>
      <c r="S81" t="n">
        <v>185.6</v>
      </c>
      <c r="T81" t="inlineStr">
        <is>
          <t>30-07-2026 09:42 IST</t>
        </is>
      </c>
    </row>
    <row r="82">
      <c r="A82" t="n">
        <v>24</v>
      </c>
      <c r="B82" t="n">
        <v>500143</v>
      </c>
      <c r="C82" t="inlineStr">
        <is>
          <t>GTL Ltd</t>
        </is>
      </c>
      <c r="D82" t="n">
        <v>2016</v>
      </c>
      <c r="E82" t="n">
        <v>1003.599975585938</v>
      </c>
      <c r="F82" t="n">
        <v>21.53</v>
      </c>
      <c r="G82" t="inlineStr">
        <is>
          <t>Consolidated first (v4) – needs verification for flagged rows</t>
        </is>
      </c>
      <c r="H82" t="n">
        <v>41.29999923706055</v>
      </c>
      <c r="I82" t="n">
        <v>14.25</v>
      </c>
      <c r="L82" t="inlineStr">
        <is>
          <t>OK</t>
        </is>
      </c>
      <c r="M82" t="n">
        <v>1.92</v>
      </c>
      <c r="N82" t="n">
        <v>0.66</v>
      </c>
      <c r="O82" t="n">
        <v>185.6</v>
      </c>
      <c r="P82" t="n">
        <v>393.4</v>
      </c>
      <c r="Q82" t="n">
        <v>97.75</v>
      </c>
      <c r="R82" s="3" t="inlineStr">
        <is>
          <t>MISMATCH_NEEDS_CORRECTION</t>
        </is>
      </c>
      <c r="S82" t="n">
        <v>185.6</v>
      </c>
      <c r="T82" t="inlineStr">
        <is>
          <t>30-07-2026 09:42 IST</t>
        </is>
      </c>
    </row>
    <row r="83">
      <c r="A83" t="n">
        <v>24</v>
      </c>
      <c r="B83" t="n">
        <v>500143</v>
      </c>
      <c r="C83" t="inlineStr">
        <is>
          <t>GTL Ltd</t>
        </is>
      </c>
      <c r="D83" t="n">
        <v>2017</v>
      </c>
      <c r="E83" t="n">
        <v>1003.599975585938</v>
      </c>
      <c r="F83" t="n">
        <v>-0.16</v>
      </c>
      <c r="G83" t="inlineStr">
        <is>
          <t>Consolidated first (v4) – needs verification for flagged rows</t>
        </is>
      </c>
      <c r="H83" t="n">
        <v>53.65000152587891</v>
      </c>
      <c r="I83" t="n">
        <v>24.79999923706055</v>
      </c>
      <c r="L83" t="inlineStr">
        <is>
          <t>UNVERIFIED – negative EPS</t>
        </is>
      </c>
      <c r="M83" t="n">
        <v>-335.31</v>
      </c>
      <c r="N83" t="n">
        <v>-155</v>
      </c>
      <c r="O83" t="n">
        <v>185.6</v>
      </c>
      <c r="P83" t="n">
        <v>393.4</v>
      </c>
      <c r="Q83" t="n">
        <v>97.75</v>
      </c>
      <c r="R83" s="3" t="inlineStr">
        <is>
          <t>MISMATCH_NEEDS_CORRECTION</t>
        </is>
      </c>
      <c r="S83" t="n">
        <v>185.6</v>
      </c>
      <c r="T83" t="inlineStr">
        <is>
          <t>30-07-2026 09:42 IST</t>
        </is>
      </c>
    </row>
    <row r="84">
      <c r="A84" t="n">
        <v>24</v>
      </c>
      <c r="B84" t="n">
        <v>500143</v>
      </c>
      <c r="C84" t="inlineStr">
        <is>
          <t>GTL Ltd</t>
        </is>
      </c>
      <c r="D84" t="n">
        <v>2018</v>
      </c>
      <c r="E84" t="n">
        <v>1003.599975585938</v>
      </c>
      <c r="F84" t="n">
        <v>5.63</v>
      </c>
      <c r="G84" t="inlineStr">
        <is>
          <t>Consolidated first (v4) – needs verification for flagged rows</t>
        </is>
      </c>
      <c r="H84" t="n">
        <v>44.84999847412109</v>
      </c>
      <c r="I84" t="n">
        <v>17.85000038146973</v>
      </c>
      <c r="L84" t="inlineStr">
        <is>
          <t>OK</t>
        </is>
      </c>
      <c r="M84" t="n">
        <v>7.97</v>
      </c>
      <c r="N84" t="n">
        <v>3.17</v>
      </c>
      <c r="O84" t="n">
        <v>185.6</v>
      </c>
      <c r="P84" t="n">
        <v>393.4</v>
      </c>
      <c r="Q84" t="n">
        <v>97.75</v>
      </c>
      <c r="R84" s="3" t="inlineStr">
        <is>
          <t>MISMATCH_NEEDS_CORRECTION</t>
        </is>
      </c>
      <c r="S84" t="n">
        <v>185.6</v>
      </c>
      <c r="T84" t="inlineStr">
        <is>
          <t>30-07-2026 09:42 IST</t>
        </is>
      </c>
    </row>
    <row r="85">
      <c r="A85" t="n">
        <v>24</v>
      </c>
      <c r="B85" t="n">
        <v>500143</v>
      </c>
      <c r="C85" t="inlineStr">
        <is>
          <t>GTL Ltd</t>
        </is>
      </c>
      <c r="D85" t="n">
        <v>2019</v>
      </c>
      <c r="E85" t="n">
        <v>1003.599975585938</v>
      </c>
      <c r="F85" t="n">
        <v>-1.47</v>
      </c>
      <c r="G85" t="inlineStr">
        <is>
          <t>Consolidated first (v4) – needs verification for flagged rows</t>
        </is>
      </c>
      <c r="H85" t="n">
        <v>17.85000038146973</v>
      </c>
      <c r="I85" t="n">
        <v>8.850000381469727</v>
      </c>
      <c r="L85" t="inlineStr">
        <is>
          <t>UNVERIFIED – negative EPS</t>
        </is>
      </c>
      <c r="M85" t="n">
        <v>-12.14</v>
      </c>
      <c r="N85" t="n">
        <v>-6.02</v>
      </c>
      <c r="O85" t="n">
        <v>185.6</v>
      </c>
      <c r="P85" t="n">
        <v>393.4</v>
      </c>
      <c r="Q85" t="n">
        <v>97.75</v>
      </c>
      <c r="R85" s="3" t="inlineStr">
        <is>
          <t>MISMATCH_NEEDS_CORRECTION</t>
        </is>
      </c>
      <c r="S85" t="n">
        <v>185.6</v>
      </c>
      <c r="T85" t="inlineStr">
        <is>
          <t>30-07-2026 09:42 IST</t>
        </is>
      </c>
    </row>
    <row r="86">
      <c r="A86" t="n">
        <v>24</v>
      </c>
      <c r="B86" t="n">
        <v>500143</v>
      </c>
      <c r="C86" t="inlineStr">
        <is>
          <t>GTL Ltd</t>
        </is>
      </c>
      <c r="D86" t="n">
        <v>2020</v>
      </c>
      <c r="E86" t="n">
        <v>1003.599975585938</v>
      </c>
      <c r="F86" t="n">
        <v>-8.9</v>
      </c>
      <c r="G86" t="inlineStr">
        <is>
          <t>Consolidated first (v4) – needs verification for flagged rows</t>
        </is>
      </c>
      <c r="H86" t="n">
        <v>26.20000076293945</v>
      </c>
      <c r="I86" t="n">
        <v>9.25</v>
      </c>
      <c r="L86" t="inlineStr">
        <is>
          <t>UNVERIFIED – negative EPS</t>
        </is>
      </c>
      <c r="M86" t="n">
        <v>-2.94</v>
      </c>
      <c r="N86" t="n">
        <v>-1.04</v>
      </c>
      <c r="O86" t="n">
        <v>185.6</v>
      </c>
      <c r="P86" t="n">
        <v>393.4</v>
      </c>
      <c r="Q86" t="n">
        <v>97.75</v>
      </c>
      <c r="R86" s="3" t="inlineStr">
        <is>
          <t>MISMATCH_NEEDS_CORRECTION</t>
        </is>
      </c>
      <c r="S86" t="n">
        <v>185.6</v>
      </c>
      <c r="T86" t="inlineStr">
        <is>
          <t>30-07-2026 09:42 IST</t>
        </is>
      </c>
    </row>
    <row r="87">
      <c r="A87" t="n">
        <v>24</v>
      </c>
      <c r="B87" t="n">
        <v>500143</v>
      </c>
      <c r="C87" t="inlineStr">
        <is>
          <t>GTL Ltd</t>
        </is>
      </c>
      <c r="D87" t="n">
        <v>2021</v>
      </c>
      <c r="E87" t="n">
        <v>1003.599975585938</v>
      </c>
      <c r="F87" t="n">
        <v>34.33</v>
      </c>
      <c r="G87" t="inlineStr">
        <is>
          <t>Consolidated first (v4) – needs verification for flagged rows</t>
        </is>
      </c>
      <c r="H87" t="n">
        <v>151.0500030517578</v>
      </c>
      <c r="I87" t="n">
        <v>17</v>
      </c>
      <c r="L87" t="inlineStr">
        <is>
          <t>OK</t>
        </is>
      </c>
      <c r="M87" t="n">
        <v>4.4</v>
      </c>
      <c r="N87" t="n">
        <v>0.5</v>
      </c>
      <c r="O87" t="n">
        <v>185.6</v>
      </c>
      <c r="P87" t="n">
        <v>393.4</v>
      </c>
      <c r="Q87" t="n">
        <v>97.75</v>
      </c>
      <c r="R87" s="3" t="inlineStr">
        <is>
          <t>MISMATCH_NEEDS_CORRECTION</t>
        </is>
      </c>
      <c r="S87" t="n">
        <v>185.6</v>
      </c>
      <c r="T87" t="inlineStr">
        <is>
          <t>30-07-2026 09:42 IST</t>
        </is>
      </c>
    </row>
    <row r="88">
      <c r="A88" t="n">
        <v>24</v>
      </c>
      <c r="B88" t="n">
        <v>500143</v>
      </c>
      <c r="C88" t="inlineStr">
        <is>
          <t>GTL Ltd</t>
        </is>
      </c>
      <c r="D88" t="n">
        <v>2022</v>
      </c>
      <c r="E88" t="n">
        <v>1003.599975585938</v>
      </c>
      <c r="F88" t="n">
        <v>38.7</v>
      </c>
      <c r="G88" t="inlineStr">
        <is>
          <t>Consolidated first (v4) – needs verification for flagged rows</t>
        </is>
      </c>
      <c r="H88" t="n">
        <v>220.5500030517578</v>
      </c>
      <c r="I88" t="n">
        <v>58</v>
      </c>
      <c r="L88" t="inlineStr">
        <is>
          <t>OK</t>
        </is>
      </c>
      <c r="M88" t="n">
        <v>5.7</v>
      </c>
      <c r="N88" t="n">
        <v>1.5</v>
      </c>
      <c r="O88" t="n">
        <v>185.6</v>
      </c>
      <c r="P88" t="n">
        <v>393.4</v>
      </c>
      <c r="Q88" t="n">
        <v>97.75</v>
      </c>
      <c r="R88" s="3" t="inlineStr">
        <is>
          <t>MISMATCH_NEEDS_CORRECTION</t>
        </is>
      </c>
      <c r="S88" t="n">
        <v>185.6</v>
      </c>
      <c r="T88" t="inlineStr">
        <is>
          <t>30-07-2026 09:42 IST</t>
        </is>
      </c>
    </row>
    <row r="89">
      <c r="A89" t="n">
        <v>24</v>
      </c>
      <c r="B89" t="n">
        <v>500143</v>
      </c>
      <c r="C89" t="inlineStr">
        <is>
          <t>GTL Ltd</t>
        </is>
      </c>
      <c r="D89" t="n">
        <v>2023</v>
      </c>
      <c r="E89" t="n">
        <v>1003.599975585938</v>
      </c>
      <c r="F89" t="n">
        <v>-12.53</v>
      </c>
      <c r="G89" t="inlineStr">
        <is>
          <t>Consolidated first (v4) – needs verification for flagged rows</t>
        </is>
      </c>
      <c r="H89" t="n">
        <v>122.2799987792969</v>
      </c>
      <c r="I89" t="n">
        <v>55.20999908447266</v>
      </c>
      <c r="L89" t="inlineStr">
        <is>
          <t>UNVERIFIED – negative EPS</t>
        </is>
      </c>
      <c r="M89" t="n">
        <v>-9.76</v>
      </c>
      <c r="N89" t="n">
        <v>-4.41</v>
      </c>
      <c r="O89" t="n">
        <v>185.6</v>
      </c>
      <c r="P89" t="n">
        <v>393.4</v>
      </c>
      <c r="Q89" t="n">
        <v>97.75</v>
      </c>
      <c r="R89" s="3" t="inlineStr">
        <is>
          <t>MISMATCH_NEEDS_CORRECTION</t>
        </is>
      </c>
      <c r="S89" t="n">
        <v>185.6</v>
      </c>
      <c r="T89" t="inlineStr">
        <is>
          <t>30-07-2026 09:42 IST</t>
        </is>
      </c>
    </row>
    <row r="90">
      <c r="A90" t="n">
        <v>24</v>
      </c>
      <c r="B90" t="n">
        <v>500143</v>
      </c>
      <c r="C90" t="inlineStr">
        <is>
          <t>GTL Ltd</t>
        </is>
      </c>
      <c r="D90" t="n">
        <v>2024</v>
      </c>
      <c r="E90" t="n">
        <v>1003.599975585938</v>
      </c>
      <c r="F90" t="n">
        <v>67.09999999999999</v>
      </c>
      <c r="G90" t="inlineStr">
        <is>
          <t>Consolidated first (v4) – needs verification for flagged rows</t>
        </is>
      </c>
      <c r="H90" t="n">
        <v>393.3999938964844</v>
      </c>
      <c r="I90" t="n">
        <v>97.75</v>
      </c>
      <c r="L90" t="inlineStr">
        <is>
          <t>OK</t>
        </is>
      </c>
      <c r="M90" t="n">
        <v>5.86</v>
      </c>
      <c r="N90" t="n">
        <v>1.46</v>
      </c>
      <c r="O90" t="n">
        <v>185.6</v>
      </c>
      <c r="P90" t="n">
        <v>393.4</v>
      </c>
      <c r="Q90" t="n">
        <v>97.75</v>
      </c>
      <c r="R90" s="3" t="inlineStr">
        <is>
          <t>MISMATCH_NEEDS_CORRECTION</t>
        </is>
      </c>
      <c r="S90" t="n">
        <v>185.6</v>
      </c>
      <c r="T90" t="inlineStr">
        <is>
          <t>30-07-2026 09:42 IST</t>
        </is>
      </c>
    </row>
    <row r="91">
      <c r="A91" t="n">
        <v>24</v>
      </c>
      <c r="B91" t="n">
        <v>500143</v>
      </c>
      <c r="C91" t="inlineStr">
        <is>
          <t>GTL Ltd</t>
        </is>
      </c>
      <c r="D91" t="n">
        <v>2025</v>
      </c>
      <c r="E91" t="n">
        <v>1003.599975585938</v>
      </c>
      <c r="F91" t="n">
        <v>26.17</v>
      </c>
      <c r="G91" t="inlineStr">
        <is>
          <t>Consolidated first (v4) – needs verification for flagged rows</t>
        </is>
      </c>
      <c r="H91" t="n">
        <v>415.6499938964844</v>
      </c>
      <c r="I91" t="n">
        <v>148.6000061035156</v>
      </c>
      <c r="L91" t="inlineStr">
        <is>
          <t>OK</t>
        </is>
      </c>
      <c r="M91" t="n">
        <v>15.88</v>
      </c>
      <c r="N91" t="n">
        <v>5.68</v>
      </c>
      <c r="O91" t="n">
        <v>185.6</v>
      </c>
      <c r="P91" t="n">
        <v>393.4</v>
      </c>
      <c r="Q91" t="n">
        <v>97.75</v>
      </c>
      <c r="R91" s="3" t="inlineStr">
        <is>
          <t>MISMATCH_NEEDS_CORRECTION</t>
        </is>
      </c>
      <c r="S91" t="n">
        <v>185.6</v>
      </c>
      <c r="T91" t="inlineStr">
        <is>
          <t>30-07-2026 09:42 IST</t>
        </is>
      </c>
    </row>
    <row r="92">
      <c r="A92" t="n">
        <v>24</v>
      </c>
      <c r="B92" t="n">
        <v>500143</v>
      </c>
      <c r="C92" t="inlineStr">
        <is>
          <t>GTL Ltd</t>
        </is>
      </c>
      <c r="D92" t="n">
        <v>2026</v>
      </c>
      <c r="E92" t="n">
        <v>1003.599975585938</v>
      </c>
      <c r="F92" t="n">
        <v>10.8</v>
      </c>
      <c r="G92" t="inlineStr">
        <is>
          <t>Consolidated first (v4) – needs verification for flagged rows</t>
        </is>
      </c>
      <c r="H92" t="n">
        <v>1035</v>
      </c>
      <c r="I92" t="n">
        <v>430.2999877929688</v>
      </c>
      <c r="L92" t="inlineStr">
        <is>
          <t>OK</t>
        </is>
      </c>
      <c r="M92" t="n">
        <v>95.83</v>
      </c>
      <c r="N92" t="n">
        <v>39.84</v>
      </c>
      <c r="O92" t="n">
        <v>185.6</v>
      </c>
      <c r="P92" t="n">
        <v>393.4</v>
      </c>
      <c r="Q92" t="n">
        <v>97.75</v>
      </c>
      <c r="R92" s="3" t="inlineStr">
        <is>
          <t>MISMATCH_NEEDS_CORRECTION</t>
        </is>
      </c>
      <c r="S92" t="n">
        <v>185.6</v>
      </c>
      <c r="T92" t="inlineStr">
        <is>
          <t>30-07-2026 09:42 IST</t>
        </is>
      </c>
    </row>
    <row r="93">
      <c r="A93" t="n">
        <v>25</v>
      </c>
      <c r="B93" t="n">
        <v>500147</v>
      </c>
      <c r="C93" t="inlineStr">
        <is>
          <t>Usha Martin Ltd</t>
        </is>
      </c>
      <c r="D93" t="n">
        <v>2015</v>
      </c>
      <c r="E93" t="n">
        <v>8848.5</v>
      </c>
      <c r="F93" t="n">
        <v>3.42</v>
      </c>
      <c r="G93" t="inlineStr">
        <is>
          <t>Consolidated first (v4) – needs verification for flagged rows</t>
        </is>
      </c>
      <c r="H93" t="n">
        <v>557</v>
      </c>
      <c r="I93" t="n">
        <v>340</v>
      </c>
      <c r="L93" t="inlineStr">
        <is>
          <t>INCOMPLETE</t>
        </is>
      </c>
      <c r="M93" t="n">
        <v>162.87</v>
      </c>
      <c r="N93" t="n">
        <v>99.42</v>
      </c>
      <c r="O93" t="n">
        <v>5760.95</v>
      </c>
      <c r="P93" t="n">
        <v>6443</v>
      </c>
      <c r="Q93" t="n">
        <v>3051.25</v>
      </c>
      <c r="R93" s="3" t="inlineStr">
        <is>
          <t>MISMATCH_NEEDS_CORRECTION</t>
        </is>
      </c>
      <c r="S93" t="n">
        <v>5760.95</v>
      </c>
      <c r="T93" t="inlineStr">
        <is>
          <t>30-07-2026 09:42 IST</t>
        </is>
      </c>
    </row>
    <row r="94">
      <c r="A94" t="n">
        <v>25</v>
      </c>
      <c r="B94" t="n">
        <v>500147</v>
      </c>
      <c r="C94" t="inlineStr">
        <is>
          <t>Usha Martin Ltd</t>
        </is>
      </c>
      <c r="D94" t="n">
        <v>2016</v>
      </c>
      <c r="E94" t="n">
        <v>8848.5</v>
      </c>
      <c r="F94" t="n">
        <v>26.57</v>
      </c>
      <c r="G94" t="inlineStr">
        <is>
          <t>Consolidated first (v4) – needs verification for flagged rows</t>
        </is>
      </c>
      <c r="H94" t="n">
        <v>557</v>
      </c>
      <c r="I94" t="n">
        <v>345.2000122070312</v>
      </c>
      <c r="L94" t="inlineStr">
        <is>
          <t>OK</t>
        </is>
      </c>
      <c r="M94" t="n">
        <v>20.96</v>
      </c>
      <c r="N94" t="n">
        <v>12.99</v>
      </c>
      <c r="O94" t="n">
        <v>5760.95</v>
      </c>
      <c r="P94" t="n">
        <v>6443</v>
      </c>
      <c r="Q94" t="n">
        <v>3051.25</v>
      </c>
      <c r="R94" s="3" t="inlineStr">
        <is>
          <t>MISMATCH_NEEDS_CORRECTION</t>
        </is>
      </c>
      <c r="S94" t="n">
        <v>5760.95</v>
      </c>
      <c r="T94" t="inlineStr">
        <is>
          <t>30-07-2026 09:42 IST</t>
        </is>
      </c>
    </row>
    <row r="95">
      <c r="A95" t="n">
        <v>25</v>
      </c>
      <c r="B95" t="n">
        <v>500147</v>
      </c>
      <c r="C95" t="inlineStr">
        <is>
          <t>Usha Martin Ltd</t>
        </is>
      </c>
      <c r="D95" t="n">
        <v>2017</v>
      </c>
      <c r="E95" t="n">
        <v>8848.5</v>
      </c>
      <c r="F95" t="n">
        <v>11.73</v>
      </c>
      <c r="G95" t="inlineStr">
        <is>
          <t>Consolidated first (v4) – needs verification for flagged rows</t>
        </is>
      </c>
      <c r="H95" t="n">
        <v>1360</v>
      </c>
      <c r="I95" t="n">
        <v>408.5</v>
      </c>
      <c r="L95" t="inlineStr">
        <is>
          <t>OK</t>
        </is>
      </c>
      <c r="M95" t="n">
        <v>115.94</v>
      </c>
      <c r="N95" t="n">
        <v>34.83</v>
      </c>
      <c r="O95" t="n">
        <v>5760.95</v>
      </c>
      <c r="P95" t="n">
        <v>6443</v>
      </c>
      <c r="Q95" t="n">
        <v>3051.25</v>
      </c>
      <c r="R95" s="3" t="inlineStr">
        <is>
          <t>MISMATCH_NEEDS_CORRECTION</t>
        </is>
      </c>
      <c r="S95" t="n">
        <v>5760.95</v>
      </c>
      <c r="T95" t="inlineStr">
        <is>
          <t>30-07-2026 09:42 IST</t>
        </is>
      </c>
    </row>
    <row r="96">
      <c r="A96" t="n">
        <v>25</v>
      </c>
      <c r="B96" t="n">
        <v>500147</v>
      </c>
      <c r="C96" t="inlineStr">
        <is>
          <t>Usha Martin Ltd</t>
        </is>
      </c>
      <c r="D96" t="n">
        <v>2018</v>
      </c>
      <c r="E96" t="n">
        <v>8848.5</v>
      </c>
      <c r="F96" t="n">
        <v>13.61</v>
      </c>
      <c r="G96" t="inlineStr">
        <is>
          <t>Consolidated first (v4) – needs verification for flagged rows</t>
        </is>
      </c>
      <c r="H96" t="n">
        <v>1389</v>
      </c>
      <c r="I96" t="n">
        <v>627.0999755859375</v>
      </c>
      <c r="L96" t="inlineStr">
        <is>
          <t>OK</t>
        </is>
      </c>
      <c r="M96" t="n">
        <v>102.06</v>
      </c>
      <c r="N96" t="n">
        <v>46.08</v>
      </c>
      <c r="O96" t="n">
        <v>5760.95</v>
      </c>
      <c r="P96" t="n">
        <v>6443</v>
      </c>
      <c r="Q96" t="n">
        <v>3051.25</v>
      </c>
      <c r="R96" s="3" t="inlineStr">
        <is>
          <t>MISMATCH_NEEDS_CORRECTION</t>
        </is>
      </c>
      <c r="S96" t="n">
        <v>5760.95</v>
      </c>
      <c r="T96" t="inlineStr">
        <is>
          <t>30-07-2026 09:42 IST</t>
        </is>
      </c>
    </row>
    <row r="97">
      <c r="A97" t="n">
        <v>25</v>
      </c>
      <c r="B97" t="n">
        <v>500147</v>
      </c>
      <c r="C97" t="inlineStr">
        <is>
          <t>Usha Martin Ltd</t>
        </is>
      </c>
      <c r="D97" t="n">
        <v>2019</v>
      </c>
      <c r="E97" t="n">
        <v>8848.5</v>
      </c>
      <c r="F97" t="n">
        <v>71.08</v>
      </c>
      <c r="G97" t="inlineStr">
        <is>
          <t>Consolidated first (v4) – needs verification for flagged rows</t>
        </is>
      </c>
      <c r="H97" t="n">
        <v>1439.75</v>
      </c>
      <c r="I97" t="n">
        <v>740</v>
      </c>
      <c r="L97" t="inlineStr">
        <is>
          <t>OK</t>
        </is>
      </c>
      <c r="M97" t="n">
        <v>20.26</v>
      </c>
      <c r="N97" t="n">
        <v>10.41</v>
      </c>
      <c r="O97" t="n">
        <v>5760.95</v>
      </c>
      <c r="P97" t="n">
        <v>6443</v>
      </c>
      <c r="Q97" t="n">
        <v>3051.25</v>
      </c>
      <c r="R97" s="3" t="inlineStr">
        <is>
          <t>MISMATCH_NEEDS_CORRECTION</t>
        </is>
      </c>
      <c r="S97" t="n">
        <v>5760.95</v>
      </c>
      <c r="T97" t="inlineStr">
        <is>
          <t>30-07-2026 09:42 IST</t>
        </is>
      </c>
    </row>
    <row r="98">
      <c r="A98" t="n">
        <v>25</v>
      </c>
      <c r="B98" t="n">
        <v>500147</v>
      </c>
      <c r="C98" t="inlineStr">
        <is>
          <t>Usha Martin Ltd</t>
        </is>
      </c>
      <c r="D98" t="n">
        <v>2020</v>
      </c>
      <c r="E98" t="n">
        <v>8848.5</v>
      </c>
      <c r="F98" t="n">
        <v>48.1</v>
      </c>
      <c r="G98" t="inlineStr">
        <is>
          <t>Consolidated first (v4) – needs verification for flagged rows</t>
        </is>
      </c>
      <c r="H98" t="n">
        <v>1050</v>
      </c>
      <c r="I98" t="n">
        <v>340</v>
      </c>
      <c r="L98" t="inlineStr">
        <is>
          <t>OK</t>
        </is>
      </c>
      <c r="M98" t="n">
        <v>21.83</v>
      </c>
      <c r="N98" t="n">
        <v>7.07</v>
      </c>
      <c r="O98" t="n">
        <v>5760.95</v>
      </c>
      <c r="P98" t="n">
        <v>6443</v>
      </c>
      <c r="Q98" t="n">
        <v>3051.25</v>
      </c>
      <c r="R98" s="3" t="inlineStr">
        <is>
          <t>MISMATCH_NEEDS_CORRECTION</t>
        </is>
      </c>
      <c r="S98" t="n">
        <v>5760.95</v>
      </c>
      <c r="T98" t="inlineStr">
        <is>
          <t>30-07-2026 09:42 IST</t>
        </is>
      </c>
    </row>
    <row r="99">
      <c r="A99" t="n">
        <v>25</v>
      </c>
      <c r="B99" t="n">
        <v>500147</v>
      </c>
      <c r="C99" t="inlineStr">
        <is>
          <t>Usha Martin Ltd</t>
        </is>
      </c>
      <c r="D99" t="n">
        <v>2021</v>
      </c>
      <c r="E99" t="n">
        <v>8848.5</v>
      </c>
      <c r="F99" t="n">
        <v>-58.85</v>
      </c>
      <c r="G99" t="inlineStr">
        <is>
          <t>Consolidated first (v4) – needs verification for flagged rows</t>
        </is>
      </c>
      <c r="H99" t="n">
        <v>1472.949951171875</v>
      </c>
      <c r="I99" t="n">
        <v>750</v>
      </c>
      <c r="L99" t="inlineStr">
        <is>
          <t>UNVERIFIED – negative EPS</t>
        </is>
      </c>
      <c r="M99" t="n">
        <v>-25.03</v>
      </c>
      <c r="N99" t="n">
        <v>-12.74</v>
      </c>
      <c r="O99" t="n">
        <v>5760.95</v>
      </c>
      <c r="P99" t="n">
        <v>6443</v>
      </c>
      <c r="Q99" t="n">
        <v>3051.25</v>
      </c>
      <c r="R99" s="3" t="inlineStr">
        <is>
          <t>MISMATCH_NEEDS_CORRECTION</t>
        </is>
      </c>
      <c r="S99" t="n">
        <v>5760.95</v>
      </c>
      <c r="T99" t="inlineStr">
        <is>
          <t>30-07-2026 09:42 IST</t>
        </is>
      </c>
    </row>
    <row r="100">
      <c r="A100" t="n">
        <v>25</v>
      </c>
      <c r="B100" t="n">
        <v>500147</v>
      </c>
      <c r="C100" t="inlineStr">
        <is>
          <t>Usha Martin Ltd</t>
        </is>
      </c>
      <c r="D100" t="n">
        <v>2022</v>
      </c>
      <c r="E100" t="n">
        <v>8848.5</v>
      </c>
      <c r="F100" t="n">
        <v>9.4</v>
      </c>
      <c r="G100" t="inlineStr">
        <is>
          <t>Consolidated first (v4) – needs verification for flagged rows</t>
        </is>
      </c>
      <c r="H100" t="n">
        <v>1835</v>
      </c>
      <c r="I100" t="n">
        <v>1000</v>
      </c>
      <c r="L100" t="inlineStr">
        <is>
          <t>OK</t>
        </is>
      </c>
      <c r="M100" t="n">
        <v>195.21</v>
      </c>
      <c r="N100" t="n">
        <v>106.38</v>
      </c>
      <c r="O100" t="n">
        <v>5760.95</v>
      </c>
      <c r="P100" t="n">
        <v>6443</v>
      </c>
      <c r="Q100" t="n">
        <v>3051.25</v>
      </c>
      <c r="R100" s="3" t="inlineStr">
        <is>
          <t>MISMATCH_NEEDS_CORRECTION</t>
        </is>
      </c>
      <c r="S100" t="n">
        <v>5760.95</v>
      </c>
      <c r="T100" t="inlineStr">
        <is>
          <t>30-07-2026 09:42 IST</t>
        </is>
      </c>
    </row>
    <row r="101">
      <c r="A101" t="n">
        <v>25</v>
      </c>
      <c r="B101" t="n">
        <v>500147</v>
      </c>
      <c r="C101" t="inlineStr">
        <is>
          <t>Usha Martin Ltd</t>
        </is>
      </c>
      <c r="D101" t="n">
        <v>2023</v>
      </c>
      <c r="E101" t="n">
        <v>8848.5</v>
      </c>
      <c r="F101" t="n">
        <v>43.83</v>
      </c>
      <c r="G101" t="inlineStr">
        <is>
          <t>Consolidated first (v4) – needs verification for flagged rows</t>
        </is>
      </c>
      <c r="H101" t="n">
        <v>3290</v>
      </c>
      <c r="I101" t="n">
        <v>1266.050048828125</v>
      </c>
      <c r="L101" t="inlineStr">
        <is>
          <t>OK</t>
        </is>
      </c>
      <c r="M101" t="n">
        <v>75.06</v>
      </c>
      <c r="N101" t="n">
        <v>28.89</v>
      </c>
      <c r="O101" t="n">
        <v>5760.95</v>
      </c>
      <c r="P101" t="n">
        <v>6443</v>
      </c>
      <c r="Q101" t="n">
        <v>3051.25</v>
      </c>
      <c r="R101" s="3" t="inlineStr">
        <is>
          <t>MISMATCH_NEEDS_CORRECTION</t>
        </is>
      </c>
      <c r="S101" t="n">
        <v>5760.95</v>
      </c>
      <c r="T101" t="inlineStr">
        <is>
          <t>30-07-2026 09:42 IST</t>
        </is>
      </c>
    </row>
    <row r="102">
      <c r="A102" t="n">
        <v>25</v>
      </c>
      <c r="B102" t="n">
        <v>500147</v>
      </c>
      <c r="C102" t="inlineStr">
        <is>
          <t>Usha Martin Ltd</t>
        </is>
      </c>
      <c r="D102" t="n">
        <v>2024</v>
      </c>
      <c r="E102" t="n">
        <v>8848.5</v>
      </c>
      <c r="F102" t="n">
        <v>-10.9</v>
      </c>
      <c r="G102" t="inlineStr">
        <is>
          <t>Consolidated first (v4) – needs verification for flagged rows</t>
        </is>
      </c>
      <c r="H102" t="n">
        <v>6443</v>
      </c>
      <c r="I102" t="n">
        <v>2910</v>
      </c>
      <c r="L102" t="inlineStr">
        <is>
          <t>UNVERIFIED – negative EPS</t>
        </is>
      </c>
      <c r="M102" t="n">
        <v>-591.1</v>
      </c>
      <c r="N102" t="n">
        <v>-266.97</v>
      </c>
      <c r="O102" t="n">
        <v>5760.95</v>
      </c>
      <c r="P102" t="n">
        <v>6443</v>
      </c>
      <c r="Q102" t="n">
        <v>3051.25</v>
      </c>
      <c r="R102" s="3" t="inlineStr">
        <is>
          <t>MISMATCH_NEEDS_CORRECTION</t>
        </is>
      </c>
      <c r="S102" t="n">
        <v>5760.95</v>
      </c>
      <c r="T102" t="inlineStr">
        <is>
          <t>30-07-2026 09:42 IST</t>
        </is>
      </c>
    </row>
    <row r="103">
      <c r="A103" t="n">
        <v>25</v>
      </c>
      <c r="B103" t="n">
        <v>500147</v>
      </c>
      <c r="C103" t="inlineStr">
        <is>
          <t>Usha Martin Ltd</t>
        </is>
      </c>
      <c r="D103" t="n">
        <v>2025</v>
      </c>
      <c r="E103" t="n">
        <v>8848.5</v>
      </c>
      <c r="F103" t="n">
        <v>20.88</v>
      </c>
      <c r="G103" t="inlineStr">
        <is>
          <t>Consolidated first (v4) – needs verification for flagged rows</t>
        </is>
      </c>
      <c r="H103" t="n">
        <v>6660</v>
      </c>
      <c r="I103" t="n">
        <v>2383</v>
      </c>
      <c r="L103" t="inlineStr">
        <is>
          <t>OK</t>
        </is>
      </c>
      <c r="M103" t="n">
        <v>318.97</v>
      </c>
      <c r="N103" t="n">
        <v>114.13</v>
      </c>
      <c r="O103" t="n">
        <v>5760.95</v>
      </c>
      <c r="P103" t="n">
        <v>6443</v>
      </c>
      <c r="Q103" t="n">
        <v>3051.25</v>
      </c>
      <c r="R103" s="3" t="inlineStr">
        <is>
          <t>MISMATCH_NEEDS_CORRECTION</t>
        </is>
      </c>
      <c r="S103" t="n">
        <v>5760.95</v>
      </c>
      <c r="T103" t="inlineStr">
        <is>
          <t>30-07-2026 09:42 IST</t>
        </is>
      </c>
    </row>
    <row r="104">
      <c r="A104" t="n">
        <v>25</v>
      </c>
      <c r="B104" t="n">
        <v>500147</v>
      </c>
      <c r="C104" t="inlineStr">
        <is>
          <t>Usha Martin Ltd</t>
        </is>
      </c>
      <c r="D104" t="n">
        <v>2026</v>
      </c>
      <c r="E104" t="n">
        <v>8848.5</v>
      </c>
      <c r="F104" t="n">
        <v>3.49</v>
      </c>
      <c r="G104" t="inlineStr">
        <is>
          <t>Consolidated first (v4) – needs verification for flagged rows</t>
        </is>
      </c>
      <c r="H104" t="n">
        <v>10846.150390625</v>
      </c>
      <c r="I104" t="n">
        <v>4051.300048828125</v>
      </c>
      <c r="L104" t="inlineStr">
        <is>
          <t>INCOMPLETE</t>
        </is>
      </c>
      <c r="M104" t="n">
        <v>3107.78</v>
      </c>
      <c r="N104" t="n">
        <v>1160.83</v>
      </c>
      <c r="O104" t="n">
        <v>5760.95</v>
      </c>
      <c r="P104" t="n">
        <v>6443</v>
      </c>
      <c r="Q104" t="n">
        <v>3051.25</v>
      </c>
      <c r="R104" s="3" t="inlineStr">
        <is>
          <t>MISMATCH_NEEDS_CORRECTION</t>
        </is>
      </c>
      <c r="S104" t="n">
        <v>5760.95</v>
      </c>
      <c r="T104" t="inlineStr">
        <is>
          <t>30-07-2026 09:42 IST</t>
        </is>
      </c>
    </row>
    <row r="105">
      <c r="A105" t="n">
        <v>27</v>
      </c>
      <c r="B105" t="n">
        <v>500170</v>
      </c>
      <c r="C105" t="inlineStr">
        <is>
          <t>National Chemicals</t>
        </is>
      </c>
      <c r="D105" t="n">
        <v>2015</v>
      </c>
      <c r="E105" t="n">
        <v>24.97999954223633</v>
      </c>
      <c r="F105" t="n">
        <v>-7.15</v>
      </c>
      <c r="G105" t="inlineStr">
        <is>
          <t>Consolidated first (v4) – needs verification for flagged rows</t>
        </is>
      </c>
      <c r="H105" t="n">
        <v>14.89999961853027</v>
      </c>
      <c r="I105" t="n">
        <v>8.100000381469727</v>
      </c>
      <c r="L105" t="inlineStr">
        <is>
          <t>UNVERIFIED – negative EPS</t>
        </is>
      </c>
      <c r="M105" t="n">
        <v>-2.08</v>
      </c>
      <c r="N105" t="n">
        <v>-1.13</v>
      </c>
      <c r="O105" t="n">
        <v>33.81</v>
      </c>
      <c r="P105" t="n">
        <v>52.49</v>
      </c>
      <c r="Q105" t="n">
        <v>29.43</v>
      </c>
      <c r="R105" s="3" t="inlineStr">
        <is>
          <t>MISMATCH_NEEDS_CORRECTION</t>
        </is>
      </c>
      <c r="S105" t="n">
        <v>33.81</v>
      </c>
      <c r="T105" t="inlineStr">
        <is>
          <t>30-07-2026 09:42 IST</t>
        </is>
      </c>
    </row>
    <row r="106">
      <c r="A106" t="n">
        <v>27</v>
      </c>
      <c r="B106" t="n">
        <v>500170</v>
      </c>
      <c r="C106" t="inlineStr">
        <is>
          <t>National Chemicals</t>
        </is>
      </c>
      <c r="D106" t="n">
        <v>2016</v>
      </c>
      <c r="E106" t="n">
        <v>24.97999954223633</v>
      </c>
      <c r="F106" t="n">
        <v>-2.52</v>
      </c>
      <c r="G106" t="inlineStr">
        <is>
          <t>Consolidated first (v4) – needs verification for flagged rows</t>
        </is>
      </c>
      <c r="H106" t="n">
        <v>24.64999961853027</v>
      </c>
      <c r="I106" t="n">
        <v>9.149999618530273</v>
      </c>
      <c r="L106" t="inlineStr">
        <is>
          <t>UNVERIFIED – negative EPS</t>
        </is>
      </c>
      <c r="M106" t="n">
        <v>-9.779999999999999</v>
      </c>
      <c r="N106" t="n">
        <v>-3.63</v>
      </c>
      <c r="O106" t="n">
        <v>33.81</v>
      </c>
      <c r="P106" t="n">
        <v>52.49</v>
      </c>
      <c r="Q106" t="n">
        <v>29.43</v>
      </c>
      <c r="R106" s="3" t="inlineStr">
        <is>
          <t>MISMATCH_NEEDS_CORRECTION</t>
        </is>
      </c>
      <c r="S106" t="n">
        <v>33.81</v>
      </c>
      <c r="T106" t="inlineStr">
        <is>
          <t>30-07-2026 09:42 IST</t>
        </is>
      </c>
    </row>
    <row r="107">
      <c r="A107" t="n">
        <v>27</v>
      </c>
      <c r="B107" t="n">
        <v>500170</v>
      </c>
      <c r="C107" t="inlineStr">
        <is>
          <t>National Chemicals</t>
        </is>
      </c>
      <c r="D107" t="n">
        <v>2017</v>
      </c>
      <c r="E107" t="n">
        <v>24.97999954223633</v>
      </c>
      <c r="F107" t="n">
        <v>-2.69</v>
      </c>
      <c r="G107" t="inlineStr">
        <is>
          <t>Consolidated first (v4) – needs verification for flagged rows</t>
        </is>
      </c>
      <c r="H107" t="n">
        <v>26.25</v>
      </c>
      <c r="I107" t="n">
        <v>13.5</v>
      </c>
      <c r="L107" t="inlineStr">
        <is>
          <t>UNVERIFIED – negative EPS</t>
        </is>
      </c>
      <c r="M107" t="n">
        <v>-9.76</v>
      </c>
      <c r="N107" t="n">
        <v>-5.02</v>
      </c>
      <c r="O107" t="n">
        <v>33.81</v>
      </c>
      <c r="P107" t="n">
        <v>52.49</v>
      </c>
      <c r="Q107" t="n">
        <v>29.43</v>
      </c>
      <c r="R107" s="3" t="inlineStr">
        <is>
          <t>MISMATCH_NEEDS_CORRECTION</t>
        </is>
      </c>
      <c r="S107" t="n">
        <v>33.81</v>
      </c>
      <c r="T107" t="inlineStr">
        <is>
          <t>30-07-2026 09:42 IST</t>
        </is>
      </c>
    </row>
    <row r="108">
      <c r="A108" t="n">
        <v>27</v>
      </c>
      <c r="B108" t="n">
        <v>500170</v>
      </c>
      <c r="C108" t="inlineStr">
        <is>
          <t>National Chemicals</t>
        </is>
      </c>
      <c r="D108" t="n">
        <v>2018</v>
      </c>
      <c r="E108" t="n">
        <v>24.97999954223633</v>
      </c>
      <c r="F108" t="n">
        <v>-3.56</v>
      </c>
      <c r="G108" t="inlineStr">
        <is>
          <t>Consolidated first (v4) – needs verification for flagged rows</t>
        </is>
      </c>
      <c r="H108" t="n">
        <v>24.45000076293945</v>
      </c>
      <c r="I108" t="n">
        <v>8.399999618530273</v>
      </c>
      <c r="L108" t="inlineStr">
        <is>
          <t>UNVERIFIED – negative EPS</t>
        </is>
      </c>
      <c r="M108" t="n">
        <v>-6.87</v>
      </c>
      <c r="N108" t="n">
        <v>-2.36</v>
      </c>
      <c r="O108" t="n">
        <v>33.81</v>
      </c>
      <c r="P108" t="n">
        <v>52.49</v>
      </c>
      <c r="Q108" t="n">
        <v>29.43</v>
      </c>
      <c r="R108" s="3" t="inlineStr">
        <is>
          <t>MISMATCH_NEEDS_CORRECTION</t>
        </is>
      </c>
      <c r="S108" t="n">
        <v>33.81</v>
      </c>
      <c r="T108" t="inlineStr">
        <is>
          <t>30-07-2026 09:42 IST</t>
        </is>
      </c>
    </row>
    <row r="109">
      <c r="A109" t="n">
        <v>27</v>
      </c>
      <c r="B109" t="n">
        <v>500170</v>
      </c>
      <c r="C109" t="inlineStr">
        <is>
          <t>National Chemicals</t>
        </is>
      </c>
      <c r="D109" t="n">
        <v>2019</v>
      </c>
      <c r="E109" t="n">
        <v>24.97999954223633</v>
      </c>
      <c r="F109" t="n">
        <v>-4.76</v>
      </c>
      <c r="G109" t="inlineStr">
        <is>
          <t>Consolidated first (v4) – needs verification for flagged rows</t>
        </is>
      </c>
      <c r="H109" t="n">
        <v>12.48999977111816</v>
      </c>
      <c r="I109" t="n">
        <v>5.380000114440918</v>
      </c>
      <c r="L109" t="inlineStr">
        <is>
          <t>UNVERIFIED – negative EPS</t>
        </is>
      </c>
      <c r="M109" t="n">
        <v>-2.62</v>
      </c>
      <c r="N109" t="n">
        <v>-1.13</v>
      </c>
      <c r="O109" t="n">
        <v>33.81</v>
      </c>
      <c r="P109" t="n">
        <v>52.49</v>
      </c>
      <c r="Q109" t="n">
        <v>29.43</v>
      </c>
      <c r="R109" s="3" t="inlineStr">
        <is>
          <t>MISMATCH_NEEDS_CORRECTION</t>
        </is>
      </c>
      <c r="S109" t="n">
        <v>33.81</v>
      </c>
      <c r="T109" t="inlineStr">
        <is>
          <t>30-07-2026 09:42 IST</t>
        </is>
      </c>
    </row>
    <row r="110">
      <c r="A110" t="n">
        <v>27</v>
      </c>
      <c r="B110" t="n">
        <v>500170</v>
      </c>
      <c r="C110" t="inlineStr">
        <is>
          <t>National Chemicals</t>
        </is>
      </c>
      <c r="D110" t="n">
        <v>2020</v>
      </c>
      <c r="E110" t="n">
        <v>24.97999954223633</v>
      </c>
      <c r="F110" t="n">
        <v>-3.1</v>
      </c>
      <c r="G110" t="inlineStr">
        <is>
          <t>Consolidated first (v4) – needs verification for flagged rows</t>
        </is>
      </c>
      <c r="H110" t="n">
        <v>14.69999980926514</v>
      </c>
      <c r="I110" t="n">
        <v>4.940000057220459</v>
      </c>
      <c r="L110" t="inlineStr">
        <is>
          <t>UNVERIFIED – negative EPS</t>
        </is>
      </c>
      <c r="M110" t="n">
        <v>-4.74</v>
      </c>
      <c r="N110" t="n">
        <v>-1.59</v>
      </c>
      <c r="O110" t="n">
        <v>33.81</v>
      </c>
      <c r="P110" t="n">
        <v>52.49</v>
      </c>
      <c r="Q110" t="n">
        <v>29.43</v>
      </c>
      <c r="R110" s="3" t="inlineStr">
        <is>
          <t>MISMATCH_NEEDS_CORRECTION</t>
        </is>
      </c>
      <c r="S110" t="n">
        <v>33.81</v>
      </c>
      <c r="T110" t="inlineStr">
        <is>
          <t>30-07-2026 09:42 IST</t>
        </is>
      </c>
    </row>
    <row r="111">
      <c r="A111" t="n">
        <v>27</v>
      </c>
      <c r="B111" t="n">
        <v>500170</v>
      </c>
      <c r="C111" t="inlineStr">
        <is>
          <t>National Chemicals</t>
        </is>
      </c>
      <c r="D111" t="n">
        <v>2021</v>
      </c>
      <c r="E111" t="n">
        <v>24.97999954223633</v>
      </c>
      <c r="F111" t="n">
        <v>-3.55</v>
      </c>
      <c r="G111" t="inlineStr">
        <is>
          <t>Consolidated first (v4) – needs verification for flagged rows</t>
        </is>
      </c>
      <c r="H111" t="n">
        <v>42.90000152587891</v>
      </c>
      <c r="I111" t="n">
        <v>8.270000457763672</v>
      </c>
      <c r="L111" t="inlineStr">
        <is>
          <t>UNVERIFIED – negative EPS</t>
        </is>
      </c>
      <c r="M111" t="n">
        <v>-12.08</v>
      </c>
      <c r="N111" t="n">
        <v>-2.33</v>
      </c>
      <c r="O111" t="n">
        <v>33.81</v>
      </c>
      <c r="P111" t="n">
        <v>52.49</v>
      </c>
      <c r="Q111" t="n">
        <v>29.43</v>
      </c>
      <c r="R111" s="3" t="inlineStr">
        <is>
          <t>MISMATCH_NEEDS_CORRECTION</t>
        </is>
      </c>
      <c r="S111" t="n">
        <v>33.81</v>
      </c>
      <c r="T111" t="inlineStr">
        <is>
          <t>30-07-2026 09:42 IST</t>
        </is>
      </c>
    </row>
    <row r="112">
      <c r="A112" t="n">
        <v>27</v>
      </c>
      <c r="B112" t="n">
        <v>500170</v>
      </c>
      <c r="C112" t="inlineStr">
        <is>
          <t>National Chemicals</t>
        </is>
      </c>
      <c r="D112" t="n">
        <v>2022</v>
      </c>
      <c r="E112" t="n">
        <v>24.97999954223633</v>
      </c>
      <c r="F112" t="n">
        <v>19.75</v>
      </c>
      <c r="G112" t="inlineStr">
        <is>
          <t>Consolidated first (v4) – needs verification for flagged rows</t>
        </is>
      </c>
      <c r="H112" t="n">
        <v>89</v>
      </c>
      <c r="I112" t="n">
        <v>37.25</v>
      </c>
      <c r="L112" t="inlineStr">
        <is>
          <t>OK</t>
        </is>
      </c>
      <c r="M112" t="n">
        <v>4.51</v>
      </c>
      <c r="N112" t="n">
        <v>1.89</v>
      </c>
      <c r="O112" t="n">
        <v>33.81</v>
      </c>
      <c r="P112" t="n">
        <v>52.49</v>
      </c>
      <c r="Q112" t="n">
        <v>29.43</v>
      </c>
      <c r="R112" s="3" t="inlineStr">
        <is>
          <t>MISMATCH_NEEDS_CORRECTION</t>
        </is>
      </c>
      <c r="S112" t="n">
        <v>33.81</v>
      </c>
      <c r="T112" t="inlineStr">
        <is>
          <t>30-07-2026 09:42 IST</t>
        </is>
      </c>
    </row>
    <row r="113">
      <c r="A113" t="n">
        <v>27</v>
      </c>
      <c r="B113" t="n">
        <v>500170</v>
      </c>
      <c r="C113" t="inlineStr">
        <is>
          <t>National Chemicals</t>
        </is>
      </c>
      <c r="D113" t="n">
        <v>2023</v>
      </c>
      <c r="E113" t="n">
        <v>24.97999954223633</v>
      </c>
      <c r="F113" t="n">
        <v>8.869999999999999</v>
      </c>
      <c r="G113" t="inlineStr">
        <is>
          <t>Consolidated first (v4) – needs verification for flagged rows</t>
        </is>
      </c>
      <c r="H113" t="n">
        <v>52.70000076293945</v>
      </c>
      <c r="I113" t="n">
        <v>23.75</v>
      </c>
      <c r="L113" t="inlineStr">
        <is>
          <t>OK</t>
        </is>
      </c>
      <c r="M113" t="n">
        <v>5.94</v>
      </c>
      <c r="N113" t="n">
        <v>2.68</v>
      </c>
      <c r="O113" t="n">
        <v>33.81</v>
      </c>
      <c r="P113" t="n">
        <v>52.49</v>
      </c>
      <c r="Q113" t="n">
        <v>29.43</v>
      </c>
      <c r="R113" s="3" t="inlineStr">
        <is>
          <t>MISMATCH_NEEDS_CORRECTION</t>
        </is>
      </c>
      <c r="S113" t="n">
        <v>33.81</v>
      </c>
      <c r="T113" t="inlineStr">
        <is>
          <t>30-07-2026 09:42 IST</t>
        </is>
      </c>
    </row>
    <row r="114">
      <c r="A114" t="n">
        <v>27</v>
      </c>
      <c r="B114" t="n">
        <v>500170</v>
      </c>
      <c r="C114" t="inlineStr">
        <is>
          <t>National Chemicals</t>
        </is>
      </c>
      <c r="D114" t="n">
        <v>2024</v>
      </c>
      <c r="E114" t="n">
        <v>24.97999954223633</v>
      </c>
      <c r="F114" t="n">
        <v>-3.6</v>
      </c>
      <c r="G114" t="inlineStr">
        <is>
          <t>Consolidated first (v4) – needs verification for flagged rows</t>
        </is>
      </c>
      <c r="H114" t="n">
        <v>63</v>
      </c>
      <c r="I114" t="n">
        <v>29.43000030517578</v>
      </c>
      <c r="L114" t="inlineStr">
        <is>
          <t>UNVERIFIED – negative EPS</t>
        </is>
      </c>
      <c r="M114" t="n">
        <v>-17.5</v>
      </c>
      <c r="N114" t="n">
        <v>-8.18</v>
      </c>
      <c r="O114" t="n">
        <v>33.81</v>
      </c>
      <c r="P114" t="n">
        <v>52.49</v>
      </c>
      <c r="Q114" t="n">
        <v>29.43</v>
      </c>
      <c r="R114" s="3" t="inlineStr">
        <is>
          <t>MISMATCH_NEEDS_CORRECTION</t>
        </is>
      </c>
      <c r="S114" t="n">
        <v>33.81</v>
      </c>
      <c r="T114" t="inlineStr">
        <is>
          <t>30-07-2026 09:42 IST</t>
        </is>
      </c>
    </row>
    <row r="115">
      <c r="A115" t="n">
        <v>27</v>
      </c>
      <c r="B115" t="n">
        <v>500170</v>
      </c>
      <c r="C115" t="inlineStr">
        <is>
          <t>National Chemicals</t>
        </is>
      </c>
      <c r="D115" t="n">
        <v>2025</v>
      </c>
      <c r="E115" t="n">
        <v>24.97999954223633</v>
      </c>
      <c r="F115" t="n">
        <v>-2.65</v>
      </c>
      <c r="G115" t="inlineStr">
        <is>
          <t>Consolidated first (v4) – needs verification for flagged rows</t>
        </is>
      </c>
      <c r="H115" t="n">
        <v>38.88999938964844</v>
      </c>
      <c r="I115" t="n">
        <v>20</v>
      </c>
      <c r="L115" t="inlineStr">
        <is>
          <t>UNVERIFIED – negative EPS</t>
        </is>
      </c>
      <c r="M115" t="n">
        <v>-14.68</v>
      </c>
      <c r="N115" t="n">
        <v>-7.55</v>
      </c>
      <c r="O115" t="n">
        <v>33.81</v>
      </c>
      <c r="P115" t="n">
        <v>52.49</v>
      </c>
      <c r="Q115" t="n">
        <v>29.43</v>
      </c>
      <c r="R115" s="3" t="inlineStr">
        <is>
          <t>MISMATCH_NEEDS_CORRECTION</t>
        </is>
      </c>
      <c r="S115" t="n">
        <v>33.81</v>
      </c>
      <c r="T115" t="inlineStr">
        <is>
          <t>30-07-2026 09:42 IST</t>
        </is>
      </c>
    </row>
    <row r="116">
      <c r="A116" t="n">
        <v>27</v>
      </c>
      <c r="B116" t="n">
        <v>500170</v>
      </c>
      <c r="C116" t="inlineStr">
        <is>
          <t>National Chemicals</t>
        </is>
      </c>
      <c r="D116" t="n">
        <v>2026</v>
      </c>
      <c r="E116" t="n">
        <v>24.97999954223633</v>
      </c>
      <c r="F116" t="n">
        <v>-6.11</v>
      </c>
      <c r="G116" t="inlineStr">
        <is>
          <t>Consolidated first (v4) – needs verification for flagged rows</t>
        </is>
      </c>
      <c r="H116" t="n">
        <v>30.6200008392334</v>
      </c>
      <c r="I116" t="n">
        <v>17</v>
      </c>
      <c r="L116" t="inlineStr">
        <is>
          <t>UNVERIFIED – negative EPS</t>
        </is>
      </c>
      <c r="M116" t="n">
        <v>-5.01</v>
      </c>
      <c r="N116" t="n">
        <v>-2.78</v>
      </c>
      <c r="O116" t="n">
        <v>33.81</v>
      </c>
      <c r="P116" t="n">
        <v>52.49</v>
      </c>
      <c r="Q116" t="n">
        <v>29.43</v>
      </c>
      <c r="R116" s="3" t="inlineStr">
        <is>
          <t>MISMATCH_NEEDS_CORRECTION</t>
        </is>
      </c>
      <c r="S116" t="n">
        <v>33.81</v>
      </c>
      <c r="T116" t="inlineStr">
        <is>
          <t>30-07-2026 09:42 IST</t>
        </is>
      </c>
    </row>
    <row r="117">
      <c r="A117" t="n">
        <v>30</v>
      </c>
      <c r="B117" t="n">
        <v>500182</v>
      </c>
      <c r="C117" t="inlineStr">
        <is>
          <t>Hero MotoCorp Ltd</t>
        </is>
      </c>
      <c r="D117" t="n">
        <v>2015</v>
      </c>
      <c r="F117" t="n">
        <v>118.42</v>
      </c>
      <c r="G117" t="inlineStr">
        <is>
          <t>Consolidated first (v4) – needs verification for flagged rows</t>
        </is>
      </c>
      <c r="H117" t="n">
        <v>3149.199951171875</v>
      </c>
      <c r="I117" t="n">
        <v>2252</v>
      </c>
      <c r="L117" t="inlineStr">
        <is>
          <t>OK</t>
        </is>
      </c>
      <c r="M117" t="n">
        <v>26.59</v>
      </c>
      <c r="N117" t="n">
        <v>19.02</v>
      </c>
      <c r="O117" t="n">
        <v>5297.8</v>
      </c>
      <c r="P117" t="n">
        <v>6388.5</v>
      </c>
      <c r="Q117" t="n">
        <v>4201</v>
      </c>
      <c r="R117" s="3" t="inlineStr">
        <is>
          <t>MISMATCH_NEEDS_CORRECTION</t>
        </is>
      </c>
      <c r="S117" t="n">
        <v>5297.8</v>
      </c>
      <c r="T117" t="inlineStr">
        <is>
          <t>30-07-2026 09:42 IST</t>
        </is>
      </c>
    </row>
    <row r="118">
      <c r="A118" t="n">
        <v>30</v>
      </c>
      <c r="B118" t="n">
        <v>500182</v>
      </c>
      <c r="C118" t="inlineStr">
        <is>
          <t>Hero MotoCorp Ltd</t>
        </is>
      </c>
      <c r="D118" t="n">
        <v>2016</v>
      </c>
      <c r="F118" t="n">
        <v>157.34</v>
      </c>
      <c r="G118" t="inlineStr">
        <is>
          <t>Consolidated first (v4) – needs verification for flagged rows</t>
        </is>
      </c>
      <c r="H118" t="n">
        <v>3739.89990234375</v>
      </c>
      <c r="I118" t="n">
        <v>2410</v>
      </c>
      <c r="L118" t="inlineStr">
        <is>
          <t>OK</t>
        </is>
      </c>
      <c r="M118" t="n">
        <v>23.77</v>
      </c>
      <c r="N118" t="n">
        <v>15.32</v>
      </c>
      <c r="O118" t="n">
        <v>5297.8</v>
      </c>
      <c r="P118" t="n">
        <v>6388.5</v>
      </c>
      <c r="Q118" t="n">
        <v>4201</v>
      </c>
      <c r="R118" s="3" t="inlineStr">
        <is>
          <t>MISMATCH_NEEDS_CORRECTION</t>
        </is>
      </c>
      <c r="S118" t="n">
        <v>5297.8</v>
      </c>
      <c r="T118" t="inlineStr">
        <is>
          <t>30-07-2026 09:42 IST</t>
        </is>
      </c>
    </row>
    <row r="119">
      <c r="A119" t="n">
        <v>30</v>
      </c>
      <c r="B119" t="n">
        <v>500182</v>
      </c>
      <c r="C119" t="inlineStr">
        <is>
          <t>Hero MotoCorp Ltd</t>
        </is>
      </c>
      <c r="D119" t="n">
        <v>2017</v>
      </c>
      <c r="F119" t="n">
        <v>179.49</v>
      </c>
      <c r="G119" t="inlineStr">
        <is>
          <t>Consolidated first (v4) – needs verification for flagged rows</t>
        </is>
      </c>
      <c r="H119" t="n">
        <v>4200</v>
      </c>
      <c r="I119" t="n">
        <v>2966</v>
      </c>
      <c r="L119" t="inlineStr">
        <is>
          <t>OK</t>
        </is>
      </c>
      <c r="M119" t="n">
        <v>23.4</v>
      </c>
      <c r="N119" t="n">
        <v>16.52</v>
      </c>
      <c r="O119" t="n">
        <v>5297.8</v>
      </c>
      <c r="P119" t="n">
        <v>6388.5</v>
      </c>
      <c r="Q119" t="n">
        <v>4201</v>
      </c>
      <c r="R119" s="3" t="inlineStr">
        <is>
          <t>MISMATCH_NEEDS_CORRECTION</t>
        </is>
      </c>
      <c r="S119" t="n">
        <v>5297.8</v>
      </c>
      <c r="T119" t="inlineStr">
        <is>
          <t>30-07-2026 09:42 IST</t>
        </is>
      </c>
    </row>
    <row r="120">
      <c r="A120" t="n">
        <v>30</v>
      </c>
      <c r="B120" t="n">
        <v>500182</v>
      </c>
      <c r="C120" t="inlineStr">
        <is>
          <t>Hero MotoCorp Ltd</t>
        </is>
      </c>
      <c r="D120" t="n">
        <v>2018</v>
      </c>
      <c r="F120" t="n">
        <v>186.29</v>
      </c>
      <c r="G120" t="inlineStr">
        <is>
          <t>Consolidated first (v4) – needs verification for flagged rows</t>
        </is>
      </c>
      <c r="H120" t="n">
        <v>3862</v>
      </c>
      <c r="I120" t="n">
        <v>2648.699951171875</v>
      </c>
      <c r="L120" t="inlineStr">
        <is>
          <t>OK</t>
        </is>
      </c>
      <c r="M120" t="n">
        <v>20.73</v>
      </c>
      <c r="N120" t="n">
        <v>14.22</v>
      </c>
      <c r="O120" t="n">
        <v>5297.8</v>
      </c>
      <c r="P120" t="n">
        <v>6388.5</v>
      </c>
      <c r="Q120" t="n">
        <v>4201</v>
      </c>
      <c r="R120" s="3" t="inlineStr">
        <is>
          <t>MISMATCH_NEEDS_CORRECTION</t>
        </is>
      </c>
      <c r="S120" t="n">
        <v>5297.8</v>
      </c>
      <c r="T120" t="inlineStr">
        <is>
          <t>30-07-2026 09:42 IST</t>
        </is>
      </c>
    </row>
    <row r="121">
      <c r="A121" t="n">
        <v>30</v>
      </c>
      <c r="B121" t="n">
        <v>500182</v>
      </c>
      <c r="C121" t="inlineStr">
        <is>
          <t>Hero MotoCorp Ltd</t>
        </is>
      </c>
      <c r="D121" t="n">
        <v>2019</v>
      </c>
      <c r="F121" t="n">
        <v>172.44</v>
      </c>
      <c r="G121" t="inlineStr">
        <is>
          <t>Consolidated first (v4) – needs verification for flagged rows</t>
        </is>
      </c>
      <c r="H121" t="n">
        <v>3123</v>
      </c>
      <c r="I121" t="n">
        <v>2228.25</v>
      </c>
      <c r="L121" t="inlineStr">
        <is>
          <t>OK</t>
        </is>
      </c>
      <c r="M121" t="n">
        <v>18.11</v>
      </c>
      <c r="N121" t="n">
        <v>12.92</v>
      </c>
      <c r="O121" t="n">
        <v>5297.8</v>
      </c>
      <c r="P121" t="n">
        <v>6388.5</v>
      </c>
      <c r="Q121" t="n">
        <v>4201</v>
      </c>
      <c r="R121" s="3" t="inlineStr">
        <is>
          <t>MISMATCH_NEEDS_CORRECTION</t>
        </is>
      </c>
      <c r="S121" t="n">
        <v>5297.8</v>
      </c>
      <c r="T121" t="inlineStr">
        <is>
          <t>30-07-2026 09:42 IST</t>
        </is>
      </c>
    </row>
    <row r="122">
      <c r="A122" t="n">
        <v>30</v>
      </c>
      <c r="B122" t="n">
        <v>500182</v>
      </c>
      <c r="C122" t="inlineStr">
        <is>
          <t>Hero MotoCorp Ltd</t>
        </is>
      </c>
      <c r="D122" t="n">
        <v>2020</v>
      </c>
      <c r="F122" t="n">
        <v>182.14</v>
      </c>
      <c r="G122" t="inlineStr">
        <is>
          <t>Consolidated first (v4) – needs verification for flagged rows</t>
        </is>
      </c>
      <c r="H122" t="n">
        <v>3393.85009765625</v>
      </c>
      <c r="I122" t="n">
        <v>1475</v>
      </c>
      <c r="L122" t="inlineStr">
        <is>
          <t>OK</t>
        </is>
      </c>
      <c r="M122" t="n">
        <v>18.63</v>
      </c>
      <c r="N122" t="n">
        <v>8.1</v>
      </c>
      <c r="O122" t="n">
        <v>5297.8</v>
      </c>
      <c r="P122" t="n">
        <v>6388.5</v>
      </c>
      <c r="Q122" t="n">
        <v>4201</v>
      </c>
      <c r="R122" s="3" t="inlineStr">
        <is>
          <t>MISMATCH_NEEDS_CORRECTION</t>
        </is>
      </c>
      <c r="S122" t="n">
        <v>5297.8</v>
      </c>
      <c r="T122" t="inlineStr">
        <is>
          <t>30-07-2026 09:42 IST</t>
        </is>
      </c>
    </row>
    <row r="123">
      <c r="A123" t="n">
        <v>30</v>
      </c>
      <c r="B123" t="n">
        <v>500182</v>
      </c>
      <c r="C123" t="inlineStr">
        <is>
          <t>Hero MotoCorp Ltd</t>
        </is>
      </c>
      <c r="D123" t="n">
        <v>2021</v>
      </c>
      <c r="F123" t="n">
        <v>146.05</v>
      </c>
      <c r="G123" t="inlineStr">
        <is>
          <t>Consolidated first (v4) – needs verification for flagged rows</t>
        </is>
      </c>
      <c r="H123" t="n">
        <v>3628.550048828125</v>
      </c>
      <c r="I123" t="n">
        <v>2310.5</v>
      </c>
      <c r="L123" t="inlineStr">
        <is>
          <t>OK</t>
        </is>
      </c>
      <c r="M123" t="n">
        <v>24.84</v>
      </c>
      <c r="N123" t="n">
        <v>15.82</v>
      </c>
      <c r="O123" t="n">
        <v>5297.8</v>
      </c>
      <c r="P123" t="n">
        <v>6388.5</v>
      </c>
      <c r="Q123" t="n">
        <v>4201</v>
      </c>
      <c r="R123" s="3" t="inlineStr">
        <is>
          <t>MISMATCH_NEEDS_CORRECTION</t>
        </is>
      </c>
      <c r="S123" t="n">
        <v>5297.8</v>
      </c>
      <c r="T123" t="inlineStr">
        <is>
          <t>30-07-2026 09:42 IST</t>
        </is>
      </c>
    </row>
    <row r="124">
      <c r="A124" t="n">
        <v>30</v>
      </c>
      <c r="B124" t="n">
        <v>500182</v>
      </c>
      <c r="C124" t="inlineStr">
        <is>
          <t>Hero MotoCorp Ltd</t>
        </is>
      </c>
      <c r="D124" t="n">
        <v>2022</v>
      </c>
      <c r="F124" t="n">
        <v>115.95</v>
      </c>
      <c r="G124" t="inlineStr">
        <is>
          <t>Consolidated first (v4) – needs verification for flagged rows</t>
        </is>
      </c>
      <c r="H124" t="n">
        <v>2939.35009765625</v>
      </c>
      <c r="I124" t="n">
        <v>2148</v>
      </c>
      <c r="L124" t="inlineStr">
        <is>
          <t>OK</t>
        </is>
      </c>
      <c r="M124" t="n">
        <v>25.35</v>
      </c>
      <c r="N124" t="n">
        <v>18.53</v>
      </c>
      <c r="O124" t="n">
        <v>5297.8</v>
      </c>
      <c r="P124" t="n">
        <v>6388.5</v>
      </c>
      <c r="Q124" t="n">
        <v>4201</v>
      </c>
      <c r="R124" s="3" t="inlineStr">
        <is>
          <t>MISMATCH_NEEDS_CORRECTION</t>
        </is>
      </c>
      <c r="S124" t="n">
        <v>5297.8</v>
      </c>
      <c r="T124" t="inlineStr">
        <is>
          <t>30-07-2026 09:42 IST</t>
        </is>
      </c>
    </row>
    <row r="125">
      <c r="A125" t="n">
        <v>30</v>
      </c>
      <c r="B125" t="n">
        <v>500182</v>
      </c>
      <c r="C125" t="inlineStr">
        <is>
          <t>Hero MotoCorp Ltd</t>
        </is>
      </c>
      <c r="D125" t="n">
        <v>2023</v>
      </c>
      <c r="F125" t="n">
        <v>140.61</v>
      </c>
      <c r="G125" t="inlineStr">
        <is>
          <t>Consolidated first (v4) – needs verification for flagged rows</t>
        </is>
      </c>
      <c r="H125" t="n">
        <v>4194.85009765625</v>
      </c>
      <c r="I125" t="n">
        <v>2246.75</v>
      </c>
      <c r="L125" t="inlineStr">
        <is>
          <t>OK</t>
        </is>
      </c>
      <c r="M125" t="n">
        <v>29.83</v>
      </c>
      <c r="N125" t="n">
        <v>15.98</v>
      </c>
      <c r="O125" t="n">
        <v>5297.8</v>
      </c>
      <c r="P125" t="n">
        <v>6388.5</v>
      </c>
      <c r="Q125" t="n">
        <v>4201</v>
      </c>
      <c r="R125" s="3" t="inlineStr">
        <is>
          <t>MISMATCH_NEEDS_CORRECTION</t>
        </is>
      </c>
      <c r="S125" t="n">
        <v>5297.8</v>
      </c>
      <c r="T125" t="inlineStr">
        <is>
          <t>30-07-2026 09:42 IST</t>
        </is>
      </c>
    </row>
    <row r="126">
      <c r="A126" t="n">
        <v>30</v>
      </c>
      <c r="B126" t="n">
        <v>500182</v>
      </c>
      <c r="C126" t="inlineStr">
        <is>
          <t>Hero MotoCorp Ltd</t>
        </is>
      </c>
      <c r="D126" t="n">
        <v>2024</v>
      </c>
      <c r="F126" t="n">
        <v>187.31</v>
      </c>
      <c r="G126" t="inlineStr">
        <is>
          <t>Consolidated first (v4) – needs verification for flagged rows</t>
        </is>
      </c>
      <c r="H126" t="n">
        <v>6245</v>
      </c>
      <c r="I126" t="n">
        <v>3930.300048828125</v>
      </c>
      <c r="L126" t="inlineStr">
        <is>
          <t>OK</t>
        </is>
      </c>
      <c r="M126" t="n">
        <v>33.34</v>
      </c>
      <c r="N126" t="n">
        <v>20.98</v>
      </c>
      <c r="O126" t="n">
        <v>5297.8</v>
      </c>
      <c r="P126" t="n">
        <v>6388.5</v>
      </c>
      <c r="Q126" t="n">
        <v>4201</v>
      </c>
      <c r="R126" s="3" t="inlineStr">
        <is>
          <t>MISMATCH_NEEDS_CORRECTION</t>
        </is>
      </c>
      <c r="S126" t="n">
        <v>5297.8</v>
      </c>
      <c r="T126" t="inlineStr">
        <is>
          <t>30-07-2026 09:42 IST</t>
        </is>
      </c>
    </row>
    <row r="127">
      <c r="A127" t="n">
        <v>30</v>
      </c>
      <c r="B127" t="n">
        <v>500182</v>
      </c>
      <c r="C127" t="inlineStr">
        <is>
          <t>Hero MotoCorp Ltd</t>
        </is>
      </c>
      <c r="D127" t="n">
        <v>2025</v>
      </c>
      <c r="F127" t="n">
        <v>218.91</v>
      </c>
      <c r="G127" t="inlineStr">
        <is>
          <t>Consolidated first (v4) – needs verification for flagged rows</t>
        </is>
      </c>
      <c r="H127" t="n">
        <v>6390</v>
      </c>
      <c r="I127" t="n">
        <v>3322.60009765625</v>
      </c>
      <c r="L127" t="inlineStr">
        <is>
          <t>OK</t>
        </is>
      </c>
      <c r="M127" t="n">
        <v>29.19</v>
      </c>
      <c r="N127" t="n">
        <v>15.18</v>
      </c>
      <c r="O127" t="n">
        <v>5297.8</v>
      </c>
      <c r="P127" t="n">
        <v>6388.5</v>
      </c>
      <c r="Q127" t="n">
        <v>4201</v>
      </c>
      <c r="R127" s="3" t="inlineStr">
        <is>
          <t>MISMATCH_NEEDS_CORRECTION</t>
        </is>
      </c>
      <c r="S127" t="n">
        <v>5297.8</v>
      </c>
      <c r="T127" t="inlineStr">
        <is>
          <t>30-07-2026 09:42 IST</t>
        </is>
      </c>
    </row>
    <row r="128">
      <c r="A128" t="n">
        <v>30</v>
      </c>
      <c r="B128" t="n">
        <v>500182</v>
      </c>
      <c r="C128" t="inlineStr">
        <is>
          <t>Hero MotoCorp Ltd</t>
        </is>
      </c>
      <c r="D128" t="n">
        <v>2026</v>
      </c>
      <c r="F128" t="n">
        <v>286.96</v>
      </c>
      <c r="G128" t="inlineStr">
        <is>
          <t>Consolidated first (v4) – needs verification for flagged rows</t>
        </is>
      </c>
      <c r="H128" t="n">
        <v>6049.9501953125</v>
      </c>
      <c r="I128" t="n">
        <v>4671.5498046875</v>
      </c>
      <c r="L128" t="inlineStr">
        <is>
          <t>OK</t>
        </is>
      </c>
      <c r="M128" t="n">
        <v>21.08</v>
      </c>
      <c r="N128" t="n">
        <v>16.28</v>
      </c>
      <c r="O128" t="n">
        <v>5297.8</v>
      </c>
      <c r="P128" t="n">
        <v>6388.5</v>
      </c>
      <c r="Q128" t="n">
        <v>4201</v>
      </c>
      <c r="R128" s="3" t="inlineStr">
        <is>
          <t>MISMATCH_NEEDS_CORRECTION</t>
        </is>
      </c>
      <c r="S128" t="n">
        <v>5297.8</v>
      </c>
      <c r="T128" t="inlineStr">
        <is>
          <t>30-07-2026 09:42 IST</t>
        </is>
      </c>
    </row>
    <row r="129">
      <c r="A129" t="n">
        <v>31</v>
      </c>
      <c r="B129" t="n">
        <v>500184</v>
      </c>
      <c r="C129" t="inlineStr">
        <is>
          <t>Himadri Speciality Chemical Ltd</t>
        </is>
      </c>
      <c r="D129" t="n">
        <v>2015</v>
      </c>
      <c r="E129" t="n">
        <v>790.5999755859375</v>
      </c>
      <c r="F129" t="n">
        <v>2.48</v>
      </c>
      <c r="G129" t="inlineStr">
        <is>
          <t>Consolidated first (v4) – needs verification for flagged rows</t>
        </is>
      </c>
      <c r="H129" t="n">
        <v>27.89999961853027</v>
      </c>
      <c r="L129" t="inlineStr">
        <is>
          <t>UNVERIFIED – negative EPS</t>
        </is>
      </c>
      <c r="M129" t="n">
        <v>11.25</v>
      </c>
      <c r="O129" t="n">
        <v>761.8</v>
      </c>
      <c r="P129" t="n">
        <v>819.5</v>
      </c>
      <c r="Q129" t="n">
        <v>418.5</v>
      </c>
      <c r="R129" s="2" t="inlineStr">
        <is>
          <t>VERIFIED_OK</t>
        </is>
      </c>
      <c r="S129" t="n">
        <v>761.8</v>
      </c>
      <c r="T129" t="inlineStr">
        <is>
          <t>30-07-2026 09:42 IST</t>
        </is>
      </c>
    </row>
    <row r="130">
      <c r="A130" t="n">
        <v>31</v>
      </c>
      <c r="B130" t="n">
        <v>500184</v>
      </c>
      <c r="C130" t="inlineStr">
        <is>
          <t>Himadri Speciality Chemical Ltd</t>
        </is>
      </c>
      <c r="D130" t="n">
        <v>2016</v>
      </c>
      <c r="E130" t="n">
        <v>790.5999755859375</v>
      </c>
      <c r="F130" t="n">
        <v>2.74</v>
      </c>
      <c r="G130" t="inlineStr">
        <is>
          <t>Consolidated first (v4) – needs verification for flagged rows</t>
        </is>
      </c>
      <c r="H130" t="n">
        <v>47.75</v>
      </c>
      <c r="I130" t="n">
        <v>12.80000019073486</v>
      </c>
      <c r="L130" t="inlineStr">
        <is>
          <t>UNVERIFIED – negative EPS</t>
        </is>
      </c>
      <c r="M130" t="n">
        <v>17.43</v>
      </c>
      <c r="N130" t="n">
        <v>4.67</v>
      </c>
      <c r="O130" t="n">
        <v>761.8</v>
      </c>
      <c r="P130" t="n">
        <v>819.5</v>
      </c>
      <c r="Q130" t="n">
        <v>418.5</v>
      </c>
      <c r="R130" s="2" t="inlineStr">
        <is>
          <t>VERIFIED_OK</t>
        </is>
      </c>
      <c r="S130" t="n">
        <v>761.8</v>
      </c>
      <c r="T130" t="inlineStr">
        <is>
          <t>30-07-2026 09:42 IST</t>
        </is>
      </c>
    </row>
    <row r="131">
      <c r="A131" t="n">
        <v>31</v>
      </c>
      <c r="B131" t="n">
        <v>500184</v>
      </c>
      <c r="C131" t="inlineStr">
        <is>
          <t>Himadri Speciality Chemical Ltd</t>
        </is>
      </c>
      <c r="D131" t="n">
        <v>2017</v>
      </c>
      <c r="E131" t="n">
        <v>790.5999755859375</v>
      </c>
      <c r="F131" t="n">
        <v>1.98</v>
      </c>
      <c r="G131" t="inlineStr">
        <is>
          <t>Consolidated first (v4) – needs verification for flagged rows</t>
        </is>
      </c>
      <c r="H131" t="n">
        <v>178.3000030517578</v>
      </c>
      <c r="I131" t="n">
        <v>33.34999847412109</v>
      </c>
      <c r="L131" t="inlineStr">
        <is>
          <t>OK</t>
        </is>
      </c>
      <c r="M131" t="n">
        <v>90.05</v>
      </c>
      <c r="N131" t="n">
        <v>16.84</v>
      </c>
      <c r="O131" t="n">
        <v>761.8</v>
      </c>
      <c r="P131" t="n">
        <v>819.5</v>
      </c>
      <c r="Q131" t="n">
        <v>418.5</v>
      </c>
      <c r="R131" s="2" t="inlineStr">
        <is>
          <t>VERIFIED_OK</t>
        </is>
      </c>
      <c r="S131" t="n">
        <v>761.8</v>
      </c>
      <c r="T131" t="inlineStr">
        <is>
          <t>30-07-2026 09:42 IST</t>
        </is>
      </c>
    </row>
    <row r="132">
      <c r="A132" t="n">
        <v>31</v>
      </c>
      <c r="B132" t="n">
        <v>500184</v>
      </c>
      <c r="C132" t="inlineStr">
        <is>
          <t>Himadri Speciality Chemical Ltd</t>
        </is>
      </c>
      <c r="D132" t="n">
        <v>2018</v>
      </c>
      <c r="E132" t="n">
        <v>790.5999755859375</v>
      </c>
      <c r="F132" t="n">
        <v>5.91</v>
      </c>
      <c r="G132" t="inlineStr">
        <is>
          <t>Consolidated first (v4) – needs verification for flagged rows</t>
        </is>
      </c>
      <c r="H132" t="n">
        <v>195.8000030517578</v>
      </c>
      <c r="I132" t="n">
        <v>103.5500030517578</v>
      </c>
      <c r="L132" t="inlineStr">
        <is>
          <t>OK</t>
        </is>
      </c>
      <c r="M132" t="n">
        <v>33.13</v>
      </c>
      <c r="N132" t="n">
        <v>17.52</v>
      </c>
      <c r="O132" t="n">
        <v>761.8</v>
      </c>
      <c r="P132" t="n">
        <v>819.5</v>
      </c>
      <c r="Q132" t="n">
        <v>418.5</v>
      </c>
      <c r="R132" s="2" t="inlineStr">
        <is>
          <t>VERIFIED_OK</t>
        </is>
      </c>
      <c r="S132" t="n">
        <v>761.8</v>
      </c>
      <c r="T132" t="inlineStr">
        <is>
          <t>30-07-2026 09:42 IST</t>
        </is>
      </c>
    </row>
    <row r="133">
      <c r="A133" t="n">
        <v>31</v>
      </c>
      <c r="B133" t="n">
        <v>500184</v>
      </c>
      <c r="C133" t="inlineStr">
        <is>
          <t>Himadri Speciality Chemical Ltd</t>
        </is>
      </c>
      <c r="D133" t="n">
        <v>2019</v>
      </c>
      <c r="E133" t="n">
        <v>790.5999755859375</v>
      </c>
      <c r="F133" t="n">
        <v>7.75</v>
      </c>
      <c r="G133" t="inlineStr">
        <is>
          <t>Consolidated first (v4) – needs verification for flagged rows</t>
        </is>
      </c>
      <c r="H133" t="n">
        <v>137.8999938964844</v>
      </c>
      <c r="I133" t="n">
        <v>54.09999847412109</v>
      </c>
      <c r="L133" t="inlineStr">
        <is>
          <t>OK</t>
        </is>
      </c>
      <c r="M133" t="n">
        <v>17.79</v>
      </c>
      <c r="N133" t="n">
        <v>6.98</v>
      </c>
      <c r="O133" t="n">
        <v>761.8</v>
      </c>
      <c r="P133" t="n">
        <v>819.5</v>
      </c>
      <c r="Q133" t="n">
        <v>418.5</v>
      </c>
      <c r="R133" s="2" t="inlineStr">
        <is>
          <t>VERIFIED_OK</t>
        </is>
      </c>
      <c r="S133" t="n">
        <v>761.8</v>
      </c>
      <c r="T133" t="inlineStr">
        <is>
          <t>30-07-2026 09:42 IST</t>
        </is>
      </c>
    </row>
    <row r="134">
      <c r="A134" t="n">
        <v>31</v>
      </c>
      <c r="B134" t="n">
        <v>500184</v>
      </c>
      <c r="C134" t="inlineStr">
        <is>
          <t>Himadri Speciality Chemical Ltd</t>
        </is>
      </c>
      <c r="D134" t="n">
        <v>2020</v>
      </c>
      <c r="E134" t="n">
        <v>790.5999755859375</v>
      </c>
      <c r="F134" t="n">
        <v>4.91</v>
      </c>
      <c r="G134" t="inlineStr">
        <is>
          <t>Consolidated first (v4) – needs verification for flagged rows</t>
        </is>
      </c>
      <c r="H134" t="n">
        <v>73.90000152587891</v>
      </c>
      <c r="I134" t="n">
        <v>27.29999923706055</v>
      </c>
      <c r="L134" t="inlineStr">
        <is>
          <t>OK</t>
        </is>
      </c>
      <c r="M134" t="n">
        <v>15.05</v>
      </c>
      <c r="N134" t="n">
        <v>5.56</v>
      </c>
      <c r="O134" t="n">
        <v>761.8</v>
      </c>
      <c r="P134" t="n">
        <v>819.5</v>
      </c>
      <c r="Q134" t="n">
        <v>418.5</v>
      </c>
      <c r="R134" s="2" t="inlineStr">
        <is>
          <t>VERIFIED_OK</t>
        </is>
      </c>
      <c r="S134" t="n">
        <v>761.8</v>
      </c>
      <c r="T134" t="inlineStr">
        <is>
          <t>30-07-2026 09:42 IST</t>
        </is>
      </c>
    </row>
    <row r="135">
      <c r="A135" t="n">
        <v>31</v>
      </c>
      <c r="B135" t="n">
        <v>500184</v>
      </c>
      <c r="C135" t="inlineStr">
        <is>
          <t>Himadri Speciality Chemical Ltd</t>
        </is>
      </c>
      <c r="D135" t="n">
        <v>2021</v>
      </c>
      <c r="E135" t="n">
        <v>790.5999755859375</v>
      </c>
      <c r="F135" t="n">
        <v>1.13</v>
      </c>
      <c r="G135" t="inlineStr">
        <is>
          <t>Consolidated first (v4) – needs verification for flagged rows</t>
        </is>
      </c>
      <c r="H135" t="n">
        <v>62.40000152587891</v>
      </c>
      <c r="I135" t="n">
        <v>38.90000152587891</v>
      </c>
      <c r="L135" t="inlineStr">
        <is>
          <t>OK</t>
        </is>
      </c>
      <c r="M135" t="n">
        <v>55.22</v>
      </c>
      <c r="N135" t="n">
        <v>34.42</v>
      </c>
      <c r="O135" t="n">
        <v>761.8</v>
      </c>
      <c r="P135" t="n">
        <v>819.5</v>
      </c>
      <c r="Q135" t="n">
        <v>418.5</v>
      </c>
      <c r="R135" s="2" t="inlineStr">
        <is>
          <t>VERIFIED_OK</t>
        </is>
      </c>
      <c r="S135" t="n">
        <v>761.8</v>
      </c>
      <c r="T135" t="inlineStr">
        <is>
          <t>30-07-2026 09:42 IST</t>
        </is>
      </c>
    </row>
    <row r="136">
      <c r="A136" t="n">
        <v>31</v>
      </c>
      <c r="B136" t="n">
        <v>500184</v>
      </c>
      <c r="C136" t="inlineStr">
        <is>
          <t>Himadri Speciality Chemical Ltd</t>
        </is>
      </c>
      <c r="D136" t="n">
        <v>2022</v>
      </c>
      <c r="E136" t="n">
        <v>790.5999755859375</v>
      </c>
      <c r="F136" t="n">
        <v>0.98</v>
      </c>
      <c r="G136" t="inlineStr">
        <is>
          <t>Consolidated first (v4) – needs verification for flagged rows</t>
        </is>
      </c>
      <c r="H136" t="n">
        <v>108.8499984741211</v>
      </c>
      <c r="I136" t="n">
        <v>44.5</v>
      </c>
      <c r="L136" t="inlineStr">
        <is>
          <t>OK</t>
        </is>
      </c>
      <c r="M136" t="n">
        <v>111.07</v>
      </c>
      <c r="N136" t="n">
        <v>45.41</v>
      </c>
      <c r="O136" t="n">
        <v>761.8</v>
      </c>
      <c r="P136" t="n">
        <v>819.5</v>
      </c>
      <c r="Q136" t="n">
        <v>418.5</v>
      </c>
      <c r="R136" s="2" t="inlineStr">
        <is>
          <t>VERIFIED_OK</t>
        </is>
      </c>
      <c r="S136" t="n">
        <v>761.8</v>
      </c>
      <c r="T136" t="inlineStr">
        <is>
          <t>30-07-2026 09:42 IST</t>
        </is>
      </c>
    </row>
    <row r="137">
      <c r="A137" t="n">
        <v>31</v>
      </c>
      <c r="B137" t="n">
        <v>500184</v>
      </c>
      <c r="C137" t="inlineStr">
        <is>
          <t>Himadri Speciality Chemical Ltd</t>
        </is>
      </c>
      <c r="D137" t="n">
        <v>2023</v>
      </c>
      <c r="E137" t="n">
        <v>790.5999755859375</v>
      </c>
      <c r="F137" t="n">
        <v>4.99</v>
      </c>
      <c r="G137" t="inlineStr">
        <is>
          <t>Consolidated first (v4) – needs verification for flagged rows</t>
        </is>
      </c>
      <c r="H137" t="n">
        <v>313.8999938964844</v>
      </c>
      <c r="I137" t="n">
        <v>80.19999694824219</v>
      </c>
      <c r="L137" t="inlineStr">
        <is>
          <t>OK</t>
        </is>
      </c>
      <c r="M137" t="n">
        <v>62.91</v>
      </c>
      <c r="N137" t="n">
        <v>16.07</v>
      </c>
      <c r="O137" t="n">
        <v>761.8</v>
      </c>
      <c r="P137" t="n">
        <v>819.5</v>
      </c>
      <c r="Q137" t="n">
        <v>418.5</v>
      </c>
      <c r="R137" s="2" t="inlineStr">
        <is>
          <t>VERIFIED_OK</t>
        </is>
      </c>
      <c r="S137" t="n">
        <v>761.8</v>
      </c>
      <c r="T137" t="inlineStr">
        <is>
          <t>30-07-2026 09:42 IST</t>
        </is>
      </c>
    </row>
    <row r="138">
      <c r="A138" t="n">
        <v>31</v>
      </c>
      <c r="B138" t="n">
        <v>500184</v>
      </c>
      <c r="C138" t="inlineStr">
        <is>
          <t>Himadri Speciality Chemical Ltd</t>
        </is>
      </c>
      <c r="D138" t="n">
        <v>2024</v>
      </c>
      <c r="E138" t="n">
        <v>790.5999755859375</v>
      </c>
      <c r="F138" t="n">
        <v>8.34</v>
      </c>
      <c r="G138" t="inlineStr">
        <is>
          <t>Consolidated first (v4) – needs verification for flagged rows</t>
        </is>
      </c>
      <c r="H138" t="n">
        <v>688.5</v>
      </c>
      <c r="I138" t="n">
        <v>272.7999877929688</v>
      </c>
      <c r="L138" t="inlineStr">
        <is>
          <t>OK</t>
        </is>
      </c>
      <c r="M138" t="n">
        <v>82.55</v>
      </c>
      <c r="N138" t="n">
        <v>32.71</v>
      </c>
      <c r="O138" t="n">
        <v>761.8</v>
      </c>
      <c r="P138" t="n">
        <v>819.5</v>
      </c>
      <c r="Q138" t="n">
        <v>418.5</v>
      </c>
      <c r="R138" s="2" t="inlineStr">
        <is>
          <t>VERIFIED_OK</t>
        </is>
      </c>
      <c r="S138" t="n">
        <v>761.8</v>
      </c>
      <c r="T138" t="inlineStr">
        <is>
          <t>30-07-2026 09:42 IST</t>
        </is>
      </c>
    </row>
    <row r="139">
      <c r="A139" t="n">
        <v>31</v>
      </c>
      <c r="B139" t="n">
        <v>500184</v>
      </c>
      <c r="C139" t="inlineStr">
        <is>
          <t>Himadri Speciality Chemical Ltd</t>
        </is>
      </c>
      <c r="D139" t="n">
        <v>2025</v>
      </c>
      <c r="E139" t="n">
        <v>790.5999755859375</v>
      </c>
      <c r="F139" t="n">
        <v>11.25</v>
      </c>
      <c r="G139" t="inlineStr">
        <is>
          <t>Consolidated first (v4) – needs verification for flagged rows</t>
        </is>
      </c>
      <c r="H139" t="n">
        <v>606.5499877929688</v>
      </c>
      <c r="I139" t="n">
        <v>351.3999938964844</v>
      </c>
      <c r="L139" t="inlineStr">
        <is>
          <t>OK</t>
        </is>
      </c>
      <c r="M139" t="n">
        <v>53.92</v>
      </c>
      <c r="N139" t="n">
        <v>31.24</v>
      </c>
      <c r="O139" t="n">
        <v>761.8</v>
      </c>
      <c r="P139" t="n">
        <v>819.5</v>
      </c>
      <c r="Q139" t="n">
        <v>418.5</v>
      </c>
      <c r="R139" s="2" t="inlineStr">
        <is>
          <t>VERIFIED_OK</t>
        </is>
      </c>
      <c r="S139" t="n">
        <v>761.8</v>
      </c>
      <c r="T139" t="inlineStr">
        <is>
          <t>30-07-2026 09:42 IST</t>
        </is>
      </c>
    </row>
    <row r="140">
      <c r="A140" t="n">
        <v>31</v>
      </c>
      <c r="B140" t="n">
        <v>500184</v>
      </c>
      <c r="C140" t="inlineStr">
        <is>
          <t>Himadri Speciality Chemical Ltd</t>
        </is>
      </c>
      <c r="D140" t="n">
        <v>2026</v>
      </c>
      <c r="E140" t="n">
        <v>790.5999755859375</v>
      </c>
      <c r="F140" t="n">
        <v>14.89</v>
      </c>
      <c r="G140" t="inlineStr">
        <is>
          <t>Consolidated first (v4) – needs verification for flagged rows</t>
        </is>
      </c>
      <c r="H140" t="n">
        <v>819.5</v>
      </c>
      <c r="I140" t="n">
        <v>421.2000122070312</v>
      </c>
      <c r="L140" t="inlineStr">
        <is>
          <t>OK</t>
        </is>
      </c>
      <c r="M140" t="n">
        <v>55.04</v>
      </c>
      <c r="N140" t="n">
        <v>28.29</v>
      </c>
      <c r="O140" t="n">
        <v>761.8</v>
      </c>
      <c r="P140" t="n">
        <v>819.5</v>
      </c>
      <c r="Q140" t="n">
        <v>418.5</v>
      </c>
      <c r="R140" s="2" t="inlineStr">
        <is>
          <t>VERIFIED_OK</t>
        </is>
      </c>
      <c r="S140" t="n">
        <v>761.8</v>
      </c>
      <c r="T140" t="inlineStr">
        <is>
          <t>30-07-2026 09:42 IST</t>
        </is>
      </c>
    </row>
    <row r="141">
      <c r="A141" t="n">
        <v>36</v>
      </c>
      <c r="B141" t="n">
        <v>500199</v>
      </c>
      <c r="C141" t="inlineStr">
        <is>
          <t>IG Petrochemicals Ltd</t>
        </is>
      </c>
      <c r="D141" t="n">
        <v>2015</v>
      </c>
      <c r="E141" t="n">
        <v>425.4500122070312</v>
      </c>
      <c r="G141" t="inlineStr">
        <is>
          <t>Consolidated first (v4) – needs verification for flagged rows</t>
        </is>
      </c>
      <c r="H141" t="n">
        <v>174.3999938964844</v>
      </c>
      <c r="I141" t="n">
        <v>40</v>
      </c>
      <c r="L141" t="inlineStr">
        <is>
          <t>INCOMPLETE</t>
        </is>
      </c>
      <c r="O141">
        <f>IFERROR(VLOOKUP(B141,BSE_500_LIVE!A:E,3,FALSE),"")</f>
        <v/>
      </c>
      <c r="P141">
        <f>IFERROR(VLOOKUP(B141,BSE_500_LIVE!A:E,4,FALSE),"")</f>
        <v/>
      </c>
      <c r="Q141">
        <f>IFERROR(VLOOKUP(B141,BSE_500_LIVE!A:E,5,FALSE),"")</f>
        <v/>
      </c>
      <c r="R141">
        <f>IF(OR(E141="",O141=""),"PENDING_FETCH",IF(ABS(E141-O141)/E141&gt;0.005,"MISMATCH_NEEDS_CORRECTION","VERIFIED_OK"))</f>
        <v/>
      </c>
      <c r="S141">
        <f>IF(O141&lt;&gt;"",O141,E141)</f>
        <v/>
      </c>
      <c r="T141">
        <f>IFERROR(VLOOKUP(B141,BSE_500_LIVE!A:F,6,FALSE),"")</f>
        <v/>
      </c>
    </row>
    <row r="142">
      <c r="A142" t="n">
        <v>36</v>
      </c>
      <c r="B142" t="n">
        <v>500199</v>
      </c>
      <c r="C142" t="inlineStr">
        <is>
          <t>IG Petrochemicals Ltd</t>
        </is>
      </c>
      <c r="D142" t="n">
        <v>2016</v>
      </c>
      <c r="E142" t="n">
        <v>425.4500122070312</v>
      </c>
      <c r="F142" t="n">
        <v>19.55</v>
      </c>
      <c r="G142" t="inlineStr">
        <is>
          <t>Consolidated first (v4) – needs verification for flagged rows</t>
        </is>
      </c>
      <c r="H142" t="n">
        <v>347</v>
      </c>
      <c r="I142" t="n">
        <v>72</v>
      </c>
      <c r="L142" t="inlineStr">
        <is>
          <t>OK</t>
        </is>
      </c>
      <c r="M142" t="n">
        <v>17.75</v>
      </c>
      <c r="N142" t="n">
        <v>3.68</v>
      </c>
      <c r="O142">
        <f>IFERROR(VLOOKUP(B142,BSE_500_LIVE!A:E,3,FALSE),"")</f>
        <v/>
      </c>
      <c r="P142">
        <f>IFERROR(VLOOKUP(B142,BSE_500_LIVE!A:E,4,FALSE),"")</f>
        <v/>
      </c>
      <c r="Q142">
        <f>IFERROR(VLOOKUP(B142,BSE_500_LIVE!A:E,5,FALSE),"")</f>
        <v/>
      </c>
      <c r="R142">
        <f>IF(OR(E142="",O142=""),"PENDING_FETCH",IF(ABS(E142-O142)/E142&gt;0.005,"MISMATCH_NEEDS_CORRECTION","VERIFIED_OK"))</f>
        <v/>
      </c>
      <c r="S142">
        <f>IF(O142&lt;&gt;"",O142,E142)</f>
        <v/>
      </c>
      <c r="T142">
        <f>IFERROR(VLOOKUP(B142,BSE_500_LIVE!A:F,6,FALSE),"")</f>
        <v/>
      </c>
    </row>
    <row r="143">
      <c r="A143" t="n">
        <v>36</v>
      </c>
      <c r="B143" t="n">
        <v>500199</v>
      </c>
      <c r="C143" t="inlineStr">
        <is>
          <t>IG Petrochemicals Ltd</t>
        </is>
      </c>
      <c r="D143" t="n">
        <v>2017</v>
      </c>
      <c r="E143" t="n">
        <v>425.4500122070312</v>
      </c>
      <c r="F143" t="n">
        <v>32.98</v>
      </c>
      <c r="G143" t="inlineStr">
        <is>
          <t>Consolidated first (v4) – needs verification for flagged rows</t>
        </is>
      </c>
      <c r="H143" t="n">
        <v>796.0999755859375</v>
      </c>
      <c r="I143" t="n">
        <v>224</v>
      </c>
      <c r="L143" t="inlineStr">
        <is>
          <t>OK</t>
        </is>
      </c>
      <c r="M143" t="n">
        <v>24.14</v>
      </c>
      <c r="N143" t="n">
        <v>6.79</v>
      </c>
      <c r="O143">
        <f>IFERROR(VLOOKUP(B143,BSE_500_LIVE!A:E,3,FALSE),"")</f>
        <v/>
      </c>
      <c r="P143">
        <f>IFERROR(VLOOKUP(B143,BSE_500_LIVE!A:E,4,FALSE),"")</f>
        <v/>
      </c>
      <c r="Q143">
        <f>IFERROR(VLOOKUP(B143,BSE_500_LIVE!A:E,5,FALSE),"")</f>
        <v/>
      </c>
      <c r="R143">
        <f>IF(OR(E143="",O143=""),"PENDING_FETCH",IF(ABS(E143-O143)/E143&gt;0.005,"MISMATCH_NEEDS_CORRECTION","VERIFIED_OK"))</f>
        <v/>
      </c>
      <c r="S143">
        <f>IF(O143&lt;&gt;"",O143,E143)</f>
        <v/>
      </c>
      <c r="T143">
        <f>IFERROR(VLOOKUP(B143,BSE_500_LIVE!A:F,6,FALSE),"")</f>
        <v/>
      </c>
    </row>
    <row r="144">
      <c r="A144" t="n">
        <v>36</v>
      </c>
      <c r="B144" t="n">
        <v>500199</v>
      </c>
      <c r="C144" t="inlineStr">
        <is>
          <t>IG Petrochemicals Ltd</t>
        </is>
      </c>
      <c r="D144" t="n">
        <v>2018</v>
      </c>
      <c r="E144" t="n">
        <v>425.4500122070312</v>
      </c>
      <c r="F144" t="n">
        <v>47.42</v>
      </c>
      <c r="G144" t="inlineStr">
        <is>
          <t>Consolidated first (v4) – needs verification for flagged rows</t>
        </is>
      </c>
      <c r="H144" t="n">
        <v>840</v>
      </c>
      <c r="I144" t="n">
        <v>340</v>
      </c>
      <c r="L144" t="inlineStr">
        <is>
          <t>OK</t>
        </is>
      </c>
      <c r="M144" t="n">
        <v>17.71</v>
      </c>
      <c r="N144" t="n">
        <v>7.17</v>
      </c>
      <c r="O144">
        <f>IFERROR(VLOOKUP(B144,BSE_500_LIVE!A:E,3,FALSE),"")</f>
        <v/>
      </c>
      <c r="P144">
        <f>IFERROR(VLOOKUP(B144,BSE_500_LIVE!A:E,4,FALSE),"")</f>
        <v/>
      </c>
      <c r="Q144">
        <f>IFERROR(VLOOKUP(B144,BSE_500_LIVE!A:E,5,FALSE),"")</f>
        <v/>
      </c>
      <c r="R144">
        <f>IF(OR(E144="",O144=""),"PENDING_FETCH",IF(ABS(E144-O144)/E144&gt;0.005,"MISMATCH_NEEDS_CORRECTION","VERIFIED_OK"))</f>
        <v/>
      </c>
      <c r="S144">
        <f>IF(O144&lt;&gt;"",O144,E144)</f>
        <v/>
      </c>
      <c r="T144">
        <f>IFERROR(VLOOKUP(B144,BSE_500_LIVE!A:F,6,FALSE),"")</f>
        <v/>
      </c>
    </row>
    <row r="145">
      <c r="A145" t="n">
        <v>36</v>
      </c>
      <c r="B145" t="n">
        <v>500199</v>
      </c>
      <c r="C145" t="inlineStr">
        <is>
          <t>IG Petrochemicals Ltd</t>
        </is>
      </c>
      <c r="D145" t="n">
        <v>2019</v>
      </c>
      <c r="E145" t="n">
        <v>425.4500122070312</v>
      </c>
      <c r="F145" t="n">
        <v>37.94</v>
      </c>
      <c r="G145" t="inlineStr">
        <is>
          <t>Consolidated first (v4) – needs verification for flagged rows</t>
        </is>
      </c>
      <c r="H145" t="n">
        <v>429.1000061035156</v>
      </c>
      <c r="I145" t="n">
        <v>125</v>
      </c>
      <c r="L145" t="inlineStr">
        <is>
          <t>OK</t>
        </is>
      </c>
      <c r="M145" t="n">
        <v>11.31</v>
      </c>
      <c r="N145" t="n">
        <v>3.29</v>
      </c>
      <c r="O145">
        <f>IFERROR(VLOOKUP(B145,BSE_500_LIVE!A:E,3,FALSE),"")</f>
        <v/>
      </c>
      <c r="P145">
        <f>IFERROR(VLOOKUP(B145,BSE_500_LIVE!A:E,4,FALSE),"")</f>
        <v/>
      </c>
      <c r="Q145">
        <f>IFERROR(VLOOKUP(B145,BSE_500_LIVE!A:E,5,FALSE),"")</f>
        <v/>
      </c>
      <c r="R145">
        <f>IF(OR(E145="",O145=""),"PENDING_FETCH",IF(ABS(E145-O145)/E145&gt;0.005,"MISMATCH_NEEDS_CORRECTION","VERIFIED_OK"))</f>
        <v/>
      </c>
      <c r="S145">
        <f>IF(O145&lt;&gt;"",O145,E145)</f>
        <v/>
      </c>
      <c r="T145">
        <f>IFERROR(VLOOKUP(B145,BSE_500_LIVE!A:F,6,FALSE),"")</f>
        <v/>
      </c>
    </row>
    <row r="146">
      <c r="A146" t="n">
        <v>36</v>
      </c>
      <c r="B146" t="n">
        <v>500199</v>
      </c>
      <c r="C146" t="inlineStr">
        <is>
          <t>IG Petrochemicals Ltd</t>
        </is>
      </c>
      <c r="D146" t="n">
        <v>2020</v>
      </c>
      <c r="E146" t="n">
        <v>425.4500122070312</v>
      </c>
      <c r="F146" t="n">
        <v>6.78</v>
      </c>
      <c r="G146" t="inlineStr">
        <is>
          <t>Consolidated first (v4) – needs verification for flagged rows</t>
        </is>
      </c>
      <c r="H146" t="n">
        <v>501</v>
      </c>
      <c r="I146" t="n">
        <v>81.25</v>
      </c>
      <c r="L146" t="inlineStr">
        <is>
          <t>OK</t>
        </is>
      </c>
      <c r="M146" t="n">
        <v>73.89</v>
      </c>
      <c r="N146" t="n">
        <v>11.98</v>
      </c>
      <c r="O146">
        <f>IFERROR(VLOOKUP(B146,BSE_500_LIVE!A:E,3,FALSE),"")</f>
        <v/>
      </c>
      <c r="P146">
        <f>IFERROR(VLOOKUP(B146,BSE_500_LIVE!A:E,4,FALSE),"")</f>
        <v/>
      </c>
      <c r="Q146">
        <f>IFERROR(VLOOKUP(B146,BSE_500_LIVE!A:E,5,FALSE),"")</f>
        <v/>
      </c>
      <c r="R146">
        <f>IF(OR(E146="",O146=""),"PENDING_FETCH",IF(ABS(E146-O146)/E146&gt;0.005,"MISMATCH_NEEDS_CORRECTION","VERIFIED_OK"))</f>
        <v/>
      </c>
      <c r="S146">
        <f>IF(O146&lt;&gt;"",O146,E146)</f>
        <v/>
      </c>
      <c r="T146">
        <f>IFERROR(VLOOKUP(B146,BSE_500_LIVE!A:F,6,FALSE),"")</f>
        <v/>
      </c>
    </row>
    <row r="147">
      <c r="A147" t="n">
        <v>36</v>
      </c>
      <c r="B147" t="n">
        <v>500199</v>
      </c>
      <c r="C147" t="inlineStr">
        <is>
          <t>IG Petrochemicals Ltd</t>
        </is>
      </c>
      <c r="D147" t="n">
        <v>2021</v>
      </c>
      <c r="E147" t="n">
        <v>425.4500122070312</v>
      </c>
      <c r="F147" t="n">
        <v>61.08</v>
      </c>
      <c r="G147" t="inlineStr">
        <is>
          <t>Consolidated first (v4) – needs verification for flagged rows</t>
        </is>
      </c>
      <c r="H147" t="n">
        <v>1017.900024414062</v>
      </c>
      <c r="I147" t="n">
        <v>363.1000061035156</v>
      </c>
      <c r="L147" t="inlineStr">
        <is>
          <t>OK</t>
        </is>
      </c>
      <c r="M147" t="n">
        <v>16.67</v>
      </c>
      <c r="N147" t="n">
        <v>5.94</v>
      </c>
      <c r="O147">
        <f>IFERROR(VLOOKUP(B147,BSE_500_LIVE!A:E,3,FALSE),"")</f>
        <v/>
      </c>
      <c r="P147">
        <f>IFERROR(VLOOKUP(B147,BSE_500_LIVE!A:E,4,FALSE),"")</f>
        <v/>
      </c>
      <c r="Q147">
        <f>IFERROR(VLOOKUP(B147,BSE_500_LIVE!A:E,5,FALSE),"")</f>
        <v/>
      </c>
      <c r="R147">
        <f>IF(OR(E147="",O147=""),"PENDING_FETCH",IF(ABS(E147-O147)/E147&gt;0.005,"MISMATCH_NEEDS_CORRECTION","VERIFIED_OK"))</f>
        <v/>
      </c>
      <c r="S147">
        <f>IF(O147&lt;&gt;"",O147,E147)</f>
        <v/>
      </c>
      <c r="T147">
        <f>IFERROR(VLOOKUP(B147,BSE_500_LIVE!A:F,6,FALSE),"")</f>
        <v/>
      </c>
    </row>
    <row r="148">
      <c r="A148" t="n">
        <v>36</v>
      </c>
      <c r="B148" t="n">
        <v>500199</v>
      </c>
      <c r="C148" t="inlineStr">
        <is>
          <t>IG Petrochemicals Ltd</t>
        </is>
      </c>
      <c r="D148" t="n">
        <v>2022</v>
      </c>
      <c r="E148" t="n">
        <v>425.4500122070312</v>
      </c>
      <c r="F148" t="n">
        <v>85.89</v>
      </c>
      <c r="G148" t="inlineStr">
        <is>
          <t>Consolidated first (v4) – needs verification for flagged rows</t>
        </is>
      </c>
      <c r="H148" t="n">
        <v>827.5</v>
      </c>
      <c r="I148" t="n">
        <v>490.9500122070312</v>
      </c>
      <c r="L148" t="inlineStr">
        <is>
          <t>OK</t>
        </is>
      </c>
      <c r="M148" t="n">
        <v>9.630000000000001</v>
      </c>
      <c r="N148" t="n">
        <v>5.72</v>
      </c>
      <c r="O148">
        <f>IFERROR(VLOOKUP(B148,BSE_500_LIVE!A:E,3,FALSE),"")</f>
        <v/>
      </c>
      <c r="P148">
        <f>IFERROR(VLOOKUP(B148,BSE_500_LIVE!A:E,4,FALSE),"")</f>
        <v/>
      </c>
      <c r="Q148">
        <f>IFERROR(VLOOKUP(B148,BSE_500_LIVE!A:E,5,FALSE),"")</f>
        <v/>
      </c>
      <c r="R148">
        <f>IF(OR(E148="",O148=""),"PENDING_FETCH",IF(ABS(E148-O148)/E148&gt;0.005,"MISMATCH_NEEDS_CORRECTION","VERIFIED_OK"))</f>
        <v/>
      </c>
      <c r="S148">
        <f>IF(O148&lt;&gt;"",O148,E148)</f>
        <v/>
      </c>
      <c r="T148">
        <f>IFERROR(VLOOKUP(B148,BSE_500_LIVE!A:F,6,FALSE),"")</f>
        <v/>
      </c>
    </row>
    <row r="149">
      <c r="A149" t="n">
        <v>36</v>
      </c>
      <c r="B149" t="n">
        <v>500199</v>
      </c>
      <c r="C149" t="inlineStr">
        <is>
          <t>IG Petrochemicals Ltd</t>
        </is>
      </c>
      <c r="D149" t="n">
        <v>2023</v>
      </c>
      <c r="E149" t="n">
        <v>425.4500122070312</v>
      </c>
      <c r="F149" t="n">
        <v>64.95</v>
      </c>
      <c r="G149" t="inlineStr">
        <is>
          <t>Consolidated first (v4) – needs verification for flagged rows</t>
        </is>
      </c>
      <c r="H149" t="n">
        <v>588.5499877929688</v>
      </c>
      <c r="I149" t="n">
        <v>393</v>
      </c>
      <c r="L149" t="inlineStr">
        <is>
          <t>OK</t>
        </is>
      </c>
      <c r="M149" t="n">
        <v>9.06</v>
      </c>
      <c r="N149" t="n">
        <v>6.05</v>
      </c>
      <c r="O149">
        <f>IFERROR(VLOOKUP(B149,BSE_500_LIVE!A:E,3,FALSE),"")</f>
        <v/>
      </c>
      <c r="P149">
        <f>IFERROR(VLOOKUP(B149,BSE_500_LIVE!A:E,4,FALSE),"")</f>
        <v/>
      </c>
      <c r="Q149">
        <f>IFERROR(VLOOKUP(B149,BSE_500_LIVE!A:E,5,FALSE),"")</f>
        <v/>
      </c>
      <c r="R149">
        <f>IF(OR(E149="",O149=""),"PENDING_FETCH",IF(ABS(E149-O149)/E149&gt;0.005,"MISMATCH_NEEDS_CORRECTION","VERIFIED_OK"))</f>
        <v/>
      </c>
      <c r="S149">
        <f>IF(O149&lt;&gt;"",O149,E149)</f>
        <v/>
      </c>
      <c r="T149">
        <f>IFERROR(VLOOKUP(B149,BSE_500_LIVE!A:F,6,FALSE),"")</f>
        <v/>
      </c>
    </row>
    <row r="150">
      <c r="A150" t="n">
        <v>36</v>
      </c>
      <c r="B150" t="n">
        <v>500199</v>
      </c>
      <c r="C150" t="inlineStr">
        <is>
          <t>IG Petrochemicals Ltd</t>
        </is>
      </c>
      <c r="D150" t="n">
        <v>2024</v>
      </c>
      <c r="E150" t="n">
        <v>425.4500122070312</v>
      </c>
      <c r="F150" t="n">
        <v>12.83</v>
      </c>
      <c r="G150" t="inlineStr">
        <is>
          <t>Consolidated first (v4) – needs verification for flagged rows</t>
        </is>
      </c>
      <c r="H150" t="n">
        <v>725.5999755859375</v>
      </c>
      <c r="I150" t="n">
        <v>406.6499938964844</v>
      </c>
      <c r="L150" t="inlineStr">
        <is>
          <t>OK</t>
        </is>
      </c>
      <c r="M150" t="n">
        <v>56.55</v>
      </c>
      <c r="N150" t="n">
        <v>31.7</v>
      </c>
      <c r="O150">
        <f>IFERROR(VLOOKUP(B150,BSE_500_LIVE!A:E,3,FALSE),"")</f>
        <v/>
      </c>
      <c r="P150">
        <f>IFERROR(VLOOKUP(B150,BSE_500_LIVE!A:E,4,FALSE),"")</f>
        <v/>
      </c>
      <c r="Q150">
        <f>IFERROR(VLOOKUP(B150,BSE_500_LIVE!A:E,5,FALSE),"")</f>
        <v/>
      </c>
      <c r="R150">
        <f>IF(OR(E150="",O150=""),"PENDING_FETCH",IF(ABS(E150-O150)/E150&gt;0.005,"MISMATCH_NEEDS_CORRECTION","VERIFIED_OK"))</f>
        <v/>
      </c>
      <c r="S150">
        <f>IF(O150&lt;&gt;"",O150,E150)</f>
        <v/>
      </c>
      <c r="T150">
        <f>IFERROR(VLOOKUP(B150,BSE_500_LIVE!A:F,6,FALSE),"")</f>
        <v/>
      </c>
    </row>
    <row r="151">
      <c r="A151" t="n">
        <v>36</v>
      </c>
      <c r="B151" t="n">
        <v>500199</v>
      </c>
      <c r="C151" t="inlineStr">
        <is>
          <t>IG Petrochemicals Ltd</t>
        </is>
      </c>
      <c r="D151" t="n">
        <v>2025</v>
      </c>
      <c r="E151" t="n">
        <v>425.4500122070312</v>
      </c>
      <c r="F151" t="n">
        <v>35.3</v>
      </c>
      <c r="G151" t="inlineStr">
        <is>
          <t>Consolidated first (v4) – needs verification for flagged rows</t>
        </is>
      </c>
      <c r="H151" t="n">
        <v>587</v>
      </c>
      <c r="I151" t="n">
        <v>360.8999938964844</v>
      </c>
      <c r="L151" t="inlineStr">
        <is>
          <t>OK</t>
        </is>
      </c>
      <c r="M151" t="n">
        <v>16.63</v>
      </c>
      <c r="N151" t="n">
        <v>10.22</v>
      </c>
      <c r="O151">
        <f>IFERROR(VLOOKUP(B151,BSE_500_LIVE!A:E,3,FALSE),"")</f>
        <v/>
      </c>
      <c r="P151">
        <f>IFERROR(VLOOKUP(B151,BSE_500_LIVE!A:E,4,FALSE),"")</f>
        <v/>
      </c>
      <c r="Q151">
        <f>IFERROR(VLOOKUP(B151,BSE_500_LIVE!A:E,5,FALSE),"")</f>
        <v/>
      </c>
      <c r="R151">
        <f>IF(OR(E151="",O151=""),"PENDING_FETCH",IF(ABS(E151-O151)/E151&gt;0.005,"MISMATCH_NEEDS_CORRECTION","VERIFIED_OK"))</f>
        <v/>
      </c>
      <c r="S151">
        <f>IF(O151&lt;&gt;"",O151,E151)</f>
        <v/>
      </c>
      <c r="T151">
        <f>IFERROR(VLOOKUP(B151,BSE_500_LIVE!A:F,6,FALSE),"")</f>
        <v/>
      </c>
    </row>
    <row r="152">
      <c r="A152" t="n">
        <v>36</v>
      </c>
      <c r="B152" t="n">
        <v>500199</v>
      </c>
      <c r="C152" t="inlineStr">
        <is>
          <t>IG Petrochemicals Ltd</t>
        </is>
      </c>
      <c r="D152" t="n">
        <v>2026</v>
      </c>
      <c r="E152" t="n">
        <v>425.4500122070312</v>
      </c>
      <c r="F152" t="n">
        <v>0.72</v>
      </c>
      <c r="G152" t="inlineStr">
        <is>
          <t>Consolidated first (v4) – needs verification for flagged rows</t>
        </is>
      </c>
      <c r="H152" t="n">
        <v>480</v>
      </c>
      <c r="I152" t="n">
        <v>317.7999877929688</v>
      </c>
      <c r="L152" t="inlineStr">
        <is>
          <t>OK</t>
        </is>
      </c>
      <c r="M152" t="n">
        <v>666.67</v>
      </c>
      <c r="N152" t="n">
        <v>441.39</v>
      </c>
      <c r="O152">
        <f>IFERROR(VLOOKUP(B152,BSE_500_LIVE!A:E,3,FALSE),"")</f>
        <v/>
      </c>
      <c r="P152">
        <f>IFERROR(VLOOKUP(B152,BSE_500_LIVE!A:E,4,FALSE),"")</f>
        <v/>
      </c>
      <c r="Q152">
        <f>IFERROR(VLOOKUP(B152,BSE_500_LIVE!A:E,5,FALSE),"")</f>
        <v/>
      </c>
      <c r="R152">
        <f>IF(OR(E152="",O152=""),"PENDING_FETCH",IF(ABS(E152-O152)/E152&gt;0.005,"MISMATCH_NEEDS_CORRECTION","VERIFIED_OK"))</f>
        <v/>
      </c>
      <c r="S152">
        <f>IF(O152&lt;&gt;"",O152,E152)</f>
        <v/>
      </c>
      <c r="T152">
        <f>IFERROR(VLOOKUP(B152,BSE_500_LIVE!A:F,6,FALSE),"")</f>
        <v/>
      </c>
    </row>
    <row r="153">
      <c r="A153" t="n">
        <v>37</v>
      </c>
      <c r="B153" t="n">
        <v>500202</v>
      </c>
      <c r="C153" t="inlineStr">
        <is>
          <t>India Glycols Ltd</t>
        </is>
      </c>
      <c r="D153" t="n">
        <v>2015</v>
      </c>
      <c r="E153" t="n">
        <v>6.710000038146973</v>
      </c>
      <c r="F153" t="n">
        <v>9.75</v>
      </c>
      <c r="G153" t="inlineStr">
        <is>
          <t>Consolidated first (v4) – needs verification for flagged rows</t>
        </is>
      </c>
      <c r="H153" t="n">
        <v>12.86999988555908</v>
      </c>
      <c r="I153" t="n">
        <v>5.519999980926514</v>
      </c>
      <c r="L153" t="inlineStr">
        <is>
          <t>UNVERIFIED – negative EPS</t>
        </is>
      </c>
      <c r="M153" t="n">
        <v>1.32</v>
      </c>
      <c r="N153" t="n">
        <v>0.57</v>
      </c>
      <c r="O153" t="n">
        <v>8.85</v>
      </c>
      <c r="P153" t="n">
        <v>16.7</v>
      </c>
      <c r="Q153" t="n">
        <v>8.23</v>
      </c>
      <c r="R153" s="3" t="inlineStr">
        <is>
          <t>MISMATCH_NEEDS_CORRECTION</t>
        </is>
      </c>
      <c r="S153" t="n">
        <v>8.85</v>
      </c>
      <c r="T153" t="inlineStr">
        <is>
          <t>30-07-2026 09:42 IST</t>
        </is>
      </c>
    </row>
    <row r="154">
      <c r="A154" t="n">
        <v>37</v>
      </c>
      <c r="B154" t="n">
        <v>500202</v>
      </c>
      <c r="C154" t="inlineStr">
        <is>
          <t>India Glycols Ltd</t>
        </is>
      </c>
      <c r="D154" t="n">
        <v>2016</v>
      </c>
      <c r="E154" t="n">
        <v>6.710000038146973</v>
      </c>
      <c r="F154" t="n">
        <v>8.029999999999999</v>
      </c>
      <c r="G154" t="inlineStr">
        <is>
          <t>Consolidated first (v4) – needs verification for flagged rows</t>
        </is>
      </c>
      <c r="H154" t="n">
        <v>15.11999988555908</v>
      </c>
      <c r="I154" t="n">
        <v>7.21999979019165</v>
      </c>
      <c r="L154" t="inlineStr">
        <is>
          <t>UNVERIFIED – tiny EPS &lt;0.5</t>
        </is>
      </c>
      <c r="M154" t="n">
        <v>1.88</v>
      </c>
      <c r="N154" t="n">
        <v>0.9</v>
      </c>
      <c r="O154" t="n">
        <v>8.85</v>
      </c>
      <c r="P154" t="n">
        <v>16.7</v>
      </c>
      <c r="Q154" t="n">
        <v>8.23</v>
      </c>
      <c r="R154" s="3" t="inlineStr">
        <is>
          <t>MISMATCH_NEEDS_CORRECTION</t>
        </is>
      </c>
      <c r="S154" t="n">
        <v>8.85</v>
      </c>
      <c r="T154" t="inlineStr">
        <is>
          <t>30-07-2026 09:42 IST</t>
        </is>
      </c>
    </row>
    <row r="155">
      <c r="A155" t="n">
        <v>37</v>
      </c>
      <c r="B155" t="n">
        <v>500202</v>
      </c>
      <c r="C155" t="inlineStr">
        <is>
          <t>India Glycols Ltd</t>
        </is>
      </c>
      <c r="D155" t="n">
        <v>2017</v>
      </c>
      <c r="E155" t="n">
        <v>6.710000038146973</v>
      </c>
      <c r="F155" t="n">
        <v>9.18</v>
      </c>
      <c r="G155" t="inlineStr">
        <is>
          <t>Consolidated first (v4) – needs verification for flagged rows</t>
        </is>
      </c>
      <c r="H155" t="n">
        <v>8.399999618530273</v>
      </c>
      <c r="I155" t="n">
        <v>3.450000047683716</v>
      </c>
      <c r="L155" t="inlineStr">
        <is>
          <t>UNVERIFIED – negative EPS</t>
        </is>
      </c>
      <c r="M155" t="n">
        <v>0.92</v>
      </c>
      <c r="N155" t="n">
        <v>0.38</v>
      </c>
      <c r="O155" t="n">
        <v>8.85</v>
      </c>
      <c r="P155" t="n">
        <v>16.7</v>
      </c>
      <c r="Q155" t="n">
        <v>8.23</v>
      </c>
      <c r="R155" s="3" t="inlineStr">
        <is>
          <t>MISMATCH_NEEDS_CORRECTION</t>
        </is>
      </c>
      <c r="S155" t="n">
        <v>8.85</v>
      </c>
      <c r="T155" t="inlineStr">
        <is>
          <t>30-07-2026 09:42 IST</t>
        </is>
      </c>
    </row>
    <row r="156">
      <c r="A156" t="n">
        <v>37</v>
      </c>
      <c r="B156" t="n">
        <v>500202</v>
      </c>
      <c r="C156" t="inlineStr">
        <is>
          <t>India Glycols Ltd</t>
        </is>
      </c>
      <c r="D156" t="n">
        <v>2018</v>
      </c>
      <c r="E156" t="n">
        <v>6.710000038146973</v>
      </c>
      <c r="F156" t="n">
        <v>10.34</v>
      </c>
      <c r="G156" t="inlineStr">
        <is>
          <t>Consolidated first (v4) – needs verification for flagged rows</t>
        </is>
      </c>
      <c r="H156" t="n">
        <v>8.659999847412109</v>
      </c>
      <c r="I156" t="n">
        <v>4.880000114440918</v>
      </c>
      <c r="L156" t="inlineStr">
        <is>
          <t>UNVERIFIED – tiny EPS &lt;0.5</t>
        </is>
      </c>
      <c r="M156" t="n">
        <v>0.84</v>
      </c>
      <c r="N156" t="n">
        <v>0.47</v>
      </c>
      <c r="O156" t="n">
        <v>8.85</v>
      </c>
      <c r="P156" t="n">
        <v>16.7</v>
      </c>
      <c r="Q156" t="n">
        <v>8.23</v>
      </c>
      <c r="R156" s="3" t="inlineStr">
        <is>
          <t>MISMATCH_NEEDS_CORRECTION</t>
        </is>
      </c>
      <c r="S156" t="n">
        <v>8.85</v>
      </c>
      <c r="T156" t="inlineStr">
        <is>
          <t>30-07-2026 09:42 IST</t>
        </is>
      </c>
    </row>
    <row r="157">
      <c r="A157" t="n">
        <v>37</v>
      </c>
      <c r="B157" t="n">
        <v>500202</v>
      </c>
      <c r="C157" t="inlineStr">
        <is>
          <t>India Glycols Ltd</t>
        </is>
      </c>
      <c r="D157" t="n">
        <v>2019</v>
      </c>
      <c r="E157" t="n">
        <v>6.710000038146973</v>
      </c>
      <c r="F157" t="n">
        <v>11.83</v>
      </c>
      <c r="G157" t="inlineStr">
        <is>
          <t>Consolidated first (v4) – needs verification for flagged rows</t>
        </is>
      </c>
      <c r="H157" t="n">
        <v>8.829999923706055</v>
      </c>
      <c r="I157" t="n">
        <v>7.599999904632568</v>
      </c>
      <c r="L157" t="inlineStr">
        <is>
          <t>UNVERIFIED – negative EPS</t>
        </is>
      </c>
      <c r="M157" t="n">
        <v>0.75</v>
      </c>
      <c r="N157" t="n">
        <v>0.64</v>
      </c>
      <c r="O157" t="n">
        <v>8.85</v>
      </c>
      <c r="P157" t="n">
        <v>16.7</v>
      </c>
      <c r="Q157" t="n">
        <v>8.23</v>
      </c>
      <c r="R157" s="3" t="inlineStr">
        <is>
          <t>MISMATCH_NEEDS_CORRECTION</t>
        </is>
      </c>
      <c r="S157" t="n">
        <v>8.85</v>
      </c>
      <c r="T157" t="inlineStr">
        <is>
          <t>30-07-2026 09:42 IST</t>
        </is>
      </c>
    </row>
    <row r="158">
      <c r="A158" t="n">
        <v>37</v>
      </c>
      <c r="B158" t="n">
        <v>500202</v>
      </c>
      <c r="C158" t="inlineStr">
        <is>
          <t>India Glycols Ltd</t>
        </is>
      </c>
      <c r="D158" t="n">
        <v>2020</v>
      </c>
      <c r="E158" t="n">
        <v>6.710000038146973</v>
      </c>
      <c r="F158" t="n">
        <v>0.89</v>
      </c>
      <c r="G158" t="inlineStr">
        <is>
          <t>Consolidated first (v4) – needs verification for flagged rows</t>
        </is>
      </c>
      <c r="H158" t="n">
        <v>9.409999847412109</v>
      </c>
      <c r="I158" t="n">
        <v>3.279999971389771</v>
      </c>
      <c r="L158" t="inlineStr">
        <is>
          <t>OK</t>
        </is>
      </c>
      <c r="M158" t="n">
        <v>10.57</v>
      </c>
      <c r="N158" t="n">
        <v>3.69</v>
      </c>
      <c r="O158" t="n">
        <v>8.85</v>
      </c>
      <c r="P158" t="n">
        <v>16.7</v>
      </c>
      <c r="Q158" t="n">
        <v>8.23</v>
      </c>
      <c r="R158" s="3" t="inlineStr">
        <is>
          <t>MISMATCH_NEEDS_CORRECTION</t>
        </is>
      </c>
      <c r="S158" t="n">
        <v>8.85</v>
      </c>
      <c r="T158" t="inlineStr">
        <is>
          <t>30-07-2026 09:42 IST</t>
        </is>
      </c>
    </row>
    <row r="159">
      <c r="A159" t="n">
        <v>37</v>
      </c>
      <c r="B159" t="n">
        <v>500202</v>
      </c>
      <c r="C159" t="inlineStr">
        <is>
          <t>India Glycols Ltd</t>
        </is>
      </c>
      <c r="D159" t="n">
        <v>2021</v>
      </c>
      <c r="E159" t="n">
        <v>6.710000038146973</v>
      </c>
      <c r="F159" t="n">
        <v>10.08</v>
      </c>
      <c r="G159" t="inlineStr">
        <is>
          <t>Consolidated first (v4) – needs verification for flagged rows</t>
        </is>
      </c>
      <c r="H159" t="n">
        <v>13.35000038146973</v>
      </c>
      <c r="I159" t="n">
        <v>6.449999809265137</v>
      </c>
      <c r="L159" t="inlineStr">
        <is>
          <t>UNVERIFIED – negative EPS</t>
        </is>
      </c>
      <c r="M159" t="n">
        <v>1.32</v>
      </c>
      <c r="N159" t="n">
        <v>0.64</v>
      </c>
      <c r="O159" t="n">
        <v>8.85</v>
      </c>
      <c r="P159" t="n">
        <v>16.7</v>
      </c>
      <c r="Q159" t="n">
        <v>8.23</v>
      </c>
      <c r="R159" s="3" t="inlineStr">
        <is>
          <t>MISMATCH_NEEDS_CORRECTION</t>
        </is>
      </c>
      <c r="S159" t="n">
        <v>8.85</v>
      </c>
      <c r="T159" t="inlineStr">
        <is>
          <t>30-07-2026 09:42 IST</t>
        </is>
      </c>
    </row>
    <row r="160">
      <c r="A160" t="n">
        <v>37</v>
      </c>
      <c r="B160" t="n">
        <v>500202</v>
      </c>
      <c r="C160" t="inlineStr">
        <is>
          <t>India Glycols Ltd</t>
        </is>
      </c>
      <c r="D160" t="n">
        <v>2022</v>
      </c>
      <c r="E160" t="n">
        <v>6.710000038146973</v>
      </c>
      <c r="F160" t="n">
        <v>12.96</v>
      </c>
      <c r="G160" t="inlineStr">
        <is>
          <t>Consolidated first (v4) – needs verification for flagged rows</t>
        </is>
      </c>
      <c r="H160" t="n">
        <v>13.28999996185303</v>
      </c>
      <c r="I160" t="n">
        <v>5.050000190734863</v>
      </c>
      <c r="L160" t="inlineStr">
        <is>
          <t>UNVERIFIED – negative EPS</t>
        </is>
      </c>
      <c r="M160" t="n">
        <v>1.03</v>
      </c>
      <c r="N160" t="n">
        <v>0.39</v>
      </c>
      <c r="O160" t="n">
        <v>8.85</v>
      </c>
      <c r="P160" t="n">
        <v>16.7</v>
      </c>
      <c r="Q160" t="n">
        <v>8.23</v>
      </c>
      <c r="R160" s="3" t="inlineStr">
        <is>
          <t>MISMATCH_NEEDS_CORRECTION</t>
        </is>
      </c>
      <c r="S160" t="n">
        <v>8.85</v>
      </c>
      <c r="T160" t="inlineStr">
        <is>
          <t>30-07-2026 09:42 IST</t>
        </is>
      </c>
    </row>
    <row r="161">
      <c r="A161" t="n">
        <v>37</v>
      </c>
      <c r="B161" t="n">
        <v>500202</v>
      </c>
      <c r="C161" t="inlineStr">
        <is>
          <t>India Glycols Ltd</t>
        </is>
      </c>
      <c r="D161" t="n">
        <v>2023</v>
      </c>
      <c r="E161" t="n">
        <v>6.710000038146973</v>
      </c>
      <c r="F161" t="n">
        <v>8.26</v>
      </c>
      <c r="G161" t="inlineStr">
        <is>
          <t>Consolidated first (v4) – needs verification for flagged rows</t>
        </is>
      </c>
      <c r="H161" t="n">
        <v>14.30000019073486</v>
      </c>
      <c r="I161" t="n">
        <v>5.210000038146973</v>
      </c>
      <c r="L161" t="inlineStr">
        <is>
          <t>UNVERIFIED – negative EPS</t>
        </is>
      </c>
      <c r="M161" t="n">
        <v>1.73</v>
      </c>
      <c r="N161" t="n">
        <v>0.63</v>
      </c>
      <c r="O161" t="n">
        <v>8.85</v>
      </c>
      <c r="P161" t="n">
        <v>16.7</v>
      </c>
      <c r="Q161" t="n">
        <v>8.23</v>
      </c>
      <c r="R161" s="3" t="inlineStr">
        <is>
          <t>MISMATCH_NEEDS_CORRECTION</t>
        </is>
      </c>
      <c r="S161" t="n">
        <v>8.85</v>
      </c>
      <c r="T161" t="inlineStr">
        <is>
          <t>30-07-2026 09:42 IST</t>
        </is>
      </c>
    </row>
    <row r="162">
      <c r="A162" t="n">
        <v>37</v>
      </c>
      <c r="B162" t="n">
        <v>500202</v>
      </c>
      <c r="C162" t="inlineStr">
        <is>
          <t>India Glycols Ltd</t>
        </is>
      </c>
      <c r="D162" t="n">
        <v>2024</v>
      </c>
      <c r="E162" t="n">
        <v>6.710000038146973</v>
      </c>
      <c r="F162" t="n">
        <v>6.14</v>
      </c>
      <c r="G162" t="inlineStr">
        <is>
          <t>Consolidated first (v4) – needs verification for flagged rows</t>
        </is>
      </c>
      <c r="H162" t="n">
        <v>16.70000076293945</v>
      </c>
      <c r="I162" t="n">
        <v>8.229999542236328</v>
      </c>
      <c r="L162" t="inlineStr">
        <is>
          <t>UNVERIFIED – negative EPS</t>
        </is>
      </c>
      <c r="M162" t="n">
        <v>2.72</v>
      </c>
      <c r="N162" t="n">
        <v>1.34</v>
      </c>
      <c r="O162" t="n">
        <v>8.85</v>
      </c>
      <c r="P162" t="n">
        <v>16.7</v>
      </c>
      <c r="Q162" t="n">
        <v>8.23</v>
      </c>
      <c r="R162" s="3" t="inlineStr">
        <is>
          <t>MISMATCH_NEEDS_CORRECTION</t>
        </is>
      </c>
      <c r="S162" t="n">
        <v>8.85</v>
      </c>
      <c r="T162" t="inlineStr">
        <is>
          <t>30-07-2026 09:42 IST</t>
        </is>
      </c>
    </row>
    <row r="163">
      <c r="A163" t="n">
        <v>37</v>
      </c>
      <c r="B163" t="n">
        <v>500202</v>
      </c>
      <c r="C163" t="inlineStr">
        <is>
          <t>India Glycols Ltd</t>
        </is>
      </c>
      <c r="D163" t="n">
        <v>2025</v>
      </c>
      <c r="E163" t="n">
        <v>6.710000038146973</v>
      </c>
      <c r="F163" t="n">
        <v>6.73</v>
      </c>
      <c r="G163" t="inlineStr">
        <is>
          <t>Consolidated first (v4) – needs verification for flagged rows</t>
        </is>
      </c>
      <c r="H163" t="n">
        <v>13.68000030517578</v>
      </c>
      <c r="I163" t="n">
        <v>7.03000020980835</v>
      </c>
      <c r="L163" t="inlineStr">
        <is>
          <t>UNVERIFIED – negative EPS</t>
        </is>
      </c>
      <c r="M163" t="n">
        <v>2.03</v>
      </c>
      <c r="N163" t="n">
        <v>1.04</v>
      </c>
      <c r="O163" t="n">
        <v>8.85</v>
      </c>
      <c r="P163" t="n">
        <v>16.7</v>
      </c>
      <c r="Q163" t="n">
        <v>8.23</v>
      </c>
      <c r="R163" s="3" t="inlineStr">
        <is>
          <t>MISMATCH_NEEDS_CORRECTION</t>
        </is>
      </c>
      <c r="S163" t="n">
        <v>8.85</v>
      </c>
      <c r="T163" t="inlineStr">
        <is>
          <t>30-07-2026 09:42 IST</t>
        </is>
      </c>
    </row>
    <row r="164">
      <c r="A164" t="n">
        <v>37</v>
      </c>
      <c r="B164" t="n">
        <v>500202</v>
      </c>
      <c r="C164" t="inlineStr">
        <is>
          <t>India Glycols Ltd</t>
        </is>
      </c>
      <c r="D164" t="n">
        <v>2026</v>
      </c>
      <c r="E164" t="n">
        <v>6.710000038146973</v>
      </c>
      <c r="F164" t="n">
        <v>6.82</v>
      </c>
      <c r="G164" t="inlineStr">
        <is>
          <t>Consolidated first (v4) – needs verification for flagged rows</t>
        </is>
      </c>
      <c r="H164" t="n">
        <v>10.47000026702881</v>
      </c>
      <c r="I164" t="n">
        <v>6.710000038146973</v>
      </c>
      <c r="L164" t="inlineStr">
        <is>
          <t>UNVERIFIED – tiny EPS &lt;0.5</t>
        </is>
      </c>
      <c r="M164" t="n">
        <v>1.54</v>
      </c>
      <c r="N164" t="n">
        <v>0.98</v>
      </c>
      <c r="O164" t="n">
        <v>8.85</v>
      </c>
      <c r="P164" t="n">
        <v>16.7</v>
      </c>
      <c r="Q164" t="n">
        <v>8.23</v>
      </c>
      <c r="R164" s="3" t="inlineStr">
        <is>
          <t>MISMATCH_NEEDS_CORRECTION</t>
        </is>
      </c>
      <c r="S164" t="n">
        <v>8.85</v>
      </c>
      <c r="T164" t="inlineStr">
        <is>
          <t>30-07-2026 09:42 IST</t>
        </is>
      </c>
    </row>
    <row r="165">
      <c r="A165" t="n">
        <v>38</v>
      </c>
      <c r="B165" t="n">
        <v>500209</v>
      </c>
      <c r="C165" t="inlineStr">
        <is>
          <t>Infosys Ltd</t>
        </is>
      </c>
      <c r="D165" t="n">
        <v>2015</v>
      </c>
      <c r="E165" t="n">
        <v>1096.949951171875</v>
      </c>
      <c r="F165" t="n">
        <v>26.93</v>
      </c>
      <c r="G165" t="inlineStr">
        <is>
          <t>Consolidated first (v4) – needs verification for flagged rows</t>
        </is>
      </c>
      <c r="H165" t="n">
        <v>609.5</v>
      </c>
      <c r="I165" t="n">
        <v>466.2749938964844</v>
      </c>
      <c r="L165" t="inlineStr">
        <is>
          <t>OK</t>
        </is>
      </c>
      <c r="M165" t="n">
        <v>22.63</v>
      </c>
      <c r="N165" t="n">
        <v>17.31</v>
      </c>
      <c r="O165" t="n">
        <v>1175.1</v>
      </c>
      <c r="P165" t="n">
        <v>1728</v>
      </c>
      <c r="Q165" t="n">
        <v>982.4</v>
      </c>
      <c r="R165" s="3" t="inlineStr">
        <is>
          <t>MISMATCH_NEEDS_CORRECTION</t>
        </is>
      </c>
      <c r="S165" t="n">
        <v>1175.1</v>
      </c>
      <c r="T165" t="inlineStr">
        <is>
          <t>30-07-2026 09:42 IST</t>
        </is>
      </c>
    </row>
    <row r="166">
      <c r="A166" t="n">
        <v>38</v>
      </c>
      <c r="B166" t="n">
        <v>500209</v>
      </c>
      <c r="C166" t="inlineStr">
        <is>
          <t>Infosys Ltd</t>
        </is>
      </c>
      <c r="D166" t="n">
        <v>2016</v>
      </c>
      <c r="E166" t="n">
        <v>1096.949951171875</v>
      </c>
      <c r="F166" t="n">
        <v>29.36</v>
      </c>
      <c r="G166" t="inlineStr">
        <is>
          <t>Consolidated first (v4) – needs verification for flagged rows</t>
        </is>
      </c>
      <c r="H166" t="n">
        <v>639</v>
      </c>
      <c r="I166" t="n">
        <v>450.1499938964844</v>
      </c>
      <c r="L166" t="inlineStr">
        <is>
          <t>OK</t>
        </is>
      </c>
      <c r="M166" t="n">
        <v>21.76</v>
      </c>
      <c r="N166" t="n">
        <v>15.33</v>
      </c>
      <c r="O166" t="n">
        <v>1175.1</v>
      </c>
      <c r="P166" t="n">
        <v>1728</v>
      </c>
      <c r="Q166" t="n">
        <v>982.4</v>
      </c>
      <c r="R166" s="3" t="inlineStr">
        <is>
          <t>MISMATCH_NEEDS_CORRECTION</t>
        </is>
      </c>
      <c r="S166" t="n">
        <v>1175.1</v>
      </c>
      <c r="T166" t="inlineStr">
        <is>
          <t>30-07-2026 09:42 IST</t>
        </is>
      </c>
    </row>
    <row r="167">
      <c r="A167" t="n">
        <v>38</v>
      </c>
      <c r="B167" t="n">
        <v>500209</v>
      </c>
      <c r="C167" t="inlineStr">
        <is>
          <t>Infosys Ltd</t>
        </is>
      </c>
      <c r="D167" t="n">
        <v>2017</v>
      </c>
      <c r="E167" t="n">
        <v>1096.949951171875</v>
      </c>
      <c r="F167" t="n">
        <v>31.24</v>
      </c>
      <c r="G167" t="inlineStr">
        <is>
          <t>Consolidated first (v4) – needs verification for flagged rows</t>
        </is>
      </c>
      <c r="H167" t="n">
        <v>523.0499877929688</v>
      </c>
      <c r="I167" t="n">
        <v>430.75</v>
      </c>
      <c r="L167" t="inlineStr">
        <is>
          <t>OK</t>
        </is>
      </c>
      <c r="M167" t="n">
        <v>16.74</v>
      </c>
      <c r="N167" t="n">
        <v>13.79</v>
      </c>
      <c r="O167" t="n">
        <v>1175.1</v>
      </c>
      <c r="P167" t="n">
        <v>1728</v>
      </c>
      <c r="Q167" t="n">
        <v>982.4</v>
      </c>
      <c r="R167" s="3" t="inlineStr">
        <is>
          <t>MISMATCH_NEEDS_CORRECTION</t>
        </is>
      </c>
      <c r="S167" t="n">
        <v>1175.1</v>
      </c>
      <c r="T167" t="inlineStr">
        <is>
          <t>30-07-2026 09:42 IST</t>
        </is>
      </c>
    </row>
    <row r="168">
      <c r="A168" t="n">
        <v>38</v>
      </c>
      <c r="B168" t="n">
        <v>500209</v>
      </c>
      <c r="C168" t="inlineStr">
        <is>
          <t>Infosys Ltd</t>
        </is>
      </c>
      <c r="D168" t="n">
        <v>2018</v>
      </c>
      <c r="E168" t="n">
        <v>1096.949951171875</v>
      </c>
      <c r="F168" t="n">
        <v>36.69</v>
      </c>
      <c r="G168" t="inlineStr">
        <is>
          <t>Consolidated first (v4) – needs verification for flagged rows</t>
        </is>
      </c>
      <c r="H168" t="n">
        <v>754.9500122070312</v>
      </c>
      <c r="I168" t="n">
        <v>503.125</v>
      </c>
      <c r="L168" t="inlineStr">
        <is>
          <t>OK</t>
        </is>
      </c>
      <c r="M168" t="n">
        <v>20.58</v>
      </c>
      <c r="N168" t="n">
        <v>13.71</v>
      </c>
      <c r="O168" t="n">
        <v>1175.1</v>
      </c>
      <c r="P168" t="n">
        <v>1728</v>
      </c>
      <c r="Q168" t="n">
        <v>982.4</v>
      </c>
      <c r="R168" s="3" t="inlineStr">
        <is>
          <t>MISMATCH_NEEDS_CORRECTION</t>
        </is>
      </c>
      <c r="S168" t="n">
        <v>1175.1</v>
      </c>
      <c r="T168" t="inlineStr">
        <is>
          <t>30-07-2026 09:42 IST</t>
        </is>
      </c>
    </row>
    <row r="169">
      <c r="A169" t="n">
        <v>38</v>
      </c>
      <c r="B169" t="n">
        <v>500209</v>
      </c>
      <c r="C169" t="inlineStr">
        <is>
          <t>Infosys Ltd</t>
        </is>
      </c>
      <c r="D169" t="n">
        <v>2019</v>
      </c>
      <c r="E169" t="n">
        <v>1096.949951171875</v>
      </c>
      <c r="F169" t="n">
        <v>35.26</v>
      </c>
      <c r="G169" t="inlineStr">
        <is>
          <t>Consolidated first (v4) – needs verification for flagged rows</t>
        </is>
      </c>
      <c r="H169" t="n">
        <v>847.4000244140625</v>
      </c>
      <c r="I169" t="n">
        <v>615</v>
      </c>
      <c r="L169" t="inlineStr">
        <is>
          <t>OK</t>
        </is>
      </c>
      <c r="M169" t="n">
        <v>24.03</v>
      </c>
      <c r="N169" t="n">
        <v>17.44</v>
      </c>
      <c r="O169" t="n">
        <v>1175.1</v>
      </c>
      <c r="P169" t="n">
        <v>1728</v>
      </c>
      <c r="Q169" t="n">
        <v>982.4</v>
      </c>
      <c r="R169" s="3" t="inlineStr">
        <is>
          <t>MISMATCH_NEEDS_CORRECTION</t>
        </is>
      </c>
      <c r="S169" t="n">
        <v>1175.1</v>
      </c>
      <c r="T169" t="inlineStr">
        <is>
          <t>30-07-2026 09:42 IST</t>
        </is>
      </c>
    </row>
    <row r="170">
      <c r="A170" t="n">
        <v>38</v>
      </c>
      <c r="B170" t="n">
        <v>500209</v>
      </c>
      <c r="C170" t="inlineStr">
        <is>
          <t>Infosys Ltd</t>
        </is>
      </c>
      <c r="D170" t="n">
        <v>2020</v>
      </c>
      <c r="E170" t="n">
        <v>1096.949951171875</v>
      </c>
      <c r="F170" t="n">
        <v>38.96</v>
      </c>
      <c r="G170" t="inlineStr">
        <is>
          <t>Consolidated first (v4) – needs verification for flagged rows</t>
        </is>
      </c>
      <c r="H170" t="n">
        <v>1265</v>
      </c>
      <c r="I170" t="n">
        <v>511.1000061035156</v>
      </c>
      <c r="L170" t="inlineStr">
        <is>
          <t>OK</t>
        </is>
      </c>
      <c r="M170" t="n">
        <v>32.47</v>
      </c>
      <c r="N170" t="n">
        <v>13.12</v>
      </c>
      <c r="O170" t="n">
        <v>1175.1</v>
      </c>
      <c r="P170" t="n">
        <v>1728</v>
      </c>
      <c r="Q170" t="n">
        <v>982.4</v>
      </c>
      <c r="R170" s="3" t="inlineStr">
        <is>
          <t>MISMATCH_NEEDS_CORRECTION</t>
        </is>
      </c>
      <c r="S170" t="n">
        <v>1175.1</v>
      </c>
      <c r="T170" t="inlineStr">
        <is>
          <t>30-07-2026 09:42 IST</t>
        </is>
      </c>
    </row>
    <row r="171">
      <c r="A171" t="n">
        <v>38</v>
      </c>
      <c r="B171" t="n">
        <v>500209</v>
      </c>
      <c r="C171" t="inlineStr">
        <is>
          <t>Infosys Ltd</t>
        </is>
      </c>
      <c r="D171" t="n">
        <v>2021</v>
      </c>
      <c r="E171" t="n">
        <v>1096.949951171875</v>
      </c>
      <c r="F171" t="n">
        <v>45.42</v>
      </c>
      <c r="G171" t="inlineStr">
        <is>
          <t>Consolidated first (v4) – needs verification for flagged rows</t>
        </is>
      </c>
      <c r="H171" t="n">
        <v>1909.199951171875</v>
      </c>
      <c r="I171" t="n">
        <v>1230</v>
      </c>
      <c r="L171" t="inlineStr">
        <is>
          <t>OK</t>
        </is>
      </c>
      <c r="M171" t="n">
        <v>42.03</v>
      </c>
      <c r="N171" t="n">
        <v>27.08</v>
      </c>
      <c r="O171" t="n">
        <v>1175.1</v>
      </c>
      <c r="P171" t="n">
        <v>1728</v>
      </c>
      <c r="Q171" t="n">
        <v>982.4</v>
      </c>
      <c r="R171" s="3" t="inlineStr">
        <is>
          <t>MISMATCH_NEEDS_CORRECTION</t>
        </is>
      </c>
      <c r="S171" t="n">
        <v>1175.1</v>
      </c>
      <c r="T171" t="inlineStr">
        <is>
          <t>30-07-2026 09:42 IST</t>
        </is>
      </c>
    </row>
    <row r="172">
      <c r="A172" t="n">
        <v>38</v>
      </c>
      <c r="B172" t="n">
        <v>500209</v>
      </c>
      <c r="C172" t="inlineStr">
        <is>
          <t>Infosys Ltd</t>
        </is>
      </c>
      <c r="D172" t="n">
        <v>2022</v>
      </c>
      <c r="E172" t="n">
        <v>1096.949951171875</v>
      </c>
      <c r="F172" t="n">
        <v>52.56</v>
      </c>
      <c r="G172" t="inlineStr">
        <is>
          <t>Consolidated first (v4) – needs verification for flagged rows</t>
        </is>
      </c>
      <c r="H172" t="n">
        <v>1944</v>
      </c>
      <c r="I172" t="n">
        <v>1355.5</v>
      </c>
      <c r="L172" t="inlineStr">
        <is>
          <t>OK</t>
        </is>
      </c>
      <c r="M172" t="n">
        <v>36.99</v>
      </c>
      <c r="N172" t="n">
        <v>25.79</v>
      </c>
      <c r="O172" t="n">
        <v>1175.1</v>
      </c>
      <c r="P172" t="n">
        <v>1728</v>
      </c>
      <c r="Q172" t="n">
        <v>982.4</v>
      </c>
      <c r="R172" s="3" t="inlineStr">
        <is>
          <t>MISMATCH_NEEDS_CORRECTION</t>
        </is>
      </c>
      <c r="S172" t="n">
        <v>1175.1</v>
      </c>
      <c r="T172" t="inlineStr">
        <is>
          <t>30-07-2026 09:42 IST</t>
        </is>
      </c>
    </row>
    <row r="173">
      <c r="A173" t="n">
        <v>38</v>
      </c>
      <c r="B173" t="n">
        <v>500209</v>
      </c>
      <c r="C173" t="inlineStr">
        <is>
          <t>Infosys Ltd</t>
        </is>
      </c>
      <c r="D173" t="n">
        <v>2023</v>
      </c>
      <c r="E173" t="n">
        <v>1096.949951171875</v>
      </c>
      <c r="F173" t="n">
        <v>58.08</v>
      </c>
      <c r="G173" t="inlineStr">
        <is>
          <t>Consolidated first (v4) – needs verification for flagged rows</t>
        </is>
      </c>
      <c r="H173" t="n">
        <v>1620</v>
      </c>
      <c r="I173" t="n">
        <v>1215.449951171875</v>
      </c>
      <c r="L173" t="inlineStr">
        <is>
          <t>OK</t>
        </is>
      </c>
      <c r="M173" t="n">
        <v>27.89</v>
      </c>
      <c r="N173" t="n">
        <v>20.93</v>
      </c>
      <c r="O173" t="n">
        <v>1175.1</v>
      </c>
      <c r="P173" t="n">
        <v>1728</v>
      </c>
      <c r="Q173" t="n">
        <v>982.4</v>
      </c>
      <c r="R173" s="3" t="inlineStr">
        <is>
          <t>MISMATCH_NEEDS_CORRECTION</t>
        </is>
      </c>
      <c r="S173" t="n">
        <v>1175.1</v>
      </c>
      <c r="T173" t="inlineStr">
        <is>
          <t>30-07-2026 09:42 IST</t>
        </is>
      </c>
    </row>
    <row r="174">
      <c r="A174" t="n">
        <v>38</v>
      </c>
      <c r="B174" t="n">
        <v>500209</v>
      </c>
      <c r="C174" t="inlineStr">
        <is>
          <t>Infosys Ltd</t>
        </is>
      </c>
      <c r="D174" t="n">
        <v>2024</v>
      </c>
      <c r="E174" t="n">
        <v>1096.949951171875</v>
      </c>
      <c r="F174" t="n">
        <v>63.2</v>
      </c>
      <c r="G174" t="inlineStr">
        <is>
          <t>Consolidated first (v4) – needs verification for flagged rows</t>
        </is>
      </c>
      <c r="H174" t="n">
        <v>2006.800048828125</v>
      </c>
      <c r="I174" t="n">
        <v>1359.099975585938</v>
      </c>
      <c r="L174" t="inlineStr">
        <is>
          <t>OK</t>
        </is>
      </c>
      <c r="M174" t="n">
        <v>31.75</v>
      </c>
      <c r="N174" t="n">
        <v>21.5</v>
      </c>
      <c r="O174" t="n">
        <v>1175.1</v>
      </c>
      <c r="P174" t="n">
        <v>1728</v>
      </c>
      <c r="Q174" t="n">
        <v>982.4</v>
      </c>
      <c r="R174" s="3" t="inlineStr">
        <is>
          <t>MISMATCH_NEEDS_CORRECTION</t>
        </is>
      </c>
      <c r="S174" t="n">
        <v>1175.1</v>
      </c>
      <c r="T174" t="inlineStr">
        <is>
          <t>30-07-2026 09:42 IST</t>
        </is>
      </c>
    </row>
    <row r="175">
      <c r="A175" t="n">
        <v>38</v>
      </c>
      <c r="B175" t="n">
        <v>500209</v>
      </c>
      <c r="C175" t="inlineStr">
        <is>
          <t>Infosys Ltd</t>
        </is>
      </c>
      <c r="D175" t="n">
        <v>2025</v>
      </c>
      <c r="E175" t="n">
        <v>1096.949951171875</v>
      </c>
      <c r="F175" t="n">
        <v>64.31999999999999</v>
      </c>
      <c r="G175" t="inlineStr">
        <is>
          <t>Consolidated first (v4) – needs verification for flagged rows</t>
        </is>
      </c>
      <c r="H175" t="n">
        <v>1982.550048828125</v>
      </c>
      <c r="I175" t="n">
        <v>1307.099975585938</v>
      </c>
      <c r="L175" t="inlineStr">
        <is>
          <t>OK</t>
        </is>
      </c>
      <c r="M175" t="n">
        <v>30.82</v>
      </c>
      <c r="N175" t="n">
        <v>20.32</v>
      </c>
      <c r="O175" t="n">
        <v>1175.1</v>
      </c>
      <c r="P175" t="n">
        <v>1728</v>
      </c>
      <c r="Q175" t="n">
        <v>982.4</v>
      </c>
      <c r="R175" s="3" t="inlineStr">
        <is>
          <t>MISMATCH_NEEDS_CORRECTION</t>
        </is>
      </c>
      <c r="S175" t="n">
        <v>1175.1</v>
      </c>
      <c r="T175" t="inlineStr">
        <is>
          <t>30-07-2026 09:42 IST</t>
        </is>
      </c>
    </row>
    <row r="176">
      <c r="A176" t="n">
        <v>38</v>
      </c>
      <c r="B176" t="n">
        <v>500209</v>
      </c>
      <c r="C176" t="inlineStr">
        <is>
          <t>Infosys Ltd</t>
        </is>
      </c>
      <c r="D176" t="n">
        <v>2026</v>
      </c>
      <c r="E176" t="n">
        <v>1096.949951171875</v>
      </c>
      <c r="F176" t="n">
        <v>72.59</v>
      </c>
      <c r="G176" t="inlineStr">
        <is>
          <t>Consolidated first (v4) – needs verification for flagged rows</t>
        </is>
      </c>
      <c r="H176" t="n">
        <v>1727.849975585938</v>
      </c>
      <c r="I176" t="n">
        <v>984</v>
      </c>
      <c r="L176" t="inlineStr">
        <is>
          <t>OK</t>
        </is>
      </c>
      <c r="M176" t="n">
        <v>23.8</v>
      </c>
      <c r="N176" t="n">
        <v>13.56</v>
      </c>
      <c r="O176" t="n">
        <v>1175.1</v>
      </c>
      <c r="P176" t="n">
        <v>1728</v>
      </c>
      <c r="Q176" t="n">
        <v>982.4</v>
      </c>
      <c r="R176" s="3" t="inlineStr">
        <is>
          <t>MISMATCH_NEEDS_CORRECTION</t>
        </is>
      </c>
      <c r="S176" t="n">
        <v>1175.1</v>
      </c>
      <c r="T176" t="inlineStr">
        <is>
          <t>30-07-2026 09:42 IST</t>
        </is>
      </c>
    </row>
    <row r="177">
      <c r="A177" t="n">
        <v>39</v>
      </c>
      <c r="B177" t="n">
        <v>500210</v>
      </c>
      <c r="C177" t="inlineStr">
        <is>
          <t>Ingersoll Rand India Ltd</t>
        </is>
      </c>
      <c r="D177" t="n">
        <v>2015</v>
      </c>
      <c r="E177" t="n">
        <v>4567.85009765625</v>
      </c>
      <c r="F177" t="n">
        <v>20.95</v>
      </c>
      <c r="G177" t="inlineStr">
        <is>
          <t>Consolidated first (v4) – needs verification for flagged rows</t>
        </is>
      </c>
      <c r="H177" t="n">
        <v>1125</v>
      </c>
      <c r="L177" t="inlineStr">
        <is>
          <t>OK</t>
        </is>
      </c>
      <c r="M177" t="n">
        <v>53.7</v>
      </c>
      <c r="O177" t="n">
        <v>4254.5</v>
      </c>
      <c r="P177" t="n">
        <v>4756.2</v>
      </c>
      <c r="Q177" t="n">
        <v>3063.3</v>
      </c>
      <c r="R177" s="3" t="inlineStr">
        <is>
          <t>MISMATCH_NEEDS_CORRECTION</t>
        </is>
      </c>
      <c r="S177" t="n">
        <v>4254.5</v>
      </c>
      <c r="T177" t="inlineStr">
        <is>
          <t>30-07-2026 09:42 IST</t>
        </is>
      </c>
    </row>
    <row r="178">
      <c r="A178" t="n">
        <v>39</v>
      </c>
      <c r="B178" t="n">
        <v>500210</v>
      </c>
      <c r="C178" t="inlineStr">
        <is>
          <t>Ingersoll Rand India Ltd</t>
        </is>
      </c>
      <c r="D178" t="n">
        <v>2016</v>
      </c>
      <c r="E178" t="n">
        <v>4567.85009765625</v>
      </c>
      <c r="F178" t="n">
        <v>19.27</v>
      </c>
      <c r="G178" t="inlineStr">
        <is>
          <t>Consolidated first (v4) – needs verification for flagged rows</t>
        </is>
      </c>
      <c r="H178" t="n">
        <v>825</v>
      </c>
      <c r="I178" t="n">
        <v>583</v>
      </c>
      <c r="L178" t="inlineStr">
        <is>
          <t>OK</t>
        </is>
      </c>
      <c r="M178" t="n">
        <v>42.81</v>
      </c>
      <c r="N178" t="n">
        <v>30.25</v>
      </c>
      <c r="O178" t="n">
        <v>4254.5</v>
      </c>
      <c r="P178" t="n">
        <v>4756.2</v>
      </c>
      <c r="Q178" t="n">
        <v>3063.3</v>
      </c>
      <c r="R178" s="3" t="inlineStr">
        <is>
          <t>MISMATCH_NEEDS_CORRECTION</t>
        </is>
      </c>
      <c r="S178" t="n">
        <v>4254.5</v>
      </c>
      <c r="T178" t="inlineStr">
        <is>
          <t>30-07-2026 09:42 IST</t>
        </is>
      </c>
    </row>
    <row r="179">
      <c r="A179" t="n">
        <v>39</v>
      </c>
      <c r="B179" t="n">
        <v>500210</v>
      </c>
      <c r="C179" t="inlineStr">
        <is>
          <t>Ingersoll Rand India Ltd</t>
        </is>
      </c>
      <c r="D179" t="n">
        <v>2017</v>
      </c>
      <c r="E179" t="n">
        <v>4567.85009765625</v>
      </c>
      <c r="F179" t="n">
        <v>24.48</v>
      </c>
      <c r="G179" t="inlineStr">
        <is>
          <t>Consolidated first (v4) – needs verification for flagged rows</t>
        </is>
      </c>
      <c r="H179" t="n">
        <v>940</v>
      </c>
      <c r="I179" t="n">
        <v>645</v>
      </c>
      <c r="L179" t="inlineStr">
        <is>
          <t>OK</t>
        </is>
      </c>
      <c r="M179" t="n">
        <v>38.4</v>
      </c>
      <c r="N179" t="n">
        <v>26.35</v>
      </c>
      <c r="O179" t="n">
        <v>4254.5</v>
      </c>
      <c r="P179" t="n">
        <v>4756.2</v>
      </c>
      <c r="Q179" t="n">
        <v>3063.3</v>
      </c>
      <c r="R179" s="3" t="inlineStr">
        <is>
          <t>MISMATCH_NEEDS_CORRECTION</t>
        </is>
      </c>
      <c r="S179" t="n">
        <v>4254.5</v>
      </c>
      <c r="T179" t="inlineStr">
        <is>
          <t>30-07-2026 09:42 IST</t>
        </is>
      </c>
    </row>
    <row r="180">
      <c r="A180" t="n">
        <v>39</v>
      </c>
      <c r="B180" t="n">
        <v>500210</v>
      </c>
      <c r="C180" t="inlineStr">
        <is>
          <t>Ingersoll Rand India Ltd</t>
        </is>
      </c>
      <c r="D180" t="n">
        <v>2018</v>
      </c>
      <c r="E180" t="n">
        <v>4567.85009765625</v>
      </c>
      <c r="F180" t="n">
        <v>28.16</v>
      </c>
      <c r="G180" t="inlineStr">
        <is>
          <t>Consolidated first (v4) – needs verification for flagged rows</t>
        </is>
      </c>
      <c r="H180" t="n">
        <v>915</v>
      </c>
      <c r="I180" t="n">
        <v>472.3500061035156</v>
      </c>
      <c r="L180" t="inlineStr">
        <is>
          <t>OK</t>
        </is>
      </c>
      <c r="M180" t="n">
        <v>32.49</v>
      </c>
      <c r="N180" t="n">
        <v>16.77</v>
      </c>
      <c r="O180" t="n">
        <v>4254.5</v>
      </c>
      <c r="P180" t="n">
        <v>4756.2</v>
      </c>
      <c r="Q180" t="n">
        <v>3063.3</v>
      </c>
      <c r="R180" s="3" t="inlineStr">
        <is>
          <t>MISMATCH_NEEDS_CORRECTION</t>
        </is>
      </c>
      <c r="S180" t="n">
        <v>4254.5</v>
      </c>
      <c r="T180" t="inlineStr">
        <is>
          <t>30-07-2026 09:42 IST</t>
        </is>
      </c>
    </row>
    <row r="181">
      <c r="A181" t="n">
        <v>39</v>
      </c>
      <c r="B181" t="n">
        <v>500210</v>
      </c>
      <c r="C181" t="inlineStr">
        <is>
          <t>Ingersoll Rand India Ltd</t>
        </is>
      </c>
      <c r="D181" t="n">
        <v>2019</v>
      </c>
      <c r="E181" t="n">
        <v>4567.85009765625</v>
      </c>
      <c r="F181" t="n">
        <v>25.64</v>
      </c>
      <c r="G181" t="inlineStr">
        <is>
          <t>Consolidated first (v4) – needs verification for flagged rows</t>
        </is>
      </c>
      <c r="H181" t="n">
        <v>729</v>
      </c>
      <c r="I181" t="n">
        <v>512.2000122070312</v>
      </c>
      <c r="L181" t="inlineStr">
        <is>
          <t>OK</t>
        </is>
      </c>
      <c r="M181" t="n">
        <v>28.43</v>
      </c>
      <c r="N181" t="n">
        <v>19.98</v>
      </c>
      <c r="O181" t="n">
        <v>4254.5</v>
      </c>
      <c r="P181" t="n">
        <v>4756.2</v>
      </c>
      <c r="Q181" t="n">
        <v>3063.3</v>
      </c>
      <c r="R181" s="3" t="inlineStr">
        <is>
          <t>MISMATCH_NEEDS_CORRECTION</t>
        </is>
      </c>
      <c r="S181" t="n">
        <v>4254.5</v>
      </c>
      <c r="T181" t="inlineStr">
        <is>
          <t>30-07-2026 09:42 IST</t>
        </is>
      </c>
    </row>
    <row r="182">
      <c r="A182" t="n">
        <v>39</v>
      </c>
      <c r="B182" t="n">
        <v>500210</v>
      </c>
      <c r="C182" t="inlineStr">
        <is>
          <t>Ingersoll Rand India Ltd</t>
        </is>
      </c>
      <c r="D182" t="n">
        <v>2020</v>
      </c>
      <c r="E182" t="n">
        <v>4567.85009765625</v>
      </c>
      <c r="F182" t="n">
        <v>26.8</v>
      </c>
      <c r="G182" t="inlineStr">
        <is>
          <t>Consolidated first (v4) – needs verification for flagged rows</t>
        </is>
      </c>
      <c r="H182" t="n">
        <v>698</v>
      </c>
      <c r="I182" t="n">
        <v>555.4000244140625</v>
      </c>
      <c r="L182" t="inlineStr">
        <is>
          <t>OK</t>
        </is>
      </c>
      <c r="M182" t="n">
        <v>26.04</v>
      </c>
      <c r="N182" t="n">
        <v>20.72</v>
      </c>
      <c r="O182" t="n">
        <v>4254.5</v>
      </c>
      <c r="P182" t="n">
        <v>4756.2</v>
      </c>
      <c r="Q182" t="n">
        <v>3063.3</v>
      </c>
      <c r="R182" s="3" t="inlineStr">
        <is>
          <t>MISMATCH_NEEDS_CORRECTION</t>
        </is>
      </c>
      <c r="S182" t="n">
        <v>4254.5</v>
      </c>
      <c r="T182" t="inlineStr">
        <is>
          <t>30-07-2026 09:42 IST</t>
        </is>
      </c>
    </row>
    <row r="183">
      <c r="A183" t="n">
        <v>39</v>
      </c>
      <c r="B183" t="n">
        <v>500210</v>
      </c>
      <c r="C183" t="inlineStr">
        <is>
          <t>Ingersoll Rand India Ltd</t>
        </is>
      </c>
      <c r="D183" t="n">
        <v>2021</v>
      </c>
      <c r="E183" t="n">
        <v>4567.85009765625</v>
      </c>
      <c r="F183" t="n">
        <v>22.92</v>
      </c>
      <c r="G183" t="inlineStr">
        <is>
          <t>Consolidated first (v4) – needs verification for flagged rows</t>
        </is>
      </c>
      <c r="H183" t="n">
        <v>1349.5</v>
      </c>
      <c r="I183" t="n">
        <v>632.5999755859375</v>
      </c>
      <c r="L183" t="inlineStr">
        <is>
          <t>OK</t>
        </is>
      </c>
      <c r="M183" t="n">
        <v>58.88</v>
      </c>
      <c r="N183" t="n">
        <v>27.6</v>
      </c>
      <c r="O183" t="n">
        <v>4254.5</v>
      </c>
      <c r="P183" t="n">
        <v>4756.2</v>
      </c>
      <c r="Q183" t="n">
        <v>3063.3</v>
      </c>
      <c r="R183" s="3" t="inlineStr">
        <is>
          <t>MISMATCH_NEEDS_CORRECTION</t>
        </is>
      </c>
      <c r="S183" t="n">
        <v>4254.5</v>
      </c>
      <c r="T183" t="inlineStr">
        <is>
          <t>30-07-2026 09:42 IST</t>
        </is>
      </c>
    </row>
    <row r="184">
      <c r="A184" t="n">
        <v>39</v>
      </c>
      <c r="B184" t="n">
        <v>500210</v>
      </c>
      <c r="C184" t="inlineStr">
        <is>
          <t>Ingersoll Rand India Ltd</t>
        </is>
      </c>
      <c r="D184" t="n">
        <v>2022</v>
      </c>
      <c r="E184" t="n">
        <v>4567.85009765625</v>
      </c>
      <c r="F184" t="n">
        <v>34.89</v>
      </c>
      <c r="G184" t="inlineStr">
        <is>
          <t>Consolidated first (v4) – needs verification for flagged rows</t>
        </is>
      </c>
      <c r="H184" t="n">
        <v>2400</v>
      </c>
      <c r="I184" t="n">
        <v>1148.900024414062</v>
      </c>
      <c r="L184" t="inlineStr">
        <is>
          <t>OK</t>
        </is>
      </c>
      <c r="M184" t="n">
        <v>68.79000000000001</v>
      </c>
      <c r="N184" t="n">
        <v>32.93</v>
      </c>
      <c r="O184" t="n">
        <v>4254.5</v>
      </c>
      <c r="P184" t="n">
        <v>4756.2</v>
      </c>
      <c r="Q184" t="n">
        <v>3063.3</v>
      </c>
      <c r="R184" s="3" t="inlineStr">
        <is>
          <t>MISMATCH_NEEDS_CORRECTION</t>
        </is>
      </c>
      <c r="S184" t="n">
        <v>4254.5</v>
      </c>
      <c r="T184" t="inlineStr">
        <is>
          <t>30-07-2026 09:42 IST</t>
        </is>
      </c>
    </row>
    <row r="185">
      <c r="A185" t="n">
        <v>39</v>
      </c>
      <c r="B185" t="n">
        <v>500210</v>
      </c>
      <c r="C185" t="inlineStr">
        <is>
          <t>Ingersoll Rand India Ltd</t>
        </is>
      </c>
      <c r="D185" t="n">
        <v>2023</v>
      </c>
      <c r="E185" t="n">
        <v>4567.85009765625</v>
      </c>
      <c r="F185" t="n">
        <v>57.86</v>
      </c>
      <c r="G185" t="inlineStr">
        <is>
          <t>Consolidated first (v4) – needs verification for flagged rows</t>
        </is>
      </c>
      <c r="H185" t="n">
        <v>3329.800048828125</v>
      </c>
      <c r="I185" t="n">
        <v>1841.400024414062</v>
      </c>
      <c r="L185" t="inlineStr">
        <is>
          <t>OK</t>
        </is>
      </c>
      <c r="M185" t="n">
        <v>57.55</v>
      </c>
      <c r="N185" t="n">
        <v>31.83</v>
      </c>
      <c r="O185" t="n">
        <v>4254.5</v>
      </c>
      <c r="P185" t="n">
        <v>4756.2</v>
      </c>
      <c r="Q185" t="n">
        <v>3063.3</v>
      </c>
      <c r="R185" s="3" t="inlineStr">
        <is>
          <t>MISMATCH_NEEDS_CORRECTION</t>
        </is>
      </c>
      <c r="S185" t="n">
        <v>4254.5</v>
      </c>
      <c r="T185" t="inlineStr">
        <is>
          <t>30-07-2026 09:42 IST</t>
        </is>
      </c>
    </row>
    <row r="186">
      <c r="A186" t="n">
        <v>39</v>
      </c>
      <c r="B186" t="n">
        <v>500210</v>
      </c>
      <c r="C186" t="inlineStr">
        <is>
          <t>Ingersoll Rand India Ltd</t>
        </is>
      </c>
      <c r="D186" t="n">
        <v>2024</v>
      </c>
      <c r="E186" t="n">
        <v>4567.85009765625</v>
      </c>
      <c r="F186" t="n">
        <v>70.45</v>
      </c>
      <c r="G186" t="inlineStr">
        <is>
          <t>Consolidated first (v4) – needs verification for flagged rows</t>
        </is>
      </c>
      <c r="H186" t="n">
        <v>4998.35009765625</v>
      </c>
      <c r="I186" t="n">
        <v>2997</v>
      </c>
      <c r="L186" t="inlineStr">
        <is>
          <t>OK</t>
        </is>
      </c>
      <c r="M186" t="n">
        <v>70.95</v>
      </c>
      <c r="N186" t="n">
        <v>42.54</v>
      </c>
      <c r="O186" t="n">
        <v>4254.5</v>
      </c>
      <c r="P186" t="n">
        <v>4756.2</v>
      </c>
      <c r="Q186" t="n">
        <v>3063.3</v>
      </c>
      <c r="R186" s="3" t="inlineStr">
        <is>
          <t>MISMATCH_NEEDS_CORRECTION</t>
        </is>
      </c>
      <c r="S186" t="n">
        <v>4254.5</v>
      </c>
      <c r="T186" t="inlineStr">
        <is>
          <t>30-07-2026 09:42 IST</t>
        </is>
      </c>
    </row>
    <row r="187">
      <c r="A187" t="n">
        <v>39</v>
      </c>
      <c r="B187" t="n">
        <v>500210</v>
      </c>
      <c r="C187" t="inlineStr">
        <is>
          <t>Ingersoll Rand India Ltd</t>
        </is>
      </c>
      <c r="D187" t="n">
        <v>2025</v>
      </c>
      <c r="E187" t="n">
        <v>4567.85009765625</v>
      </c>
      <c r="F187" t="n">
        <v>84.73999999999999</v>
      </c>
      <c r="G187" t="inlineStr">
        <is>
          <t>Consolidated first (v4) – needs verification for flagged rows</t>
        </is>
      </c>
      <c r="H187" t="n">
        <v>4449.9501953125</v>
      </c>
      <c r="I187" t="n">
        <v>3060.800048828125</v>
      </c>
      <c r="L187" t="inlineStr">
        <is>
          <t>OK</t>
        </is>
      </c>
      <c r="M187" t="n">
        <v>52.51</v>
      </c>
      <c r="N187" t="n">
        <v>36.12</v>
      </c>
      <c r="O187" t="n">
        <v>4254.5</v>
      </c>
      <c r="P187" t="n">
        <v>4756.2</v>
      </c>
      <c r="Q187" t="n">
        <v>3063.3</v>
      </c>
      <c r="R187" s="3" t="inlineStr">
        <is>
          <t>MISMATCH_NEEDS_CORRECTION</t>
        </is>
      </c>
      <c r="S187" t="n">
        <v>4254.5</v>
      </c>
      <c r="T187" t="inlineStr">
        <is>
          <t>30-07-2026 09:42 IST</t>
        </is>
      </c>
    </row>
    <row r="188">
      <c r="A188" t="n">
        <v>39</v>
      </c>
      <c r="B188" t="n">
        <v>500210</v>
      </c>
      <c r="C188" t="inlineStr">
        <is>
          <t>Ingersoll Rand India Ltd</t>
        </is>
      </c>
      <c r="D188" t="n">
        <v>2026</v>
      </c>
      <c r="E188" t="n">
        <v>4567.85009765625</v>
      </c>
      <c r="F188" t="n">
        <v>81.09999999999999</v>
      </c>
      <c r="G188" t="inlineStr">
        <is>
          <t>Consolidated first (v4) – needs verification for flagged rows</t>
        </is>
      </c>
      <c r="H188" t="n">
        <v>4731</v>
      </c>
      <c r="I188" t="n">
        <v>3070</v>
      </c>
      <c r="L188" t="inlineStr">
        <is>
          <t>OK</t>
        </is>
      </c>
      <c r="M188" t="n">
        <v>58.34</v>
      </c>
      <c r="N188" t="n">
        <v>37.85</v>
      </c>
      <c r="O188" t="n">
        <v>4254.5</v>
      </c>
      <c r="P188" t="n">
        <v>4756.2</v>
      </c>
      <c r="Q188" t="n">
        <v>3063.3</v>
      </c>
      <c r="R188" s="3" t="inlineStr">
        <is>
          <t>MISMATCH_NEEDS_CORRECTION</t>
        </is>
      </c>
      <c r="S188" t="n">
        <v>4254.5</v>
      </c>
      <c r="T188" t="inlineStr">
        <is>
          <t>30-07-2026 09:42 IST</t>
        </is>
      </c>
    </row>
    <row r="189">
      <c r="A189" t="n">
        <v>40</v>
      </c>
      <c r="B189" t="n">
        <v>500214</v>
      </c>
      <c r="C189" t="inlineStr">
        <is>
          <t>Ion Exchange India Ltd</t>
        </is>
      </c>
      <c r="D189" t="n">
        <v>2015</v>
      </c>
      <c r="E189" t="n">
        <v>428.6499938964844</v>
      </c>
      <c r="F189" t="n">
        <v>0.67</v>
      </c>
      <c r="G189" t="inlineStr">
        <is>
          <t>Consolidated first (v4) – needs verification for flagged rows</t>
        </is>
      </c>
      <c r="H189" t="n">
        <v>37.08000183105469</v>
      </c>
      <c r="I189" t="n">
        <v>19.20000076293945</v>
      </c>
      <c r="L189" t="inlineStr">
        <is>
          <t>OK</t>
        </is>
      </c>
      <c r="M189" t="n">
        <v>55.34</v>
      </c>
      <c r="N189" t="n">
        <v>28.66</v>
      </c>
      <c r="O189" t="n">
        <v>417.15</v>
      </c>
      <c r="P189" t="n">
        <v>485.8</v>
      </c>
      <c r="Q189" t="n">
        <v>312.3</v>
      </c>
      <c r="R189" s="2" t="inlineStr">
        <is>
          <t>VERIFIED_OK</t>
        </is>
      </c>
      <c r="S189" t="n">
        <v>417.15</v>
      </c>
      <c r="T189" t="inlineStr">
        <is>
          <t>30-07-2026 09:42 IST</t>
        </is>
      </c>
    </row>
    <row r="190">
      <c r="A190" t="n">
        <v>40</v>
      </c>
      <c r="B190" t="n">
        <v>500214</v>
      </c>
      <c r="C190" t="inlineStr">
        <is>
          <t>Ion Exchange India Ltd</t>
        </is>
      </c>
      <c r="D190" t="n">
        <v>2016</v>
      </c>
      <c r="E190" t="n">
        <v>428.6499938964844</v>
      </c>
      <c r="F190" t="n">
        <v>1.05</v>
      </c>
      <c r="G190" t="inlineStr">
        <is>
          <t>Consolidated first (v4) – needs verification for flagged rows</t>
        </is>
      </c>
      <c r="H190" t="n">
        <v>39.41999816894531</v>
      </c>
      <c r="I190" t="n">
        <v>24.89999961853027</v>
      </c>
      <c r="L190" t="inlineStr">
        <is>
          <t>OK</t>
        </is>
      </c>
      <c r="M190" t="n">
        <v>37.54</v>
      </c>
      <c r="N190" t="n">
        <v>23.71</v>
      </c>
      <c r="O190" t="n">
        <v>417.15</v>
      </c>
      <c r="P190" t="n">
        <v>485.8</v>
      </c>
      <c r="Q190" t="n">
        <v>312.3</v>
      </c>
      <c r="R190" s="2" t="inlineStr">
        <is>
          <t>VERIFIED_OK</t>
        </is>
      </c>
      <c r="S190" t="n">
        <v>417.15</v>
      </c>
      <c r="T190" t="inlineStr">
        <is>
          <t>30-07-2026 09:42 IST</t>
        </is>
      </c>
    </row>
    <row r="191">
      <c r="A191" t="n">
        <v>40</v>
      </c>
      <c r="B191" t="n">
        <v>500214</v>
      </c>
      <c r="C191" t="inlineStr">
        <is>
          <t>Ion Exchange India Ltd</t>
        </is>
      </c>
      <c r="D191" t="n">
        <v>2017</v>
      </c>
      <c r="E191" t="n">
        <v>428.6499938964844</v>
      </c>
      <c r="F191" t="n">
        <v>2.07</v>
      </c>
      <c r="G191" t="inlineStr">
        <is>
          <t>Consolidated first (v4) – needs verification for flagged rows</t>
        </is>
      </c>
      <c r="H191" t="n">
        <v>63.79999923706055</v>
      </c>
      <c r="I191" t="n">
        <v>28.79999923706055</v>
      </c>
      <c r="L191" t="inlineStr">
        <is>
          <t>OK</t>
        </is>
      </c>
      <c r="M191" t="n">
        <v>30.82</v>
      </c>
      <c r="N191" t="n">
        <v>13.91</v>
      </c>
      <c r="O191" t="n">
        <v>417.15</v>
      </c>
      <c r="P191" t="n">
        <v>485.8</v>
      </c>
      <c r="Q191" t="n">
        <v>312.3</v>
      </c>
      <c r="R191" s="2" t="inlineStr">
        <is>
          <t>VERIFIED_OK</t>
        </is>
      </c>
      <c r="S191" t="n">
        <v>417.15</v>
      </c>
      <c r="T191" t="inlineStr">
        <is>
          <t>30-07-2026 09:42 IST</t>
        </is>
      </c>
    </row>
    <row r="192">
      <c r="A192" t="n">
        <v>40</v>
      </c>
      <c r="B192" t="n">
        <v>500214</v>
      </c>
      <c r="C192" t="inlineStr">
        <is>
          <t>Ion Exchange India Ltd</t>
        </is>
      </c>
      <c r="D192" t="n">
        <v>2018</v>
      </c>
      <c r="E192" t="n">
        <v>428.6499938964844</v>
      </c>
      <c r="F192" t="n">
        <v>2.74</v>
      </c>
      <c r="G192" t="inlineStr">
        <is>
          <t>Consolidated first (v4) – needs verification for flagged rows</t>
        </is>
      </c>
      <c r="H192" t="n">
        <v>60.40000152587891</v>
      </c>
      <c r="I192" t="n">
        <v>33.5</v>
      </c>
      <c r="L192" t="inlineStr">
        <is>
          <t>OK</t>
        </is>
      </c>
      <c r="M192" t="n">
        <v>22.04</v>
      </c>
      <c r="N192" t="n">
        <v>12.23</v>
      </c>
      <c r="O192" t="n">
        <v>417.15</v>
      </c>
      <c r="P192" t="n">
        <v>485.8</v>
      </c>
      <c r="Q192" t="n">
        <v>312.3</v>
      </c>
      <c r="R192" s="2" t="inlineStr">
        <is>
          <t>VERIFIED_OK</t>
        </is>
      </c>
      <c r="S192" t="n">
        <v>417.15</v>
      </c>
      <c r="T192" t="inlineStr">
        <is>
          <t>30-07-2026 09:42 IST</t>
        </is>
      </c>
    </row>
    <row r="193">
      <c r="A193" t="n">
        <v>40</v>
      </c>
      <c r="B193" t="n">
        <v>500214</v>
      </c>
      <c r="C193" t="inlineStr">
        <is>
          <t>Ion Exchange India Ltd</t>
        </is>
      </c>
      <c r="D193" t="n">
        <v>2019</v>
      </c>
      <c r="E193" t="n">
        <v>428.6499938964844</v>
      </c>
      <c r="F193" t="n">
        <v>4.45</v>
      </c>
      <c r="G193" t="inlineStr">
        <is>
          <t>Consolidated first (v4) – needs verification for flagged rows</t>
        </is>
      </c>
      <c r="H193" t="n">
        <v>86</v>
      </c>
      <c r="I193" t="n">
        <v>35.5</v>
      </c>
      <c r="L193" t="inlineStr">
        <is>
          <t>OK</t>
        </is>
      </c>
      <c r="M193" t="n">
        <v>19.33</v>
      </c>
      <c r="N193" t="n">
        <v>7.98</v>
      </c>
      <c r="O193" t="n">
        <v>417.15</v>
      </c>
      <c r="P193" t="n">
        <v>485.8</v>
      </c>
      <c r="Q193" t="n">
        <v>312.3</v>
      </c>
      <c r="R193" s="2" t="inlineStr">
        <is>
          <t>VERIFIED_OK</t>
        </is>
      </c>
      <c r="S193" t="n">
        <v>417.15</v>
      </c>
      <c r="T193" t="inlineStr">
        <is>
          <t>30-07-2026 09:42 IST</t>
        </is>
      </c>
    </row>
    <row r="194">
      <c r="A194" t="n">
        <v>40</v>
      </c>
      <c r="B194" t="n">
        <v>500214</v>
      </c>
      <c r="C194" t="inlineStr">
        <is>
          <t>Ion Exchange India Ltd</t>
        </is>
      </c>
      <c r="D194" t="n">
        <v>2020</v>
      </c>
      <c r="E194" t="n">
        <v>428.6499938964844</v>
      </c>
      <c r="F194" t="n">
        <v>6.38</v>
      </c>
      <c r="G194" t="inlineStr">
        <is>
          <t>Consolidated first (v4) – needs verification for flagged rows</t>
        </is>
      </c>
      <c r="H194" t="n">
        <v>107.0999984741211</v>
      </c>
      <c r="I194" t="n">
        <v>50.20000076293945</v>
      </c>
      <c r="L194" t="inlineStr">
        <is>
          <t>OK</t>
        </is>
      </c>
      <c r="M194" t="n">
        <v>16.79</v>
      </c>
      <c r="N194" t="n">
        <v>7.87</v>
      </c>
      <c r="O194" t="n">
        <v>417.15</v>
      </c>
      <c r="P194" t="n">
        <v>485.8</v>
      </c>
      <c r="Q194" t="n">
        <v>312.3</v>
      </c>
      <c r="R194" s="2" t="inlineStr">
        <is>
          <t>VERIFIED_OK</t>
        </is>
      </c>
      <c r="S194" t="n">
        <v>417.15</v>
      </c>
      <c r="T194" t="inlineStr">
        <is>
          <t>30-07-2026 09:42 IST</t>
        </is>
      </c>
    </row>
    <row r="195">
      <c r="A195" t="n">
        <v>40</v>
      </c>
      <c r="B195" t="n">
        <v>500214</v>
      </c>
      <c r="C195" t="inlineStr">
        <is>
          <t>Ion Exchange India Ltd</t>
        </is>
      </c>
      <c r="D195" t="n">
        <v>2021</v>
      </c>
      <c r="E195" t="n">
        <v>428.6499938964844</v>
      </c>
      <c r="F195" t="n">
        <v>9.81</v>
      </c>
      <c r="G195" t="inlineStr">
        <is>
          <t>Consolidated first (v4) – needs verification for flagged rows</t>
        </is>
      </c>
      <c r="H195" t="n">
        <v>294.7000122070312</v>
      </c>
      <c r="I195" t="n">
        <v>89.5</v>
      </c>
      <c r="L195" t="inlineStr">
        <is>
          <t>OK</t>
        </is>
      </c>
      <c r="M195" t="n">
        <v>30.04</v>
      </c>
      <c r="N195" t="n">
        <v>9.119999999999999</v>
      </c>
      <c r="O195" t="n">
        <v>417.15</v>
      </c>
      <c r="P195" t="n">
        <v>485.8</v>
      </c>
      <c r="Q195" t="n">
        <v>312.3</v>
      </c>
      <c r="R195" s="2" t="inlineStr">
        <is>
          <t>VERIFIED_OK</t>
        </is>
      </c>
      <c r="S195" t="n">
        <v>417.15</v>
      </c>
      <c r="T195" t="inlineStr">
        <is>
          <t>30-07-2026 09:42 IST</t>
        </is>
      </c>
    </row>
    <row r="196">
      <c r="A196" t="n">
        <v>40</v>
      </c>
      <c r="B196" t="n">
        <v>500214</v>
      </c>
      <c r="C196" t="inlineStr">
        <is>
          <t>Ion Exchange India Ltd</t>
        </is>
      </c>
      <c r="D196" t="n">
        <v>2022</v>
      </c>
      <c r="E196" t="n">
        <v>428.6499938964844</v>
      </c>
      <c r="F196" t="n">
        <v>11.1</v>
      </c>
      <c r="G196" t="inlineStr">
        <is>
          <t>Consolidated first (v4) – needs verification for flagged rows</t>
        </is>
      </c>
      <c r="H196" t="n">
        <v>305.5</v>
      </c>
      <c r="I196" t="n">
        <v>150.0700073242188</v>
      </c>
      <c r="L196" t="inlineStr">
        <is>
          <t>OK</t>
        </is>
      </c>
      <c r="M196" t="n">
        <v>27.52</v>
      </c>
      <c r="N196" t="n">
        <v>13.52</v>
      </c>
      <c r="O196" t="n">
        <v>417.15</v>
      </c>
      <c r="P196" t="n">
        <v>485.8</v>
      </c>
      <c r="Q196" t="n">
        <v>312.3</v>
      </c>
      <c r="R196" s="2" t="inlineStr">
        <is>
          <t>VERIFIED_OK</t>
        </is>
      </c>
      <c r="S196" t="n">
        <v>417.15</v>
      </c>
      <c r="T196" t="inlineStr">
        <is>
          <t>30-07-2026 09:42 IST</t>
        </is>
      </c>
    </row>
    <row r="197">
      <c r="A197" t="n">
        <v>40</v>
      </c>
      <c r="B197" t="n">
        <v>500214</v>
      </c>
      <c r="C197" t="inlineStr">
        <is>
          <t>Ion Exchange India Ltd</t>
        </is>
      </c>
      <c r="D197" t="n">
        <v>2023</v>
      </c>
      <c r="E197" t="n">
        <v>428.6499938964844</v>
      </c>
      <c r="F197" t="n">
        <v>13.41</v>
      </c>
      <c r="G197" t="inlineStr">
        <is>
          <t>Consolidated first (v4) – needs verification for flagged rows</t>
        </is>
      </c>
      <c r="H197" t="n">
        <v>687.5499877929688</v>
      </c>
      <c r="I197" t="n">
        <v>243.1100006103516</v>
      </c>
      <c r="L197" t="inlineStr">
        <is>
          <t>OK</t>
        </is>
      </c>
      <c r="M197" t="n">
        <v>51.27</v>
      </c>
      <c r="N197" t="n">
        <v>18.13</v>
      </c>
      <c r="O197" t="n">
        <v>417.15</v>
      </c>
      <c r="P197" t="n">
        <v>485.8</v>
      </c>
      <c r="Q197" t="n">
        <v>312.3</v>
      </c>
      <c r="R197" s="2" t="inlineStr">
        <is>
          <t>VERIFIED_OK</t>
        </is>
      </c>
      <c r="S197" t="n">
        <v>417.15</v>
      </c>
      <c r="T197" t="inlineStr">
        <is>
          <t>30-07-2026 09:42 IST</t>
        </is>
      </c>
    </row>
    <row r="198">
      <c r="A198" t="n">
        <v>40</v>
      </c>
      <c r="B198" t="n">
        <v>500214</v>
      </c>
      <c r="C198" t="inlineStr">
        <is>
          <t>Ion Exchange India Ltd</t>
        </is>
      </c>
      <c r="D198" t="n">
        <v>2024</v>
      </c>
      <c r="E198" t="n">
        <v>428.6499938964844</v>
      </c>
      <c r="F198" t="n">
        <v>13.37</v>
      </c>
      <c r="G198" t="inlineStr">
        <is>
          <t>Consolidated first (v4) – needs verification for flagged rows</t>
        </is>
      </c>
      <c r="H198" t="n">
        <v>767</v>
      </c>
      <c r="I198" t="n">
        <v>407</v>
      </c>
      <c r="L198" t="inlineStr">
        <is>
          <t>OK</t>
        </is>
      </c>
      <c r="M198" t="n">
        <v>57.37</v>
      </c>
      <c r="N198" t="n">
        <v>30.44</v>
      </c>
      <c r="O198" t="n">
        <v>417.15</v>
      </c>
      <c r="P198" t="n">
        <v>485.8</v>
      </c>
      <c r="Q198" t="n">
        <v>312.3</v>
      </c>
      <c r="R198" s="2" t="inlineStr">
        <is>
          <t>VERIFIED_OK</t>
        </is>
      </c>
      <c r="S198" t="n">
        <v>417.15</v>
      </c>
      <c r="T198" t="inlineStr">
        <is>
          <t>30-07-2026 09:42 IST</t>
        </is>
      </c>
    </row>
    <row r="199">
      <c r="A199" t="n">
        <v>40</v>
      </c>
      <c r="B199" t="n">
        <v>500214</v>
      </c>
      <c r="C199" t="inlineStr">
        <is>
          <t>Ion Exchange India Ltd</t>
        </is>
      </c>
      <c r="D199" t="n">
        <v>2025</v>
      </c>
      <c r="E199" t="n">
        <v>428.6499938964844</v>
      </c>
      <c r="F199" t="n">
        <v>14.17</v>
      </c>
      <c r="G199" t="inlineStr">
        <is>
          <t>Consolidated first (v4) – needs verification for flagged rows</t>
        </is>
      </c>
      <c r="H199" t="n">
        <v>675.9500122070312</v>
      </c>
      <c r="I199" t="n">
        <v>331.25</v>
      </c>
      <c r="L199" t="inlineStr">
        <is>
          <t>OK</t>
        </is>
      </c>
      <c r="M199" t="n">
        <v>47.7</v>
      </c>
      <c r="N199" t="n">
        <v>23.38</v>
      </c>
      <c r="O199" t="n">
        <v>417.15</v>
      </c>
      <c r="P199" t="n">
        <v>485.8</v>
      </c>
      <c r="Q199" t="n">
        <v>312.3</v>
      </c>
      <c r="R199" s="2" t="inlineStr">
        <is>
          <t>VERIFIED_OK</t>
        </is>
      </c>
      <c r="S199" t="n">
        <v>417.15</v>
      </c>
      <c r="T199" t="inlineStr">
        <is>
          <t>30-07-2026 09:42 IST</t>
        </is>
      </c>
    </row>
    <row r="200">
      <c r="A200" t="n">
        <v>40</v>
      </c>
      <c r="B200" t="n">
        <v>500214</v>
      </c>
      <c r="C200" t="inlineStr">
        <is>
          <t>Ion Exchange India Ltd</t>
        </is>
      </c>
      <c r="D200" t="n">
        <v>2026</v>
      </c>
      <c r="E200" t="n">
        <v>428.6499938964844</v>
      </c>
      <c r="F200" t="n">
        <v>9.73</v>
      </c>
      <c r="G200" t="inlineStr">
        <is>
          <t>Consolidated first (v4) – needs verification for flagged rows</t>
        </is>
      </c>
      <c r="H200" t="n">
        <v>485.7999877929688</v>
      </c>
      <c r="I200" t="n">
        <v>312.2999877929688</v>
      </c>
      <c r="L200" t="inlineStr">
        <is>
          <t>OK</t>
        </is>
      </c>
      <c r="M200" t="n">
        <v>49.93</v>
      </c>
      <c r="N200" t="n">
        <v>32.1</v>
      </c>
      <c r="O200" t="n">
        <v>417.15</v>
      </c>
      <c r="P200" t="n">
        <v>485.8</v>
      </c>
      <c r="Q200" t="n">
        <v>312.3</v>
      </c>
      <c r="R200" s="2" t="inlineStr">
        <is>
          <t>VERIFIED_OK</t>
        </is>
      </c>
      <c r="S200" t="n">
        <v>417.15</v>
      </c>
      <c r="T200" t="inlineStr">
        <is>
          <t>30-07-2026 09:42 IST</t>
        </is>
      </c>
    </row>
    <row r="201">
      <c r="A201" t="n">
        <v>41</v>
      </c>
      <c r="B201" t="n">
        <v>500219</v>
      </c>
      <c r="C201" t="inlineStr">
        <is>
          <t>Jain Irrigation Systems Ltd</t>
        </is>
      </c>
      <c r="D201" t="n">
        <v>2015</v>
      </c>
      <c r="E201" t="n">
        <v>30.54000091552734</v>
      </c>
      <c r="F201" t="n">
        <v>1.25</v>
      </c>
      <c r="G201" t="inlineStr">
        <is>
          <t>Consolidated first (v4) – needs verification for flagged rows</t>
        </is>
      </c>
      <c r="H201" t="n">
        <v>79</v>
      </c>
      <c r="I201" t="n">
        <v>50.54999923706055</v>
      </c>
      <c r="L201" t="inlineStr">
        <is>
          <t>OK</t>
        </is>
      </c>
      <c r="M201" t="n">
        <v>63.2</v>
      </c>
      <c r="N201" t="n">
        <v>40.44</v>
      </c>
      <c r="O201" t="n">
        <v>22.48</v>
      </c>
      <c r="P201" t="n">
        <v>35.6</v>
      </c>
      <c r="Q201" t="n">
        <v>19</v>
      </c>
      <c r="R201" s="3" t="inlineStr">
        <is>
          <t>MISMATCH_NEEDS_CORRECTION</t>
        </is>
      </c>
      <c r="S201" t="n">
        <v>22.48</v>
      </c>
      <c r="T201" t="inlineStr">
        <is>
          <t>30-07-2026 09:42 IST</t>
        </is>
      </c>
    </row>
    <row r="202">
      <c r="A202" t="n">
        <v>41</v>
      </c>
      <c r="B202" t="n">
        <v>500219</v>
      </c>
      <c r="C202" t="inlineStr">
        <is>
          <t>Jain Irrigation Systems Ltd</t>
        </is>
      </c>
      <c r="D202" t="n">
        <v>2016</v>
      </c>
      <c r="E202" t="n">
        <v>30.54000091552734</v>
      </c>
      <c r="F202" t="n">
        <v>1.06</v>
      </c>
      <c r="G202" t="inlineStr">
        <is>
          <t>Consolidated first (v4) – needs verification for flagged rows</t>
        </is>
      </c>
      <c r="H202" t="n">
        <v>108.5</v>
      </c>
      <c r="I202" t="n">
        <v>47</v>
      </c>
      <c r="L202" t="inlineStr">
        <is>
          <t>OK</t>
        </is>
      </c>
      <c r="M202" t="n">
        <v>102.36</v>
      </c>
      <c r="N202" t="n">
        <v>44.34</v>
      </c>
      <c r="O202" t="n">
        <v>22.48</v>
      </c>
      <c r="P202" t="n">
        <v>35.6</v>
      </c>
      <c r="Q202" t="n">
        <v>19</v>
      </c>
      <c r="R202" s="3" t="inlineStr">
        <is>
          <t>MISMATCH_NEEDS_CORRECTION</t>
        </is>
      </c>
      <c r="S202" t="n">
        <v>22.48</v>
      </c>
      <c r="T202" t="inlineStr">
        <is>
          <t>30-07-2026 09:42 IST</t>
        </is>
      </c>
    </row>
    <row r="203">
      <c r="A203" t="n">
        <v>41</v>
      </c>
      <c r="B203" t="n">
        <v>500219</v>
      </c>
      <c r="C203" t="inlineStr">
        <is>
          <t>Jain Irrigation Systems Ltd</t>
        </is>
      </c>
      <c r="D203" t="n">
        <v>2017</v>
      </c>
      <c r="E203" t="n">
        <v>30.54000091552734</v>
      </c>
      <c r="F203" t="n">
        <v>3.68</v>
      </c>
      <c r="G203" t="inlineStr">
        <is>
          <t>Consolidated first (v4) – needs verification for flagged rows</t>
        </is>
      </c>
      <c r="H203" t="n">
        <v>132.8999938964844</v>
      </c>
      <c r="I203" t="n">
        <v>82.80000305175781</v>
      </c>
      <c r="L203" t="inlineStr">
        <is>
          <t>OK</t>
        </is>
      </c>
      <c r="M203" t="n">
        <v>36.11</v>
      </c>
      <c r="N203" t="n">
        <v>22.5</v>
      </c>
      <c r="O203" t="n">
        <v>22.48</v>
      </c>
      <c r="P203" t="n">
        <v>35.6</v>
      </c>
      <c r="Q203" t="n">
        <v>19</v>
      </c>
      <c r="R203" s="3" t="inlineStr">
        <is>
          <t>MISMATCH_NEEDS_CORRECTION</t>
        </is>
      </c>
      <c r="S203" t="n">
        <v>22.48</v>
      </c>
      <c r="T203" t="inlineStr">
        <is>
          <t>30-07-2026 09:42 IST</t>
        </is>
      </c>
    </row>
    <row r="204">
      <c r="A204" t="n">
        <v>41</v>
      </c>
      <c r="B204" t="n">
        <v>500219</v>
      </c>
      <c r="C204" t="inlineStr">
        <is>
          <t>Jain Irrigation Systems Ltd</t>
        </is>
      </c>
      <c r="D204" t="n">
        <v>2018</v>
      </c>
      <c r="E204" t="n">
        <v>30.54000091552734</v>
      </c>
      <c r="F204" t="n">
        <v>4.42</v>
      </c>
      <c r="G204" t="inlineStr">
        <is>
          <t>Consolidated first (v4) – needs verification for flagged rows</t>
        </is>
      </c>
      <c r="H204" t="n">
        <v>150.3999938964844</v>
      </c>
      <c r="I204" t="n">
        <v>55.09999847412109</v>
      </c>
      <c r="L204" t="inlineStr">
        <is>
          <t>OK</t>
        </is>
      </c>
      <c r="M204" t="n">
        <v>34.03</v>
      </c>
      <c r="N204" t="n">
        <v>12.47</v>
      </c>
      <c r="O204" t="n">
        <v>22.48</v>
      </c>
      <c r="P204" t="n">
        <v>35.6</v>
      </c>
      <c r="Q204" t="n">
        <v>19</v>
      </c>
      <c r="R204" s="3" t="inlineStr">
        <is>
          <t>MISMATCH_NEEDS_CORRECTION</t>
        </is>
      </c>
      <c r="S204" t="n">
        <v>22.48</v>
      </c>
      <c r="T204" t="inlineStr">
        <is>
          <t>30-07-2026 09:42 IST</t>
        </is>
      </c>
    </row>
    <row r="205">
      <c r="A205" t="n">
        <v>41</v>
      </c>
      <c r="B205" t="n">
        <v>500219</v>
      </c>
      <c r="C205" t="inlineStr">
        <is>
          <t>Jain Irrigation Systems Ltd</t>
        </is>
      </c>
      <c r="D205" t="n">
        <v>2019</v>
      </c>
      <c r="E205" t="n">
        <v>30.54000091552734</v>
      </c>
      <c r="F205" t="n">
        <v>4.82</v>
      </c>
      <c r="G205" t="inlineStr">
        <is>
          <t>Consolidated first (v4) – needs verification for flagged rows</t>
        </is>
      </c>
      <c r="H205" t="n">
        <v>69.5</v>
      </c>
      <c r="I205" t="n">
        <v>7.360000133514404</v>
      </c>
      <c r="L205" t="inlineStr">
        <is>
          <t>OK</t>
        </is>
      </c>
      <c r="M205" t="n">
        <v>14.42</v>
      </c>
      <c r="N205" t="n">
        <v>1.53</v>
      </c>
      <c r="O205" t="n">
        <v>22.48</v>
      </c>
      <c r="P205" t="n">
        <v>35.6</v>
      </c>
      <c r="Q205" t="n">
        <v>19</v>
      </c>
      <c r="R205" s="3" t="inlineStr">
        <is>
          <t>MISMATCH_NEEDS_CORRECTION</t>
        </is>
      </c>
      <c r="S205" t="n">
        <v>22.48</v>
      </c>
      <c r="T205" t="inlineStr">
        <is>
          <t>30-07-2026 09:42 IST</t>
        </is>
      </c>
    </row>
    <row r="206">
      <c r="A206" t="n">
        <v>41</v>
      </c>
      <c r="B206" t="n">
        <v>500219</v>
      </c>
      <c r="C206" t="inlineStr">
        <is>
          <t>Jain Irrigation Systems Ltd</t>
        </is>
      </c>
      <c r="D206" t="n">
        <v>2020</v>
      </c>
      <c r="E206" t="n">
        <v>30.54000091552734</v>
      </c>
      <c r="F206" t="n">
        <v>-14.41</v>
      </c>
      <c r="G206" t="inlineStr">
        <is>
          <t>Consolidated first (v4) – needs verification for flagged rows</t>
        </is>
      </c>
      <c r="H206" t="n">
        <v>20.95000076293945</v>
      </c>
      <c r="I206" t="n">
        <v>3.079999923706055</v>
      </c>
      <c r="L206" t="inlineStr">
        <is>
          <t>UNVERIFIED – negative EPS</t>
        </is>
      </c>
      <c r="M206" t="n">
        <v>-1.45</v>
      </c>
      <c r="N206" t="n">
        <v>-0.21</v>
      </c>
      <c r="O206" t="n">
        <v>22.48</v>
      </c>
      <c r="P206" t="n">
        <v>35.6</v>
      </c>
      <c r="Q206" t="n">
        <v>19</v>
      </c>
      <c r="R206" s="3" t="inlineStr">
        <is>
          <t>MISMATCH_NEEDS_CORRECTION</t>
        </is>
      </c>
      <c r="S206" t="n">
        <v>22.48</v>
      </c>
      <c r="T206" t="inlineStr">
        <is>
          <t>30-07-2026 09:42 IST</t>
        </is>
      </c>
    </row>
    <row r="207">
      <c r="A207" t="n">
        <v>41</v>
      </c>
      <c r="B207" t="n">
        <v>500219</v>
      </c>
      <c r="C207" t="inlineStr">
        <is>
          <t>Jain Irrigation Systems Ltd</t>
        </is>
      </c>
      <c r="D207" t="n">
        <v>2021</v>
      </c>
      <c r="E207" t="n">
        <v>30.54000091552734</v>
      </c>
      <c r="F207" t="n">
        <v>-7.97</v>
      </c>
      <c r="G207" t="inlineStr">
        <is>
          <t>Consolidated first (v4) – needs verification for flagged rows</t>
        </is>
      </c>
      <c r="H207" t="n">
        <v>53.5</v>
      </c>
      <c r="I207" t="n">
        <v>16.14999961853027</v>
      </c>
      <c r="L207" t="inlineStr">
        <is>
          <t>UNVERIFIED – negative EPS</t>
        </is>
      </c>
      <c r="M207" t="n">
        <v>-6.71</v>
      </c>
      <c r="N207" t="n">
        <v>-2.03</v>
      </c>
      <c r="O207" t="n">
        <v>22.48</v>
      </c>
      <c r="P207" t="n">
        <v>35.6</v>
      </c>
      <c r="Q207" t="n">
        <v>19</v>
      </c>
      <c r="R207" s="3" t="inlineStr">
        <is>
          <t>MISMATCH_NEEDS_CORRECTION</t>
        </is>
      </c>
      <c r="S207" t="n">
        <v>22.48</v>
      </c>
      <c r="T207" t="inlineStr">
        <is>
          <t>30-07-2026 09:42 IST</t>
        </is>
      </c>
    </row>
    <row r="208">
      <c r="A208" t="n">
        <v>41</v>
      </c>
      <c r="B208" t="n">
        <v>500219</v>
      </c>
      <c r="C208" t="inlineStr">
        <is>
          <t>Jain Irrigation Systems Ltd</t>
        </is>
      </c>
      <c r="D208" t="n">
        <v>2022</v>
      </c>
      <c r="E208" t="n">
        <v>30.54000091552734</v>
      </c>
      <c r="F208" t="n">
        <v>5.48</v>
      </c>
      <c r="G208" t="inlineStr">
        <is>
          <t>Consolidated first (v4) – needs verification for flagged rows</t>
        </is>
      </c>
      <c r="H208" t="n">
        <v>50.40000152587891</v>
      </c>
      <c r="I208" t="n">
        <v>29.5</v>
      </c>
      <c r="L208" t="inlineStr">
        <is>
          <t>OK</t>
        </is>
      </c>
      <c r="M208" t="n">
        <v>9.199999999999999</v>
      </c>
      <c r="N208" t="n">
        <v>5.38</v>
      </c>
      <c r="O208" t="n">
        <v>22.48</v>
      </c>
      <c r="P208" t="n">
        <v>35.6</v>
      </c>
      <c r="Q208" t="n">
        <v>19</v>
      </c>
      <c r="R208" s="3" t="inlineStr">
        <is>
          <t>MISMATCH_NEEDS_CORRECTION</t>
        </is>
      </c>
      <c r="S208" t="n">
        <v>22.48</v>
      </c>
      <c r="T208" t="inlineStr">
        <is>
          <t>30-07-2026 09:42 IST</t>
        </is>
      </c>
    </row>
    <row r="209">
      <c r="A209" t="n">
        <v>41</v>
      </c>
      <c r="B209" t="n">
        <v>500219</v>
      </c>
      <c r="C209" t="inlineStr">
        <is>
          <t>Jain Irrigation Systems Ltd</t>
        </is>
      </c>
      <c r="D209" t="n">
        <v>2023</v>
      </c>
      <c r="E209" t="n">
        <v>30.54000091552734</v>
      </c>
      <c r="F209" t="n">
        <v>13.69</v>
      </c>
      <c r="G209" t="inlineStr">
        <is>
          <t>Consolidated first (v4) – needs verification for flagged rows</t>
        </is>
      </c>
      <c r="H209" t="n">
        <v>73.40000152587891</v>
      </c>
      <c r="I209" t="n">
        <v>26.5</v>
      </c>
      <c r="L209" t="inlineStr">
        <is>
          <t>OK</t>
        </is>
      </c>
      <c r="M209" t="n">
        <v>5.36</v>
      </c>
      <c r="N209" t="n">
        <v>1.94</v>
      </c>
      <c r="O209" t="n">
        <v>22.48</v>
      </c>
      <c r="P209" t="n">
        <v>35.6</v>
      </c>
      <c r="Q209" t="n">
        <v>19</v>
      </c>
      <c r="R209" s="3" t="inlineStr">
        <is>
          <t>MISMATCH_NEEDS_CORRECTION</t>
        </is>
      </c>
      <c r="S209" t="n">
        <v>22.48</v>
      </c>
      <c r="T209" t="inlineStr">
        <is>
          <t>30-07-2026 09:42 IST</t>
        </is>
      </c>
    </row>
    <row r="210">
      <c r="A210" t="n">
        <v>41</v>
      </c>
      <c r="B210" t="n">
        <v>500219</v>
      </c>
      <c r="C210" t="inlineStr">
        <is>
          <t>Jain Irrigation Systems Ltd</t>
        </is>
      </c>
      <c r="D210" t="n">
        <v>2024</v>
      </c>
      <c r="E210" t="n">
        <v>30.54000091552734</v>
      </c>
      <c r="F210" t="n">
        <v>0.68</v>
      </c>
      <c r="G210" t="inlineStr">
        <is>
          <t>Consolidated first (v4) – needs verification for flagged rows</t>
        </is>
      </c>
      <c r="H210" t="n">
        <v>84.09999847412109</v>
      </c>
      <c r="I210" t="n">
        <v>43.75</v>
      </c>
      <c r="L210" t="inlineStr">
        <is>
          <t>OK</t>
        </is>
      </c>
      <c r="M210" t="n">
        <v>123.68</v>
      </c>
      <c r="N210" t="n">
        <v>64.34</v>
      </c>
      <c r="O210" t="n">
        <v>22.48</v>
      </c>
      <c r="P210" t="n">
        <v>35.6</v>
      </c>
      <c r="Q210" t="n">
        <v>19</v>
      </c>
      <c r="R210" s="3" t="inlineStr">
        <is>
          <t>MISMATCH_NEEDS_CORRECTION</t>
        </is>
      </c>
      <c r="S210" t="n">
        <v>22.48</v>
      </c>
      <c r="T210" t="inlineStr">
        <is>
          <t>30-07-2026 09:42 IST</t>
        </is>
      </c>
    </row>
    <row r="211">
      <c r="A211" t="n">
        <v>41</v>
      </c>
      <c r="B211" t="n">
        <v>500219</v>
      </c>
      <c r="C211" t="inlineStr">
        <is>
          <t>Jain Irrigation Systems Ltd</t>
        </is>
      </c>
      <c r="D211" t="n">
        <v>2025</v>
      </c>
      <c r="E211" t="n">
        <v>30.54000091552734</v>
      </c>
      <c r="F211" t="n">
        <v>0.5</v>
      </c>
      <c r="G211" t="inlineStr">
        <is>
          <t>Consolidated first (v4) – needs verification for flagged rows</t>
        </is>
      </c>
      <c r="H211" t="n">
        <v>83.34999847412109</v>
      </c>
      <c r="I211" t="n">
        <v>39</v>
      </c>
      <c r="L211" t="inlineStr">
        <is>
          <t>OK</t>
        </is>
      </c>
      <c r="M211" t="n">
        <v>166.7</v>
      </c>
      <c r="N211" t="n">
        <v>78</v>
      </c>
      <c r="O211" t="n">
        <v>22.48</v>
      </c>
      <c r="P211" t="n">
        <v>35.6</v>
      </c>
      <c r="Q211" t="n">
        <v>19</v>
      </c>
      <c r="R211" s="3" t="inlineStr">
        <is>
          <t>MISMATCH_NEEDS_CORRECTION</t>
        </is>
      </c>
      <c r="S211" t="n">
        <v>22.48</v>
      </c>
      <c r="T211" t="inlineStr">
        <is>
          <t>30-07-2026 09:42 IST</t>
        </is>
      </c>
    </row>
    <row r="212">
      <c r="A212" t="n">
        <v>41</v>
      </c>
      <c r="B212" t="n">
        <v>500219</v>
      </c>
      <c r="C212" t="inlineStr">
        <is>
          <t>Jain Irrigation Systems Ltd</t>
        </is>
      </c>
      <c r="D212" t="n">
        <v>2026</v>
      </c>
      <c r="E212" t="n">
        <v>30.54000091552734</v>
      </c>
      <c r="F212" t="n">
        <v>-0.13</v>
      </c>
      <c r="G212" t="inlineStr">
        <is>
          <t>Consolidated first (v4) – needs verification for flagged rows</t>
        </is>
      </c>
      <c r="H212" t="n">
        <v>42.68000030517578</v>
      </c>
      <c r="I212" t="n">
        <v>27.3700008392334</v>
      </c>
      <c r="L212" t="inlineStr">
        <is>
          <t>UNVERIFIED – negative EPS</t>
        </is>
      </c>
      <c r="M212" t="n">
        <v>-328.31</v>
      </c>
      <c r="N212" t="n">
        <v>-210.54</v>
      </c>
      <c r="O212" t="n">
        <v>22.48</v>
      </c>
      <c r="P212" t="n">
        <v>35.6</v>
      </c>
      <c r="Q212" t="n">
        <v>19</v>
      </c>
      <c r="R212" s="3" t="inlineStr">
        <is>
          <t>MISMATCH_NEEDS_CORRECTION</t>
        </is>
      </c>
      <c r="S212" t="n">
        <v>22.48</v>
      </c>
      <c r="T212" t="inlineStr">
        <is>
          <t>30-07-2026 09:42 IST</t>
        </is>
      </c>
    </row>
    <row r="213">
      <c r="A213" t="n">
        <v>42</v>
      </c>
      <c r="B213" t="n">
        <v>500220</v>
      </c>
      <c r="C213" t="inlineStr">
        <is>
          <t>Jasch Industries</t>
        </is>
      </c>
      <c r="D213" t="n">
        <v>2015</v>
      </c>
      <c r="E213" t="n">
        <v>327.2999877929688</v>
      </c>
      <c r="F213" t="n">
        <v>2.73</v>
      </c>
      <c r="G213" t="inlineStr">
        <is>
          <t>Consolidated first (v4) – needs verification for flagged rows</t>
        </is>
      </c>
      <c r="H213" t="n">
        <v>85.66666412353516</v>
      </c>
      <c r="I213" t="n">
        <v>27.58333206176758</v>
      </c>
      <c r="L213" t="inlineStr">
        <is>
          <t>OK</t>
        </is>
      </c>
      <c r="M213" t="n">
        <v>31.38</v>
      </c>
      <c r="N213" t="n">
        <v>10.1</v>
      </c>
      <c r="O213" t="n">
        <v>175.9</v>
      </c>
      <c r="P213" t="n">
        <v>377</v>
      </c>
      <c r="Q213" t="n">
        <v>154</v>
      </c>
      <c r="R213" s="3" t="inlineStr">
        <is>
          <t>MISMATCH_NEEDS_CORRECTION</t>
        </is>
      </c>
      <c r="S213" t="n">
        <v>175.9</v>
      </c>
      <c r="T213" t="inlineStr">
        <is>
          <t>30-07-2026 09:42 IST</t>
        </is>
      </c>
    </row>
    <row r="214">
      <c r="A214" t="n">
        <v>42</v>
      </c>
      <c r="B214" t="n">
        <v>500220</v>
      </c>
      <c r="C214" t="inlineStr">
        <is>
          <t>Jasch Industries</t>
        </is>
      </c>
      <c r="D214" t="n">
        <v>2016</v>
      </c>
      <c r="E214" t="n">
        <v>327.2999877929688</v>
      </c>
      <c r="F214" t="n">
        <v>2.58</v>
      </c>
      <c r="G214" t="inlineStr">
        <is>
          <t>Consolidated first (v4) – needs verification for flagged rows</t>
        </is>
      </c>
      <c r="H214" t="n">
        <v>113.3333358764648</v>
      </c>
      <c r="I214" t="n">
        <v>52.16666412353516</v>
      </c>
      <c r="L214" t="inlineStr">
        <is>
          <t>OK</t>
        </is>
      </c>
      <c r="M214" t="n">
        <v>43.93</v>
      </c>
      <c r="N214" t="n">
        <v>20.22</v>
      </c>
      <c r="O214" t="n">
        <v>175.9</v>
      </c>
      <c r="P214" t="n">
        <v>377</v>
      </c>
      <c r="Q214" t="n">
        <v>154</v>
      </c>
      <c r="R214" s="3" t="inlineStr">
        <is>
          <t>MISMATCH_NEEDS_CORRECTION</t>
        </is>
      </c>
      <c r="S214" t="n">
        <v>175.9</v>
      </c>
      <c r="T214" t="inlineStr">
        <is>
          <t>30-07-2026 09:42 IST</t>
        </is>
      </c>
    </row>
    <row r="215">
      <c r="A215" t="n">
        <v>42</v>
      </c>
      <c r="B215" t="n">
        <v>500220</v>
      </c>
      <c r="C215" t="inlineStr">
        <is>
          <t>Jasch Industries</t>
        </is>
      </c>
      <c r="D215" t="n">
        <v>2017</v>
      </c>
      <c r="E215" t="n">
        <v>327.2999877929688</v>
      </c>
      <c r="F215" t="n">
        <v>5.54</v>
      </c>
      <c r="G215" t="inlineStr">
        <is>
          <t>Consolidated first (v4) – needs verification for flagged rows</t>
        </is>
      </c>
      <c r="H215" t="n">
        <v>143.3333282470703</v>
      </c>
      <c r="I215" t="n">
        <v>77.83333587646484</v>
      </c>
      <c r="L215" t="inlineStr">
        <is>
          <t>OK</t>
        </is>
      </c>
      <c r="M215" t="n">
        <v>25.87</v>
      </c>
      <c r="N215" t="n">
        <v>14.05</v>
      </c>
      <c r="O215" t="n">
        <v>175.9</v>
      </c>
      <c r="P215" t="n">
        <v>377</v>
      </c>
      <c r="Q215" t="n">
        <v>154</v>
      </c>
      <c r="R215" s="3" t="inlineStr">
        <is>
          <t>MISMATCH_NEEDS_CORRECTION</t>
        </is>
      </c>
      <c r="S215" t="n">
        <v>175.9</v>
      </c>
      <c r="T215" t="inlineStr">
        <is>
          <t>30-07-2026 09:42 IST</t>
        </is>
      </c>
    </row>
    <row r="216">
      <c r="A216" t="n">
        <v>42</v>
      </c>
      <c r="B216" t="n">
        <v>500220</v>
      </c>
      <c r="C216" t="inlineStr">
        <is>
          <t>Jasch Industries</t>
        </is>
      </c>
      <c r="D216" t="n">
        <v>2018</v>
      </c>
      <c r="E216" t="n">
        <v>327.2999877929688</v>
      </c>
      <c r="F216" t="n">
        <v>3.88</v>
      </c>
      <c r="G216" t="inlineStr">
        <is>
          <t>Consolidated first (v4) – needs verification for flagged rows</t>
        </is>
      </c>
      <c r="H216" t="n">
        <v>147.3333282470703</v>
      </c>
      <c r="I216" t="n">
        <v>80.16666412353516</v>
      </c>
      <c r="L216" t="inlineStr">
        <is>
          <t>OK</t>
        </is>
      </c>
      <c r="M216" t="n">
        <v>37.97</v>
      </c>
      <c r="N216" t="n">
        <v>20.66</v>
      </c>
      <c r="O216" t="n">
        <v>175.9</v>
      </c>
      <c r="P216" t="n">
        <v>377</v>
      </c>
      <c r="Q216" t="n">
        <v>154</v>
      </c>
      <c r="R216" s="3" t="inlineStr">
        <is>
          <t>MISMATCH_NEEDS_CORRECTION</t>
        </is>
      </c>
      <c r="S216" t="n">
        <v>175.9</v>
      </c>
      <c r="T216" t="inlineStr">
        <is>
          <t>30-07-2026 09:42 IST</t>
        </is>
      </c>
    </row>
    <row r="217">
      <c r="A217" t="n">
        <v>42</v>
      </c>
      <c r="B217" t="n">
        <v>500220</v>
      </c>
      <c r="C217" t="inlineStr">
        <is>
          <t>Jasch Industries</t>
        </is>
      </c>
      <c r="D217" t="n">
        <v>2019</v>
      </c>
      <c r="E217" t="n">
        <v>327.2999877929688</v>
      </c>
      <c r="F217" t="n">
        <v>7.06</v>
      </c>
      <c r="G217" t="inlineStr">
        <is>
          <t>Consolidated first (v4) – needs verification for flagged rows</t>
        </is>
      </c>
      <c r="H217" t="n">
        <v>99.75</v>
      </c>
      <c r="I217" t="n">
        <v>47.5</v>
      </c>
      <c r="L217" t="inlineStr">
        <is>
          <t>OK</t>
        </is>
      </c>
      <c r="M217" t="n">
        <v>14.13</v>
      </c>
      <c r="N217" t="n">
        <v>6.73</v>
      </c>
      <c r="O217" t="n">
        <v>175.9</v>
      </c>
      <c r="P217" t="n">
        <v>377</v>
      </c>
      <c r="Q217" t="n">
        <v>154</v>
      </c>
      <c r="R217" s="3" t="inlineStr">
        <is>
          <t>MISMATCH_NEEDS_CORRECTION</t>
        </is>
      </c>
      <c r="S217" t="n">
        <v>175.9</v>
      </c>
      <c r="T217" t="inlineStr">
        <is>
          <t>30-07-2026 09:42 IST</t>
        </is>
      </c>
    </row>
    <row r="218">
      <c r="A218" t="n">
        <v>42</v>
      </c>
      <c r="B218" t="n">
        <v>500220</v>
      </c>
      <c r="C218" t="inlineStr">
        <is>
          <t>Jasch Industries</t>
        </is>
      </c>
      <c r="D218" t="n">
        <v>2020</v>
      </c>
      <c r="E218" t="n">
        <v>327.2999877929688</v>
      </c>
      <c r="F218" t="n">
        <v>3.14</v>
      </c>
      <c r="G218" t="inlineStr">
        <is>
          <t>Consolidated first (v4) – needs verification for flagged rows</t>
        </is>
      </c>
      <c r="H218" t="n">
        <v>76.83333587646484</v>
      </c>
      <c r="I218" t="n">
        <v>26.75</v>
      </c>
      <c r="L218" t="inlineStr">
        <is>
          <t>OK</t>
        </is>
      </c>
      <c r="M218" t="n">
        <v>24.47</v>
      </c>
      <c r="N218" t="n">
        <v>8.52</v>
      </c>
      <c r="O218" t="n">
        <v>175.9</v>
      </c>
      <c r="P218" t="n">
        <v>377</v>
      </c>
      <c r="Q218" t="n">
        <v>154</v>
      </c>
      <c r="R218" s="3" t="inlineStr">
        <is>
          <t>MISMATCH_NEEDS_CORRECTION</t>
        </is>
      </c>
      <c r="S218" t="n">
        <v>175.9</v>
      </c>
      <c r="T218" t="inlineStr">
        <is>
          <t>30-07-2026 09:42 IST</t>
        </is>
      </c>
    </row>
    <row r="219">
      <c r="A219" t="n">
        <v>42</v>
      </c>
      <c r="B219" t="n">
        <v>500220</v>
      </c>
      <c r="C219" t="inlineStr">
        <is>
          <t>Jasch Industries</t>
        </is>
      </c>
      <c r="D219" t="n">
        <v>2021</v>
      </c>
      <c r="E219" t="n">
        <v>327.2999877929688</v>
      </c>
      <c r="G219" t="inlineStr">
        <is>
          <t>Consolidated first (v4) – needs verification for flagged rows</t>
        </is>
      </c>
      <c r="H219" t="n">
        <v>290</v>
      </c>
      <c r="I219" t="n">
        <v>63.75</v>
      </c>
      <c r="L219" t="inlineStr">
        <is>
          <t>INCOMPLETE</t>
        </is>
      </c>
      <c r="O219" t="n">
        <v>175.9</v>
      </c>
      <c r="P219" t="n">
        <v>377</v>
      </c>
      <c r="Q219" t="n">
        <v>154</v>
      </c>
      <c r="R219" s="3" t="inlineStr">
        <is>
          <t>MISMATCH_NEEDS_CORRECTION</t>
        </is>
      </c>
      <c r="S219" t="n">
        <v>175.9</v>
      </c>
      <c r="T219" t="inlineStr">
        <is>
          <t>30-07-2026 09:42 IST</t>
        </is>
      </c>
    </row>
    <row r="220">
      <c r="A220" t="n">
        <v>42</v>
      </c>
      <c r="B220" t="n">
        <v>500220</v>
      </c>
      <c r="C220" t="inlineStr">
        <is>
          <t>Jasch Industries</t>
        </is>
      </c>
      <c r="D220" t="n">
        <v>2022</v>
      </c>
      <c r="E220" t="n">
        <v>327.2999877929688</v>
      </c>
      <c r="F220" t="n">
        <v>17.91</v>
      </c>
      <c r="G220" t="inlineStr">
        <is>
          <t>Consolidated first (v4) – needs verification for flagged rows</t>
        </is>
      </c>
      <c r="H220" t="n">
        <v>391.6666564941406</v>
      </c>
      <c r="I220" t="n">
        <v>199.0833282470703</v>
      </c>
      <c r="L220" t="inlineStr">
        <is>
          <t>OK</t>
        </is>
      </c>
      <c r="M220" t="n">
        <v>21.87</v>
      </c>
      <c r="N220" t="n">
        <v>11.12</v>
      </c>
      <c r="O220" t="n">
        <v>175.9</v>
      </c>
      <c r="P220" t="n">
        <v>377</v>
      </c>
      <c r="Q220" t="n">
        <v>154</v>
      </c>
      <c r="R220" s="3" t="inlineStr">
        <is>
          <t>MISMATCH_NEEDS_CORRECTION</t>
        </is>
      </c>
      <c r="S220" t="n">
        <v>175.9</v>
      </c>
      <c r="T220" t="inlineStr">
        <is>
          <t>30-07-2026 09:42 IST</t>
        </is>
      </c>
    </row>
    <row r="221">
      <c r="A221" t="n">
        <v>42</v>
      </c>
      <c r="B221" t="n">
        <v>500220</v>
      </c>
      <c r="C221" t="inlineStr">
        <is>
          <t>Jasch Industries</t>
        </is>
      </c>
      <c r="D221" t="n">
        <v>2023</v>
      </c>
      <c r="E221" t="n">
        <v>327.2999877929688</v>
      </c>
      <c r="F221" t="n">
        <v>17.65</v>
      </c>
      <c r="G221" t="inlineStr">
        <is>
          <t>Consolidated first (v4) – needs verification for flagged rows</t>
        </is>
      </c>
      <c r="H221" t="n">
        <v>553.9166870117188</v>
      </c>
      <c r="I221" t="n">
        <v>200.4166717529297</v>
      </c>
      <c r="L221" t="inlineStr">
        <is>
          <t>OK</t>
        </is>
      </c>
      <c r="M221" t="n">
        <v>31.38</v>
      </c>
      <c r="N221" t="n">
        <v>11.36</v>
      </c>
      <c r="O221" t="n">
        <v>175.9</v>
      </c>
      <c r="P221" t="n">
        <v>377</v>
      </c>
      <c r="Q221" t="n">
        <v>154</v>
      </c>
      <c r="R221" s="3" t="inlineStr">
        <is>
          <t>MISMATCH_NEEDS_CORRECTION</t>
        </is>
      </c>
      <c r="S221" t="n">
        <v>175.9</v>
      </c>
      <c r="T221" t="inlineStr">
        <is>
          <t>30-07-2026 09:42 IST</t>
        </is>
      </c>
    </row>
    <row r="222">
      <c r="A222" t="n">
        <v>42</v>
      </c>
      <c r="B222" t="n">
        <v>500220</v>
      </c>
      <c r="C222" t="inlineStr">
        <is>
          <t>Jasch Industries</t>
        </is>
      </c>
      <c r="D222" t="n">
        <v>2024</v>
      </c>
      <c r="E222" t="n">
        <v>327.2999877929688</v>
      </c>
      <c r="G222" t="inlineStr">
        <is>
          <t>Consolidated first (v4) – needs verification for flagged rows</t>
        </is>
      </c>
      <c r="H222" t="n">
        <v>377</v>
      </c>
      <c r="I222" t="n">
        <v>154</v>
      </c>
      <c r="L222" t="inlineStr">
        <is>
          <t>INCOMPLETE</t>
        </is>
      </c>
      <c r="O222" t="n">
        <v>175.9</v>
      </c>
      <c r="P222" t="n">
        <v>377</v>
      </c>
      <c r="Q222" t="n">
        <v>154</v>
      </c>
      <c r="R222" s="3" t="inlineStr">
        <is>
          <t>MISMATCH_NEEDS_CORRECTION</t>
        </is>
      </c>
      <c r="S222" t="n">
        <v>175.9</v>
      </c>
      <c r="T222" t="inlineStr">
        <is>
          <t>30-07-2026 09:42 IST</t>
        </is>
      </c>
    </row>
    <row r="223">
      <c r="A223" t="n">
        <v>42</v>
      </c>
      <c r="B223" t="n">
        <v>500220</v>
      </c>
      <c r="C223" t="inlineStr">
        <is>
          <t>Jasch Industries</t>
        </is>
      </c>
      <c r="D223" t="n">
        <v>2025</v>
      </c>
      <c r="E223" t="n">
        <v>327.2999877929688</v>
      </c>
      <c r="G223" t="inlineStr">
        <is>
          <t>Consolidated first (v4) – needs verification for flagged rows</t>
        </is>
      </c>
      <c r="H223" t="n">
        <v>228.3999938964844</v>
      </c>
      <c r="I223" t="n">
        <v>135</v>
      </c>
      <c r="L223" t="inlineStr">
        <is>
          <t>INCOMPLETE</t>
        </is>
      </c>
      <c r="O223" t="n">
        <v>175.9</v>
      </c>
      <c r="P223" t="n">
        <v>377</v>
      </c>
      <c r="Q223" t="n">
        <v>154</v>
      </c>
      <c r="R223" s="3" t="inlineStr">
        <is>
          <t>MISMATCH_NEEDS_CORRECTION</t>
        </is>
      </c>
      <c r="S223" t="n">
        <v>175.9</v>
      </c>
      <c r="T223" t="inlineStr">
        <is>
          <t>30-07-2026 09:42 IST</t>
        </is>
      </c>
    </row>
    <row r="224">
      <c r="A224" t="n">
        <v>42</v>
      </c>
      <c r="B224" t="n">
        <v>500220</v>
      </c>
      <c r="C224" t="inlineStr">
        <is>
          <t>Jasch Industries</t>
        </is>
      </c>
      <c r="D224" t="n">
        <v>2026</v>
      </c>
      <c r="E224" t="n">
        <v>327.2999877929688</v>
      </c>
      <c r="G224" t="inlineStr">
        <is>
          <t>Consolidated first (v4) – needs verification for flagged rows</t>
        </is>
      </c>
      <c r="H224" t="n">
        <v>327.2999877929688</v>
      </c>
      <c r="I224" t="n">
        <v>126.0500030517578</v>
      </c>
      <c r="L224" t="inlineStr">
        <is>
          <t>INCOMPLETE</t>
        </is>
      </c>
      <c r="O224" t="n">
        <v>175.9</v>
      </c>
      <c r="P224" t="n">
        <v>377</v>
      </c>
      <c r="Q224" t="n">
        <v>154</v>
      </c>
      <c r="R224" s="3" t="inlineStr">
        <is>
          <t>MISMATCH_NEEDS_CORRECTION</t>
        </is>
      </c>
      <c r="S224" t="n">
        <v>175.9</v>
      </c>
      <c r="T224" t="inlineStr">
        <is>
          <t>30-07-2026 09:42 IST</t>
        </is>
      </c>
    </row>
    <row r="225">
      <c r="A225" t="n">
        <v>43</v>
      </c>
      <c r="B225" t="n">
        <v>500228</v>
      </c>
      <c r="C225" t="inlineStr">
        <is>
          <t>JSW Steel Ltd</t>
        </is>
      </c>
      <c r="D225" t="n">
        <v>2015</v>
      </c>
      <c r="E225" t="n">
        <v>1243.599975585938</v>
      </c>
      <c r="F225" t="n">
        <v>7.43</v>
      </c>
      <c r="G225" t="inlineStr">
        <is>
          <t>Consolidated first (v4) – needs verification for flagged rows</t>
        </is>
      </c>
      <c r="H225" t="n">
        <v>108.6999969482422</v>
      </c>
      <c r="L225" t="inlineStr">
        <is>
          <t>OK</t>
        </is>
      </c>
      <c r="M225" t="n">
        <v>14.63</v>
      </c>
      <c r="O225" t="n">
        <v>1275.9</v>
      </c>
      <c r="P225" t="n">
        <v>1328</v>
      </c>
      <c r="Q225" t="n">
        <v>1018</v>
      </c>
      <c r="R225" s="2" t="inlineStr">
        <is>
          <t>VERIFIED_OK</t>
        </is>
      </c>
      <c r="S225" t="n">
        <v>1275.9</v>
      </c>
      <c r="T225" t="inlineStr">
        <is>
          <t>30-07-2026 09:42 IST</t>
        </is>
      </c>
    </row>
    <row r="226">
      <c r="A226" t="n">
        <v>43</v>
      </c>
      <c r="B226" t="n">
        <v>500228</v>
      </c>
      <c r="C226" t="inlineStr">
        <is>
          <t>JSW Steel Ltd</t>
        </is>
      </c>
      <c r="D226" t="n">
        <v>2016</v>
      </c>
      <c r="E226" t="n">
        <v>1243.599975585938</v>
      </c>
      <c r="F226" t="n">
        <v>-1.39</v>
      </c>
      <c r="G226" t="inlineStr">
        <is>
          <t>Consolidated first (v4) – needs verification for flagged rows</t>
        </is>
      </c>
      <c r="H226" t="n">
        <v>188.6499938964844</v>
      </c>
      <c r="I226" t="n">
        <v>95.09999847412109</v>
      </c>
      <c r="L226" t="inlineStr">
        <is>
          <t>UNVERIFIED – negative EPS</t>
        </is>
      </c>
      <c r="M226" t="n">
        <v>-135.72</v>
      </c>
      <c r="N226" t="n">
        <v>-68.42</v>
      </c>
      <c r="O226" t="n">
        <v>1275.9</v>
      </c>
      <c r="P226" t="n">
        <v>1328</v>
      </c>
      <c r="Q226" t="n">
        <v>1018</v>
      </c>
      <c r="R226" s="2" t="inlineStr">
        <is>
          <t>VERIFIED_OK</t>
        </is>
      </c>
      <c r="S226" t="n">
        <v>1275.9</v>
      </c>
      <c r="T226" t="inlineStr">
        <is>
          <t>30-07-2026 09:42 IST</t>
        </is>
      </c>
    </row>
    <row r="227">
      <c r="A227" t="n">
        <v>43</v>
      </c>
      <c r="B227" t="n">
        <v>500228</v>
      </c>
      <c r="C227" t="inlineStr">
        <is>
          <t>JSW Steel Ltd</t>
        </is>
      </c>
      <c r="D227" t="n">
        <v>2017</v>
      </c>
      <c r="E227" t="n">
        <v>1243.599975585938</v>
      </c>
      <c r="F227" t="n">
        <v>14.57</v>
      </c>
      <c r="G227" t="inlineStr">
        <is>
          <t>Consolidated first (v4) – needs verification for flagged rows</t>
        </is>
      </c>
      <c r="H227" t="n">
        <v>277</v>
      </c>
      <c r="I227" t="n">
        <v>160.6000061035156</v>
      </c>
      <c r="L227" t="inlineStr">
        <is>
          <t>OK</t>
        </is>
      </c>
      <c r="M227" t="n">
        <v>19.01</v>
      </c>
      <c r="N227" t="n">
        <v>11.02</v>
      </c>
      <c r="O227" t="n">
        <v>1275.9</v>
      </c>
      <c r="P227" t="n">
        <v>1328</v>
      </c>
      <c r="Q227" t="n">
        <v>1018</v>
      </c>
      <c r="R227" s="2" t="inlineStr">
        <is>
          <t>VERIFIED_OK</t>
        </is>
      </c>
      <c r="S227" t="n">
        <v>1275.9</v>
      </c>
      <c r="T227" t="inlineStr">
        <is>
          <t>30-07-2026 09:42 IST</t>
        </is>
      </c>
    </row>
    <row r="228">
      <c r="A228" t="n">
        <v>43</v>
      </c>
      <c r="B228" t="n">
        <v>500228</v>
      </c>
      <c r="C228" t="inlineStr">
        <is>
          <t>JSW Steel Ltd</t>
        </is>
      </c>
      <c r="D228" t="n">
        <v>2018</v>
      </c>
      <c r="E228" t="n">
        <v>1243.599975585938</v>
      </c>
      <c r="F228" t="n">
        <v>25.71</v>
      </c>
      <c r="G228" t="inlineStr">
        <is>
          <t>Consolidated first (v4) – needs verification for flagged rows</t>
        </is>
      </c>
      <c r="H228" t="n">
        <v>427.2999877929688</v>
      </c>
      <c r="I228" t="n">
        <v>261.7000122070312</v>
      </c>
      <c r="L228" t="inlineStr">
        <is>
          <t>OK</t>
        </is>
      </c>
      <c r="M228" t="n">
        <v>16.62</v>
      </c>
      <c r="N228" t="n">
        <v>10.18</v>
      </c>
      <c r="O228" t="n">
        <v>1275.9</v>
      </c>
      <c r="P228" t="n">
        <v>1328</v>
      </c>
      <c r="Q228" t="n">
        <v>1018</v>
      </c>
      <c r="R228" s="2" t="inlineStr">
        <is>
          <t>VERIFIED_OK</t>
        </is>
      </c>
      <c r="S228" t="n">
        <v>1275.9</v>
      </c>
      <c r="T228" t="inlineStr">
        <is>
          <t>30-07-2026 09:42 IST</t>
        </is>
      </c>
    </row>
    <row r="229">
      <c r="A229" t="n">
        <v>43</v>
      </c>
      <c r="B229" t="n">
        <v>500228</v>
      </c>
      <c r="C229" t="inlineStr">
        <is>
          <t>JSW Steel Ltd</t>
        </is>
      </c>
      <c r="D229" t="n">
        <v>2019</v>
      </c>
      <c r="E229" t="n">
        <v>1243.599975585938</v>
      </c>
      <c r="F229" t="n">
        <v>31.6</v>
      </c>
      <c r="G229" t="inlineStr">
        <is>
          <t>Consolidated first (v4) – needs verification for flagged rows</t>
        </is>
      </c>
      <c r="H229" t="n">
        <v>313.3999938964844</v>
      </c>
      <c r="I229" t="n">
        <v>201.8999938964844</v>
      </c>
      <c r="L229" t="inlineStr">
        <is>
          <t>OK</t>
        </is>
      </c>
      <c r="M229" t="n">
        <v>9.92</v>
      </c>
      <c r="N229" t="n">
        <v>6.39</v>
      </c>
      <c r="O229" t="n">
        <v>1275.9</v>
      </c>
      <c r="P229" t="n">
        <v>1328</v>
      </c>
      <c r="Q229" t="n">
        <v>1018</v>
      </c>
      <c r="R229" s="2" t="inlineStr">
        <is>
          <t>VERIFIED_OK</t>
        </is>
      </c>
      <c r="S229" t="n">
        <v>1275.9</v>
      </c>
      <c r="T229" t="inlineStr">
        <is>
          <t>30-07-2026 09:42 IST</t>
        </is>
      </c>
    </row>
    <row r="230">
      <c r="A230" t="n">
        <v>43</v>
      </c>
      <c r="B230" t="n">
        <v>500228</v>
      </c>
      <c r="C230" t="inlineStr">
        <is>
          <t>JSW Steel Ltd</t>
        </is>
      </c>
      <c r="D230" t="n">
        <v>2020</v>
      </c>
      <c r="E230" t="n">
        <v>1243.599975585938</v>
      </c>
      <c r="F230" t="n">
        <v>16.67</v>
      </c>
      <c r="G230" t="inlineStr">
        <is>
          <t>Consolidated first (v4) – needs verification for flagged rows</t>
        </is>
      </c>
      <c r="H230" t="n">
        <v>393.75</v>
      </c>
      <c r="I230" t="n">
        <v>132.5</v>
      </c>
      <c r="L230" t="inlineStr">
        <is>
          <t>OK</t>
        </is>
      </c>
      <c r="M230" t="n">
        <v>23.62</v>
      </c>
      <c r="N230" t="n">
        <v>7.95</v>
      </c>
      <c r="O230" t="n">
        <v>1275.9</v>
      </c>
      <c r="P230" t="n">
        <v>1328</v>
      </c>
      <c r="Q230" t="n">
        <v>1018</v>
      </c>
      <c r="R230" s="2" t="inlineStr">
        <is>
          <t>VERIFIED_OK</t>
        </is>
      </c>
      <c r="S230" t="n">
        <v>1275.9</v>
      </c>
      <c r="T230" t="inlineStr">
        <is>
          <t>30-07-2026 09:42 IST</t>
        </is>
      </c>
    </row>
    <row r="231">
      <c r="A231" t="n">
        <v>43</v>
      </c>
      <c r="B231" t="n">
        <v>500228</v>
      </c>
      <c r="C231" t="inlineStr">
        <is>
          <t>JSW Steel Ltd</t>
        </is>
      </c>
      <c r="D231" t="n">
        <v>2021</v>
      </c>
      <c r="E231" t="n">
        <v>1243.599975585938</v>
      </c>
      <c r="F231" t="n">
        <v>32.73</v>
      </c>
      <c r="G231" t="inlineStr">
        <is>
          <t>Consolidated first (v4) – needs verification for flagged rows</t>
        </is>
      </c>
      <c r="H231" t="n">
        <v>776.5</v>
      </c>
      <c r="I231" t="n">
        <v>356</v>
      </c>
      <c r="L231" t="inlineStr">
        <is>
          <t>OK</t>
        </is>
      </c>
      <c r="M231" t="n">
        <v>23.72</v>
      </c>
      <c r="N231" t="n">
        <v>10.88</v>
      </c>
      <c r="O231" t="n">
        <v>1275.9</v>
      </c>
      <c r="P231" t="n">
        <v>1328</v>
      </c>
      <c r="Q231" t="n">
        <v>1018</v>
      </c>
      <c r="R231" s="2" t="inlineStr">
        <is>
          <t>VERIFIED_OK</t>
        </is>
      </c>
      <c r="S231" t="n">
        <v>1275.9</v>
      </c>
      <c r="T231" t="inlineStr">
        <is>
          <t>30-07-2026 09:42 IST</t>
        </is>
      </c>
    </row>
    <row r="232">
      <c r="A232" t="n">
        <v>43</v>
      </c>
      <c r="B232" t="n">
        <v>500228</v>
      </c>
      <c r="C232" t="inlineStr">
        <is>
          <t>JSW Steel Ltd</t>
        </is>
      </c>
      <c r="D232" t="n">
        <v>2022</v>
      </c>
      <c r="E232" t="n">
        <v>1243.599975585938</v>
      </c>
      <c r="F232" t="n">
        <v>85.48999999999999</v>
      </c>
      <c r="G232" t="inlineStr">
        <is>
          <t>Consolidated first (v4) – needs verification for flagged rows</t>
        </is>
      </c>
      <c r="H232" t="n">
        <v>789.9500122070312</v>
      </c>
      <c r="I232" t="n">
        <v>520.0999755859375</v>
      </c>
      <c r="L232" t="inlineStr">
        <is>
          <t>OK</t>
        </is>
      </c>
      <c r="M232" t="n">
        <v>9.24</v>
      </c>
      <c r="N232" t="n">
        <v>6.08</v>
      </c>
      <c r="O232" t="n">
        <v>1275.9</v>
      </c>
      <c r="P232" t="n">
        <v>1328</v>
      </c>
      <c r="Q232" t="n">
        <v>1018</v>
      </c>
      <c r="R232" s="2" t="inlineStr">
        <is>
          <t>VERIFIED_OK</t>
        </is>
      </c>
      <c r="S232" t="n">
        <v>1275.9</v>
      </c>
      <c r="T232" t="inlineStr">
        <is>
          <t>30-07-2026 09:42 IST</t>
        </is>
      </c>
    </row>
    <row r="233">
      <c r="A233" t="n">
        <v>43</v>
      </c>
      <c r="B233" t="n">
        <v>500228</v>
      </c>
      <c r="C233" t="inlineStr">
        <is>
          <t>JSW Steel Ltd</t>
        </is>
      </c>
      <c r="D233" t="n">
        <v>2023</v>
      </c>
      <c r="E233" t="n">
        <v>1243.599975585938</v>
      </c>
      <c r="F233" t="n">
        <v>17.14</v>
      </c>
      <c r="G233" t="inlineStr">
        <is>
          <t>Consolidated first (v4) – needs verification for flagged rows</t>
        </is>
      </c>
      <c r="H233" t="n">
        <v>895.5999755859375</v>
      </c>
      <c r="I233" t="n">
        <v>649.75</v>
      </c>
      <c r="L233" t="inlineStr">
        <is>
          <t>OK</t>
        </is>
      </c>
      <c r="M233" t="n">
        <v>52.25</v>
      </c>
      <c r="N233" t="n">
        <v>37.91</v>
      </c>
      <c r="O233" t="n">
        <v>1275.9</v>
      </c>
      <c r="P233" t="n">
        <v>1328</v>
      </c>
      <c r="Q233" t="n">
        <v>1018</v>
      </c>
      <c r="R233" s="2" t="inlineStr">
        <is>
          <t>VERIFIED_OK</t>
        </is>
      </c>
      <c r="S233" t="n">
        <v>1275.9</v>
      </c>
      <c r="T233" t="inlineStr">
        <is>
          <t>30-07-2026 09:42 IST</t>
        </is>
      </c>
    </row>
    <row r="234">
      <c r="A234" t="n">
        <v>43</v>
      </c>
      <c r="B234" t="n">
        <v>500228</v>
      </c>
      <c r="C234" t="inlineStr">
        <is>
          <t>JSW Steel Ltd</t>
        </is>
      </c>
      <c r="D234" t="n">
        <v>2024</v>
      </c>
      <c r="E234" t="n">
        <v>1243.599975585938</v>
      </c>
      <c r="F234" t="n">
        <v>36.03</v>
      </c>
      <c r="G234" t="inlineStr">
        <is>
          <t>Consolidated first (v4) – needs verification for flagged rows</t>
        </is>
      </c>
      <c r="H234" t="n">
        <v>1063.349975585938</v>
      </c>
      <c r="I234" t="n">
        <v>762</v>
      </c>
      <c r="L234" t="inlineStr">
        <is>
          <t>OK</t>
        </is>
      </c>
      <c r="M234" t="n">
        <v>29.51</v>
      </c>
      <c r="N234" t="n">
        <v>21.15</v>
      </c>
      <c r="O234" t="n">
        <v>1275.9</v>
      </c>
      <c r="P234" t="n">
        <v>1328</v>
      </c>
      <c r="Q234" t="n">
        <v>1018</v>
      </c>
      <c r="R234" s="2" t="inlineStr">
        <is>
          <t>VERIFIED_OK</t>
        </is>
      </c>
      <c r="S234" t="n">
        <v>1275.9</v>
      </c>
      <c r="T234" t="inlineStr">
        <is>
          <t>30-07-2026 09:42 IST</t>
        </is>
      </c>
    </row>
    <row r="235">
      <c r="A235" t="n">
        <v>43</v>
      </c>
      <c r="B235" t="n">
        <v>500228</v>
      </c>
      <c r="C235" t="inlineStr">
        <is>
          <t>JSW Steel Ltd</t>
        </is>
      </c>
      <c r="D235" t="n">
        <v>2025</v>
      </c>
      <c r="E235" t="n">
        <v>1243.599975585938</v>
      </c>
      <c r="F235" t="n">
        <v>14.33</v>
      </c>
      <c r="G235" t="inlineStr">
        <is>
          <t>Consolidated first (v4) – needs verification for flagged rows</t>
        </is>
      </c>
      <c r="H235" t="n">
        <v>1223.75</v>
      </c>
      <c r="I235" t="n">
        <v>879.5999755859375</v>
      </c>
      <c r="L235" t="inlineStr">
        <is>
          <t>OK</t>
        </is>
      </c>
      <c r="M235" t="n">
        <v>85.40000000000001</v>
      </c>
      <c r="N235" t="n">
        <v>61.38</v>
      </c>
      <c r="O235" t="n">
        <v>1275.9</v>
      </c>
      <c r="P235" t="n">
        <v>1328</v>
      </c>
      <c r="Q235" t="n">
        <v>1018</v>
      </c>
      <c r="R235" s="2" t="inlineStr">
        <is>
          <t>VERIFIED_OK</t>
        </is>
      </c>
      <c r="S235" t="n">
        <v>1275.9</v>
      </c>
      <c r="T235" t="inlineStr">
        <is>
          <t>30-07-2026 09:42 IST</t>
        </is>
      </c>
    </row>
    <row r="236">
      <c r="A236" t="n">
        <v>43</v>
      </c>
      <c r="B236" t="n">
        <v>500228</v>
      </c>
      <c r="C236" t="inlineStr">
        <is>
          <t>JSW Steel Ltd</t>
        </is>
      </c>
      <c r="D236" t="n">
        <v>2026</v>
      </c>
      <c r="E236" t="n">
        <v>1243.599975585938</v>
      </c>
      <c r="F236" t="n">
        <v>91.26000000000001</v>
      </c>
      <c r="G236" t="inlineStr">
        <is>
          <t>Consolidated first (v4) – needs verification for flagged rows</t>
        </is>
      </c>
      <c r="H236" t="n">
        <v>1327.349975585938</v>
      </c>
      <c r="I236" t="n">
        <v>1104.199951171875</v>
      </c>
      <c r="L236" t="inlineStr">
        <is>
          <t>OK</t>
        </is>
      </c>
      <c r="M236" t="n">
        <v>14.54</v>
      </c>
      <c r="N236" t="n">
        <v>12.1</v>
      </c>
      <c r="O236" t="n">
        <v>1275.9</v>
      </c>
      <c r="P236" t="n">
        <v>1328</v>
      </c>
      <c r="Q236" t="n">
        <v>1018</v>
      </c>
      <c r="R236" s="2" t="inlineStr">
        <is>
          <t>VERIFIED_OK</t>
        </is>
      </c>
      <c r="S236" t="n">
        <v>1275.9</v>
      </c>
      <c r="T236" t="inlineStr">
        <is>
          <t>30-07-2026 09:42 IST</t>
        </is>
      </c>
    </row>
    <row r="237">
      <c r="A237" t="n">
        <v>44</v>
      </c>
      <c r="B237" t="n">
        <v>500233</v>
      </c>
      <c r="C237" t="inlineStr">
        <is>
          <t>Kajaria Ceramics Ltd</t>
        </is>
      </c>
      <c r="D237" t="n">
        <v>2015</v>
      </c>
      <c r="E237" t="n">
        <v>1240</v>
      </c>
      <c r="F237" t="n">
        <v>11.05</v>
      </c>
      <c r="G237" t="inlineStr">
        <is>
          <t>Consolidated first (v4) – needs verification for flagged rows</t>
        </is>
      </c>
      <c r="H237" t="n">
        <v>498.8999938964844</v>
      </c>
      <c r="I237" t="n">
        <v>295.5</v>
      </c>
      <c r="L237" t="inlineStr">
        <is>
          <t>OK</t>
        </is>
      </c>
      <c r="M237" t="n">
        <v>45.15</v>
      </c>
      <c r="N237" t="n">
        <v>26.74</v>
      </c>
      <c r="O237" t="n">
        <v>1213.05</v>
      </c>
      <c r="P237" t="n">
        <v>1322</v>
      </c>
      <c r="Q237" t="n">
        <v>745</v>
      </c>
      <c r="R237" s="2" t="inlineStr">
        <is>
          <t>VERIFIED_OK</t>
        </is>
      </c>
      <c r="S237" t="n">
        <v>1213.05</v>
      </c>
      <c r="T237" t="inlineStr">
        <is>
          <t>30-07-2026 09:42 IST</t>
        </is>
      </c>
    </row>
    <row r="238">
      <c r="A238" t="n">
        <v>44</v>
      </c>
      <c r="B238" t="n">
        <v>500233</v>
      </c>
      <c r="C238" t="inlineStr">
        <is>
          <t>Kajaria Ceramics Ltd</t>
        </is>
      </c>
      <c r="D238" t="n">
        <v>2016</v>
      </c>
      <c r="E238" t="n">
        <v>1240</v>
      </c>
      <c r="F238" t="n">
        <v>14.56</v>
      </c>
      <c r="G238" t="inlineStr">
        <is>
          <t>Consolidated first (v4) – needs verification for flagged rows</t>
        </is>
      </c>
      <c r="H238" t="n">
        <v>740</v>
      </c>
      <c r="I238" t="n">
        <v>423.3500061035156</v>
      </c>
      <c r="L238" t="inlineStr">
        <is>
          <t>OK</t>
        </is>
      </c>
      <c r="M238" t="n">
        <v>50.82</v>
      </c>
      <c r="N238" t="n">
        <v>29.08</v>
      </c>
      <c r="O238" t="n">
        <v>1213.05</v>
      </c>
      <c r="P238" t="n">
        <v>1322</v>
      </c>
      <c r="Q238" t="n">
        <v>745</v>
      </c>
      <c r="R238" s="2" t="inlineStr">
        <is>
          <t>VERIFIED_OK</t>
        </is>
      </c>
      <c r="S238" t="n">
        <v>1213.05</v>
      </c>
      <c r="T238" t="inlineStr">
        <is>
          <t>30-07-2026 09:42 IST</t>
        </is>
      </c>
    </row>
    <row r="239">
      <c r="A239" t="n">
        <v>44</v>
      </c>
      <c r="B239" t="n">
        <v>500233</v>
      </c>
      <c r="C239" t="inlineStr">
        <is>
          <t>Kajaria Ceramics Ltd</t>
        </is>
      </c>
      <c r="D239" t="n">
        <v>2017</v>
      </c>
      <c r="E239" t="n">
        <v>1240</v>
      </c>
      <c r="F239" t="n">
        <v>15.91</v>
      </c>
      <c r="G239" t="inlineStr">
        <is>
          <t>Consolidated first (v4) – needs verification for flagged rows</t>
        </is>
      </c>
      <c r="H239" t="n">
        <v>787.5499877929688</v>
      </c>
      <c r="I239" t="n">
        <v>480</v>
      </c>
      <c r="L239" t="inlineStr">
        <is>
          <t>OK</t>
        </is>
      </c>
      <c r="M239" t="n">
        <v>49.5</v>
      </c>
      <c r="N239" t="n">
        <v>30.17</v>
      </c>
      <c r="O239" t="n">
        <v>1213.05</v>
      </c>
      <c r="P239" t="n">
        <v>1322</v>
      </c>
      <c r="Q239" t="n">
        <v>745</v>
      </c>
      <c r="R239" s="2" t="inlineStr">
        <is>
          <t>VERIFIED_OK</t>
        </is>
      </c>
      <c r="S239" t="n">
        <v>1213.05</v>
      </c>
      <c r="T239" t="inlineStr">
        <is>
          <t>30-07-2026 09:42 IST</t>
        </is>
      </c>
    </row>
    <row r="240">
      <c r="A240" t="n">
        <v>44</v>
      </c>
      <c r="B240" t="n">
        <v>500233</v>
      </c>
      <c r="C240" t="inlineStr">
        <is>
          <t>Kajaria Ceramics Ltd</t>
        </is>
      </c>
      <c r="D240" t="n">
        <v>2018</v>
      </c>
      <c r="E240" t="n">
        <v>1240</v>
      </c>
      <c r="F240" t="n">
        <v>14.78</v>
      </c>
      <c r="G240" t="inlineStr">
        <is>
          <t>Consolidated first (v4) – needs verification for flagged rows</t>
        </is>
      </c>
      <c r="H240" t="n">
        <v>763.9000244140625</v>
      </c>
      <c r="I240" t="n">
        <v>316.2000122070312</v>
      </c>
      <c r="L240" t="inlineStr">
        <is>
          <t>OK</t>
        </is>
      </c>
      <c r="M240" t="n">
        <v>51.68</v>
      </c>
      <c r="N240" t="n">
        <v>21.39</v>
      </c>
      <c r="O240" t="n">
        <v>1213.05</v>
      </c>
      <c r="P240" t="n">
        <v>1322</v>
      </c>
      <c r="Q240" t="n">
        <v>745</v>
      </c>
      <c r="R240" s="2" t="inlineStr">
        <is>
          <t>VERIFIED_OK</t>
        </is>
      </c>
      <c r="S240" t="n">
        <v>1213.05</v>
      </c>
      <c r="T240" t="inlineStr">
        <is>
          <t>30-07-2026 09:42 IST</t>
        </is>
      </c>
    </row>
    <row r="241">
      <c r="A241" t="n">
        <v>44</v>
      </c>
      <c r="B241" t="n">
        <v>500233</v>
      </c>
      <c r="C241" t="inlineStr">
        <is>
          <t>Kajaria Ceramics Ltd</t>
        </is>
      </c>
      <c r="D241" t="n">
        <v>2019</v>
      </c>
      <c r="E241" t="n">
        <v>1240</v>
      </c>
      <c r="F241" t="n">
        <v>14.25</v>
      </c>
      <c r="G241" t="inlineStr">
        <is>
          <t>Consolidated first (v4) – needs verification for flagged rows</t>
        </is>
      </c>
      <c r="H241" t="n">
        <v>648.8499755859375</v>
      </c>
      <c r="I241" t="n">
        <v>442.75</v>
      </c>
      <c r="L241" t="inlineStr">
        <is>
          <t>OK</t>
        </is>
      </c>
      <c r="M241" t="n">
        <v>45.53</v>
      </c>
      <c r="N241" t="n">
        <v>31.07</v>
      </c>
      <c r="O241" t="n">
        <v>1213.05</v>
      </c>
      <c r="P241" t="n">
        <v>1322</v>
      </c>
      <c r="Q241" t="n">
        <v>745</v>
      </c>
      <c r="R241" s="2" t="inlineStr">
        <is>
          <t>VERIFIED_OK</t>
        </is>
      </c>
      <c r="S241" t="n">
        <v>1213.05</v>
      </c>
      <c r="T241" t="inlineStr">
        <is>
          <t>30-07-2026 09:42 IST</t>
        </is>
      </c>
    </row>
    <row r="242">
      <c r="A242" t="n">
        <v>44</v>
      </c>
      <c r="B242" t="n">
        <v>500233</v>
      </c>
      <c r="C242" t="inlineStr">
        <is>
          <t>Kajaria Ceramics Ltd</t>
        </is>
      </c>
      <c r="D242" t="n">
        <v>2020</v>
      </c>
      <c r="E242" t="n">
        <v>1240</v>
      </c>
      <c r="F242" t="n">
        <v>16.06</v>
      </c>
      <c r="G242" t="inlineStr">
        <is>
          <t>Consolidated first (v4) – needs verification for flagged rows</t>
        </is>
      </c>
      <c r="H242" t="n">
        <v>713.5499877929688</v>
      </c>
      <c r="I242" t="n">
        <v>295.3999938964844</v>
      </c>
      <c r="L242" t="inlineStr">
        <is>
          <t>OK</t>
        </is>
      </c>
      <c r="M242" t="n">
        <v>44.43</v>
      </c>
      <c r="N242" t="n">
        <v>18.39</v>
      </c>
      <c r="O242" t="n">
        <v>1213.05</v>
      </c>
      <c r="P242" t="n">
        <v>1322</v>
      </c>
      <c r="Q242" t="n">
        <v>745</v>
      </c>
      <c r="R242" s="2" t="inlineStr">
        <is>
          <t>VERIFIED_OK</t>
        </is>
      </c>
      <c r="S242" t="n">
        <v>1213.05</v>
      </c>
      <c r="T242" t="inlineStr">
        <is>
          <t>30-07-2026 09:42 IST</t>
        </is>
      </c>
    </row>
    <row r="243">
      <c r="A243" t="n">
        <v>44</v>
      </c>
      <c r="B243" t="n">
        <v>500233</v>
      </c>
      <c r="C243" t="inlineStr">
        <is>
          <t>Kajaria Ceramics Ltd</t>
        </is>
      </c>
      <c r="D243" t="n">
        <v>2021</v>
      </c>
      <c r="E243" t="n">
        <v>1240</v>
      </c>
      <c r="F243" t="n">
        <v>19.36</v>
      </c>
      <c r="G243" t="inlineStr">
        <is>
          <t>Consolidated first (v4) – needs verification for flagged rows</t>
        </is>
      </c>
      <c r="H243" t="n">
        <v>1358</v>
      </c>
      <c r="I243" t="n">
        <v>691.9500122070312</v>
      </c>
      <c r="L243" t="inlineStr">
        <is>
          <t>OK</t>
        </is>
      </c>
      <c r="M243" t="n">
        <v>70.14</v>
      </c>
      <c r="N243" t="n">
        <v>35.74</v>
      </c>
      <c r="O243" t="n">
        <v>1213.05</v>
      </c>
      <c r="P243" t="n">
        <v>1322</v>
      </c>
      <c r="Q243" t="n">
        <v>745</v>
      </c>
      <c r="R243" s="2" t="inlineStr">
        <is>
          <t>VERIFIED_OK</t>
        </is>
      </c>
      <c r="S243" t="n">
        <v>1213.05</v>
      </c>
      <c r="T243" t="inlineStr">
        <is>
          <t>30-07-2026 09:42 IST</t>
        </is>
      </c>
    </row>
    <row r="244">
      <c r="A244" t="n">
        <v>44</v>
      </c>
      <c r="B244" t="n">
        <v>500233</v>
      </c>
      <c r="C244" t="inlineStr">
        <is>
          <t>Kajaria Ceramics Ltd</t>
        </is>
      </c>
      <c r="D244" t="n">
        <v>2022</v>
      </c>
      <c r="E244" t="n">
        <v>1240</v>
      </c>
      <c r="F244" t="n">
        <v>23.68</v>
      </c>
      <c r="G244" t="inlineStr">
        <is>
          <t>Consolidated first (v4) – needs verification for flagged rows</t>
        </is>
      </c>
      <c r="H244" t="n">
        <v>1379</v>
      </c>
      <c r="I244" t="n">
        <v>886.0499877929688</v>
      </c>
      <c r="L244" t="inlineStr">
        <is>
          <t>OK</t>
        </is>
      </c>
      <c r="M244" t="n">
        <v>58.23</v>
      </c>
      <c r="N244" t="n">
        <v>37.42</v>
      </c>
      <c r="O244" t="n">
        <v>1213.05</v>
      </c>
      <c r="P244" t="n">
        <v>1322</v>
      </c>
      <c r="Q244" t="n">
        <v>745</v>
      </c>
      <c r="R244" s="2" t="inlineStr">
        <is>
          <t>VERIFIED_OK</t>
        </is>
      </c>
      <c r="S244" t="n">
        <v>1213.05</v>
      </c>
      <c r="T244" t="inlineStr">
        <is>
          <t>30-07-2026 09:42 IST</t>
        </is>
      </c>
    </row>
    <row r="245">
      <c r="A245" t="n">
        <v>44</v>
      </c>
      <c r="B245" t="n">
        <v>500233</v>
      </c>
      <c r="C245" t="inlineStr">
        <is>
          <t>Kajaria Ceramics Ltd</t>
        </is>
      </c>
      <c r="D245" t="n">
        <v>2023</v>
      </c>
      <c r="E245" t="n">
        <v>1240</v>
      </c>
      <c r="F245" t="n">
        <v>21.64</v>
      </c>
      <c r="G245" t="inlineStr">
        <is>
          <t>Consolidated first (v4) – needs verification for flagged rows</t>
        </is>
      </c>
      <c r="H245" t="n">
        <v>1522</v>
      </c>
      <c r="I245" t="n">
        <v>1006.400024414062</v>
      </c>
      <c r="L245" t="inlineStr">
        <is>
          <t>OK</t>
        </is>
      </c>
      <c r="M245" t="n">
        <v>70.33</v>
      </c>
      <c r="N245" t="n">
        <v>46.51</v>
      </c>
      <c r="O245" t="n">
        <v>1213.05</v>
      </c>
      <c r="P245" t="n">
        <v>1322</v>
      </c>
      <c r="Q245" t="n">
        <v>745</v>
      </c>
      <c r="R245" s="2" t="inlineStr">
        <is>
          <t>VERIFIED_OK</t>
        </is>
      </c>
      <c r="S245" t="n">
        <v>1213.05</v>
      </c>
      <c r="T245" t="inlineStr">
        <is>
          <t>30-07-2026 09:42 IST</t>
        </is>
      </c>
    </row>
    <row r="246">
      <c r="A246" t="n">
        <v>44</v>
      </c>
      <c r="B246" t="n">
        <v>500233</v>
      </c>
      <c r="C246" t="inlineStr">
        <is>
          <t>Kajaria Ceramics Ltd</t>
        </is>
      </c>
      <c r="D246" t="n">
        <v>2024</v>
      </c>
      <c r="E246" t="n">
        <v>1240</v>
      </c>
      <c r="F246" t="n">
        <v>26.5</v>
      </c>
      <c r="G246" t="inlineStr">
        <is>
          <t>Consolidated first (v4) – needs verification for flagged rows</t>
        </is>
      </c>
      <c r="H246" t="n">
        <v>1578.25</v>
      </c>
      <c r="I246" t="n">
        <v>1102.949951171875</v>
      </c>
      <c r="L246" t="inlineStr">
        <is>
          <t>OK</t>
        </is>
      </c>
      <c r="M246" t="n">
        <v>59.56</v>
      </c>
      <c r="N246" t="n">
        <v>41.62</v>
      </c>
      <c r="O246" t="n">
        <v>1213.05</v>
      </c>
      <c r="P246" t="n">
        <v>1322</v>
      </c>
      <c r="Q246" t="n">
        <v>745</v>
      </c>
      <c r="R246" s="2" t="inlineStr">
        <is>
          <t>VERIFIED_OK</t>
        </is>
      </c>
      <c r="S246" t="n">
        <v>1213.05</v>
      </c>
      <c r="T246" t="inlineStr">
        <is>
          <t>30-07-2026 09:42 IST</t>
        </is>
      </c>
    </row>
    <row r="247">
      <c r="A247" t="n">
        <v>44</v>
      </c>
      <c r="B247" t="n">
        <v>500233</v>
      </c>
      <c r="C247" t="inlineStr">
        <is>
          <t>Kajaria Ceramics Ltd</t>
        </is>
      </c>
      <c r="D247" t="n">
        <v>2025</v>
      </c>
      <c r="E247" t="n">
        <v>1240</v>
      </c>
      <c r="F247" t="n">
        <v>18.48</v>
      </c>
      <c r="G247" t="inlineStr">
        <is>
          <t>Consolidated first (v4) – needs verification for flagged rows</t>
        </is>
      </c>
      <c r="H247" t="n">
        <v>1322</v>
      </c>
      <c r="I247" t="n">
        <v>745</v>
      </c>
      <c r="L247" t="inlineStr">
        <is>
          <t>OK</t>
        </is>
      </c>
      <c r="M247" t="n">
        <v>71.54000000000001</v>
      </c>
      <c r="N247" t="n">
        <v>40.31</v>
      </c>
      <c r="O247" t="n">
        <v>1213.05</v>
      </c>
      <c r="P247" t="n">
        <v>1322</v>
      </c>
      <c r="Q247" t="n">
        <v>745</v>
      </c>
      <c r="R247" s="2" t="inlineStr">
        <is>
          <t>VERIFIED_OK</t>
        </is>
      </c>
      <c r="S247" t="n">
        <v>1213.05</v>
      </c>
      <c r="T247" t="inlineStr">
        <is>
          <t>30-07-2026 09:42 IST</t>
        </is>
      </c>
    </row>
    <row r="248">
      <c r="A248" t="n">
        <v>44</v>
      </c>
      <c r="B248" t="n">
        <v>500233</v>
      </c>
      <c r="C248" t="inlineStr">
        <is>
          <t>Kajaria Ceramics Ltd</t>
        </is>
      </c>
      <c r="D248" t="n">
        <v>2026</v>
      </c>
      <c r="E248" t="n">
        <v>1240</v>
      </c>
      <c r="F248" t="n">
        <v>30.48</v>
      </c>
      <c r="G248" t="inlineStr">
        <is>
          <t>Consolidated first (v4) – needs verification for flagged rows</t>
        </is>
      </c>
      <c r="H248" t="n">
        <v>1270</v>
      </c>
      <c r="I248" t="n">
        <v>870</v>
      </c>
      <c r="L248" t="inlineStr">
        <is>
          <t>OK</t>
        </is>
      </c>
      <c r="M248" t="n">
        <v>41.67</v>
      </c>
      <c r="N248" t="n">
        <v>28.54</v>
      </c>
      <c r="O248" t="n">
        <v>1213.05</v>
      </c>
      <c r="P248" t="n">
        <v>1322</v>
      </c>
      <c r="Q248" t="n">
        <v>745</v>
      </c>
      <c r="R248" s="2" t="inlineStr">
        <is>
          <t>VERIFIED_OK</t>
        </is>
      </c>
      <c r="S248" t="n">
        <v>1213.05</v>
      </c>
      <c r="T248" t="inlineStr">
        <is>
          <t>30-07-2026 09:42 IST</t>
        </is>
      </c>
    </row>
    <row r="249">
      <c r="A249" t="n">
        <v>48</v>
      </c>
      <c r="B249" t="n">
        <v>500257</v>
      </c>
      <c r="C249" t="inlineStr">
        <is>
          <t>Lupin Ltd</t>
        </is>
      </c>
      <c r="D249" t="n">
        <v>2015</v>
      </c>
      <c r="E249" t="n">
        <v>2442.10009765625</v>
      </c>
      <c r="F249" t="n">
        <v>53.47</v>
      </c>
      <c r="G249" t="inlineStr">
        <is>
          <t>Consolidated first (v4) – needs verification for flagged rows</t>
        </is>
      </c>
      <c r="H249" t="n">
        <v>2127</v>
      </c>
      <c r="I249" t="n">
        <v>1364.599975585938</v>
      </c>
      <c r="L249" t="inlineStr">
        <is>
          <t>OK</t>
        </is>
      </c>
      <c r="M249" t="n">
        <v>39.78</v>
      </c>
      <c r="N249" t="n">
        <v>25.52</v>
      </c>
      <c r="O249" t="n">
        <v>2462</v>
      </c>
      <c r="P249" t="n">
        <v>2529.5</v>
      </c>
      <c r="Q249" t="n">
        <v>1836.8</v>
      </c>
      <c r="R249" s="2" t="inlineStr">
        <is>
          <t>VERIFIED_OK</t>
        </is>
      </c>
      <c r="S249" t="n">
        <v>2462</v>
      </c>
      <c r="T249" t="inlineStr">
        <is>
          <t>30-07-2026 09:42 IST</t>
        </is>
      </c>
    </row>
    <row r="250">
      <c r="A250" t="n">
        <v>48</v>
      </c>
      <c r="B250" t="n">
        <v>500257</v>
      </c>
      <c r="C250" t="inlineStr">
        <is>
          <t>Lupin Ltd</t>
        </is>
      </c>
      <c r="D250" t="n">
        <v>2016</v>
      </c>
      <c r="E250" t="n">
        <v>2442.10009765625</v>
      </c>
      <c r="F250" t="n">
        <v>50.17</v>
      </c>
      <c r="G250" t="inlineStr">
        <is>
          <t>Consolidated first (v4) – needs verification for flagged rows</t>
        </is>
      </c>
      <c r="H250" t="n">
        <v>1911.550048828125</v>
      </c>
      <c r="I250" t="n">
        <v>1294.050048828125</v>
      </c>
      <c r="L250" t="inlineStr">
        <is>
          <t>OK</t>
        </is>
      </c>
      <c r="M250" t="n">
        <v>38.1</v>
      </c>
      <c r="N250" t="n">
        <v>25.79</v>
      </c>
      <c r="O250" t="n">
        <v>2462</v>
      </c>
      <c r="P250" t="n">
        <v>2529.5</v>
      </c>
      <c r="Q250" t="n">
        <v>1836.8</v>
      </c>
      <c r="R250" s="2" t="inlineStr">
        <is>
          <t>VERIFIED_OK</t>
        </is>
      </c>
      <c r="S250" t="n">
        <v>2462</v>
      </c>
      <c r="T250" t="inlineStr">
        <is>
          <t>30-07-2026 09:42 IST</t>
        </is>
      </c>
    </row>
    <row r="251">
      <c r="A251" t="n">
        <v>48</v>
      </c>
      <c r="B251" t="n">
        <v>500257</v>
      </c>
      <c r="C251" t="inlineStr">
        <is>
          <t>Lupin Ltd</t>
        </is>
      </c>
      <c r="D251" t="n">
        <v>2017</v>
      </c>
      <c r="E251" t="n">
        <v>2442.10009765625</v>
      </c>
      <c r="F251" t="n">
        <v>56.63</v>
      </c>
      <c r="G251" t="inlineStr">
        <is>
          <t>Consolidated first (v4) – needs verification for flagged rows</t>
        </is>
      </c>
      <c r="H251" t="n">
        <v>1572.25</v>
      </c>
      <c r="I251" t="n">
        <v>805</v>
      </c>
      <c r="L251" t="inlineStr">
        <is>
          <t>OK</t>
        </is>
      </c>
      <c r="M251" t="n">
        <v>27.76</v>
      </c>
      <c r="N251" t="n">
        <v>14.22</v>
      </c>
      <c r="O251" t="n">
        <v>2462</v>
      </c>
      <c r="P251" t="n">
        <v>2529.5</v>
      </c>
      <c r="Q251" t="n">
        <v>1836.8</v>
      </c>
      <c r="R251" s="2" t="inlineStr">
        <is>
          <t>VERIFIED_OK</t>
        </is>
      </c>
      <c r="S251" t="n">
        <v>2462</v>
      </c>
      <c r="T251" t="inlineStr">
        <is>
          <t>30-07-2026 09:42 IST</t>
        </is>
      </c>
    </row>
    <row r="252">
      <c r="A252" t="n">
        <v>48</v>
      </c>
      <c r="B252" t="n">
        <v>500257</v>
      </c>
      <c r="C252" t="inlineStr">
        <is>
          <t>Lupin Ltd</t>
        </is>
      </c>
      <c r="D252" t="n">
        <v>2018</v>
      </c>
      <c r="E252" t="n">
        <v>2442.10009765625</v>
      </c>
      <c r="F252" t="n">
        <v>5.56</v>
      </c>
      <c r="G252" t="inlineStr">
        <is>
          <t>Consolidated first (v4) – needs verification for flagged rows</t>
        </is>
      </c>
      <c r="H252" t="n">
        <v>986</v>
      </c>
      <c r="I252" t="n">
        <v>723.5499877929688</v>
      </c>
      <c r="L252" t="inlineStr">
        <is>
          <t>OK</t>
        </is>
      </c>
      <c r="M252" t="n">
        <v>177.34</v>
      </c>
      <c r="N252" t="n">
        <v>130.13</v>
      </c>
      <c r="O252" t="n">
        <v>2462</v>
      </c>
      <c r="P252" t="n">
        <v>2529.5</v>
      </c>
      <c r="Q252" t="n">
        <v>1836.8</v>
      </c>
      <c r="R252" s="2" t="inlineStr">
        <is>
          <t>VERIFIED_OK</t>
        </is>
      </c>
      <c r="S252" t="n">
        <v>2462</v>
      </c>
      <c r="T252" t="inlineStr">
        <is>
          <t>30-07-2026 09:42 IST</t>
        </is>
      </c>
    </row>
    <row r="253">
      <c r="A253" t="n">
        <v>48</v>
      </c>
      <c r="B253" t="n">
        <v>500257</v>
      </c>
      <c r="C253" t="inlineStr">
        <is>
          <t>Lupin Ltd</t>
        </is>
      </c>
      <c r="D253" t="n">
        <v>2019</v>
      </c>
      <c r="E253" t="n">
        <v>2442.10009765625</v>
      </c>
      <c r="F253" t="n">
        <v>13.4</v>
      </c>
      <c r="G253" t="inlineStr">
        <is>
          <t>Consolidated first (v4) – needs verification for flagged rows</t>
        </is>
      </c>
      <c r="H253" t="n">
        <v>887.7000122070312</v>
      </c>
      <c r="I253" t="n">
        <v>646.2000122070312</v>
      </c>
      <c r="L253" t="inlineStr">
        <is>
          <t>OK</t>
        </is>
      </c>
      <c r="M253" t="n">
        <v>66.25</v>
      </c>
      <c r="N253" t="n">
        <v>48.22</v>
      </c>
      <c r="O253" t="n">
        <v>2462</v>
      </c>
      <c r="P253" t="n">
        <v>2529.5</v>
      </c>
      <c r="Q253" t="n">
        <v>1836.8</v>
      </c>
      <c r="R253" s="2" t="inlineStr">
        <is>
          <t>VERIFIED_OK</t>
        </is>
      </c>
      <c r="S253" t="n">
        <v>2462</v>
      </c>
      <c r="T253" t="inlineStr">
        <is>
          <t>30-07-2026 09:42 IST</t>
        </is>
      </c>
    </row>
    <row r="254">
      <c r="A254" t="n">
        <v>48</v>
      </c>
      <c r="B254" t="n">
        <v>500257</v>
      </c>
      <c r="C254" t="inlineStr">
        <is>
          <t>Lupin Ltd</t>
        </is>
      </c>
      <c r="D254" t="n">
        <v>2020</v>
      </c>
      <c r="E254" t="n">
        <v>2442.10009765625</v>
      </c>
      <c r="F254" t="n">
        <v>-5.95</v>
      </c>
      <c r="G254" t="inlineStr">
        <is>
          <t>Consolidated first (v4) – needs verification for flagged rows</t>
        </is>
      </c>
      <c r="H254" t="n">
        <v>1121.849975585938</v>
      </c>
      <c r="I254" t="n">
        <v>505</v>
      </c>
      <c r="L254" t="inlineStr">
        <is>
          <t>UNVERIFIED – negative EPS</t>
        </is>
      </c>
      <c r="M254" t="n">
        <v>-188.55</v>
      </c>
      <c r="N254" t="n">
        <v>-84.87</v>
      </c>
      <c r="O254" t="n">
        <v>2462</v>
      </c>
      <c r="P254" t="n">
        <v>2529.5</v>
      </c>
      <c r="Q254" t="n">
        <v>1836.8</v>
      </c>
      <c r="R254" s="2" t="inlineStr">
        <is>
          <t>VERIFIED_OK</t>
        </is>
      </c>
      <c r="S254" t="n">
        <v>2462</v>
      </c>
      <c r="T254" t="inlineStr">
        <is>
          <t>30-07-2026 09:42 IST</t>
        </is>
      </c>
    </row>
    <row r="255">
      <c r="A255" t="n">
        <v>48</v>
      </c>
      <c r="B255" t="n">
        <v>500257</v>
      </c>
      <c r="C255" t="inlineStr">
        <is>
          <t>Lupin Ltd</t>
        </is>
      </c>
      <c r="D255" t="n">
        <v>2021</v>
      </c>
      <c r="E255" t="n">
        <v>2442.10009765625</v>
      </c>
      <c r="F255" t="n">
        <v>26.81</v>
      </c>
      <c r="G255" t="inlineStr">
        <is>
          <t>Consolidated first (v4) – needs verification for flagged rows</t>
        </is>
      </c>
      <c r="H255" t="n">
        <v>1267.5</v>
      </c>
      <c r="I255" t="n">
        <v>854</v>
      </c>
      <c r="L255" t="inlineStr">
        <is>
          <t>OK</t>
        </is>
      </c>
      <c r="M255" t="n">
        <v>47.28</v>
      </c>
      <c r="N255" t="n">
        <v>31.85</v>
      </c>
      <c r="O255" t="n">
        <v>2462</v>
      </c>
      <c r="P255" t="n">
        <v>2529.5</v>
      </c>
      <c r="Q255" t="n">
        <v>1836.8</v>
      </c>
      <c r="R255" s="2" t="inlineStr">
        <is>
          <t>VERIFIED_OK</t>
        </is>
      </c>
      <c r="S255" t="n">
        <v>2462</v>
      </c>
      <c r="T255" t="inlineStr">
        <is>
          <t>30-07-2026 09:42 IST</t>
        </is>
      </c>
    </row>
    <row r="256">
      <c r="A256" t="n">
        <v>48</v>
      </c>
      <c r="B256" t="n">
        <v>500257</v>
      </c>
      <c r="C256" t="inlineStr">
        <is>
          <t>Lupin Ltd</t>
        </is>
      </c>
      <c r="D256" t="n">
        <v>2022</v>
      </c>
      <c r="E256" t="n">
        <v>2442.10009765625</v>
      </c>
      <c r="F256" t="n">
        <v>-33.62</v>
      </c>
      <c r="G256" t="inlineStr">
        <is>
          <t>Consolidated first (v4) – needs verification for flagged rows</t>
        </is>
      </c>
      <c r="H256" t="n">
        <v>971.2999877929688</v>
      </c>
      <c r="I256" t="n">
        <v>583.0499877929688</v>
      </c>
      <c r="L256" t="inlineStr">
        <is>
          <t>UNVERIFIED – negative EPS</t>
        </is>
      </c>
      <c r="M256" t="n">
        <v>-28.89</v>
      </c>
      <c r="N256" t="n">
        <v>-17.34</v>
      </c>
      <c r="O256" t="n">
        <v>2462</v>
      </c>
      <c r="P256" t="n">
        <v>2529.5</v>
      </c>
      <c r="Q256" t="n">
        <v>1836.8</v>
      </c>
      <c r="R256" s="2" t="inlineStr">
        <is>
          <t>VERIFIED_OK</t>
        </is>
      </c>
      <c r="S256" t="n">
        <v>2462</v>
      </c>
      <c r="T256" t="inlineStr">
        <is>
          <t>30-07-2026 09:42 IST</t>
        </is>
      </c>
    </row>
    <row r="257">
      <c r="A257" t="n">
        <v>48</v>
      </c>
      <c r="B257" t="n">
        <v>500257</v>
      </c>
      <c r="C257" t="inlineStr">
        <is>
          <t>Lupin Ltd</t>
        </is>
      </c>
      <c r="D257" t="n">
        <v>2023</v>
      </c>
      <c r="E257" t="n">
        <v>2442.10009765625</v>
      </c>
      <c r="F257" t="n">
        <v>9.449999999999999</v>
      </c>
      <c r="G257" t="inlineStr">
        <is>
          <t>Consolidated first (v4) – needs verification for flagged rows</t>
        </is>
      </c>
      <c r="H257" t="n">
        <v>1343.550048828125</v>
      </c>
      <c r="I257" t="n">
        <v>628.0999755859375</v>
      </c>
      <c r="L257" t="inlineStr">
        <is>
          <t>OK</t>
        </is>
      </c>
      <c r="M257" t="n">
        <v>142.17</v>
      </c>
      <c r="N257" t="n">
        <v>66.47</v>
      </c>
      <c r="O257" t="n">
        <v>2462</v>
      </c>
      <c r="P257" t="n">
        <v>2529.5</v>
      </c>
      <c r="Q257" t="n">
        <v>1836.8</v>
      </c>
      <c r="R257" s="2" t="inlineStr">
        <is>
          <t>VERIFIED_OK</t>
        </is>
      </c>
      <c r="S257" t="n">
        <v>2462</v>
      </c>
      <c r="T257" t="inlineStr">
        <is>
          <t>30-07-2026 09:42 IST</t>
        </is>
      </c>
    </row>
    <row r="258">
      <c r="A258" t="n">
        <v>48</v>
      </c>
      <c r="B258" t="n">
        <v>500257</v>
      </c>
      <c r="C258" t="inlineStr">
        <is>
          <t>Lupin Ltd</t>
        </is>
      </c>
      <c r="D258" t="n">
        <v>2024</v>
      </c>
      <c r="E258" t="n">
        <v>2442.10009765625</v>
      </c>
      <c r="F258" t="n">
        <v>42.01</v>
      </c>
      <c r="G258" t="inlineStr">
        <is>
          <t>Consolidated first (v4) – needs verification for flagged rows</t>
        </is>
      </c>
      <c r="H258" t="n">
        <v>2372.550048828125</v>
      </c>
      <c r="I258" t="n">
        <v>1332.099975585938</v>
      </c>
      <c r="L258" t="inlineStr">
        <is>
          <t>OK</t>
        </is>
      </c>
      <c r="M258" t="n">
        <v>56.48</v>
      </c>
      <c r="N258" t="n">
        <v>31.71</v>
      </c>
      <c r="O258" t="n">
        <v>2462</v>
      </c>
      <c r="P258" t="n">
        <v>2529.5</v>
      </c>
      <c r="Q258" t="n">
        <v>1836.8</v>
      </c>
      <c r="R258" s="2" t="inlineStr">
        <is>
          <t>VERIFIED_OK</t>
        </is>
      </c>
      <c r="S258" t="n">
        <v>2462</v>
      </c>
      <c r="T258" t="inlineStr">
        <is>
          <t>30-07-2026 09:42 IST</t>
        </is>
      </c>
    </row>
    <row r="259">
      <c r="A259" t="n">
        <v>48</v>
      </c>
      <c r="B259" t="n">
        <v>500257</v>
      </c>
      <c r="C259" t="inlineStr">
        <is>
          <t>Lupin Ltd</t>
        </is>
      </c>
      <c r="D259" t="n">
        <v>2025</v>
      </c>
      <c r="E259" t="n">
        <v>2442.10009765625</v>
      </c>
      <c r="F259" t="n">
        <v>71.88</v>
      </c>
      <c r="G259" t="inlineStr">
        <is>
          <t>Consolidated first (v4) – needs verification for flagged rows</t>
        </is>
      </c>
      <c r="H259" t="n">
        <v>2403.449951171875</v>
      </c>
      <c r="I259" t="n">
        <v>1774</v>
      </c>
      <c r="L259" t="inlineStr">
        <is>
          <t>OK</t>
        </is>
      </c>
      <c r="M259" t="n">
        <v>33.44</v>
      </c>
      <c r="N259" t="n">
        <v>24.68</v>
      </c>
      <c r="O259" t="n">
        <v>2462</v>
      </c>
      <c r="P259" t="n">
        <v>2529.5</v>
      </c>
      <c r="Q259" t="n">
        <v>1836.8</v>
      </c>
      <c r="R259" s="2" t="inlineStr">
        <is>
          <t>VERIFIED_OK</t>
        </is>
      </c>
      <c r="S259" t="n">
        <v>2462</v>
      </c>
      <c r="T259" t="inlineStr">
        <is>
          <t>30-07-2026 09:42 IST</t>
        </is>
      </c>
    </row>
    <row r="260">
      <c r="A260" t="n">
        <v>48</v>
      </c>
      <c r="B260" t="n">
        <v>500257</v>
      </c>
      <c r="C260" t="inlineStr">
        <is>
          <t>Lupin Ltd</t>
        </is>
      </c>
      <c r="D260" t="n">
        <v>2026</v>
      </c>
      <c r="E260" t="n">
        <v>2442.10009765625</v>
      </c>
      <c r="F260" t="n">
        <v>116.65</v>
      </c>
      <c r="G260" t="inlineStr">
        <is>
          <t>Consolidated first (v4) – needs verification for flagged rows</t>
        </is>
      </c>
      <c r="H260" t="n">
        <v>2530</v>
      </c>
      <c r="I260" t="n">
        <v>2072.949951171875</v>
      </c>
      <c r="L260" t="inlineStr">
        <is>
          <t>OK</t>
        </is>
      </c>
      <c r="M260" t="n">
        <v>21.69</v>
      </c>
      <c r="N260" t="n">
        <v>17.77</v>
      </c>
      <c r="O260" t="n">
        <v>2462</v>
      </c>
      <c r="P260" t="n">
        <v>2529.5</v>
      </c>
      <c r="Q260" t="n">
        <v>1836.8</v>
      </c>
      <c r="R260" s="2" t="inlineStr">
        <is>
          <t>VERIFIED_OK</t>
        </is>
      </c>
      <c r="S260" t="n">
        <v>2462</v>
      </c>
      <c r="T260" t="inlineStr">
        <is>
          <t>30-07-2026 09:42 IST</t>
        </is>
      </c>
    </row>
    <row r="261">
      <c r="A261" t="n">
        <v>50</v>
      </c>
      <c r="B261" t="n">
        <v>500285</v>
      </c>
      <c r="C261" t="inlineStr">
        <is>
          <t>SpiceJet Ltd</t>
        </is>
      </c>
      <c r="D261" t="n">
        <v>2026</v>
      </c>
      <c r="E261" t="n">
        <v>11.78999996185303</v>
      </c>
      <c r="G261" t="inlineStr">
        <is>
          <t>Consolidated first (v4) – needs verification for flagged rows</t>
        </is>
      </c>
      <c r="H261" t="n">
        <v>12.55000019073486</v>
      </c>
      <c r="I261" t="n">
        <v>10.60000038146973</v>
      </c>
      <c r="L261" t="inlineStr">
        <is>
          <t>INCOMPLETE</t>
        </is>
      </c>
      <c r="O261" t="n">
        <v>56.72</v>
      </c>
      <c r="P261" t="n">
        <v>56.8</v>
      </c>
      <c r="Q261" t="n">
        <v>21.9</v>
      </c>
      <c r="R261" s="3" t="inlineStr">
        <is>
          <t>MISMATCH_NEEDS_CORRECTION</t>
        </is>
      </c>
      <c r="S261" t="n">
        <v>56.72</v>
      </c>
      <c r="T261" t="inlineStr">
        <is>
          <t>30-07-2026 09:42 IST</t>
        </is>
      </c>
    </row>
    <row r="262">
      <c r="A262" t="n">
        <v>54</v>
      </c>
      <c r="B262" t="n">
        <v>500325</v>
      </c>
      <c r="C262" t="inlineStr">
        <is>
          <t>Reliance Industries Ltd</t>
        </is>
      </c>
      <c r="D262" t="n">
        <v>2015</v>
      </c>
      <c r="E262" t="n">
        <v>1326.5</v>
      </c>
      <c r="F262" t="n">
        <v>17.07</v>
      </c>
      <c r="G262" t="inlineStr">
        <is>
          <t>Consolidated first (v4) – needs verification for flagged rows</t>
        </is>
      </c>
      <c r="H262" t="n">
        <v>243.8893127441406</v>
      </c>
      <c r="I262" t="n">
        <v>182.1169738769531</v>
      </c>
      <c r="L262" t="inlineStr">
        <is>
          <t>OK</t>
        </is>
      </c>
      <c r="M262" t="n">
        <v>14.29</v>
      </c>
      <c r="N262" t="n">
        <v>10.67</v>
      </c>
      <c r="O262" t="n">
        <v>1281.5</v>
      </c>
      <c r="P262" t="n">
        <v>1611.8</v>
      </c>
      <c r="Q262" t="n">
        <v>1249.8</v>
      </c>
      <c r="R262" s="2" t="inlineStr">
        <is>
          <t>VERIFIED_OK</t>
        </is>
      </c>
      <c r="S262" t="n">
        <v>1281.5</v>
      </c>
      <c r="T262" t="inlineStr">
        <is>
          <t>30-07-2026 09:42 IST</t>
        </is>
      </c>
    </row>
    <row r="263">
      <c r="A263" t="n">
        <v>54</v>
      </c>
      <c r="B263" t="n">
        <v>500325</v>
      </c>
      <c r="C263" t="inlineStr">
        <is>
          <t>Reliance Industries Ltd</t>
        </is>
      </c>
      <c r="D263" t="n">
        <v>2016</v>
      </c>
      <c r="E263" t="n">
        <v>1326.5</v>
      </c>
      <c r="F263" t="n">
        <v>21.51</v>
      </c>
      <c r="G263" t="inlineStr">
        <is>
          <t>Consolidated first (v4) – needs verification for flagged rows</t>
        </is>
      </c>
      <c r="H263" t="n">
        <v>258.0380859375</v>
      </c>
      <c r="I263" t="n">
        <v>203.0887145996094</v>
      </c>
      <c r="L263" t="inlineStr">
        <is>
          <t>OK</t>
        </is>
      </c>
      <c r="M263" t="n">
        <v>12</v>
      </c>
      <c r="N263" t="n">
        <v>9.44</v>
      </c>
      <c r="O263" t="n">
        <v>1281.5</v>
      </c>
      <c r="P263" t="n">
        <v>1611.8</v>
      </c>
      <c r="Q263" t="n">
        <v>1249.8</v>
      </c>
      <c r="R263" s="2" t="inlineStr">
        <is>
          <t>VERIFIED_OK</t>
        </is>
      </c>
      <c r="S263" t="n">
        <v>1281.5</v>
      </c>
      <c r="T263" t="inlineStr">
        <is>
          <t>30-07-2026 09:42 IST</t>
        </is>
      </c>
    </row>
    <row r="264">
      <c r="A264" t="n">
        <v>54</v>
      </c>
      <c r="B264" t="n">
        <v>500325</v>
      </c>
      <c r="C264" t="inlineStr">
        <is>
          <t>Reliance Industries Ltd</t>
        </is>
      </c>
      <c r="D264" t="n">
        <v>2017</v>
      </c>
      <c r="E264" t="n">
        <v>1326.5</v>
      </c>
      <c r="F264" t="n">
        <v>21.55</v>
      </c>
      <c r="G264" t="inlineStr">
        <is>
          <t>Consolidated first (v4) – needs verification for flagged rows</t>
        </is>
      </c>
      <c r="H264" t="n">
        <v>438.4064636230469</v>
      </c>
      <c r="I264" t="n">
        <v>231.7862701416016</v>
      </c>
      <c r="L264" t="inlineStr">
        <is>
          <t>OK</t>
        </is>
      </c>
      <c r="M264" t="n">
        <v>20.34</v>
      </c>
      <c r="N264" t="n">
        <v>10.76</v>
      </c>
      <c r="O264" t="n">
        <v>1281.5</v>
      </c>
      <c r="P264" t="n">
        <v>1611.8</v>
      </c>
      <c r="Q264" t="n">
        <v>1249.8</v>
      </c>
      <c r="R264" s="2" t="inlineStr">
        <is>
          <t>VERIFIED_OK</t>
        </is>
      </c>
      <c r="S264" t="n">
        <v>1281.5</v>
      </c>
      <c r="T264" t="inlineStr">
        <is>
          <t>30-07-2026 09:42 IST</t>
        </is>
      </c>
    </row>
    <row r="265">
      <c r="A265" t="n">
        <v>54</v>
      </c>
      <c r="B265" t="n">
        <v>500325</v>
      </c>
      <c r="C265" t="inlineStr">
        <is>
          <t>Reliance Industries Ltd</t>
        </is>
      </c>
      <c r="D265" t="n">
        <v>2018</v>
      </c>
      <c r="E265" t="n">
        <v>1326.5</v>
      </c>
      <c r="F265" t="n">
        <v>26.69</v>
      </c>
      <c r="G265" t="inlineStr">
        <is>
          <t>Consolidated first (v4) – needs verification for flagged rows</t>
        </is>
      </c>
      <c r="H265" t="n">
        <v>607.4375610351562</v>
      </c>
      <c r="I265" t="n">
        <v>398.68017578125</v>
      </c>
      <c r="L265" t="inlineStr">
        <is>
          <t>OK</t>
        </is>
      </c>
      <c r="M265" t="n">
        <v>22.76</v>
      </c>
      <c r="N265" t="n">
        <v>14.94</v>
      </c>
      <c r="O265" t="n">
        <v>1281.5</v>
      </c>
      <c r="P265" t="n">
        <v>1611.8</v>
      </c>
      <c r="Q265" t="n">
        <v>1249.8</v>
      </c>
      <c r="R265" s="2" t="inlineStr">
        <is>
          <t>VERIFIED_OK</t>
        </is>
      </c>
      <c r="S265" t="n">
        <v>1281.5</v>
      </c>
      <c r="T265" t="inlineStr">
        <is>
          <t>30-07-2026 09:42 IST</t>
        </is>
      </c>
    </row>
    <row r="266">
      <c r="A266" t="n">
        <v>54</v>
      </c>
      <c r="B266" t="n">
        <v>500325</v>
      </c>
      <c r="C266" t="inlineStr">
        <is>
          <t>Reliance Industries Ltd</t>
        </is>
      </c>
      <c r="D266" t="n">
        <v>2019</v>
      </c>
      <c r="E266" t="n">
        <v>1326.5</v>
      </c>
      <c r="F266" t="n">
        <v>29.28</v>
      </c>
      <c r="G266" t="inlineStr">
        <is>
          <t>Consolidated first (v4) – needs verification for flagged rows</t>
        </is>
      </c>
      <c r="H266" t="n">
        <v>739.5765991210938</v>
      </c>
      <c r="I266" t="n">
        <v>494.2929992675781</v>
      </c>
      <c r="L266" t="inlineStr">
        <is>
          <t>OK</t>
        </is>
      </c>
      <c r="M266" t="n">
        <v>25.26</v>
      </c>
      <c r="N266" t="n">
        <v>16.88</v>
      </c>
      <c r="O266" t="n">
        <v>1281.5</v>
      </c>
      <c r="P266" t="n">
        <v>1611.8</v>
      </c>
      <c r="Q266" t="n">
        <v>1249.8</v>
      </c>
      <c r="R266" s="2" t="inlineStr">
        <is>
          <t>VERIFIED_OK</t>
        </is>
      </c>
      <c r="S266" t="n">
        <v>1281.5</v>
      </c>
      <c r="T266" t="inlineStr">
        <is>
          <t>30-07-2026 09:42 IST</t>
        </is>
      </c>
    </row>
    <row r="267">
      <c r="A267" t="n">
        <v>54</v>
      </c>
      <c r="B267" t="n">
        <v>500325</v>
      </c>
      <c r="C267" t="inlineStr">
        <is>
          <t>Reliance Industries Ltd</t>
        </is>
      </c>
      <c r="D267" t="n">
        <v>2020</v>
      </c>
      <c r="E267" t="n">
        <v>1326.5</v>
      </c>
      <c r="F267" t="n">
        <v>29.1</v>
      </c>
      <c r="G267" t="inlineStr">
        <is>
          <t>Consolidated first (v4) – needs verification for flagged rows</t>
        </is>
      </c>
      <c r="H267" t="n">
        <v>1093.200805664062</v>
      </c>
      <c r="I267" t="n">
        <v>400.3258972167969</v>
      </c>
      <c r="L267" t="inlineStr">
        <is>
          <t>OK</t>
        </is>
      </c>
      <c r="M267" t="n">
        <v>37.57</v>
      </c>
      <c r="N267" t="n">
        <v>13.76</v>
      </c>
      <c r="O267" t="n">
        <v>1281.5</v>
      </c>
      <c r="P267" t="n">
        <v>1611.8</v>
      </c>
      <c r="Q267" t="n">
        <v>1249.8</v>
      </c>
      <c r="R267" s="2" t="inlineStr">
        <is>
          <t>VERIFIED_OK</t>
        </is>
      </c>
      <c r="S267" t="n">
        <v>1281.5</v>
      </c>
      <c r="T267" t="inlineStr">
        <is>
          <t>30-07-2026 09:42 IST</t>
        </is>
      </c>
    </row>
    <row r="268">
      <c r="A268" t="n">
        <v>54</v>
      </c>
      <c r="B268" t="n">
        <v>500325</v>
      </c>
      <c r="C268" t="inlineStr">
        <is>
          <t>Reliance Industries Ltd</t>
        </is>
      </c>
      <c r="D268" t="n">
        <v>2021</v>
      </c>
      <c r="E268" t="n">
        <v>1326.5</v>
      </c>
      <c r="F268" t="n">
        <v>38.75</v>
      </c>
      <c r="G268" t="inlineStr">
        <is>
          <t>Consolidated first (v4) – needs verification for flagged rows</t>
        </is>
      </c>
      <c r="H268" t="n">
        <v>1269.12451171875</v>
      </c>
      <c r="I268" t="n">
        <v>844.544677734375</v>
      </c>
      <c r="L268" t="inlineStr">
        <is>
          <t>OK</t>
        </is>
      </c>
      <c r="M268" t="n">
        <v>32.75</v>
      </c>
      <c r="N268" t="n">
        <v>21.79</v>
      </c>
      <c r="O268" t="n">
        <v>1281.5</v>
      </c>
      <c r="P268" t="n">
        <v>1611.8</v>
      </c>
      <c r="Q268" t="n">
        <v>1249.8</v>
      </c>
      <c r="R268" s="2" t="inlineStr">
        <is>
          <t>VERIFIED_OK</t>
        </is>
      </c>
      <c r="S268" t="n">
        <v>1281.5</v>
      </c>
      <c r="T268" t="inlineStr">
        <is>
          <t>30-07-2026 09:42 IST</t>
        </is>
      </c>
    </row>
    <row r="269">
      <c r="A269" t="n">
        <v>54</v>
      </c>
      <c r="B269" t="n">
        <v>500325</v>
      </c>
      <c r="C269" t="inlineStr">
        <is>
          <t>Reliance Industries Ltd</t>
        </is>
      </c>
      <c r="D269" t="n">
        <v>2022</v>
      </c>
      <c r="E269" t="n">
        <v>1326.5</v>
      </c>
      <c r="F269" t="n">
        <v>44.87</v>
      </c>
      <c r="G269" t="inlineStr">
        <is>
          <t>Consolidated first (v4) – needs verification for flagged rows</t>
        </is>
      </c>
      <c r="H269" t="n">
        <v>1317.58203125</v>
      </c>
      <c r="I269" t="n">
        <v>1006.531127929688</v>
      </c>
      <c r="L269" t="inlineStr">
        <is>
          <t>OK</t>
        </is>
      </c>
      <c r="M269" t="n">
        <v>29.36</v>
      </c>
      <c r="N269" t="n">
        <v>22.43</v>
      </c>
      <c r="O269" t="n">
        <v>1281.5</v>
      </c>
      <c r="P269" t="n">
        <v>1611.8</v>
      </c>
      <c r="Q269" t="n">
        <v>1249.8</v>
      </c>
      <c r="R269" s="2" t="inlineStr">
        <is>
          <t>VERIFIED_OK</t>
        </is>
      </c>
      <c r="S269" t="n">
        <v>1281.5</v>
      </c>
      <c r="T269" t="inlineStr">
        <is>
          <t>30-07-2026 09:42 IST</t>
        </is>
      </c>
    </row>
    <row r="270">
      <c r="A270" t="n">
        <v>54</v>
      </c>
      <c r="B270" t="n">
        <v>500325</v>
      </c>
      <c r="C270" t="inlineStr">
        <is>
          <t>Reliance Industries Ltd</t>
        </is>
      </c>
      <c r="D270" t="n">
        <v>2023</v>
      </c>
      <c r="E270" t="n">
        <v>1326.5</v>
      </c>
      <c r="F270" t="n">
        <v>49.29</v>
      </c>
      <c r="G270" t="inlineStr">
        <is>
          <t>Consolidated first (v4) – needs verification for flagged rows</t>
        </is>
      </c>
      <c r="H270" t="n">
        <v>1317.58203125</v>
      </c>
      <c r="I270" t="n">
        <v>1006.069641113281</v>
      </c>
      <c r="L270" t="inlineStr">
        <is>
          <t>OK</t>
        </is>
      </c>
      <c r="M270" t="n">
        <v>26.73</v>
      </c>
      <c r="N270" t="n">
        <v>20.41</v>
      </c>
      <c r="O270" t="n">
        <v>1281.5</v>
      </c>
      <c r="P270" t="n">
        <v>1611.8</v>
      </c>
      <c r="Q270" t="n">
        <v>1249.8</v>
      </c>
      <c r="R270" s="2" t="inlineStr">
        <is>
          <t>VERIFIED_OK</t>
        </is>
      </c>
      <c r="S270" t="n">
        <v>1281.5</v>
      </c>
      <c r="T270" t="inlineStr">
        <is>
          <t>30-07-2026 09:42 IST</t>
        </is>
      </c>
    </row>
    <row r="271">
      <c r="A271" t="n">
        <v>54</v>
      </c>
      <c r="B271" t="n">
        <v>500325</v>
      </c>
      <c r="C271" t="inlineStr">
        <is>
          <t>Reliance Industries Ltd</t>
        </is>
      </c>
      <c r="D271" t="n">
        <v>2024</v>
      </c>
      <c r="E271" t="n">
        <v>1326.5</v>
      </c>
      <c r="F271" t="n">
        <v>51.45</v>
      </c>
      <c r="G271" t="inlineStr">
        <is>
          <t>Consolidated first (v4) – needs verification for flagged rows</t>
        </is>
      </c>
      <c r="H271" t="n">
        <v>1608.949951171875</v>
      </c>
      <c r="I271" t="n">
        <v>1202.099975585938</v>
      </c>
      <c r="L271" t="inlineStr">
        <is>
          <t>OK</t>
        </is>
      </c>
      <c r="M271" t="n">
        <v>31.27</v>
      </c>
      <c r="N271" t="n">
        <v>23.36</v>
      </c>
      <c r="O271" t="n">
        <v>1281.5</v>
      </c>
      <c r="P271" t="n">
        <v>1611.8</v>
      </c>
      <c r="Q271" t="n">
        <v>1249.8</v>
      </c>
      <c r="R271" s="2" t="inlineStr">
        <is>
          <t>VERIFIED_OK</t>
        </is>
      </c>
      <c r="S271" t="n">
        <v>1281.5</v>
      </c>
      <c r="T271" t="inlineStr">
        <is>
          <t>30-07-2026 09:42 IST</t>
        </is>
      </c>
    </row>
    <row r="272">
      <c r="A272" t="n">
        <v>54</v>
      </c>
      <c r="B272" t="n">
        <v>500325</v>
      </c>
      <c r="C272" t="inlineStr">
        <is>
          <t>Reliance Industries Ltd</t>
        </is>
      </c>
      <c r="D272" t="n">
        <v>2025</v>
      </c>
      <c r="E272" t="n">
        <v>1326.5</v>
      </c>
      <c r="F272" t="n">
        <v>51.47</v>
      </c>
      <c r="G272" t="inlineStr">
        <is>
          <t>Consolidated first (v4) – needs verification for flagged rows</t>
        </is>
      </c>
      <c r="H272" t="n">
        <v>1580.900024414062</v>
      </c>
      <c r="I272" t="n">
        <v>1115.550048828125</v>
      </c>
      <c r="L272" t="inlineStr">
        <is>
          <t>OK</t>
        </is>
      </c>
      <c r="M272" t="n">
        <v>30.71</v>
      </c>
      <c r="N272" t="n">
        <v>21.67</v>
      </c>
      <c r="O272" t="n">
        <v>1281.5</v>
      </c>
      <c r="P272" t="n">
        <v>1611.8</v>
      </c>
      <c r="Q272" t="n">
        <v>1249.8</v>
      </c>
      <c r="R272" s="2" t="inlineStr">
        <is>
          <t>VERIFIED_OK</t>
        </is>
      </c>
      <c r="S272" t="n">
        <v>1281.5</v>
      </c>
      <c r="T272" t="inlineStr">
        <is>
          <t>30-07-2026 09:42 IST</t>
        </is>
      </c>
    </row>
    <row r="273">
      <c r="A273" t="n">
        <v>54</v>
      </c>
      <c r="B273" t="n">
        <v>500325</v>
      </c>
      <c r="C273" t="inlineStr">
        <is>
          <t>Reliance Industries Ltd</t>
        </is>
      </c>
      <c r="D273" t="n">
        <v>2026</v>
      </c>
      <c r="E273" t="n">
        <v>1326.5</v>
      </c>
      <c r="F273" t="n">
        <v>59.69</v>
      </c>
      <c r="G273" t="inlineStr">
        <is>
          <t>Consolidated first (v4) – needs verification for flagged rows</t>
        </is>
      </c>
      <c r="H273" t="n">
        <v>1611.199951171875</v>
      </c>
      <c r="I273" t="n">
        <v>1253.650024414062</v>
      </c>
      <c r="L273" t="inlineStr">
        <is>
          <t>OK</t>
        </is>
      </c>
      <c r="M273" t="n">
        <v>26.99</v>
      </c>
      <c r="N273" t="n">
        <v>21</v>
      </c>
      <c r="O273" t="n">
        <v>1281.5</v>
      </c>
      <c r="P273" t="n">
        <v>1611.8</v>
      </c>
      <c r="Q273" t="n">
        <v>1249.8</v>
      </c>
      <c r="R273" s="2" t="inlineStr">
        <is>
          <t>VERIFIED_OK</t>
        </is>
      </c>
      <c r="S273" t="n">
        <v>1281.5</v>
      </c>
      <c r="T273" t="inlineStr">
        <is>
          <t>30-07-2026 09:42 IST</t>
        </is>
      </c>
    </row>
    <row r="274">
      <c r="A274" t="n">
        <v>59</v>
      </c>
      <c r="B274" t="n">
        <v>500412</v>
      </c>
      <c r="C274" t="inlineStr">
        <is>
          <t>Thirumalai Chemicals Ltd</t>
        </is>
      </c>
      <c r="D274" t="n">
        <v>2015</v>
      </c>
      <c r="E274" t="n">
        <v>164.75</v>
      </c>
      <c r="F274" t="n">
        <v>-1.34</v>
      </c>
      <c r="G274" t="inlineStr">
        <is>
          <t>Consolidated first (v4) – needs verification for flagged rows</t>
        </is>
      </c>
      <c r="H274" t="n">
        <v>29</v>
      </c>
      <c r="I274" t="n">
        <v>7.5</v>
      </c>
      <c r="L274" t="inlineStr">
        <is>
          <t>UNVERIFIED – negative EPS</t>
        </is>
      </c>
      <c r="M274" t="n">
        <v>-21.64</v>
      </c>
      <c r="N274" t="n">
        <v>-5.6</v>
      </c>
      <c r="O274" t="n">
        <v>169.07</v>
      </c>
      <c r="P274" t="n">
        <v>328.8</v>
      </c>
      <c r="Q274" t="n">
        <v>158</v>
      </c>
      <c r="R274" s="2" t="inlineStr">
        <is>
          <t>VERIFIED_OK</t>
        </is>
      </c>
      <c r="S274" t="n">
        <v>169.07</v>
      </c>
      <c r="T274" t="inlineStr">
        <is>
          <t>30-07-2026 09:42 IST</t>
        </is>
      </c>
    </row>
    <row r="275">
      <c r="A275" t="n">
        <v>59</v>
      </c>
      <c r="B275" t="n">
        <v>500412</v>
      </c>
      <c r="C275" t="inlineStr">
        <is>
          <t>Thirumalai Chemicals Ltd</t>
        </is>
      </c>
      <c r="D275" t="n">
        <v>2016</v>
      </c>
      <c r="E275" t="n">
        <v>164.75</v>
      </c>
      <c r="F275" t="n">
        <v>3.14</v>
      </c>
      <c r="G275" t="inlineStr">
        <is>
          <t>Consolidated first (v4) – needs verification for flagged rows</t>
        </is>
      </c>
      <c r="H275" t="n">
        <v>98.40000152587891</v>
      </c>
      <c r="I275" t="n">
        <v>12.89999961853027</v>
      </c>
      <c r="L275" t="inlineStr">
        <is>
          <t>OK</t>
        </is>
      </c>
      <c r="M275" t="n">
        <v>31.34</v>
      </c>
      <c r="N275" t="n">
        <v>4.11</v>
      </c>
      <c r="O275" t="n">
        <v>169.07</v>
      </c>
      <c r="P275" t="n">
        <v>328.8</v>
      </c>
      <c r="Q275" t="n">
        <v>158</v>
      </c>
      <c r="R275" s="2" t="inlineStr">
        <is>
          <t>VERIFIED_OK</t>
        </is>
      </c>
      <c r="S275" t="n">
        <v>169.07</v>
      </c>
      <c r="T275" t="inlineStr">
        <is>
          <t>30-07-2026 09:42 IST</t>
        </is>
      </c>
    </row>
    <row r="276">
      <c r="A276" t="n">
        <v>59</v>
      </c>
      <c r="B276" t="n">
        <v>500412</v>
      </c>
      <c r="C276" t="inlineStr">
        <is>
          <t>Thirumalai Chemicals Ltd</t>
        </is>
      </c>
      <c r="D276" t="n">
        <v>2017</v>
      </c>
      <c r="E276" t="n">
        <v>164.75</v>
      </c>
      <c r="F276" t="n">
        <v>6.9</v>
      </c>
      <c r="G276" t="inlineStr">
        <is>
          <t>Consolidated first (v4) – needs verification for flagged rows</t>
        </is>
      </c>
      <c r="H276" t="n">
        <v>231.8549957275391</v>
      </c>
      <c r="I276" t="n">
        <v>72.84999847412109</v>
      </c>
      <c r="L276" t="inlineStr">
        <is>
          <t>OK</t>
        </is>
      </c>
      <c r="M276" t="n">
        <v>33.6</v>
      </c>
      <c r="N276" t="n">
        <v>10.56</v>
      </c>
      <c r="O276" t="n">
        <v>169.07</v>
      </c>
      <c r="P276" t="n">
        <v>328.8</v>
      </c>
      <c r="Q276" t="n">
        <v>158</v>
      </c>
      <c r="R276" s="2" t="inlineStr">
        <is>
          <t>VERIFIED_OK</t>
        </is>
      </c>
      <c r="S276" t="n">
        <v>169.07</v>
      </c>
      <c r="T276" t="inlineStr">
        <is>
          <t>30-07-2026 09:42 IST</t>
        </is>
      </c>
    </row>
    <row r="277">
      <c r="A277" t="n">
        <v>59</v>
      </c>
      <c r="B277" t="n">
        <v>500412</v>
      </c>
      <c r="C277" t="inlineStr">
        <is>
          <t>Thirumalai Chemicals Ltd</t>
        </is>
      </c>
      <c r="D277" t="n">
        <v>2018</v>
      </c>
      <c r="E277" t="n">
        <v>164.75</v>
      </c>
      <c r="F277" t="n">
        <v>16.64</v>
      </c>
      <c r="G277" t="inlineStr">
        <is>
          <t>Consolidated first (v4) – needs verification for flagged rows</t>
        </is>
      </c>
      <c r="H277" t="n">
        <v>243.6999969482422</v>
      </c>
      <c r="I277" t="n">
        <v>101.6999969482422</v>
      </c>
      <c r="L277" t="inlineStr">
        <is>
          <t>OK</t>
        </is>
      </c>
      <c r="M277" t="n">
        <v>14.65</v>
      </c>
      <c r="N277" t="n">
        <v>6.11</v>
      </c>
      <c r="O277" t="n">
        <v>169.07</v>
      </c>
      <c r="P277" t="n">
        <v>328.8</v>
      </c>
      <c r="Q277" t="n">
        <v>158</v>
      </c>
      <c r="R277" s="2" t="inlineStr">
        <is>
          <t>VERIFIED_OK</t>
        </is>
      </c>
      <c r="S277" t="n">
        <v>169.07</v>
      </c>
      <c r="T277" t="inlineStr">
        <is>
          <t>30-07-2026 09:42 IST</t>
        </is>
      </c>
    </row>
    <row r="278">
      <c r="A278" t="n">
        <v>59</v>
      </c>
      <c r="B278" t="n">
        <v>500412</v>
      </c>
      <c r="C278" t="inlineStr">
        <is>
          <t>Thirumalai Chemicals Ltd</t>
        </is>
      </c>
      <c r="D278" t="n">
        <v>2019</v>
      </c>
      <c r="E278" t="n">
        <v>164.75</v>
      </c>
      <c r="F278" t="n">
        <v>11.09</v>
      </c>
      <c r="G278" t="inlineStr">
        <is>
          <t>Consolidated first (v4) – needs verification for flagged rows</t>
        </is>
      </c>
      <c r="H278" t="n">
        <v>114.3000030517578</v>
      </c>
      <c r="I278" t="n">
        <v>51</v>
      </c>
      <c r="L278" t="inlineStr">
        <is>
          <t>OK</t>
        </is>
      </c>
      <c r="M278" t="n">
        <v>10.31</v>
      </c>
      <c r="N278" t="n">
        <v>4.6</v>
      </c>
      <c r="O278" t="n">
        <v>169.07</v>
      </c>
      <c r="P278" t="n">
        <v>328.8</v>
      </c>
      <c r="Q278" t="n">
        <v>158</v>
      </c>
      <c r="R278" s="2" t="inlineStr">
        <is>
          <t>VERIFIED_OK</t>
        </is>
      </c>
      <c r="S278" t="n">
        <v>169.07</v>
      </c>
      <c r="T278" t="inlineStr">
        <is>
          <t>30-07-2026 09:42 IST</t>
        </is>
      </c>
    </row>
    <row r="279">
      <c r="A279" t="n">
        <v>59</v>
      </c>
      <c r="B279" t="n">
        <v>500412</v>
      </c>
      <c r="C279" t="inlineStr">
        <is>
          <t>Thirumalai Chemicals Ltd</t>
        </is>
      </c>
      <c r="D279" t="n">
        <v>2020</v>
      </c>
      <c r="E279" t="n">
        <v>164.75</v>
      </c>
      <c r="F279" t="n">
        <v>2.26</v>
      </c>
      <c r="G279" t="inlineStr">
        <is>
          <t>Consolidated first (v4) – needs verification for flagged rows</t>
        </is>
      </c>
      <c r="H279" t="n">
        <v>118.6999969482422</v>
      </c>
      <c r="I279" t="n">
        <v>31.5</v>
      </c>
      <c r="L279" t="inlineStr">
        <is>
          <t>OK</t>
        </is>
      </c>
      <c r="M279" t="n">
        <v>52.52</v>
      </c>
      <c r="N279" t="n">
        <v>13.94</v>
      </c>
      <c r="O279" t="n">
        <v>169.07</v>
      </c>
      <c r="P279" t="n">
        <v>328.8</v>
      </c>
      <c r="Q279" t="n">
        <v>158</v>
      </c>
      <c r="R279" s="2" t="inlineStr">
        <is>
          <t>VERIFIED_OK</t>
        </is>
      </c>
      <c r="S279" t="n">
        <v>169.07</v>
      </c>
      <c r="T279" t="inlineStr">
        <is>
          <t>30-07-2026 09:42 IST</t>
        </is>
      </c>
    </row>
    <row r="280">
      <c r="A280" t="n">
        <v>59</v>
      </c>
      <c r="B280" t="n">
        <v>500412</v>
      </c>
      <c r="C280" t="inlineStr">
        <is>
          <t>Thirumalai Chemicals Ltd</t>
        </is>
      </c>
      <c r="D280" t="n">
        <v>2021</v>
      </c>
      <c r="E280" t="n">
        <v>164.75</v>
      </c>
      <c r="F280" t="n">
        <v>11.49</v>
      </c>
      <c r="G280" t="inlineStr">
        <is>
          <t>Consolidated first (v4) – needs verification for flagged rows</t>
        </is>
      </c>
      <c r="H280" t="n">
        <v>357.25</v>
      </c>
      <c r="I280" t="n">
        <v>85</v>
      </c>
      <c r="L280" t="inlineStr">
        <is>
          <t>OK</t>
        </is>
      </c>
      <c r="M280" t="n">
        <v>31.09</v>
      </c>
      <c r="N280" t="n">
        <v>7.4</v>
      </c>
      <c r="O280" t="n">
        <v>169.07</v>
      </c>
      <c r="P280" t="n">
        <v>328.8</v>
      </c>
      <c r="Q280" t="n">
        <v>158</v>
      </c>
      <c r="R280" s="2" t="inlineStr">
        <is>
          <t>VERIFIED_OK</t>
        </is>
      </c>
      <c r="S280" t="n">
        <v>169.07</v>
      </c>
      <c r="T280" t="inlineStr">
        <is>
          <t>30-07-2026 09:42 IST</t>
        </is>
      </c>
    </row>
    <row r="281">
      <c r="A281" t="n">
        <v>59</v>
      </c>
      <c r="B281" t="n">
        <v>500412</v>
      </c>
      <c r="C281" t="inlineStr">
        <is>
          <t>Thirumalai Chemicals Ltd</t>
        </is>
      </c>
      <c r="D281" t="n">
        <v>2022</v>
      </c>
      <c r="E281" t="n">
        <v>164.75</v>
      </c>
      <c r="F281" t="n">
        <v>27.47</v>
      </c>
      <c r="G281" t="inlineStr">
        <is>
          <t>Consolidated first (v4) – needs verification for flagged rows</t>
        </is>
      </c>
      <c r="H281" t="n">
        <v>318.8999938964844</v>
      </c>
      <c r="I281" t="n">
        <v>186.6999969482422</v>
      </c>
      <c r="L281" t="inlineStr">
        <is>
          <t>OK</t>
        </is>
      </c>
      <c r="M281" t="n">
        <v>11.61</v>
      </c>
      <c r="N281" t="n">
        <v>6.8</v>
      </c>
      <c r="O281" t="n">
        <v>169.07</v>
      </c>
      <c r="P281" t="n">
        <v>328.8</v>
      </c>
      <c r="Q281" t="n">
        <v>158</v>
      </c>
      <c r="R281" s="2" t="inlineStr">
        <is>
          <t>VERIFIED_OK</t>
        </is>
      </c>
      <c r="S281" t="n">
        <v>169.07</v>
      </c>
      <c r="T281" t="inlineStr">
        <is>
          <t>30-07-2026 09:42 IST</t>
        </is>
      </c>
    </row>
    <row r="282">
      <c r="A282" t="n">
        <v>59</v>
      </c>
      <c r="B282" t="n">
        <v>500412</v>
      </c>
      <c r="C282" t="inlineStr">
        <is>
          <t>Thirumalai Chemicals Ltd</t>
        </is>
      </c>
      <c r="D282" t="n">
        <v>2023</v>
      </c>
      <c r="E282" t="n">
        <v>164.75</v>
      </c>
      <c r="F282" t="n">
        <v>8.77</v>
      </c>
      <c r="G282" t="inlineStr">
        <is>
          <t>Consolidated first (v4) – needs verification for flagged rows</t>
        </is>
      </c>
      <c r="H282" t="n">
        <v>244.1999969482422</v>
      </c>
      <c r="I282" t="n">
        <v>168.3500061035156</v>
      </c>
      <c r="L282" t="inlineStr">
        <is>
          <t>OK</t>
        </is>
      </c>
      <c r="M282" t="n">
        <v>27.84</v>
      </c>
      <c r="N282" t="n">
        <v>19.2</v>
      </c>
      <c r="O282" t="n">
        <v>169.07</v>
      </c>
      <c r="P282" t="n">
        <v>328.8</v>
      </c>
      <c r="Q282" t="n">
        <v>158</v>
      </c>
      <c r="R282" s="2" t="inlineStr">
        <is>
          <t>VERIFIED_OK</t>
        </is>
      </c>
      <c r="S282" t="n">
        <v>169.07</v>
      </c>
      <c r="T282" t="inlineStr">
        <is>
          <t>30-07-2026 09:42 IST</t>
        </is>
      </c>
    </row>
    <row r="283">
      <c r="A283" t="n">
        <v>59</v>
      </c>
      <c r="B283" t="n">
        <v>500412</v>
      </c>
      <c r="C283" t="inlineStr">
        <is>
          <t>Thirumalai Chemicals Ltd</t>
        </is>
      </c>
      <c r="D283" t="n">
        <v>2024</v>
      </c>
      <c r="E283" t="n">
        <v>164.75</v>
      </c>
      <c r="F283" t="n">
        <v>-3.79</v>
      </c>
      <c r="G283" t="inlineStr">
        <is>
          <t>Consolidated first (v4) – needs verification for flagged rows</t>
        </is>
      </c>
      <c r="H283" t="n">
        <v>395</v>
      </c>
      <c r="I283" t="n">
        <v>205.1999969482422</v>
      </c>
      <c r="L283" t="inlineStr">
        <is>
          <t>UNVERIFIED – negative EPS</t>
        </is>
      </c>
      <c r="M283" t="n">
        <v>-104.22</v>
      </c>
      <c r="N283" t="n">
        <v>-54.14</v>
      </c>
      <c r="O283" t="n">
        <v>169.07</v>
      </c>
      <c r="P283" t="n">
        <v>328.8</v>
      </c>
      <c r="Q283" t="n">
        <v>158</v>
      </c>
      <c r="R283" s="2" t="inlineStr">
        <is>
          <t>VERIFIED_OK</t>
        </is>
      </c>
      <c r="S283" t="n">
        <v>169.07</v>
      </c>
      <c r="T283" t="inlineStr">
        <is>
          <t>30-07-2026 09:42 IST</t>
        </is>
      </c>
    </row>
    <row r="284">
      <c r="A284" t="n">
        <v>59</v>
      </c>
      <c r="B284" t="n">
        <v>500412</v>
      </c>
      <c r="C284" t="inlineStr">
        <is>
          <t>Thirumalai Chemicals Ltd</t>
        </is>
      </c>
      <c r="D284" t="n">
        <v>2025</v>
      </c>
      <c r="E284" t="n">
        <v>164.75</v>
      </c>
      <c r="F284" t="n">
        <v>-4.5</v>
      </c>
      <c r="G284" t="inlineStr">
        <is>
          <t>Consolidated first (v4) – needs verification for flagged rows</t>
        </is>
      </c>
      <c r="H284" t="n">
        <v>340.5499877929688</v>
      </c>
      <c r="I284" t="n">
        <v>201.3000030517578</v>
      </c>
      <c r="L284" t="inlineStr">
        <is>
          <t>UNVERIFIED – negative EPS</t>
        </is>
      </c>
      <c r="M284" t="n">
        <v>-75.68000000000001</v>
      </c>
      <c r="N284" t="n">
        <v>-44.73</v>
      </c>
      <c r="O284" t="n">
        <v>169.07</v>
      </c>
      <c r="P284" t="n">
        <v>328.8</v>
      </c>
      <c r="Q284" t="n">
        <v>158</v>
      </c>
      <c r="R284" s="2" t="inlineStr">
        <is>
          <t>VERIFIED_OK</t>
        </is>
      </c>
      <c r="S284" t="n">
        <v>169.07</v>
      </c>
      <c r="T284" t="inlineStr">
        <is>
          <t>30-07-2026 09:42 IST</t>
        </is>
      </c>
    </row>
    <row r="285">
      <c r="A285" t="n">
        <v>59</v>
      </c>
      <c r="B285" t="n">
        <v>500412</v>
      </c>
      <c r="C285" t="inlineStr">
        <is>
          <t>Thirumalai Chemicals Ltd</t>
        </is>
      </c>
      <c r="D285" t="n">
        <v>2026</v>
      </c>
      <c r="E285" t="n">
        <v>164.75</v>
      </c>
      <c r="F285" t="n">
        <v>-13.93</v>
      </c>
      <c r="G285" t="inlineStr">
        <is>
          <t>Consolidated first (v4) – needs verification for flagged rows</t>
        </is>
      </c>
      <c r="H285" t="n">
        <v>241.3000030517578</v>
      </c>
      <c r="I285" t="n">
        <v>158.3999938964844</v>
      </c>
      <c r="L285" t="inlineStr">
        <is>
          <t>UNVERIFIED – negative EPS</t>
        </is>
      </c>
      <c r="M285" t="n">
        <v>-17.32</v>
      </c>
      <c r="N285" t="n">
        <v>-11.37</v>
      </c>
      <c r="O285" t="n">
        <v>169.07</v>
      </c>
      <c r="P285" t="n">
        <v>328.8</v>
      </c>
      <c r="Q285" t="n">
        <v>158</v>
      </c>
      <c r="R285" s="2" t="inlineStr">
        <is>
          <t>VERIFIED_OK</t>
        </is>
      </c>
      <c r="S285" t="n">
        <v>169.07</v>
      </c>
      <c r="T285" t="inlineStr">
        <is>
          <t>30-07-2026 09:42 IST</t>
        </is>
      </c>
    </row>
    <row r="286">
      <c r="A286" t="n">
        <v>60</v>
      </c>
      <c r="B286" t="n">
        <v>500420</v>
      </c>
      <c r="C286" t="inlineStr">
        <is>
          <t>Torrent Pharmaceuticals Ltd</t>
        </is>
      </c>
      <c r="D286" t="n">
        <v>2015</v>
      </c>
      <c r="E286" t="n">
        <v>4766.60009765625</v>
      </c>
      <c r="F286" t="n">
        <v>22.19</v>
      </c>
      <c r="G286" t="inlineStr">
        <is>
          <t>Consolidated first (v4) – needs verification for flagged rows</t>
        </is>
      </c>
      <c r="H286" t="n">
        <v>860</v>
      </c>
      <c r="I286" t="n">
        <v>516.5</v>
      </c>
      <c r="L286" t="inlineStr">
        <is>
          <t>OK</t>
        </is>
      </c>
      <c r="M286" t="n">
        <v>38.76</v>
      </c>
      <c r="N286" t="n">
        <v>23.28</v>
      </c>
      <c r="O286" t="n">
        <v>4945.5</v>
      </c>
      <c r="P286" t="n">
        <v>5085.8</v>
      </c>
      <c r="Q286" t="n">
        <v>3480.6</v>
      </c>
      <c r="R286" s="2" t="inlineStr">
        <is>
          <t>VERIFIED_OK</t>
        </is>
      </c>
      <c r="S286" t="n">
        <v>4945.5</v>
      </c>
      <c r="T286" t="inlineStr">
        <is>
          <t>30-07-2026 09:42 IST</t>
        </is>
      </c>
    </row>
    <row r="287">
      <c r="A287" t="n">
        <v>60</v>
      </c>
      <c r="B287" t="n">
        <v>500420</v>
      </c>
      <c r="C287" t="inlineStr">
        <is>
          <t>Torrent Pharmaceuticals Ltd</t>
        </is>
      </c>
      <c r="D287" t="n">
        <v>2016</v>
      </c>
      <c r="E287" t="n">
        <v>4766.60009765625</v>
      </c>
      <c r="F287" t="n">
        <v>51.22</v>
      </c>
      <c r="G287" t="inlineStr">
        <is>
          <t>Consolidated first (v4) – needs verification for flagged rows</t>
        </is>
      </c>
      <c r="H287" t="n">
        <v>883.9000244140625</v>
      </c>
      <c r="I287" t="n">
        <v>592.7999877929688</v>
      </c>
      <c r="L287" t="inlineStr">
        <is>
          <t>OK</t>
        </is>
      </c>
      <c r="M287" t="n">
        <v>17.26</v>
      </c>
      <c r="N287" t="n">
        <v>11.57</v>
      </c>
      <c r="O287" t="n">
        <v>4945.5</v>
      </c>
      <c r="P287" t="n">
        <v>5085.8</v>
      </c>
      <c r="Q287" t="n">
        <v>3480.6</v>
      </c>
      <c r="R287" s="2" t="inlineStr">
        <is>
          <t>VERIFIED_OK</t>
        </is>
      </c>
      <c r="S287" t="n">
        <v>4945.5</v>
      </c>
      <c r="T287" t="inlineStr">
        <is>
          <t>30-07-2026 09:42 IST</t>
        </is>
      </c>
    </row>
    <row r="288">
      <c r="A288" t="n">
        <v>60</v>
      </c>
      <c r="B288" t="n">
        <v>500420</v>
      </c>
      <c r="C288" t="inlineStr">
        <is>
          <t>Torrent Pharmaceuticals Ltd</t>
        </is>
      </c>
      <c r="D288" t="n">
        <v>2017</v>
      </c>
      <c r="E288" t="n">
        <v>4766.60009765625</v>
      </c>
      <c r="F288" t="n">
        <v>27.59</v>
      </c>
      <c r="G288" t="inlineStr">
        <is>
          <t>Consolidated first (v4) – needs verification for flagged rows</t>
        </is>
      </c>
      <c r="H288" t="n">
        <v>786.0499877929688</v>
      </c>
      <c r="I288" t="n">
        <v>574.5250244140625</v>
      </c>
      <c r="L288" t="inlineStr">
        <is>
          <t>OK</t>
        </is>
      </c>
      <c r="M288" t="n">
        <v>28.49</v>
      </c>
      <c r="N288" t="n">
        <v>20.82</v>
      </c>
      <c r="O288" t="n">
        <v>4945.5</v>
      </c>
      <c r="P288" t="n">
        <v>5085.8</v>
      </c>
      <c r="Q288" t="n">
        <v>3480.6</v>
      </c>
      <c r="R288" s="2" t="inlineStr">
        <is>
          <t>VERIFIED_OK</t>
        </is>
      </c>
      <c r="S288" t="n">
        <v>4945.5</v>
      </c>
      <c r="T288" t="inlineStr">
        <is>
          <t>30-07-2026 09:42 IST</t>
        </is>
      </c>
    </row>
    <row r="289">
      <c r="A289" t="n">
        <v>60</v>
      </c>
      <c r="B289" t="n">
        <v>500420</v>
      </c>
      <c r="C289" t="inlineStr">
        <is>
          <t>Torrent Pharmaceuticals Ltd</t>
        </is>
      </c>
      <c r="D289" t="n">
        <v>2018</v>
      </c>
      <c r="E289" t="n">
        <v>4766.60009765625</v>
      </c>
      <c r="F289" t="n">
        <v>20.04</v>
      </c>
      <c r="G289" t="inlineStr">
        <is>
          <t>Consolidated first (v4) – needs verification for flagged rows</t>
        </is>
      </c>
      <c r="H289" t="n">
        <v>935.9749755859375</v>
      </c>
      <c r="I289" t="n">
        <v>611.875</v>
      </c>
      <c r="L289" t="inlineStr">
        <is>
          <t>OK</t>
        </is>
      </c>
      <c r="M289" t="n">
        <v>46.71</v>
      </c>
      <c r="N289" t="n">
        <v>30.53</v>
      </c>
      <c r="O289" t="n">
        <v>4945.5</v>
      </c>
      <c r="P289" t="n">
        <v>5085.8</v>
      </c>
      <c r="Q289" t="n">
        <v>3480.6</v>
      </c>
      <c r="R289" s="2" t="inlineStr">
        <is>
          <t>VERIFIED_OK</t>
        </is>
      </c>
      <c r="S289" t="n">
        <v>4945.5</v>
      </c>
      <c r="T289" t="inlineStr">
        <is>
          <t>30-07-2026 09:42 IST</t>
        </is>
      </c>
    </row>
    <row r="290">
      <c r="A290" t="n">
        <v>60</v>
      </c>
      <c r="B290" t="n">
        <v>500420</v>
      </c>
      <c r="C290" t="inlineStr">
        <is>
          <t>Torrent Pharmaceuticals Ltd</t>
        </is>
      </c>
      <c r="D290" t="n">
        <v>2019</v>
      </c>
      <c r="E290" t="n">
        <v>4766.60009765625</v>
      </c>
      <c r="F290" t="n">
        <v>12.89</v>
      </c>
      <c r="G290" t="inlineStr">
        <is>
          <t>Consolidated first (v4) – needs verification for flagged rows</t>
        </is>
      </c>
      <c r="H290" t="n">
        <v>982</v>
      </c>
      <c r="I290" t="n">
        <v>726.5</v>
      </c>
      <c r="L290" t="inlineStr">
        <is>
          <t>OK</t>
        </is>
      </c>
      <c r="M290" t="n">
        <v>76.18000000000001</v>
      </c>
      <c r="N290" t="n">
        <v>56.36</v>
      </c>
      <c r="O290" t="n">
        <v>4945.5</v>
      </c>
      <c r="P290" t="n">
        <v>5085.8</v>
      </c>
      <c r="Q290" t="n">
        <v>3480.6</v>
      </c>
      <c r="R290" s="2" t="inlineStr">
        <is>
          <t>VERIFIED_OK</t>
        </is>
      </c>
      <c r="S290" t="n">
        <v>4945.5</v>
      </c>
      <c r="T290" t="inlineStr">
        <is>
          <t>30-07-2026 09:42 IST</t>
        </is>
      </c>
    </row>
    <row r="291">
      <c r="A291" t="n">
        <v>60</v>
      </c>
      <c r="B291" t="n">
        <v>500420</v>
      </c>
      <c r="C291" t="inlineStr">
        <is>
          <t>Torrent Pharmaceuticals Ltd</t>
        </is>
      </c>
      <c r="D291" t="n">
        <v>2020</v>
      </c>
      <c r="E291" t="n">
        <v>4766.60009765625</v>
      </c>
      <c r="F291" t="n">
        <v>30.28</v>
      </c>
      <c r="G291" t="inlineStr">
        <is>
          <t>Consolidated first (v4) – needs verification for flagged rows</t>
        </is>
      </c>
      <c r="H291" t="n">
        <v>1520</v>
      </c>
      <c r="I291" t="n">
        <v>809.5</v>
      </c>
      <c r="L291" t="inlineStr">
        <is>
          <t>OK</t>
        </is>
      </c>
      <c r="M291" t="n">
        <v>50.2</v>
      </c>
      <c r="N291" t="n">
        <v>26.73</v>
      </c>
      <c r="O291" t="n">
        <v>4945.5</v>
      </c>
      <c r="P291" t="n">
        <v>5085.8</v>
      </c>
      <c r="Q291" t="n">
        <v>3480.6</v>
      </c>
      <c r="R291" s="2" t="inlineStr">
        <is>
          <t>VERIFIED_OK</t>
        </is>
      </c>
      <c r="S291" t="n">
        <v>4945.5</v>
      </c>
      <c r="T291" t="inlineStr">
        <is>
          <t>30-07-2026 09:42 IST</t>
        </is>
      </c>
    </row>
    <row r="292">
      <c r="A292" t="n">
        <v>60</v>
      </c>
      <c r="B292" t="n">
        <v>500420</v>
      </c>
      <c r="C292" t="inlineStr">
        <is>
          <t>Torrent Pharmaceuticals Ltd</t>
        </is>
      </c>
      <c r="D292" t="n">
        <v>2021</v>
      </c>
      <c r="E292" t="n">
        <v>4766.60009765625</v>
      </c>
      <c r="F292" t="n">
        <v>36.99</v>
      </c>
      <c r="G292" t="inlineStr">
        <is>
          <t>Consolidated first (v4) – needs verification for flagged rows</t>
        </is>
      </c>
      <c r="H292" t="n">
        <v>1652.224975585938</v>
      </c>
      <c r="I292" t="n">
        <v>1155.650024414062</v>
      </c>
      <c r="L292" t="inlineStr">
        <is>
          <t>OK</t>
        </is>
      </c>
      <c r="M292" t="n">
        <v>44.67</v>
      </c>
      <c r="N292" t="n">
        <v>31.24</v>
      </c>
      <c r="O292" t="n">
        <v>4945.5</v>
      </c>
      <c r="P292" t="n">
        <v>5085.8</v>
      </c>
      <c r="Q292" t="n">
        <v>3480.6</v>
      </c>
      <c r="R292" s="2" t="inlineStr">
        <is>
          <t>VERIFIED_OK</t>
        </is>
      </c>
      <c r="S292" t="n">
        <v>4945.5</v>
      </c>
      <c r="T292" t="inlineStr">
        <is>
          <t>30-07-2026 09:42 IST</t>
        </is>
      </c>
    </row>
    <row r="293">
      <c r="A293" t="n">
        <v>60</v>
      </c>
      <c r="B293" t="n">
        <v>500420</v>
      </c>
      <c r="C293" t="inlineStr">
        <is>
          <t>Torrent Pharmaceuticals Ltd</t>
        </is>
      </c>
      <c r="D293" t="n">
        <v>2022</v>
      </c>
      <c r="E293" t="n">
        <v>4766.60009765625</v>
      </c>
      <c r="F293" t="n">
        <v>22.97</v>
      </c>
      <c r="G293" t="inlineStr">
        <is>
          <t>Consolidated first (v4) – needs verification for flagged rows</t>
        </is>
      </c>
      <c r="H293" t="n">
        <v>1722.699951171875</v>
      </c>
      <c r="I293" t="n">
        <v>1242.5</v>
      </c>
      <c r="L293" t="inlineStr">
        <is>
          <t>OK</t>
        </is>
      </c>
      <c r="M293" t="n">
        <v>75</v>
      </c>
      <c r="N293" t="n">
        <v>54.09</v>
      </c>
      <c r="O293" t="n">
        <v>4945.5</v>
      </c>
      <c r="P293" t="n">
        <v>5085.8</v>
      </c>
      <c r="Q293" t="n">
        <v>3480.6</v>
      </c>
      <c r="R293" s="2" t="inlineStr">
        <is>
          <t>VERIFIED_OK</t>
        </is>
      </c>
      <c r="S293" t="n">
        <v>4945.5</v>
      </c>
      <c r="T293" t="inlineStr">
        <is>
          <t>30-07-2026 09:42 IST</t>
        </is>
      </c>
    </row>
    <row r="294">
      <c r="A294" t="n">
        <v>60</v>
      </c>
      <c r="B294" t="n">
        <v>500420</v>
      </c>
      <c r="C294" t="inlineStr">
        <is>
          <t>Torrent Pharmaceuticals Ltd</t>
        </is>
      </c>
      <c r="D294" t="n">
        <v>2023</v>
      </c>
      <c r="E294" t="n">
        <v>4766.60009765625</v>
      </c>
      <c r="F294" t="n">
        <v>36.79</v>
      </c>
      <c r="G294" t="inlineStr">
        <is>
          <t>Consolidated first (v4) – needs verification for flagged rows</t>
        </is>
      </c>
      <c r="H294" t="n">
        <v>2309.89990234375</v>
      </c>
      <c r="I294" t="n">
        <v>1446.150024414062</v>
      </c>
      <c r="L294" t="inlineStr">
        <is>
          <t>OK</t>
        </is>
      </c>
      <c r="M294" t="n">
        <v>62.79</v>
      </c>
      <c r="N294" t="n">
        <v>39.31</v>
      </c>
      <c r="O294" t="n">
        <v>4945.5</v>
      </c>
      <c r="P294" t="n">
        <v>5085.8</v>
      </c>
      <c r="Q294" t="n">
        <v>3480.6</v>
      </c>
      <c r="R294" s="2" t="inlineStr">
        <is>
          <t>VERIFIED_OK</t>
        </is>
      </c>
      <c r="S294" t="n">
        <v>4945.5</v>
      </c>
      <c r="T294" t="inlineStr">
        <is>
          <t>30-07-2026 09:42 IST</t>
        </is>
      </c>
    </row>
    <row r="295">
      <c r="A295" t="n">
        <v>60</v>
      </c>
      <c r="B295" t="n">
        <v>500420</v>
      </c>
      <c r="C295" t="inlineStr">
        <is>
          <t>Torrent Pharmaceuticals Ltd</t>
        </is>
      </c>
      <c r="D295" t="n">
        <v>2024</v>
      </c>
      <c r="E295" t="n">
        <v>4766.60009765625</v>
      </c>
      <c r="F295" t="n">
        <v>48.94</v>
      </c>
      <c r="G295" t="inlineStr">
        <is>
          <t>Consolidated first (v4) – needs verification for flagged rows</t>
        </is>
      </c>
      <c r="H295" t="n">
        <v>3589.949951171875</v>
      </c>
      <c r="I295" t="n">
        <v>2270.14990234375</v>
      </c>
      <c r="L295" t="inlineStr">
        <is>
          <t>OK</t>
        </is>
      </c>
      <c r="M295" t="n">
        <v>73.34999999999999</v>
      </c>
      <c r="N295" t="n">
        <v>46.39</v>
      </c>
      <c r="O295" t="n">
        <v>4945.5</v>
      </c>
      <c r="P295" t="n">
        <v>5085.8</v>
      </c>
      <c r="Q295" t="n">
        <v>3480.6</v>
      </c>
      <c r="R295" s="2" t="inlineStr">
        <is>
          <t>VERIFIED_OK</t>
        </is>
      </c>
      <c r="S295" t="n">
        <v>4945.5</v>
      </c>
      <c r="T295" t="inlineStr">
        <is>
          <t>30-07-2026 09:42 IST</t>
        </is>
      </c>
    </row>
    <row r="296">
      <c r="A296" t="n">
        <v>60</v>
      </c>
      <c r="B296" t="n">
        <v>500420</v>
      </c>
      <c r="C296" t="inlineStr">
        <is>
          <t>Torrent Pharmaceuticals Ltd</t>
        </is>
      </c>
      <c r="D296" t="n">
        <v>2025</v>
      </c>
      <c r="E296" t="n">
        <v>4766.60009765625</v>
      </c>
      <c r="F296" t="n">
        <v>56.47</v>
      </c>
      <c r="G296" t="inlineStr">
        <is>
          <t>Consolidated first (v4) – needs verification for flagged rows</t>
        </is>
      </c>
      <c r="H296" t="n">
        <v>3880.550048828125</v>
      </c>
      <c r="I296" t="n">
        <v>2891.449951171875</v>
      </c>
      <c r="L296" t="inlineStr">
        <is>
          <t>OK</t>
        </is>
      </c>
      <c r="M296" t="n">
        <v>68.72</v>
      </c>
      <c r="N296" t="n">
        <v>51.2</v>
      </c>
      <c r="O296" t="n">
        <v>4945.5</v>
      </c>
      <c r="P296" t="n">
        <v>5085.8</v>
      </c>
      <c r="Q296" t="n">
        <v>3480.6</v>
      </c>
      <c r="R296" s="2" t="inlineStr">
        <is>
          <t>VERIFIED_OK</t>
        </is>
      </c>
      <c r="S296" t="n">
        <v>4945.5</v>
      </c>
      <c r="T296" t="inlineStr">
        <is>
          <t>30-07-2026 09:42 IST</t>
        </is>
      </c>
    </row>
    <row r="297">
      <c r="A297" t="n">
        <v>60</v>
      </c>
      <c r="B297" t="n">
        <v>500420</v>
      </c>
      <c r="C297" t="inlineStr">
        <is>
          <t>Torrent Pharmaceuticals Ltd</t>
        </is>
      </c>
      <c r="D297" t="n">
        <v>2026</v>
      </c>
      <c r="E297" t="n">
        <v>4766.60009765625</v>
      </c>
      <c r="F297" t="n">
        <v>63.92</v>
      </c>
      <c r="G297" t="inlineStr">
        <is>
          <t>Consolidated first (v4) – needs verification for flagged rows</t>
        </is>
      </c>
      <c r="H297" t="n">
        <v>5084.85009765625</v>
      </c>
      <c r="I297" t="n">
        <v>3724.10009765625</v>
      </c>
      <c r="L297" t="inlineStr">
        <is>
          <t>OK</t>
        </is>
      </c>
      <c r="M297" t="n">
        <v>79.55</v>
      </c>
      <c r="N297" t="n">
        <v>58.26</v>
      </c>
      <c r="O297" t="n">
        <v>4945.5</v>
      </c>
      <c r="P297" t="n">
        <v>5085.8</v>
      </c>
      <c r="Q297" t="n">
        <v>3480.6</v>
      </c>
      <c r="R297" s="2" t="inlineStr">
        <is>
          <t>VERIFIED_OK</t>
        </is>
      </c>
      <c r="S297" t="n">
        <v>4945.5</v>
      </c>
      <c r="T297" t="inlineStr">
        <is>
          <t>30-07-2026 09:42 IST</t>
        </is>
      </c>
    </row>
    <row r="298">
      <c r="A298" t="n">
        <v>426</v>
      </c>
      <c r="B298" t="n">
        <v>500425</v>
      </c>
      <c r="C298" t="inlineStr">
        <is>
          <t>Ambuja Cements Ltd</t>
        </is>
      </c>
      <c r="D298" t="n">
        <v>2015</v>
      </c>
      <c r="E298" t="n">
        <v>438.7000122070312</v>
      </c>
      <c r="F298" t="n">
        <v>5.21</v>
      </c>
      <c r="G298" t="inlineStr">
        <is>
          <t>Consolidated first (v4) – needs verification for flagged rows</t>
        </is>
      </c>
      <c r="H298" t="n">
        <v>286.8500061035156</v>
      </c>
      <c r="L298" t="inlineStr">
        <is>
          <t>OK</t>
        </is>
      </c>
      <c r="M298" t="n">
        <v>55.06</v>
      </c>
      <c r="O298" t="n">
        <v>431.6</v>
      </c>
      <c r="P298" t="n">
        <v>625</v>
      </c>
      <c r="Q298" t="n">
        <v>431.25</v>
      </c>
      <c r="R298" s="2" t="inlineStr">
        <is>
          <t>VERIFIED_OK</t>
        </is>
      </c>
      <c r="S298" t="n">
        <v>431.6</v>
      </c>
      <c r="T298" t="inlineStr">
        <is>
          <t>30-07-2026 09:42 IST</t>
        </is>
      </c>
    </row>
    <row r="299">
      <c r="A299" t="n">
        <v>426</v>
      </c>
      <c r="B299" t="n">
        <v>500425</v>
      </c>
      <c r="C299" t="inlineStr">
        <is>
          <t>Ambuja Cements Ltd</t>
        </is>
      </c>
      <c r="D299" t="n">
        <v>2016</v>
      </c>
      <c r="E299" t="n">
        <v>438.7000122070312</v>
      </c>
      <c r="F299" t="n">
        <v>5.57</v>
      </c>
      <c r="G299" t="inlineStr">
        <is>
          <t>Consolidated first (v4) – needs verification for flagged rows</t>
        </is>
      </c>
      <c r="H299" t="n">
        <v>282</v>
      </c>
      <c r="I299" t="n">
        <v>185</v>
      </c>
      <c r="L299" t="inlineStr">
        <is>
          <t>OK</t>
        </is>
      </c>
      <c r="M299" t="n">
        <v>50.63</v>
      </c>
      <c r="N299" t="n">
        <v>33.21</v>
      </c>
      <c r="O299" t="n">
        <v>431.6</v>
      </c>
      <c r="P299" t="n">
        <v>625</v>
      </c>
      <c r="Q299" t="n">
        <v>431.25</v>
      </c>
      <c r="R299" s="2" t="inlineStr">
        <is>
          <t>VERIFIED_OK</t>
        </is>
      </c>
      <c r="S299" t="n">
        <v>431.6</v>
      </c>
      <c r="T299" t="inlineStr">
        <is>
          <t>30-07-2026 09:42 IST</t>
        </is>
      </c>
    </row>
    <row r="300">
      <c r="A300" t="n">
        <v>426</v>
      </c>
      <c r="B300" t="n">
        <v>500425</v>
      </c>
      <c r="C300" t="inlineStr">
        <is>
          <t>Ambuja Cements Ltd</t>
        </is>
      </c>
      <c r="D300" t="n">
        <v>2017</v>
      </c>
      <c r="E300" t="n">
        <v>438.7000122070312</v>
      </c>
      <c r="F300" t="n">
        <v>7.64</v>
      </c>
      <c r="G300" t="inlineStr">
        <is>
          <t>Consolidated first (v4) – needs verification for flagged rows</t>
        </is>
      </c>
      <c r="H300" t="n">
        <v>291.2999877929688</v>
      </c>
      <c r="I300" t="n">
        <v>208.5</v>
      </c>
      <c r="L300" t="inlineStr">
        <is>
          <t>OK</t>
        </is>
      </c>
      <c r="M300" t="n">
        <v>38.13</v>
      </c>
      <c r="N300" t="n">
        <v>27.29</v>
      </c>
      <c r="O300" t="n">
        <v>431.6</v>
      </c>
      <c r="P300" t="n">
        <v>625</v>
      </c>
      <c r="Q300" t="n">
        <v>431.25</v>
      </c>
      <c r="R300" s="2" t="inlineStr">
        <is>
          <t>VERIFIED_OK</t>
        </is>
      </c>
      <c r="S300" t="n">
        <v>431.6</v>
      </c>
      <c r="T300" t="inlineStr">
        <is>
          <t>30-07-2026 09:42 IST</t>
        </is>
      </c>
    </row>
    <row r="301">
      <c r="A301" t="n">
        <v>426</v>
      </c>
      <c r="B301" t="n">
        <v>500425</v>
      </c>
      <c r="C301" t="inlineStr">
        <is>
          <t>Ambuja Cements Ltd</t>
        </is>
      </c>
      <c r="D301" t="n">
        <v>2018</v>
      </c>
      <c r="E301" t="n">
        <v>438.7000122070312</v>
      </c>
      <c r="F301" t="n">
        <v>10.97</v>
      </c>
      <c r="G301" t="inlineStr">
        <is>
          <t>Consolidated first (v4) – needs verification for flagged rows</t>
        </is>
      </c>
      <c r="H301" t="n">
        <v>280</v>
      </c>
      <c r="I301" t="n">
        <v>188.5</v>
      </c>
      <c r="L301" t="inlineStr">
        <is>
          <t>OK</t>
        </is>
      </c>
      <c r="M301" t="n">
        <v>25.52</v>
      </c>
      <c r="N301" t="n">
        <v>17.18</v>
      </c>
      <c r="O301" t="n">
        <v>431.6</v>
      </c>
      <c r="P301" t="n">
        <v>625</v>
      </c>
      <c r="Q301" t="n">
        <v>431.25</v>
      </c>
      <c r="R301" s="2" t="inlineStr">
        <is>
          <t>VERIFIED_OK</t>
        </is>
      </c>
      <c r="S301" t="n">
        <v>431.6</v>
      </c>
      <c r="T301" t="inlineStr">
        <is>
          <t>30-07-2026 09:42 IST</t>
        </is>
      </c>
    </row>
    <row r="302">
      <c r="A302" t="n">
        <v>426</v>
      </c>
      <c r="B302" t="n">
        <v>500425</v>
      </c>
      <c r="C302" t="inlineStr">
        <is>
          <t>Ambuja Cements Ltd</t>
        </is>
      </c>
      <c r="D302" t="n">
        <v>2019</v>
      </c>
      <c r="E302" t="n">
        <v>438.7000122070312</v>
      </c>
      <c r="F302" t="n">
        <v>10.55</v>
      </c>
      <c r="G302" t="inlineStr">
        <is>
          <t>Consolidated first (v4) – needs verification for flagged rows</t>
        </is>
      </c>
      <c r="H302" t="n">
        <v>244</v>
      </c>
      <c r="I302" t="n">
        <v>184.1499938964844</v>
      </c>
      <c r="L302" t="inlineStr">
        <is>
          <t>OK</t>
        </is>
      </c>
      <c r="M302" t="n">
        <v>23.13</v>
      </c>
      <c r="N302" t="n">
        <v>17.45</v>
      </c>
      <c r="O302" t="n">
        <v>431.6</v>
      </c>
      <c r="P302" t="n">
        <v>625</v>
      </c>
      <c r="Q302" t="n">
        <v>431.25</v>
      </c>
      <c r="R302" s="2" t="inlineStr">
        <is>
          <t>VERIFIED_OK</t>
        </is>
      </c>
      <c r="S302" t="n">
        <v>431.6</v>
      </c>
      <c r="T302" t="inlineStr">
        <is>
          <t>30-07-2026 09:42 IST</t>
        </is>
      </c>
    </row>
    <row r="303">
      <c r="A303" t="n">
        <v>426</v>
      </c>
      <c r="B303" t="n">
        <v>500425</v>
      </c>
      <c r="C303" t="inlineStr">
        <is>
          <t>Ambuja Cements Ltd</t>
        </is>
      </c>
      <c r="D303" t="n">
        <v>2020</v>
      </c>
      <c r="E303" t="n">
        <v>438.7000122070312</v>
      </c>
      <c r="F303" t="n">
        <v>11.91</v>
      </c>
      <c r="G303" t="inlineStr">
        <is>
          <t>Consolidated first (v4) – needs verification for flagged rows</t>
        </is>
      </c>
      <c r="H303" t="n">
        <v>271.9500122070312</v>
      </c>
      <c r="I303" t="n">
        <v>136.6499938964844</v>
      </c>
      <c r="L303" t="inlineStr">
        <is>
          <t>OK</t>
        </is>
      </c>
      <c r="M303" t="n">
        <v>22.83</v>
      </c>
      <c r="N303" t="n">
        <v>11.47</v>
      </c>
      <c r="O303" t="n">
        <v>431.6</v>
      </c>
      <c r="P303" t="n">
        <v>625</v>
      </c>
      <c r="Q303" t="n">
        <v>431.25</v>
      </c>
      <c r="R303" s="2" t="inlineStr">
        <is>
          <t>VERIFIED_OK</t>
        </is>
      </c>
      <c r="S303" t="n">
        <v>431.6</v>
      </c>
      <c r="T303" t="inlineStr">
        <is>
          <t>30-07-2026 09:42 IST</t>
        </is>
      </c>
    </row>
    <row r="304">
      <c r="A304" t="n">
        <v>426</v>
      </c>
      <c r="B304" t="n">
        <v>500425</v>
      </c>
      <c r="C304" t="inlineStr">
        <is>
          <t>Ambuja Cements Ltd</t>
        </is>
      </c>
      <c r="D304" t="n">
        <v>2021</v>
      </c>
      <c r="E304" t="n">
        <v>438.7000122070312</v>
      </c>
      <c r="F304" t="n">
        <v>14</v>
      </c>
      <c r="G304" t="inlineStr">
        <is>
          <t>Consolidated first (v4) – needs verification for flagged rows</t>
        </is>
      </c>
      <c r="H304" t="n">
        <v>442.9500122070312</v>
      </c>
      <c r="I304" t="n">
        <v>242</v>
      </c>
      <c r="L304" t="inlineStr">
        <is>
          <t>OK</t>
        </is>
      </c>
      <c r="M304" t="n">
        <v>31.64</v>
      </c>
      <c r="N304" t="n">
        <v>17.29</v>
      </c>
      <c r="O304" t="n">
        <v>431.6</v>
      </c>
      <c r="P304" t="n">
        <v>625</v>
      </c>
      <c r="Q304" t="n">
        <v>431.25</v>
      </c>
      <c r="R304" s="2" t="inlineStr">
        <is>
          <t>VERIFIED_OK</t>
        </is>
      </c>
      <c r="S304" t="n">
        <v>431.6</v>
      </c>
      <c r="T304" t="inlineStr">
        <is>
          <t>30-07-2026 09:42 IST</t>
        </is>
      </c>
    </row>
    <row r="305">
      <c r="A305" t="n">
        <v>426</v>
      </c>
      <c r="B305" t="n">
        <v>500425</v>
      </c>
      <c r="C305" t="inlineStr">
        <is>
          <t>Ambuja Cements Ltd</t>
        </is>
      </c>
      <c r="D305" t="n">
        <v>2022</v>
      </c>
      <c r="E305" t="n">
        <v>438.7000122070312</v>
      </c>
      <c r="G305" t="inlineStr">
        <is>
          <t>Consolidated first (v4) – needs verification for flagged rows</t>
        </is>
      </c>
      <c r="H305" t="n">
        <v>598.1500244140625</v>
      </c>
      <c r="I305" t="n">
        <v>274</v>
      </c>
      <c r="L305" t="inlineStr">
        <is>
          <t>INCOMPLETE</t>
        </is>
      </c>
      <c r="O305" t="n">
        <v>431.6</v>
      </c>
      <c r="P305" t="n">
        <v>625</v>
      </c>
      <c r="Q305" t="n">
        <v>431.25</v>
      </c>
      <c r="R305" s="2" t="inlineStr">
        <is>
          <t>VERIFIED_OK</t>
        </is>
      </c>
      <c r="S305" t="n">
        <v>431.6</v>
      </c>
      <c r="T305" t="inlineStr">
        <is>
          <t>30-07-2026 09:42 IST</t>
        </is>
      </c>
    </row>
    <row r="306">
      <c r="A306" t="n">
        <v>426</v>
      </c>
      <c r="B306" t="n">
        <v>500425</v>
      </c>
      <c r="C306" t="inlineStr">
        <is>
          <t>Ambuja Cements Ltd</t>
        </is>
      </c>
      <c r="D306" t="n">
        <v>2023</v>
      </c>
      <c r="E306" t="n">
        <v>438.7000122070312</v>
      </c>
      <c r="F306" t="n">
        <v>13.01</v>
      </c>
      <c r="G306" t="inlineStr">
        <is>
          <t>Consolidated first (v4) – needs verification for flagged rows</t>
        </is>
      </c>
      <c r="H306" t="n">
        <v>536.7000122070312</v>
      </c>
      <c r="I306" t="n">
        <v>315.2999877929688</v>
      </c>
      <c r="L306" t="inlineStr">
        <is>
          <t>OK</t>
        </is>
      </c>
      <c r="M306" t="n">
        <v>41.25</v>
      </c>
      <c r="N306" t="n">
        <v>24.24</v>
      </c>
      <c r="O306" t="n">
        <v>431.6</v>
      </c>
      <c r="P306" t="n">
        <v>625</v>
      </c>
      <c r="Q306" t="n">
        <v>431.25</v>
      </c>
      <c r="R306" s="2" t="inlineStr">
        <is>
          <t>VERIFIED_OK</t>
        </is>
      </c>
      <c r="S306" t="n">
        <v>431.6</v>
      </c>
      <c r="T306" t="inlineStr">
        <is>
          <t>30-07-2026 09:42 IST</t>
        </is>
      </c>
    </row>
    <row r="307">
      <c r="A307" t="n">
        <v>426</v>
      </c>
      <c r="B307" t="n">
        <v>500425</v>
      </c>
      <c r="C307" t="inlineStr">
        <is>
          <t>Ambuja Cements Ltd</t>
        </is>
      </c>
      <c r="D307" t="n">
        <v>2024</v>
      </c>
      <c r="E307" t="n">
        <v>438.7000122070312</v>
      </c>
      <c r="F307" t="n">
        <v>16.26</v>
      </c>
      <c r="G307" t="inlineStr">
        <is>
          <t>Consolidated first (v4) – needs verification for flagged rows</t>
        </is>
      </c>
      <c r="H307" t="n">
        <v>706.8499755859375</v>
      </c>
      <c r="I307" t="n">
        <v>452.8999938964844</v>
      </c>
      <c r="L307" t="inlineStr">
        <is>
          <t>OK</t>
        </is>
      </c>
      <c r="M307" t="n">
        <v>43.47</v>
      </c>
      <c r="N307" t="n">
        <v>27.85</v>
      </c>
      <c r="O307" t="n">
        <v>431.6</v>
      </c>
      <c r="P307" t="n">
        <v>625</v>
      </c>
      <c r="Q307" t="n">
        <v>431.25</v>
      </c>
      <c r="R307" s="2" t="inlineStr">
        <is>
          <t>VERIFIED_OK</t>
        </is>
      </c>
      <c r="S307" t="n">
        <v>431.6</v>
      </c>
      <c r="T307" t="inlineStr">
        <is>
          <t>30-07-2026 09:42 IST</t>
        </is>
      </c>
    </row>
    <row r="308">
      <c r="A308" t="n">
        <v>426</v>
      </c>
      <c r="B308" t="n">
        <v>500425</v>
      </c>
      <c r="C308" t="inlineStr">
        <is>
          <t>Ambuja Cements Ltd</t>
        </is>
      </c>
      <c r="D308" t="n">
        <v>2025</v>
      </c>
      <c r="E308" t="n">
        <v>438.7000122070312</v>
      </c>
      <c r="F308" t="n">
        <v>17.47</v>
      </c>
      <c r="G308" t="inlineStr">
        <is>
          <t>Consolidated first (v4) – needs verification for flagged rows</t>
        </is>
      </c>
      <c r="H308" t="n">
        <v>625</v>
      </c>
      <c r="I308" t="n">
        <v>455</v>
      </c>
      <c r="L308" t="inlineStr">
        <is>
          <t>OK</t>
        </is>
      </c>
      <c r="M308" t="n">
        <v>35.78</v>
      </c>
      <c r="N308" t="n">
        <v>26.04</v>
      </c>
      <c r="O308" t="n">
        <v>431.6</v>
      </c>
      <c r="P308" t="n">
        <v>625</v>
      </c>
      <c r="Q308" t="n">
        <v>431.25</v>
      </c>
      <c r="R308" s="2" t="inlineStr">
        <is>
          <t>VERIFIED_OK</t>
        </is>
      </c>
      <c r="S308" t="n">
        <v>431.6</v>
      </c>
      <c r="T308" t="inlineStr">
        <is>
          <t>30-07-2026 09:42 IST</t>
        </is>
      </c>
    </row>
    <row r="309">
      <c r="A309" t="n">
        <v>426</v>
      </c>
      <c r="B309" t="n">
        <v>500425</v>
      </c>
      <c r="C309" t="inlineStr">
        <is>
          <t>Ambuja Cements Ltd</t>
        </is>
      </c>
      <c r="D309" t="n">
        <v>2026</v>
      </c>
      <c r="E309" t="n">
        <v>438.7000122070312</v>
      </c>
      <c r="F309" t="n">
        <v>19.13</v>
      </c>
      <c r="G309" t="inlineStr">
        <is>
          <t>Consolidated first (v4) – needs verification for flagged rows</t>
        </is>
      </c>
      <c r="H309" t="n">
        <v>572.7000122070312</v>
      </c>
      <c r="I309" t="n">
        <v>394</v>
      </c>
      <c r="L309" t="inlineStr">
        <is>
          <t>OK</t>
        </is>
      </c>
      <c r="M309" t="n">
        <v>29.94</v>
      </c>
      <c r="N309" t="n">
        <v>20.6</v>
      </c>
      <c r="O309" t="n">
        <v>431.6</v>
      </c>
      <c r="P309" t="n">
        <v>625</v>
      </c>
      <c r="Q309" t="n">
        <v>431.25</v>
      </c>
      <c r="R309" s="2" t="inlineStr">
        <is>
          <t>VERIFIED_OK</t>
        </is>
      </c>
      <c r="S309" t="n">
        <v>431.6</v>
      </c>
      <c r="T309" t="inlineStr">
        <is>
          <t>30-07-2026 09:42 IST</t>
        </is>
      </c>
    </row>
    <row r="310">
      <c r="A310" t="n">
        <v>427</v>
      </c>
      <c r="B310" t="n">
        <v>500426</v>
      </c>
      <c r="C310" t="inlineStr">
        <is>
          <t>UTL Industries Ltd</t>
        </is>
      </c>
      <c r="D310" t="n">
        <v>2015</v>
      </c>
      <c r="E310" t="n">
        <v>1.600000023841858</v>
      </c>
      <c r="F310" t="n">
        <v>-0.4</v>
      </c>
      <c r="G310" t="inlineStr">
        <is>
          <t>Consolidated first (v4) – needs verification for flagged rows</t>
        </is>
      </c>
      <c r="H310" t="n">
        <v>53.79999923706055</v>
      </c>
      <c r="I310" t="n">
        <v>7.699999809265137</v>
      </c>
      <c r="L310" t="inlineStr">
        <is>
          <t>UNVERIFIED – negative EPS</t>
        </is>
      </c>
      <c r="M310" t="n">
        <v>-134.5</v>
      </c>
      <c r="N310" t="n">
        <v>-19.25</v>
      </c>
      <c r="O310" t="n">
        <v>3.74</v>
      </c>
      <c r="P310" t="n">
        <v>4.99</v>
      </c>
      <c r="Q310" t="n">
        <v>2.12</v>
      </c>
      <c r="R310" s="3" t="inlineStr">
        <is>
          <t>MISMATCH_NEEDS_CORRECTION</t>
        </is>
      </c>
      <c r="S310" t="n">
        <v>3.74</v>
      </c>
      <c r="T310" t="inlineStr">
        <is>
          <t>30-07-2026 09:42 IST</t>
        </is>
      </c>
    </row>
    <row r="311">
      <c r="A311" t="n">
        <v>427</v>
      </c>
      <c r="B311" t="n">
        <v>500426</v>
      </c>
      <c r="C311" t="inlineStr">
        <is>
          <t>UTL Industries Ltd</t>
        </is>
      </c>
      <c r="D311" t="n">
        <v>2016</v>
      </c>
      <c r="E311" t="n">
        <v>1.600000023841858</v>
      </c>
      <c r="F311" t="n">
        <v>0.03</v>
      </c>
      <c r="G311" t="inlineStr">
        <is>
          <t>Consolidated first (v4) – needs verification for flagged rows</t>
        </is>
      </c>
      <c r="H311" t="n">
        <v>7.699999809265137</v>
      </c>
      <c r="I311" t="n">
        <v>3.619999885559082</v>
      </c>
      <c r="L311" t="inlineStr">
        <is>
          <t>UNVERIFIED – negative EPS</t>
        </is>
      </c>
      <c r="M311" t="n">
        <v>256.67</v>
      </c>
      <c r="N311" t="n">
        <v>120.67</v>
      </c>
      <c r="O311" t="n">
        <v>3.74</v>
      </c>
      <c r="P311" t="n">
        <v>4.99</v>
      </c>
      <c r="Q311" t="n">
        <v>2.12</v>
      </c>
      <c r="R311" s="3" t="inlineStr">
        <is>
          <t>MISMATCH_NEEDS_CORRECTION</t>
        </is>
      </c>
      <c r="S311" t="n">
        <v>3.74</v>
      </c>
      <c r="T311" t="inlineStr">
        <is>
          <t>30-07-2026 09:42 IST</t>
        </is>
      </c>
    </row>
    <row r="312">
      <c r="A312" t="n">
        <v>427</v>
      </c>
      <c r="B312" t="n">
        <v>500426</v>
      </c>
      <c r="C312" t="inlineStr">
        <is>
          <t>UTL Industries Ltd</t>
        </is>
      </c>
      <c r="D312" t="n">
        <v>2017</v>
      </c>
      <c r="E312" t="n">
        <v>1.600000023841858</v>
      </c>
      <c r="F312" t="n">
        <v>0.86</v>
      </c>
      <c r="G312" t="inlineStr">
        <is>
          <t>Consolidated first (v4) – needs verification for flagged rows</t>
        </is>
      </c>
      <c r="H312" t="n">
        <v>7</v>
      </c>
      <c r="I312" t="n">
        <v>3.799999952316284</v>
      </c>
      <c r="L312" t="inlineStr">
        <is>
          <t>UNVERIFIED – tiny EPS &lt;0.5</t>
        </is>
      </c>
      <c r="M312" t="n">
        <v>8.140000000000001</v>
      </c>
      <c r="N312" t="n">
        <v>4.42</v>
      </c>
      <c r="O312" t="n">
        <v>3.74</v>
      </c>
      <c r="P312" t="n">
        <v>4.99</v>
      </c>
      <c r="Q312" t="n">
        <v>2.12</v>
      </c>
      <c r="R312" s="3" t="inlineStr">
        <is>
          <t>MISMATCH_NEEDS_CORRECTION</t>
        </is>
      </c>
      <c r="S312" t="n">
        <v>3.74</v>
      </c>
      <c r="T312" t="inlineStr">
        <is>
          <t>30-07-2026 09:42 IST</t>
        </is>
      </c>
    </row>
    <row r="313">
      <c r="A313" t="n">
        <v>427</v>
      </c>
      <c r="B313" t="n">
        <v>500426</v>
      </c>
      <c r="C313" t="inlineStr">
        <is>
          <t>UTL Industries Ltd</t>
        </is>
      </c>
      <c r="D313" t="n">
        <v>2018</v>
      </c>
      <c r="E313" t="n">
        <v>1.600000023841858</v>
      </c>
      <c r="F313" t="n">
        <v>-0.18</v>
      </c>
      <c r="G313" t="inlineStr">
        <is>
          <t>Consolidated first (v4) – needs verification for flagged rows</t>
        </is>
      </c>
      <c r="H313" t="n">
        <v>22.79999923706055</v>
      </c>
      <c r="I313" t="n">
        <v>6.019999980926514</v>
      </c>
      <c r="L313" t="inlineStr">
        <is>
          <t>UNVERIFIED – tiny EPS &lt;0.5</t>
        </is>
      </c>
      <c r="M313" t="n">
        <v>-126.67</v>
      </c>
      <c r="N313" t="n">
        <v>-33.44</v>
      </c>
      <c r="O313" t="n">
        <v>3.74</v>
      </c>
      <c r="P313" t="n">
        <v>4.99</v>
      </c>
      <c r="Q313" t="n">
        <v>2.12</v>
      </c>
      <c r="R313" s="3" t="inlineStr">
        <is>
          <t>MISMATCH_NEEDS_CORRECTION</t>
        </is>
      </c>
      <c r="S313" t="n">
        <v>3.74</v>
      </c>
      <c r="T313" t="inlineStr">
        <is>
          <t>30-07-2026 09:42 IST</t>
        </is>
      </c>
    </row>
    <row r="314">
      <c r="A314" t="n">
        <v>427</v>
      </c>
      <c r="B314" t="n">
        <v>500426</v>
      </c>
      <c r="C314" t="inlineStr">
        <is>
          <t>UTL Industries Ltd</t>
        </is>
      </c>
      <c r="D314" t="n">
        <v>2019</v>
      </c>
      <c r="E314" t="n">
        <v>1.600000023841858</v>
      </c>
      <c r="F314" t="n">
        <v>0.24</v>
      </c>
      <c r="G314" t="inlineStr">
        <is>
          <t>Consolidated first (v4) – needs verification for flagged rows</t>
        </is>
      </c>
      <c r="H314" t="n">
        <v>21.10000038146973</v>
      </c>
      <c r="I314" t="n">
        <v>4.349999904632568</v>
      </c>
      <c r="L314" t="inlineStr">
        <is>
          <t>UNVERIFIED – tiny EPS &lt;0.5</t>
        </is>
      </c>
      <c r="M314" t="n">
        <v>87.92</v>
      </c>
      <c r="N314" t="n">
        <v>18.12</v>
      </c>
      <c r="O314" t="n">
        <v>3.74</v>
      </c>
      <c r="P314" t="n">
        <v>4.99</v>
      </c>
      <c r="Q314" t="n">
        <v>2.12</v>
      </c>
      <c r="R314" s="3" t="inlineStr">
        <is>
          <t>MISMATCH_NEEDS_CORRECTION</t>
        </is>
      </c>
      <c r="S314" t="n">
        <v>3.74</v>
      </c>
      <c r="T314" t="inlineStr">
        <is>
          <t>30-07-2026 09:42 IST</t>
        </is>
      </c>
    </row>
    <row r="315">
      <c r="A315" t="n">
        <v>427</v>
      </c>
      <c r="B315" t="n">
        <v>500426</v>
      </c>
      <c r="C315" t="inlineStr">
        <is>
          <t>UTL Industries Ltd</t>
        </is>
      </c>
      <c r="D315" t="n">
        <v>2020</v>
      </c>
      <c r="E315" t="n">
        <v>1.600000023841858</v>
      </c>
      <c r="F315" t="n">
        <v>0.03</v>
      </c>
      <c r="G315" t="inlineStr">
        <is>
          <t>Consolidated first (v4) – needs verification for flagged rows</t>
        </is>
      </c>
      <c r="H315" t="n">
        <v>11.90999984741211</v>
      </c>
      <c r="I315" t="n">
        <v>4.949999809265137</v>
      </c>
      <c r="L315" t="inlineStr">
        <is>
          <t>UNVERIFIED – tiny EPS &lt;0.5</t>
        </is>
      </c>
      <c r="M315" t="n">
        <v>397</v>
      </c>
      <c r="N315" t="n">
        <v>165</v>
      </c>
      <c r="O315" t="n">
        <v>3.74</v>
      </c>
      <c r="P315" t="n">
        <v>4.99</v>
      </c>
      <c r="Q315" t="n">
        <v>2.12</v>
      </c>
      <c r="R315" s="3" t="inlineStr">
        <is>
          <t>MISMATCH_NEEDS_CORRECTION</t>
        </is>
      </c>
      <c r="S315" t="n">
        <v>3.74</v>
      </c>
      <c r="T315" t="inlineStr">
        <is>
          <t>30-07-2026 09:42 IST</t>
        </is>
      </c>
    </row>
    <row r="316">
      <c r="A316" t="n">
        <v>427</v>
      </c>
      <c r="B316" t="n">
        <v>500426</v>
      </c>
      <c r="C316" t="inlineStr">
        <is>
          <t>UTL Industries Ltd</t>
        </is>
      </c>
      <c r="D316" t="n">
        <v>2021</v>
      </c>
      <c r="E316" t="n">
        <v>1.600000023841858</v>
      </c>
      <c r="F316" t="n">
        <v>0.1</v>
      </c>
      <c r="G316" t="inlineStr">
        <is>
          <t>Consolidated first (v4) – needs verification for flagged rows</t>
        </is>
      </c>
      <c r="H316" t="n">
        <v>16.45000076293945</v>
      </c>
      <c r="I316" t="n">
        <v>4.650000095367432</v>
      </c>
      <c r="L316" t="inlineStr">
        <is>
          <t>UNVERIFIED – tiny EPS &lt;0.5</t>
        </is>
      </c>
      <c r="M316" t="n">
        <v>164.5</v>
      </c>
      <c r="N316" t="n">
        <v>46.5</v>
      </c>
      <c r="O316" t="n">
        <v>3.74</v>
      </c>
      <c r="P316" t="n">
        <v>4.99</v>
      </c>
      <c r="Q316" t="n">
        <v>2.12</v>
      </c>
      <c r="R316" s="3" t="inlineStr">
        <is>
          <t>MISMATCH_NEEDS_CORRECTION</t>
        </is>
      </c>
      <c r="S316" t="n">
        <v>3.74</v>
      </c>
      <c r="T316" t="inlineStr">
        <is>
          <t>30-07-2026 09:42 IST</t>
        </is>
      </c>
    </row>
    <row r="317">
      <c r="A317" t="n">
        <v>427</v>
      </c>
      <c r="B317" t="n">
        <v>500426</v>
      </c>
      <c r="C317" t="inlineStr">
        <is>
          <t>UTL Industries Ltd</t>
        </is>
      </c>
      <c r="D317" t="n">
        <v>2022</v>
      </c>
      <c r="E317" t="n">
        <v>1.600000023841858</v>
      </c>
      <c r="F317" t="n">
        <v>-0.06</v>
      </c>
      <c r="G317" t="inlineStr">
        <is>
          <t>Consolidated first (v4) – needs verification for flagged rows</t>
        </is>
      </c>
      <c r="H317" t="n">
        <v>8.170000076293945</v>
      </c>
      <c r="I317" t="n">
        <v>3.059999942779541</v>
      </c>
      <c r="L317" t="inlineStr">
        <is>
          <t>UNVERIFIED – negative EPS</t>
        </is>
      </c>
      <c r="M317" t="n">
        <v>-136.17</v>
      </c>
      <c r="N317" t="n">
        <v>-51</v>
      </c>
      <c r="O317" t="n">
        <v>3.74</v>
      </c>
      <c r="P317" t="n">
        <v>4.99</v>
      </c>
      <c r="Q317" t="n">
        <v>2.12</v>
      </c>
      <c r="R317" s="3" t="inlineStr">
        <is>
          <t>MISMATCH_NEEDS_CORRECTION</t>
        </is>
      </c>
      <c r="S317" t="n">
        <v>3.74</v>
      </c>
      <c r="T317" t="inlineStr">
        <is>
          <t>30-07-2026 09:42 IST</t>
        </is>
      </c>
    </row>
    <row r="318">
      <c r="A318" t="n">
        <v>427</v>
      </c>
      <c r="B318" t="n">
        <v>500426</v>
      </c>
      <c r="C318" t="inlineStr">
        <is>
          <t>UTL Industries Ltd</t>
        </is>
      </c>
      <c r="D318" t="n">
        <v>2023</v>
      </c>
      <c r="E318" t="n">
        <v>1.600000023841858</v>
      </c>
      <c r="F318" t="n">
        <v>-0.03</v>
      </c>
      <c r="G318" t="inlineStr">
        <is>
          <t>Consolidated first (v4) – needs verification for flagged rows</t>
        </is>
      </c>
      <c r="H318" t="n">
        <v>3.490000009536743</v>
      </c>
      <c r="I318" t="n">
        <v>1.5</v>
      </c>
      <c r="L318" t="inlineStr">
        <is>
          <t>UNVERIFIED – negative EPS</t>
        </is>
      </c>
      <c r="M318" t="n">
        <v>-116.33</v>
      </c>
      <c r="N318" t="n">
        <v>-50</v>
      </c>
      <c r="O318" t="n">
        <v>3.74</v>
      </c>
      <c r="P318" t="n">
        <v>4.99</v>
      </c>
      <c r="Q318" t="n">
        <v>2.12</v>
      </c>
      <c r="R318" s="3" t="inlineStr">
        <is>
          <t>MISMATCH_NEEDS_CORRECTION</t>
        </is>
      </c>
      <c r="S318" t="n">
        <v>3.74</v>
      </c>
      <c r="T318" t="inlineStr">
        <is>
          <t>30-07-2026 09:42 IST</t>
        </is>
      </c>
    </row>
    <row r="319">
      <c r="A319" t="n">
        <v>427</v>
      </c>
      <c r="B319" t="n">
        <v>500426</v>
      </c>
      <c r="C319" t="inlineStr">
        <is>
          <t>UTL Industries Ltd</t>
        </is>
      </c>
      <c r="D319" t="n">
        <v>2024</v>
      </c>
      <c r="E319" t="n">
        <v>1.600000023841858</v>
      </c>
      <c r="F319" t="n">
        <v>-0.07000000000000001</v>
      </c>
      <c r="G319" t="inlineStr">
        <is>
          <t>Consolidated first (v4) – needs verification for flagged rows</t>
        </is>
      </c>
      <c r="H319" t="n">
        <v>4.989999771118164</v>
      </c>
      <c r="I319" t="n">
        <v>2.099999904632568</v>
      </c>
      <c r="L319" t="inlineStr">
        <is>
          <t>UNVERIFIED – negative EPS</t>
        </is>
      </c>
      <c r="M319" t="n">
        <v>-71.29000000000001</v>
      </c>
      <c r="N319" t="n">
        <v>-30</v>
      </c>
      <c r="O319" t="n">
        <v>3.74</v>
      </c>
      <c r="P319" t="n">
        <v>4.99</v>
      </c>
      <c r="Q319" t="n">
        <v>2.12</v>
      </c>
      <c r="R319" s="3" t="inlineStr">
        <is>
          <t>MISMATCH_NEEDS_CORRECTION</t>
        </is>
      </c>
      <c r="S319" t="n">
        <v>3.74</v>
      </c>
      <c r="T319" t="inlineStr">
        <is>
          <t>30-07-2026 09:42 IST</t>
        </is>
      </c>
    </row>
    <row r="320">
      <c r="A320" t="n">
        <v>427</v>
      </c>
      <c r="B320" t="n">
        <v>500426</v>
      </c>
      <c r="C320" t="inlineStr">
        <is>
          <t>UTL Industries Ltd</t>
        </is>
      </c>
      <c r="D320" t="n">
        <v>2025</v>
      </c>
      <c r="E320" t="n">
        <v>1.600000023841858</v>
      </c>
      <c r="F320" t="n">
        <v>-0.03</v>
      </c>
      <c r="G320" t="inlineStr">
        <is>
          <t>Consolidated first (v4) – needs verification for flagged rows</t>
        </is>
      </c>
      <c r="H320" t="n">
        <v>3.549999952316284</v>
      </c>
      <c r="I320" t="n">
        <v>1.289999961853027</v>
      </c>
      <c r="L320" t="inlineStr">
        <is>
          <t>UNVERIFIED – negative EPS</t>
        </is>
      </c>
      <c r="M320" t="n">
        <v>-118.33</v>
      </c>
      <c r="N320" t="n">
        <v>-43</v>
      </c>
      <c r="O320" t="n">
        <v>3.74</v>
      </c>
      <c r="P320" t="n">
        <v>4.99</v>
      </c>
      <c r="Q320" t="n">
        <v>2.12</v>
      </c>
      <c r="R320" s="3" t="inlineStr">
        <is>
          <t>MISMATCH_NEEDS_CORRECTION</t>
        </is>
      </c>
      <c r="S320" t="n">
        <v>3.74</v>
      </c>
      <c r="T320" t="inlineStr">
        <is>
          <t>30-07-2026 09:42 IST</t>
        </is>
      </c>
    </row>
    <row r="321">
      <c r="A321" t="n">
        <v>427</v>
      </c>
      <c r="B321" t="n">
        <v>500426</v>
      </c>
      <c r="C321" t="inlineStr">
        <is>
          <t>UTL Industries Ltd</t>
        </is>
      </c>
      <c r="D321" t="n">
        <v>2026</v>
      </c>
      <c r="E321" t="n">
        <v>1.600000023841858</v>
      </c>
      <c r="F321" t="n">
        <v>0.02</v>
      </c>
      <c r="G321" t="inlineStr">
        <is>
          <t>Consolidated first (v4) – needs verification for flagged rows</t>
        </is>
      </c>
      <c r="H321" t="n">
        <v>2.130000114440918</v>
      </c>
      <c r="I321" t="n">
        <v>1.360000014305115</v>
      </c>
      <c r="L321" t="inlineStr">
        <is>
          <t>UNVERIFIED – tiny EPS &lt;0.5</t>
        </is>
      </c>
      <c r="M321" t="n">
        <v>106.5</v>
      </c>
      <c r="N321" t="n">
        <v>68</v>
      </c>
      <c r="O321" t="n">
        <v>3.74</v>
      </c>
      <c r="P321" t="n">
        <v>4.99</v>
      </c>
      <c r="Q321" t="n">
        <v>2.12</v>
      </c>
      <c r="R321" s="3" t="inlineStr">
        <is>
          <t>MISMATCH_NEEDS_CORRECTION</t>
        </is>
      </c>
      <c r="S321" t="n">
        <v>3.74</v>
      </c>
      <c r="T321" t="inlineStr">
        <is>
          <t>30-07-2026 09:42 IST</t>
        </is>
      </c>
    </row>
    <row r="322">
      <c r="A322" t="n">
        <v>440</v>
      </c>
      <c r="B322" t="n">
        <v>500439</v>
      </c>
      <c r="C322" t="inlineStr">
        <is>
          <t>Vardhman Holdings Ltd</t>
        </is>
      </c>
      <c r="D322" t="n">
        <v>2015</v>
      </c>
      <c r="E322" t="n">
        <v>3455.10009765625</v>
      </c>
      <c r="G322" t="inlineStr">
        <is>
          <t>Consolidated first (v4) – needs verification for flagged rows</t>
        </is>
      </c>
      <c r="H322" t="n">
        <v>1150</v>
      </c>
      <c r="I322" t="n">
        <v>695</v>
      </c>
      <c r="L322" t="inlineStr">
        <is>
          <t>INCOMPLETE</t>
        </is>
      </c>
      <c r="O322" t="n">
        <v>3500</v>
      </c>
      <c r="P322" t="n">
        <v>4275</v>
      </c>
      <c r="Q322" t="n">
        <v>2870</v>
      </c>
      <c r="R322" s="2" t="inlineStr">
        <is>
          <t>VERIFIED_OK</t>
        </is>
      </c>
      <c r="S322" t="n">
        <v>3500</v>
      </c>
      <c r="T322" t="inlineStr">
        <is>
          <t>30-07-2026 09:42 IST</t>
        </is>
      </c>
    </row>
    <row r="323">
      <c r="A323" t="n">
        <v>440</v>
      </c>
      <c r="B323" t="n">
        <v>500439</v>
      </c>
      <c r="C323" t="inlineStr">
        <is>
          <t>Vardhman Holdings Ltd</t>
        </is>
      </c>
      <c r="D323" t="n">
        <v>2016</v>
      </c>
      <c r="E323" t="n">
        <v>3455.10009765625</v>
      </c>
      <c r="F323" t="n">
        <v>496.88</v>
      </c>
      <c r="G323" t="inlineStr">
        <is>
          <t>Consolidated first (v4) – needs verification for flagged rows</t>
        </is>
      </c>
      <c r="H323" t="n">
        <v>2210</v>
      </c>
      <c r="I323" t="n">
        <v>787.75</v>
      </c>
      <c r="L323" t="inlineStr">
        <is>
          <t>OK</t>
        </is>
      </c>
      <c r="M323" t="n">
        <v>4.45</v>
      </c>
      <c r="N323" t="n">
        <v>1.59</v>
      </c>
      <c r="O323" t="n">
        <v>3500</v>
      </c>
      <c r="P323" t="n">
        <v>4275</v>
      </c>
      <c r="Q323" t="n">
        <v>2870</v>
      </c>
      <c r="R323" s="2" t="inlineStr">
        <is>
          <t>VERIFIED_OK</t>
        </is>
      </c>
      <c r="S323" t="n">
        <v>3500</v>
      </c>
      <c r="T323" t="inlineStr">
        <is>
          <t>30-07-2026 09:42 IST</t>
        </is>
      </c>
    </row>
    <row r="324">
      <c r="A324" t="n">
        <v>440</v>
      </c>
      <c r="B324" t="n">
        <v>500439</v>
      </c>
      <c r="C324" t="inlineStr">
        <is>
          <t>Vardhman Holdings Ltd</t>
        </is>
      </c>
      <c r="D324" t="n">
        <v>2017</v>
      </c>
      <c r="E324" t="n">
        <v>3455.10009765625</v>
      </c>
      <c r="F324" t="n">
        <v>950.05</v>
      </c>
      <c r="G324" t="inlineStr">
        <is>
          <t>Consolidated first (v4) – needs verification for flagged rows</t>
        </is>
      </c>
      <c r="H324" t="n">
        <v>6098.7001953125</v>
      </c>
      <c r="I324" t="n">
        <v>1750</v>
      </c>
      <c r="L324" t="inlineStr">
        <is>
          <t>OK</t>
        </is>
      </c>
      <c r="M324" t="n">
        <v>6.42</v>
      </c>
      <c r="N324" t="n">
        <v>1.84</v>
      </c>
      <c r="O324" t="n">
        <v>3500</v>
      </c>
      <c r="P324" t="n">
        <v>4275</v>
      </c>
      <c r="Q324" t="n">
        <v>2870</v>
      </c>
      <c r="R324" s="2" t="inlineStr">
        <is>
          <t>VERIFIED_OK</t>
        </is>
      </c>
      <c r="S324" t="n">
        <v>3500</v>
      </c>
      <c r="T324" t="inlineStr">
        <is>
          <t>30-07-2026 09:42 IST</t>
        </is>
      </c>
    </row>
    <row r="325">
      <c r="A325" t="n">
        <v>440</v>
      </c>
      <c r="B325" t="n">
        <v>500439</v>
      </c>
      <c r="C325" t="inlineStr">
        <is>
          <t>Vardhman Holdings Ltd</t>
        </is>
      </c>
      <c r="D325" t="n">
        <v>2018</v>
      </c>
      <c r="E325" t="n">
        <v>3455.10009765625</v>
      </c>
      <c r="F325" t="n">
        <v>559.83</v>
      </c>
      <c r="G325" t="inlineStr">
        <is>
          <t>Consolidated first (v4) – needs verification for flagged rows</t>
        </is>
      </c>
      <c r="H325" t="n">
        <v>6188.7001953125</v>
      </c>
      <c r="I325" t="n">
        <v>1857</v>
      </c>
      <c r="L325" t="inlineStr">
        <is>
          <t>OK</t>
        </is>
      </c>
      <c r="M325" t="n">
        <v>11.05</v>
      </c>
      <c r="N325" t="n">
        <v>3.32</v>
      </c>
      <c r="O325" t="n">
        <v>3500</v>
      </c>
      <c r="P325" t="n">
        <v>4275</v>
      </c>
      <c r="Q325" t="n">
        <v>2870</v>
      </c>
      <c r="R325" s="2" t="inlineStr">
        <is>
          <t>VERIFIED_OK</t>
        </is>
      </c>
      <c r="S325" t="n">
        <v>3500</v>
      </c>
      <c r="T325" t="inlineStr">
        <is>
          <t>30-07-2026 09:42 IST</t>
        </is>
      </c>
    </row>
    <row r="326">
      <c r="A326" t="n">
        <v>440</v>
      </c>
      <c r="B326" t="n">
        <v>500439</v>
      </c>
      <c r="C326" t="inlineStr">
        <is>
          <t>Vardhman Holdings Ltd</t>
        </is>
      </c>
      <c r="D326" t="n">
        <v>2019</v>
      </c>
      <c r="E326" t="n">
        <v>3455.10009765625</v>
      </c>
      <c r="F326" t="n">
        <v>632.4</v>
      </c>
      <c r="G326" t="inlineStr">
        <is>
          <t>Consolidated first (v4) – needs verification for flagged rows</t>
        </is>
      </c>
      <c r="H326" t="n">
        <v>2940</v>
      </c>
      <c r="I326" t="n">
        <v>1211.25</v>
      </c>
      <c r="L326" t="inlineStr">
        <is>
          <t>OK</t>
        </is>
      </c>
      <c r="M326" t="n">
        <v>4.65</v>
      </c>
      <c r="N326" t="n">
        <v>1.92</v>
      </c>
      <c r="O326" t="n">
        <v>3500</v>
      </c>
      <c r="P326" t="n">
        <v>4275</v>
      </c>
      <c r="Q326" t="n">
        <v>2870</v>
      </c>
      <c r="R326" s="2" t="inlineStr">
        <is>
          <t>VERIFIED_OK</t>
        </is>
      </c>
      <c r="S326" t="n">
        <v>3500</v>
      </c>
      <c r="T326" t="inlineStr">
        <is>
          <t>30-07-2026 09:42 IST</t>
        </is>
      </c>
    </row>
    <row r="327">
      <c r="A327" t="n">
        <v>440</v>
      </c>
      <c r="B327" t="n">
        <v>500439</v>
      </c>
      <c r="C327" t="inlineStr">
        <is>
          <t>Vardhman Holdings Ltd</t>
        </is>
      </c>
      <c r="D327" t="n">
        <v>2020</v>
      </c>
      <c r="E327" t="n">
        <v>3455.10009765625</v>
      </c>
      <c r="F327" t="n">
        <v>500.42</v>
      </c>
      <c r="G327" t="inlineStr">
        <is>
          <t>Consolidated first (v4) – needs verification for flagged rows</t>
        </is>
      </c>
      <c r="H327" t="n">
        <v>1599</v>
      </c>
      <c r="I327" t="n">
        <v>710.0499877929688</v>
      </c>
      <c r="L327" t="inlineStr">
        <is>
          <t>OK</t>
        </is>
      </c>
      <c r="M327" t="n">
        <v>3.2</v>
      </c>
      <c r="N327" t="n">
        <v>1.42</v>
      </c>
      <c r="O327" t="n">
        <v>3500</v>
      </c>
      <c r="P327" t="n">
        <v>4275</v>
      </c>
      <c r="Q327" t="n">
        <v>2870</v>
      </c>
      <c r="R327" s="2" t="inlineStr">
        <is>
          <t>VERIFIED_OK</t>
        </is>
      </c>
      <c r="S327" t="n">
        <v>3500</v>
      </c>
      <c r="T327" t="inlineStr">
        <is>
          <t>30-07-2026 09:42 IST</t>
        </is>
      </c>
    </row>
    <row r="328">
      <c r="A328" t="n">
        <v>440</v>
      </c>
      <c r="B328" t="n">
        <v>500439</v>
      </c>
      <c r="C328" t="inlineStr">
        <is>
          <t>Vardhman Holdings Ltd</t>
        </is>
      </c>
      <c r="D328" t="n">
        <v>2021</v>
      </c>
      <c r="E328" t="n">
        <v>3455.10009765625</v>
      </c>
      <c r="F328" t="n">
        <v>405.8</v>
      </c>
      <c r="G328" t="inlineStr">
        <is>
          <t>Consolidated first (v4) – needs verification for flagged rows</t>
        </is>
      </c>
      <c r="H328" t="n">
        <v>3810.39990234375</v>
      </c>
      <c r="I328" t="n">
        <v>1330</v>
      </c>
      <c r="L328" t="inlineStr">
        <is>
          <t>OK</t>
        </is>
      </c>
      <c r="M328" t="n">
        <v>9.390000000000001</v>
      </c>
      <c r="N328" t="n">
        <v>3.28</v>
      </c>
      <c r="O328" t="n">
        <v>3500</v>
      </c>
      <c r="P328" t="n">
        <v>4275</v>
      </c>
      <c r="Q328" t="n">
        <v>2870</v>
      </c>
      <c r="R328" s="2" t="inlineStr">
        <is>
          <t>VERIFIED_OK</t>
        </is>
      </c>
      <c r="S328" t="n">
        <v>3500</v>
      </c>
      <c r="T328" t="inlineStr">
        <is>
          <t>30-07-2026 09:42 IST</t>
        </is>
      </c>
    </row>
    <row r="329">
      <c r="A329" t="n">
        <v>440</v>
      </c>
      <c r="B329" t="n">
        <v>500439</v>
      </c>
      <c r="C329" t="inlineStr">
        <is>
          <t>Vardhman Holdings Ltd</t>
        </is>
      </c>
      <c r="D329" t="n">
        <v>2022</v>
      </c>
      <c r="E329" t="n">
        <v>3455.10009765625</v>
      </c>
      <c r="F329" t="n">
        <v>1344.45</v>
      </c>
      <c r="G329" t="inlineStr">
        <is>
          <t>Consolidated first (v4) – needs verification for flagged rows</t>
        </is>
      </c>
      <c r="H329" t="n">
        <v>4667.5498046875</v>
      </c>
      <c r="I329" t="n">
        <v>2551</v>
      </c>
      <c r="L329" t="inlineStr">
        <is>
          <t>OK</t>
        </is>
      </c>
      <c r="M329" t="n">
        <v>3.47</v>
      </c>
      <c r="N329" t="n">
        <v>1.9</v>
      </c>
      <c r="O329" t="n">
        <v>3500</v>
      </c>
      <c r="P329" t="n">
        <v>4275</v>
      </c>
      <c r="Q329" t="n">
        <v>2870</v>
      </c>
      <c r="R329" s="2" t="inlineStr">
        <is>
          <t>VERIFIED_OK</t>
        </is>
      </c>
      <c r="S329" t="n">
        <v>3500</v>
      </c>
      <c r="T329" t="inlineStr">
        <is>
          <t>30-07-2026 09:42 IST</t>
        </is>
      </c>
    </row>
    <row r="330">
      <c r="A330" t="n">
        <v>440</v>
      </c>
      <c r="B330" t="n">
        <v>500439</v>
      </c>
      <c r="C330" t="inlineStr">
        <is>
          <t>Vardhman Holdings Ltd</t>
        </is>
      </c>
      <c r="D330" t="n">
        <v>2023</v>
      </c>
      <c r="E330" t="n">
        <v>3455.10009765625</v>
      </c>
      <c r="F330" t="n">
        <v>715.74</v>
      </c>
      <c r="G330" t="inlineStr">
        <is>
          <t>Consolidated first (v4) – needs verification for flagged rows</t>
        </is>
      </c>
      <c r="H330" t="n">
        <v>3430.35009765625</v>
      </c>
      <c r="I330" t="n">
        <v>2411</v>
      </c>
      <c r="L330" t="inlineStr">
        <is>
          <t>OK</t>
        </is>
      </c>
      <c r="M330" t="n">
        <v>4.79</v>
      </c>
      <c r="N330" t="n">
        <v>3.37</v>
      </c>
      <c r="O330" t="n">
        <v>3500</v>
      </c>
      <c r="P330" t="n">
        <v>4275</v>
      </c>
      <c r="Q330" t="n">
        <v>2870</v>
      </c>
      <c r="R330" s="2" t="inlineStr">
        <is>
          <t>VERIFIED_OK</t>
        </is>
      </c>
      <c r="S330" t="n">
        <v>3500</v>
      </c>
      <c r="T330" t="inlineStr">
        <is>
          <t>30-07-2026 09:42 IST</t>
        </is>
      </c>
    </row>
    <row r="331">
      <c r="A331" t="n">
        <v>440</v>
      </c>
      <c r="B331" t="n">
        <v>500439</v>
      </c>
      <c r="C331" t="inlineStr">
        <is>
          <t>Vardhman Holdings Ltd</t>
        </is>
      </c>
      <c r="D331" t="n">
        <v>2024</v>
      </c>
      <c r="E331" t="n">
        <v>3455.10009765625</v>
      </c>
      <c r="F331" t="n">
        <v>579.29</v>
      </c>
      <c r="G331" t="inlineStr">
        <is>
          <t>Consolidated first (v4) – needs verification for flagged rows</t>
        </is>
      </c>
      <c r="H331" t="n">
        <v>5754</v>
      </c>
      <c r="I331" t="n">
        <v>2725.050048828125</v>
      </c>
      <c r="L331" t="inlineStr">
        <is>
          <t>OK</t>
        </is>
      </c>
      <c r="M331" t="n">
        <v>9.93</v>
      </c>
      <c r="N331" t="n">
        <v>4.7</v>
      </c>
      <c r="O331" t="n">
        <v>3500</v>
      </c>
      <c r="P331" t="n">
        <v>4275</v>
      </c>
      <c r="Q331" t="n">
        <v>2870</v>
      </c>
      <c r="R331" s="2" t="inlineStr">
        <is>
          <t>VERIFIED_OK</t>
        </is>
      </c>
      <c r="S331" t="n">
        <v>3500</v>
      </c>
      <c r="T331" t="inlineStr">
        <is>
          <t>30-07-2026 09:42 IST</t>
        </is>
      </c>
    </row>
    <row r="332">
      <c r="A332" t="n">
        <v>440</v>
      </c>
      <c r="B332" t="n">
        <v>500439</v>
      </c>
      <c r="C332" t="inlineStr">
        <is>
          <t>Vardhman Holdings Ltd</t>
        </is>
      </c>
      <c r="D332" t="n">
        <v>2025</v>
      </c>
      <c r="E332" t="n">
        <v>3455.10009765625</v>
      </c>
      <c r="F332" t="n">
        <v>808.4</v>
      </c>
      <c r="G332" t="inlineStr">
        <is>
          <t>Consolidated first (v4) – needs verification for flagged rows</t>
        </is>
      </c>
      <c r="H332" t="n">
        <v>4600</v>
      </c>
      <c r="I332" t="n">
        <v>2850.10009765625</v>
      </c>
      <c r="L332" t="inlineStr">
        <is>
          <t>OK</t>
        </is>
      </c>
      <c r="M332" t="n">
        <v>5.69</v>
      </c>
      <c r="N332" t="n">
        <v>3.53</v>
      </c>
      <c r="O332" t="n">
        <v>3500</v>
      </c>
      <c r="P332" t="n">
        <v>4275</v>
      </c>
      <c r="Q332" t="n">
        <v>2870</v>
      </c>
      <c r="R332" s="2" t="inlineStr">
        <is>
          <t>VERIFIED_OK</t>
        </is>
      </c>
      <c r="S332" t="n">
        <v>3500</v>
      </c>
      <c r="T332" t="inlineStr">
        <is>
          <t>30-07-2026 09:42 IST</t>
        </is>
      </c>
    </row>
    <row r="333">
      <c r="A333" t="n">
        <v>440</v>
      </c>
      <c r="B333" t="n">
        <v>500439</v>
      </c>
      <c r="C333" t="inlineStr">
        <is>
          <t>Vardhman Holdings Ltd</t>
        </is>
      </c>
      <c r="D333" t="n">
        <v>2026</v>
      </c>
      <c r="E333" t="n">
        <v>3455.10009765625</v>
      </c>
      <c r="F333" t="n">
        <v>676.83</v>
      </c>
      <c r="G333" t="inlineStr">
        <is>
          <t>Consolidated first (v4) – needs verification for flagged rows</t>
        </is>
      </c>
      <c r="H333" t="n">
        <v>3770.5</v>
      </c>
      <c r="I333" t="n">
        <v>2870.39990234375</v>
      </c>
      <c r="L333" t="inlineStr">
        <is>
          <t>OK</t>
        </is>
      </c>
      <c r="M333" t="n">
        <v>5.57</v>
      </c>
      <c r="N333" t="n">
        <v>4.24</v>
      </c>
      <c r="O333" t="n">
        <v>3500</v>
      </c>
      <c r="P333" t="n">
        <v>4275</v>
      </c>
      <c r="Q333" t="n">
        <v>2870</v>
      </c>
      <c r="R333" s="2" t="inlineStr">
        <is>
          <t>VERIFIED_OK</t>
        </is>
      </c>
      <c r="S333" t="n">
        <v>3500</v>
      </c>
      <c r="T333" t="inlineStr">
        <is>
          <t>30-07-2026 09:42 IST</t>
        </is>
      </c>
    </row>
    <row r="334">
      <c r="A334" t="n">
        <v>445</v>
      </c>
      <c r="B334" t="n">
        <v>500444</v>
      </c>
      <c r="C334" t="inlineStr">
        <is>
          <t>West Coast Paper Mills Ltd</t>
        </is>
      </c>
      <c r="D334" t="n">
        <v>2015</v>
      </c>
      <c r="E334" t="n">
        <v>518.0499877929688</v>
      </c>
      <c r="G334" t="inlineStr">
        <is>
          <t>Consolidated first (v4) – needs verification for flagged rows</t>
        </is>
      </c>
      <c r="H334" t="n">
        <v>80.19999694824219</v>
      </c>
      <c r="I334" t="n">
        <v>48.09999847412109</v>
      </c>
      <c r="L334" t="inlineStr">
        <is>
          <t>INCOMPLETE</t>
        </is>
      </c>
      <c r="O334" t="n">
        <v>563.2</v>
      </c>
      <c r="P334" t="n">
        <v>581.4</v>
      </c>
      <c r="Q334" t="n">
        <v>382.15</v>
      </c>
      <c r="R334" s="3" t="inlineStr">
        <is>
          <t>MISMATCH_NEEDS_CORRECTION</t>
        </is>
      </c>
      <c r="S334" t="n">
        <v>563.2</v>
      </c>
      <c r="T334" t="inlineStr">
        <is>
          <t>30-07-2026 09:42 IST</t>
        </is>
      </c>
    </row>
    <row r="335">
      <c r="A335" t="n">
        <v>445</v>
      </c>
      <c r="B335" t="n">
        <v>500444</v>
      </c>
      <c r="C335" t="inlineStr">
        <is>
          <t>West Coast Paper Mills Ltd</t>
        </is>
      </c>
      <c r="D335" t="n">
        <v>2016</v>
      </c>
      <c r="E335" t="n">
        <v>518.0499877929688</v>
      </c>
      <c r="G335" t="inlineStr">
        <is>
          <t>Consolidated first (v4) – needs verification for flagged rows</t>
        </is>
      </c>
      <c r="H335" t="n">
        <v>149.1000061035156</v>
      </c>
      <c r="I335" t="n">
        <v>52.79999923706055</v>
      </c>
      <c r="L335" t="inlineStr">
        <is>
          <t>INCOMPLETE</t>
        </is>
      </c>
      <c r="O335" t="n">
        <v>563.2</v>
      </c>
      <c r="P335" t="n">
        <v>581.4</v>
      </c>
      <c r="Q335" t="n">
        <v>382.15</v>
      </c>
      <c r="R335" s="3" t="inlineStr">
        <is>
          <t>MISMATCH_NEEDS_CORRECTION</t>
        </is>
      </c>
      <c r="S335" t="n">
        <v>563.2</v>
      </c>
      <c r="T335" t="inlineStr">
        <is>
          <t>30-07-2026 09:42 IST</t>
        </is>
      </c>
    </row>
    <row r="336">
      <c r="A336" t="n">
        <v>445</v>
      </c>
      <c r="B336" t="n">
        <v>500444</v>
      </c>
      <c r="C336" t="inlineStr">
        <is>
          <t>West Coast Paper Mills Ltd</t>
        </is>
      </c>
      <c r="D336" t="n">
        <v>2017</v>
      </c>
      <c r="E336" t="n">
        <v>518.0499877929688</v>
      </c>
      <c r="G336" t="inlineStr">
        <is>
          <t>Consolidated first (v4) – needs verification for flagged rows</t>
        </is>
      </c>
      <c r="H336" t="n">
        <v>343.6000061035156</v>
      </c>
      <c r="I336" t="n">
        <v>131.3500061035156</v>
      </c>
      <c r="L336" t="inlineStr">
        <is>
          <t>INCOMPLETE</t>
        </is>
      </c>
      <c r="O336" t="n">
        <v>563.2</v>
      </c>
      <c r="P336" t="n">
        <v>581.4</v>
      </c>
      <c r="Q336" t="n">
        <v>382.15</v>
      </c>
      <c r="R336" s="3" t="inlineStr">
        <is>
          <t>MISMATCH_NEEDS_CORRECTION</t>
        </is>
      </c>
      <c r="S336" t="n">
        <v>563.2</v>
      </c>
      <c r="T336" t="inlineStr">
        <is>
          <t>30-07-2026 09:42 IST</t>
        </is>
      </c>
    </row>
    <row r="337">
      <c r="A337" t="n">
        <v>445</v>
      </c>
      <c r="B337" t="n">
        <v>500444</v>
      </c>
      <c r="C337" t="inlineStr">
        <is>
          <t>West Coast Paper Mills Ltd</t>
        </is>
      </c>
      <c r="D337" t="n">
        <v>2018</v>
      </c>
      <c r="E337" t="n">
        <v>518.0499877929688</v>
      </c>
      <c r="F337" t="n">
        <v>33.79</v>
      </c>
      <c r="G337" t="inlineStr">
        <is>
          <t>Consolidated first (v4) – needs verification for flagged rows</t>
        </is>
      </c>
      <c r="H337" t="n">
        <v>414.5499877929688</v>
      </c>
      <c r="I337" t="n">
        <v>225</v>
      </c>
      <c r="L337" t="inlineStr">
        <is>
          <t>OK</t>
        </is>
      </c>
      <c r="M337" t="n">
        <v>12.27</v>
      </c>
      <c r="N337" t="n">
        <v>6.66</v>
      </c>
      <c r="O337" t="n">
        <v>563.2</v>
      </c>
      <c r="P337" t="n">
        <v>581.4</v>
      </c>
      <c r="Q337" t="n">
        <v>382.15</v>
      </c>
      <c r="R337" s="3" t="inlineStr">
        <is>
          <t>MISMATCH_NEEDS_CORRECTION</t>
        </is>
      </c>
      <c r="S337" t="n">
        <v>563.2</v>
      </c>
      <c r="T337" t="inlineStr">
        <is>
          <t>30-07-2026 09:42 IST</t>
        </is>
      </c>
    </row>
    <row r="338">
      <c r="A338" t="n">
        <v>445</v>
      </c>
      <c r="B338" t="n">
        <v>500444</v>
      </c>
      <c r="C338" t="inlineStr">
        <is>
          <t>West Coast Paper Mills Ltd</t>
        </is>
      </c>
      <c r="D338" t="n">
        <v>2019</v>
      </c>
      <c r="E338" t="n">
        <v>518.0499877929688</v>
      </c>
      <c r="F338" t="n">
        <v>44.82</v>
      </c>
      <c r="G338" t="inlineStr">
        <is>
          <t>Consolidated first (v4) – needs verification for flagged rows</t>
        </is>
      </c>
      <c r="H338" t="n">
        <v>318</v>
      </c>
      <c r="I338" t="n">
        <v>204.1499938964844</v>
      </c>
      <c r="L338" t="inlineStr">
        <is>
          <t>OK</t>
        </is>
      </c>
      <c r="M338" t="n">
        <v>7.1</v>
      </c>
      <c r="N338" t="n">
        <v>4.55</v>
      </c>
      <c r="O338" t="n">
        <v>563.2</v>
      </c>
      <c r="P338" t="n">
        <v>581.4</v>
      </c>
      <c r="Q338" t="n">
        <v>382.15</v>
      </c>
      <c r="R338" s="3" t="inlineStr">
        <is>
          <t>MISMATCH_NEEDS_CORRECTION</t>
        </is>
      </c>
      <c r="S338" t="n">
        <v>563.2</v>
      </c>
      <c r="T338" t="inlineStr">
        <is>
          <t>30-07-2026 09:42 IST</t>
        </is>
      </c>
    </row>
    <row r="339">
      <c r="A339" t="n">
        <v>445</v>
      </c>
      <c r="B339" t="n">
        <v>500444</v>
      </c>
      <c r="C339" t="inlineStr">
        <is>
          <t>West Coast Paper Mills Ltd</t>
        </is>
      </c>
      <c r="D339" t="n">
        <v>2020</v>
      </c>
      <c r="E339" t="n">
        <v>518.0499877929688</v>
      </c>
      <c r="F339" t="n">
        <v>56.08</v>
      </c>
      <c r="G339" t="inlineStr">
        <is>
          <t>Consolidated first (v4) – needs verification for flagged rows</t>
        </is>
      </c>
      <c r="H339" t="n">
        <v>257.4500122070312</v>
      </c>
      <c r="I339" t="n">
        <v>99.90000152587891</v>
      </c>
      <c r="L339" t="inlineStr">
        <is>
          <t>OK</t>
        </is>
      </c>
      <c r="M339" t="n">
        <v>4.59</v>
      </c>
      <c r="N339" t="n">
        <v>1.78</v>
      </c>
      <c r="O339" t="n">
        <v>563.2</v>
      </c>
      <c r="P339" t="n">
        <v>581.4</v>
      </c>
      <c r="Q339" t="n">
        <v>382.15</v>
      </c>
      <c r="R339" s="3" t="inlineStr">
        <is>
          <t>MISMATCH_NEEDS_CORRECTION</t>
        </is>
      </c>
      <c r="S339" t="n">
        <v>563.2</v>
      </c>
      <c r="T339" t="inlineStr">
        <is>
          <t>30-07-2026 09:42 IST</t>
        </is>
      </c>
    </row>
    <row r="340">
      <c r="A340" t="n">
        <v>445</v>
      </c>
      <c r="B340" t="n">
        <v>500444</v>
      </c>
      <c r="C340" t="inlineStr">
        <is>
          <t>West Coast Paper Mills Ltd</t>
        </is>
      </c>
      <c r="D340" t="n">
        <v>2021</v>
      </c>
      <c r="E340" t="n">
        <v>518.0499877929688</v>
      </c>
      <c r="F340" t="n">
        <v>-0.47</v>
      </c>
      <c r="G340" t="inlineStr">
        <is>
          <t>Consolidated first (v4) – needs verification for flagged rows</t>
        </is>
      </c>
      <c r="H340" t="n">
        <v>295.3500061035156</v>
      </c>
      <c r="I340" t="n">
        <v>175.9499969482422</v>
      </c>
      <c r="L340" t="inlineStr">
        <is>
          <t>UNVERIFIED – negative EPS</t>
        </is>
      </c>
      <c r="M340" t="n">
        <v>-628.4</v>
      </c>
      <c r="N340" t="n">
        <v>-374.36</v>
      </c>
      <c r="O340" t="n">
        <v>563.2</v>
      </c>
      <c r="P340" t="n">
        <v>581.4</v>
      </c>
      <c r="Q340" t="n">
        <v>382.15</v>
      </c>
      <c r="R340" s="3" t="inlineStr">
        <is>
          <t>MISMATCH_NEEDS_CORRECTION</t>
        </is>
      </c>
      <c r="S340" t="n">
        <v>563.2</v>
      </c>
      <c r="T340" t="inlineStr">
        <is>
          <t>30-07-2026 09:42 IST</t>
        </is>
      </c>
    </row>
    <row r="341">
      <c r="A341" t="n">
        <v>445</v>
      </c>
      <c r="B341" t="n">
        <v>500444</v>
      </c>
      <c r="C341" t="inlineStr">
        <is>
          <t>West Coast Paper Mills Ltd</t>
        </is>
      </c>
      <c r="D341" t="n">
        <v>2022</v>
      </c>
      <c r="E341" t="n">
        <v>518.0499877929688</v>
      </c>
      <c r="F341" t="n">
        <v>46.49</v>
      </c>
      <c r="G341" t="inlineStr">
        <is>
          <t>Consolidated first (v4) – needs verification for flagged rows</t>
        </is>
      </c>
      <c r="H341" t="n">
        <v>663.7999877929688</v>
      </c>
      <c r="I341" t="n">
        <v>215</v>
      </c>
      <c r="L341" t="inlineStr">
        <is>
          <t>OK</t>
        </is>
      </c>
      <c r="M341" t="n">
        <v>14.28</v>
      </c>
      <c r="N341" t="n">
        <v>4.62</v>
      </c>
      <c r="O341" t="n">
        <v>563.2</v>
      </c>
      <c r="P341" t="n">
        <v>581.4</v>
      </c>
      <c r="Q341" t="n">
        <v>382.15</v>
      </c>
      <c r="R341" s="3" t="inlineStr">
        <is>
          <t>MISMATCH_NEEDS_CORRECTION</t>
        </is>
      </c>
      <c r="S341" t="n">
        <v>563.2</v>
      </c>
      <c r="T341" t="inlineStr">
        <is>
          <t>30-07-2026 09:42 IST</t>
        </is>
      </c>
    </row>
    <row r="342">
      <c r="A342" t="n">
        <v>445</v>
      </c>
      <c r="B342" t="n">
        <v>500444</v>
      </c>
      <c r="C342" t="inlineStr">
        <is>
          <t>West Coast Paper Mills Ltd</t>
        </is>
      </c>
      <c r="D342" t="n">
        <v>2023</v>
      </c>
      <c r="E342" t="n">
        <v>518.0499877929688</v>
      </c>
      <c r="F342" t="n">
        <v>142.62</v>
      </c>
      <c r="G342" t="inlineStr">
        <is>
          <t>Consolidated first (v4) – needs verification for flagged rows</t>
        </is>
      </c>
      <c r="H342" t="n">
        <v>778</v>
      </c>
      <c r="I342" t="n">
        <v>465.2999877929688</v>
      </c>
      <c r="L342" t="inlineStr">
        <is>
          <t>OK</t>
        </is>
      </c>
      <c r="M342" t="n">
        <v>5.46</v>
      </c>
      <c r="N342" t="n">
        <v>3.26</v>
      </c>
      <c r="O342" t="n">
        <v>563.2</v>
      </c>
      <c r="P342" t="n">
        <v>581.4</v>
      </c>
      <c r="Q342" t="n">
        <v>382.15</v>
      </c>
      <c r="R342" s="3" t="inlineStr">
        <is>
          <t>MISMATCH_NEEDS_CORRECTION</t>
        </is>
      </c>
      <c r="S342" t="n">
        <v>563.2</v>
      </c>
      <c r="T342" t="inlineStr">
        <is>
          <t>30-07-2026 09:42 IST</t>
        </is>
      </c>
    </row>
    <row r="343">
      <c r="A343" t="n">
        <v>445</v>
      </c>
      <c r="B343" t="n">
        <v>500444</v>
      </c>
      <c r="C343" t="inlineStr">
        <is>
          <t>West Coast Paper Mills Ltd</t>
        </is>
      </c>
      <c r="D343" t="n">
        <v>2024</v>
      </c>
      <c r="E343" t="n">
        <v>518.0499877929688</v>
      </c>
      <c r="F343" t="n">
        <v>104.77</v>
      </c>
      <c r="G343" t="inlineStr">
        <is>
          <t>Consolidated first (v4) – needs verification for flagged rows</t>
        </is>
      </c>
      <c r="H343" t="n">
        <v>815</v>
      </c>
      <c r="I343" t="n">
        <v>470.3500061035156</v>
      </c>
      <c r="L343" t="inlineStr">
        <is>
          <t>OK</t>
        </is>
      </c>
      <c r="M343" t="n">
        <v>7.78</v>
      </c>
      <c r="N343" t="n">
        <v>4.49</v>
      </c>
      <c r="O343" t="n">
        <v>563.2</v>
      </c>
      <c r="P343" t="n">
        <v>581.4</v>
      </c>
      <c r="Q343" t="n">
        <v>382.15</v>
      </c>
      <c r="R343" s="3" t="inlineStr">
        <is>
          <t>MISMATCH_NEEDS_CORRECTION</t>
        </is>
      </c>
      <c r="S343" t="n">
        <v>563.2</v>
      </c>
      <c r="T343" t="inlineStr">
        <is>
          <t>30-07-2026 09:42 IST</t>
        </is>
      </c>
    </row>
    <row r="344">
      <c r="A344" t="n">
        <v>445</v>
      </c>
      <c r="B344" t="n">
        <v>500444</v>
      </c>
      <c r="C344" t="inlineStr">
        <is>
          <t>West Coast Paper Mills Ltd</t>
        </is>
      </c>
      <c r="D344" t="n">
        <v>2025</v>
      </c>
      <c r="E344" t="n">
        <v>518.0499877929688</v>
      </c>
      <c r="F344" t="n">
        <v>47.11</v>
      </c>
      <c r="G344" t="inlineStr">
        <is>
          <t>Consolidated first (v4) – needs verification for flagged rows</t>
        </is>
      </c>
      <c r="H344" t="n">
        <v>581.4000244140625</v>
      </c>
      <c r="I344" t="n">
        <v>382.1499938964844</v>
      </c>
      <c r="L344" t="inlineStr">
        <is>
          <t>OK</t>
        </is>
      </c>
      <c r="M344" t="n">
        <v>12.34</v>
      </c>
      <c r="N344" t="n">
        <v>8.109999999999999</v>
      </c>
      <c r="O344" t="n">
        <v>563.2</v>
      </c>
      <c r="P344" t="n">
        <v>581.4</v>
      </c>
      <c r="Q344" t="n">
        <v>382.15</v>
      </c>
      <c r="R344" s="3" t="inlineStr">
        <is>
          <t>MISMATCH_NEEDS_CORRECTION</t>
        </is>
      </c>
      <c r="S344" t="n">
        <v>563.2</v>
      </c>
      <c r="T344" t="inlineStr">
        <is>
          <t>30-07-2026 09:42 IST</t>
        </is>
      </c>
    </row>
    <row r="345">
      <c r="A345" t="n">
        <v>445</v>
      </c>
      <c r="B345" t="n">
        <v>500444</v>
      </c>
      <c r="C345" t="inlineStr">
        <is>
          <t>West Coast Paper Mills Ltd</t>
        </is>
      </c>
      <c r="D345" t="n">
        <v>2026</v>
      </c>
      <c r="E345" t="n">
        <v>518.0499877929688</v>
      </c>
      <c r="F345" t="n">
        <v>22.8</v>
      </c>
      <c r="G345" t="inlineStr">
        <is>
          <t>Consolidated first (v4) – needs verification for flagged rows</t>
        </is>
      </c>
      <c r="H345" t="n">
        <v>567.2000122070312</v>
      </c>
      <c r="I345" t="n">
        <v>375.0499877929688</v>
      </c>
      <c r="L345" t="inlineStr">
        <is>
          <t>OK</t>
        </is>
      </c>
      <c r="M345" t="n">
        <v>24.88</v>
      </c>
      <c r="N345" t="n">
        <v>16.45</v>
      </c>
      <c r="O345" t="n">
        <v>563.2</v>
      </c>
      <c r="P345" t="n">
        <v>581.4</v>
      </c>
      <c r="Q345" t="n">
        <v>382.15</v>
      </c>
      <c r="R345" s="3" t="inlineStr">
        <is>
          <t>MISMATCH_NEEDS_CORRECTION</t>
        </is>
      </c>
      <c r="S345" t="n">
        <v>563.2</v>
      </c>
      <c r="T345" t="inlineStr">
        <is>
          <t>30-07-2026 09:42 IST</t>
        </is>
      </c>
    </row>
    <row r="346">
      <c r="A346" t="n">
        <v>450</v>
      </c>
      <c r="B346" t="n">
        <v>500449</v>
      </c>
      <c r="C346" t="inlineStr">
        <is>
          <t>Hindustan Organic Chemicals Ltd</t>
        </is>
      </c>
      <c r="D346" t="n">
        <v>2015</v>
      </c>
      <c r="E346" t="n">
        <v>36.56000137329102</v>
      </c>
      <c r="F346" t="n">
        <v>-32.07</v>
      </c>
      <c r="G346" t="inlineStr">
        <is>
          <t>Consolidated first (v4) – needs verification for flagged rows</t>
        </is>
      </c>
      <c r="H346" t="n">
        <v>25</v>
      </c>
      <c r="I346" t="n">
        <v>10.55000019073486</v>
      </c>
      <c r="L346" t="inlineStr">
        <is>
          <t>UNVERIFIED – negative EPS</t>
        </is>
      </c>
      <c r="M346" t="n">
        <v>-0.78</v>
      </c>
      <c r="N346" t="n">
        <v>-0.33</v>
      </c>
      <c r="O346" t="n">
        <v>56.5</v>
      </c>
      <c r="P346" t="n">
        <v>63</v>
      </c>
      <c r="Q346" t="n">
        <v>38.35</v>
      </c>
      <c r="R346" s="3" t="inlineStr">
        <is>
          <t>MISMATCH_NEEDS_CORRECTION</t>
        </is>
      </c>
      <c r="S346" t="n">
        <v>56.5</v>
      </c>
      <c r="T346" t="inlineStr">
        <is>
          <t>30-07-2026 09:42 IST</t>
        </is>
      </c>
    </row>
    <row r="347">
      <c r="A347" t="n">
        <v>450</v>
      </c>
      <c r="B347" t="n">
        <v>500449</v>
      </c>
      <c r="C347" t="inlineStr">
        <is>
          <t>Hindustan Organic Chemicals Ltd</t>
        </is>
      </c>
      <c r="D347" t="n">
        <v>2016</v>
      </c>
      <c r="E347" t="n">
        <v>36.56000137329102</v>
      </c>
      <c r="F347" t="n">
        <v>-26.82</v>
      </c>
      <c r="G347" t="inlineStr">
        <is>
          <t>Consolidated first (v4) – needs verification for flagged rows</t>
        </is>
      </c>
      <c r="H347" t="n">
        <v>27.20000076293945</v>
      </c>
      <c r="I347" t="n">
        <v>12.19999980926514</v>
      </c>
      <c r="L347" t="inlineStr">
        <is>
          <t>UNVERIFIED – negative EPS</t>
        </is>
      </c>
      <c r="M347" t="n">
        <v>-1.01</v>
      </c>
      <c r="N347" t="n">
        <v>-0.45</v>
      </c>
      <c r="O347" t="n">
        <v>56.5</v>
      </c>
      <c r="P347" t="n">
        <v>63</v>
      </c>
      <c r="Q347" t="n">
        <v>38.35</v>
      </c>
      <c r="R347" s="3" t="inlineStr">
        <is>
          <t>MISMATCH_NEEDS_CORRECTION</t>
        </is>
      </c>
      <c r="S347" t="n">
        <v>56.5</v>
      </c>
      <c r="T347" t="inlineStr">
        <is>
          <t>30-07-2026 09:42 IST</t>
        </is>
      </c>
    </row>
    <row r="348">
      <c r="A348" t="n">
        <v>450</v>
      </c>
      <c r="B348" t="n">
        <v>500449</v>
      </c>
      <c r="C348" t="inlineStr">
        <is>
          <t>Hindustan Organic Chemicals Ltd</t>
        </is>
      </c>
      <c r="D348" t="n">
        <v>2017</v>
      </c>
      <c r="E348" t="n">
        <v>36.56000137329102</v>
      </c>
      <c r="F348" t="n">
        <v>-38.37</v>
      </c>
      <c r="G348" t="inlineStr">
        <is>
          <t>Consolidated first (v4) – needs verification for flagged rows</t>
        </is>
      </c>
      <c r="H348" t="n">
        <v>39.90000152587891</v>
      </c>
      <c r="I348" t="n">
        <v>18.14999961853027</v>
      </c>
      <c r="L348" t="inlineStr">
        <is>
          <t>UNVERIFIED – negative EPS</t>
        </is>
      </c>
      <c r="M348" t="n">
        <v>-1.04</v>
      </c>
      <c r="N348" t="n">
        <v>-0.47</v>
      </c>
      <c r="O348" t="n">
        <v>56.5</v>
      </c>
      <c r="P348" t="n">
        <v>63</v>
      </c>
      <c r="Q348" t="n">
        <v>38.35</v>
      </c>
      <c r="R348" s="3" t="inlineStr">
        <is>
          <t>MISMATCH_NEEDS_CORRECTION</t>
        </is>
      </c>
      <c r="S348" t="n">
        <v>56.5</v>
      </c>
      <c r="T348" t="inlineStr">
        <is>
          <t>30-07-2026 09:42 IST</t>
        </is>
      </c>
    </row>
    <row r="349">
      <c r="A349" t="n">
        <v>450</v>
      </c>
      <c r="B349" t="n">
        <v>500449</v>
      </c>
      <c r="C349" t="inlineStr">
        <is>
          <t>Hindustan Organic Chemicals Ltd</t>
        </is>
      </c>
      <c r="D349" t="n">
        <v>2018</v>
      </c>
      <c r="E349" t="n">
        <v>36.56000137329102</v>
      </c>
      <c r="F349" t="n">
        <v>-27.79</v>
      </c>
      <c r="G349" t="inlineStr">
        <is>
          <t>Consolidated first (v4) – needs verification for flagged rows</t>
        </is>
      </c>
      <c r="H349" t="n">
        <v>43.54999923706055</v>
      </c>
      <c r="I349" t="n">
        <v>17</v>
      </c>
      <c r="L349" t="inlineStr">
        <is>
          <t>UNVERIFIED – negative EPS</t>
        </is>
      </c>
      <c r="M349" t="n">
        <v>-1.57</v>
      </c>
      <c r="N349" t="n">
        <v>-0.61</v>
      </c>
      <c r="O349" t="n">
        <v>56.5</v>
      </c>
      <c r="P349" t="n">
        <v>63</v>
      </c>
      <c r="Q349" t="n">
        <v>38.35</v>
      </c>
      <c r="R349" s="3" t="inlineStr">
        <is>
          <t>MISMATCH_NEEDS_CORRECTION</t>
        </is>
      </c>
      <c r="S349" t="n">
        <v>56.5</v>
      </c>
      <c r="T349" t="inlineStr">
        <is>
          <t>30-07-2026 09:42 IST</t>
        </is>
      </c>
    </row>
    <row r="350">
      <c r="A350" t="n">
        <v>450</v>
      </c>
      <c r="B350" t="n">
        <v>500449</v>
      </c>
      <c r="C350" t="inlineStr">
        <is>
          <t>Hindustan Organic Chemicals Ltd</t>
        </is>
      </c>
      <c r="D350" t="n">
        <v>2019</v>
      </c>
      <c r="E350" t="n">
        <v>36.56000137329102</v>
      </c>
      <c r="F350" t="n">
        <v>10.79</v>
      </c>
      <c r="G350" t="inlineStr">
        <is>
          <t>Consolidated first (v4) – needs verification for flagged rows</t>
        </is>
      </c>
      <c r="H350" t="n">
        <v>28.89999961853027</v>
      </c>
      <c r="I350" t="n">
        <v>10.69999980926514</v>
      </c>
      <c r="L350" t="inlineStr">
        <is>
          <t>OK</t>
        </is>
      </c>
      <c r="M350" t="n">
        <v>2.68</v>
      </c>
      <c r="N350" t="n">
        <v>0.99</v>
      </c>
      <c r="O350" t="n">
        <v>56.5</v>
      </c>
      <c r="P350" t="n">
        <v>63</v>
      </c>
      <c r="Q350" t="n">
        <v>38.35</v>
      </c>
      <c r="R350" s="3" t="inlineStr">
        <is>
          <t>MISMATCH_NEEDS_CORRECTION</t>
        </is>
      </c>
      <c r="S350" t="n">
        <v>56.5</v>
      </c>
      <c r="T350" t="inlineStr">
        <is>
          <t>30-07-2026 09:42 IST</t>
        </is>
      </c>
    </row>
    <row r="351">
      <c r="A351" t="n">
        <v>450</v>
      </c>
      <c r="B351" t="n">
        <v>500449</v>
      </c>
      <c r="C351" t="inlineStr">
        <is>
          <t>Hindustan Organic Chemicals Ltd</t>
        </is>
      </c>
      <c r="D351" t="n">
        <v>2020</v>
      </c>
      <c r="E351" t="n">
        <v>36.56000137329102</v>
      </c>
      <c r="F351" t="n">
        <v>-14.33</v>
      </c>
      <c r="G351" t="inlineStr">
        <is>
          <t>Consolidated first (v4) – needs verification for flagged rows</t>
        </is>
      </c>
      <c r="H351" t="n">
        <v>20.79999923706055</v>
      </c>
      <c r="I351" t="n">
        <v>5.849999904632568</v>
      </c>
      <c r="L351" t="inlineStr">
        <is>
          <t>UNVERIFIED – negative EPS</t>
        </is>
      </c>
      <c r="M351" t="n">
        <v>-1.45</v>
      </c>
      <c r="N351" t="n">
        <v>-0.41</v>
      </c>
      <c r="O351" t="n">
        <v>56.5</v>
      </c>
      <c r="P351" t="n">
        <v>63</v>
      </c>
      <c r="Q351" t="n">
        <v>38.35</v>
      </c>
      <c r="R351" s="3" t="inlineStr">
        <is>
          <t>MISMATCH_NEEDS_CORRECTION</t>
        </is>
      </c>
      <c r="S351" t="n">
        <v>56.5</v>
      </c>
      <c r="T351" t="inlineStr">
        <is>
          <t>30-07-2026 09:42 IST</t>
        </is>
      </c>
    </row>
    <row r="352">
      <c r="A352" t="n">
        <v>450</v>
      </c>
      <c r="B352" t="n">
        <v>500449</v>
      </c>
      <c r="C352" t="inlineStr">
        <is>
          <t>Hindustan Organic Chemicals Ltd</t>
        </is>
      </c>
      <c r="D352" t="n">
        <v>2021</v>
      </c>
      <c r="E352" t="n">
        <v>36.56000137329102</v>
      </c>
      <c r="F352" t="n">
        <v>0.38</v>
      </c>
      <c r="G352" t="inlineStr">
        <is>
          <t>Consolidated first (v4) – needs verification for flagged rows</t>
        </is>
      </c>
      <c r="H352" t="n">
        <v>47.90000152587891</v>
      </c>
      <c r="I352" t="n">
        <v>19.20000076293945</v>
      </c>
      <c r="L352" t="inlineStr">
        <is>
          <t>UNVERIFIED – tiny EPS &lt;0.5</t>
        </is>
      </c>
      <c r="M352" t="n">
        <v>126.05</v>
      </c>
      <c r="N352" t="n">
        <v>50.53</v>
      </c>
      <c r="O352" t="n">
        <v>56.5</v>
      </c>
      <c r="P352" t="n">
        <v>63</v>
      </c>
      <c r="Q352" t="n">
        <v>38.35</v>
      </c>
      <c r="R352" s="3" t="inlineStr">
        <is>
          <t>MISMATCH_NEEDS_CORRECTION</t>
        </is>
      </c>
      <c r="S352" t="n">
        <v>56.5</v>
      </c>
      <c r="T352" t="inlineStr">
        <is>
          <t>30-07-2026 09:42 IST</t>
        </is>
      </c>
    </row>
    <row r="353">
      <c r="A353" t="n">
        <v>450</v>
      </c>
      <c r="B353" t="n">
        <v>500449</v>
      </c>
      <c r="C353" t="inlineStr">
        <is>
          <t>Hindustan Organic Chemicals Ltd</t>
        </is>
      </c>
      <c r="D353" t="n">
        <v>2022</v>
      </c>
      <c r="E353" t="n">
        <v>36.56000137329102</v>
      </c>
      <c r="F353" t="n">
        <v>-4.41</v>
      </c>
      <c r="G353" t="inlineStr">
        <is>
          <t>Consolidated first (v4) – needs verification for flagged rows</t>
        </is>
      </c>
      <c r="H353" t="n">
        <v>39.79999923706055</v>
      </c>
      <c r="I353" t="n">
        <v>25</v>
      </c>
      <c r="L353" t="inlineStr">
        <is>
          <t>UNVERIFIED – negative EPS</t>
        </is>
      </c>
      <c r="M353" t="n">
        <v>-9.02</v>
      </c>
      <c r="N353" t="n">
        <v>-5.67</v>
      </c>
      <c r="O353" t="n">
        <v>56.5</v>
      </c>
      <c r="P353" t="n">
        <v>63</v>
      </c>
      <c r="Q353" t="n">
        <v>38.35</v>
      </c>
      <c r="R353" s="3" t="inlineStr">
        <is>
          <t>MISMATCH_NEEDS_CORRECTION</t>
        </is>
      </c>
      <c r="S353" t="n">
        <v>56.5</v>
      </c>
      <c r="T353" t="inlineStr">
        <is>
          <t>30-07-2026 09:42 IST</t>
        </is>
      </c>
    </row>
    <row r="354">
      <c r="A354" t="n">
        <v>450</v>
      </c>
      <c r="B354" t="n">
        <v>500449</v>
      </c>
      <c r="C354" t="inlineStr">
        <is>
          <t>Hindustan Organic Chemicals Ltd</t>
        </is>
      </c>
      <c r="D354" t="n">
        <v>2023</v>
      </c>
      <c r="E354" t="n">
        <v>36.56000137329102</v>
      </c>
      <c r="F354" t="n">
        <v>-7.95</v>
      </c>
      <c r="G354" t="inlineStr">
        <is>
          <t>Consolidated first (v4) – needs verification for flagged rows</t>
        </is>
      </c>
      <c r="H354" t="n">
        <v>57.09000015258789</v>
      </c>
      <c r="I354" t="n">
        <v>20.64999961853027</v>
      </c>
      <c r="L354" t="inlineStr">
        <is>
          <t>UNVERIFIED – negative EPS</t>
        </is>
      </c>
      <c r="M354" t="n">
        <v>-7.18</v>
      </c>
      <c r="N354" t="n">
        <v>-2.6</v>
      </c>
      <c r="O354" t="n">
        <v>56.5</v>
      </c>
      <c r="P354" t="n">
        <v>63</v>
      </c>
      <c r="Q354" t="n">
        <v>38.35</v>
      </c>
      <c r="R354" s="3" t="inlineStr">
        <is>
          <t>MISMATCH_NEEDS_CORRECTION</t>
        </is>
      </c>
      <c r="S354" t="n">
        <v>56.5</v>
      </c>
      <c r="T354" t="inlineStr">
        <is>
          <t>30-07-2026 09:42 IST</t>
        </is>
      </c>
    </row>
    <row r="355">
      <c r="A355" t="n">
        <v>450</v>
      </c>
      <c r="B355" t="n">
        <v>500449</v>
      </c>
      <c r="C355" t="inlineStr">
        <is>
          <t>Hindustan Organic Chemicals Ltd</t>
        </is>
      </c>
      <c r="D355" t="n">
        <v>2024</v>
      </c>
      <c r="E355" t="n">
        <v>36.56000137329102</v>
      </c>
      <c r="F355" t="n">
        <v>-8.130000000000001</v>
      </c>
      <c r="G355" t="inlineStr">
        <is>
          <t>Consolidated first (v4) – needs verification for flagged rows</t>
        </is>
      </c>
      <c r="H355" t="n">
        <v>65.94999694824219</v>
      </c>
      <c r="I355" t="n">
        <v>38.95000076293945</v>
      </c>
      <c r="L355" t="inlineStr">
        <is>
          <t>UNVERIFIED – negative EPS</t>
        </is>
      </c>
      <c r="M355" t="n">
        <v>-8.109999999999999</v>
      </c>
      <c r="N355" t="n">
        <v>-4.79</v>
      </c>
      <c r="O355" t="n">
        <v>56.5</v>
      </c>
      <c r="P355" t="n">
        <v>63</v>
      </c>
      <c r="Q355" t="n">
        <v>38.35</v>
      </c>
      <c r="R355" s="3" t="inlineStr">
        <is>
          <t>MISMATCH_NEEDS_CORRECTION</t>
        </is>
      </c>
      <c r="S355" t="n">
        <v>56.5</v>
      </c>
      <c r="T355" t="inlineStr">
        <is>
          <t>30-07-2026 09:42 IST</t>
        </is>
      </c>
    </row>
    <row r="356">
      <c r="A356" t="n">
        <v>450</v>
      </c>
      <c r="B356" t="n">
        <v>500449</v>
      </c>
      <c r="C356" t="inlineStr">
        <is>
          <t>Hindustan Organic Chemicals Ltd</t>
        </is>
      </c>
      <c r="D356" t="n">
        <v>2025</v>
      </c>
      <c r="E356" t="n">
        <v>36.56000137329102</v>
      </c>
      <c r="F356" t="n">
        <v>58.32</v>
      </c>
      <c r="G356" t="inlineStr">
        <is>
          <t>Consolidated first (v4) – needs verification for flagged rows</t>
        </is>
      </c>
      <c r="H356" t="n">
        <v>45</v>
      </c>
      <c r="I356" t="n">
        <v>22.36000061035156</v>
      </c>
      <c r="L356" t="inlineStr">
        <is>
          <t>OK</t>
        </is>
      </c>
      <c r="M356" t="n">
        <v>0.77</v>
      </c>
      <c r="N356" t="n">
        <v>0.38</v>
      </c>
      <c r="O356" t="n">
        <v>56.5</v>
      </c>
      <c r="P356" t="n">
        <v>63</v>
      </c>
      <c r="Q356" t="n">
        <v>38.35</v>
      </c>
      <c r="R356" s="3" t="inlineStr">
        <is>
          <t>MISMATCH_NEEDS_CORRECTION</t>
        </is>
      </c>
      <c r="S356" t="n">
        <v>56.5</v>
      </c>
      <c r="T356" t="inlineStr">
        <is>
          <t>30-07-2026 09:42 IST</t>
        </is>
      </c>
    </row>
    <row r="357">
      <c r="A357" t="n">
        <v>450</v>
      </c>
      <c r="B357" t="n">
        <v>500449</v>
      </c>
      <c r="C357" t="inlineStr">
        <is>
          <t>Hindustan Organic Chemicals Ltd</t>
        </is>
      </c>
      <c r="D357" t="n">
        <v>2026</v>
      </c>
      <c r="E357" t="n">
        <v>36.56000137329102</v>
      </c>
      <c r="F357" t="n">
        <v>-1.9</v>
      </c>
      <c r="G357" t="inlineStr">
        <is>
          <t>Consolidated first (v4) – needs verification for flagged rows</t>
        </is>
      </c>
      <c r="H357" t="n">
        <v>46.59999847412109</v>
      </c>
      <c r="I357" t="n">
        <v>21.04999923706055</v>
      </c>
      <c r="L357" t="inlineStr">
        <is>
          <t>UNVERIFIED – negative EPS</t>
        </is>
      </c>
      <c r="M357" t="n">
        <v>-24.53</v>
      </c>
      <c r="N357" t="n">
        <v>-11.08</v>
      </c>
      <c r="O357" t="n">
        <v>56.5</v>
      </c>
      <c r="P357" t="n">
        <v>63</v>
      </c>
      <c r="Q357" t="n">
        <v>38.35</v>
      </c>
      <c r="R357" s="3" t="inlineStr">
        <is>
          <t>MISMATCH_NEEDS_CORRECTION</t>
        </is>
      </c>
      <c r="S357" t="n">
        <v>56.5</v>
      </c>
      <c r="T357" t="inlineStr">
        <is>
          <t>30-07-2026 09:42 IST</t>
        </is>
      </c>
    </row>
    <row r="358">
      <c r="A358" t="n">
        <v>451</v>
      </c>
      <c r="B358" t="n">
        <v>500450</v>
      </c>
      <c r="C358" t="inlineStr">
        <is>
          <t>MPIL Corporation Ltd</t>
        </is>
      </c>
      <c r="D358" t="n">
        <v>2015</v>
      </c>
      <c r="E358" t="n">
        <v>457</v>
      </c>
      <c r="F358" t="n">
        <v>-2.8</v>
      </c>
      <c r="G358" t="inlineStr">
        <is>
          <t>Consolidated first (v4) – needs verification for flagged rows</t>
        </is>
      </c>
      <c r="H358" t="n">
        <v>80</v>
      </c>
      <c r="I358" t="n">
        <v>42.75</v>
      </c>
      <c r="L358" t="inlineStr">
        <is>
          <t>UNVERIFIED – negative EPS</t>
        </is>
      </c>
      <c r="M358" t="n">
        <v>-28.57</v>
      </c>
      <c r="N358" t="n">
        <v>-15.27</v>
      </c>
      <c r="O358" t="n">
        <v>553</v>
      </c>
      <c r="P358" t="n">
        <v>1033</v>
      </c>
      <c r="Q358" t="n">
        <v>506</v>
      </c>
      <c r="R358" s="3" t="inlineStr">
        <is>
          <t>MISMATCH_NEEDS_CORRECTION</t>
        </is>
      </c>
      <c r="S358" t="n">
        <v>553</v>
      </c>
      <c r="T358" t="inlineStr">
        <is>
          <t>30-07-2026 09:42 IST</t>
        </is>
      </c>
    </row>
    <row r="359">
      <c r="A359" t="n">
        <v>451</v>
      </c>
      <c r="B359" t="n">
        <v>500450</v>
      </c>
      <c r="C359" t="inlineStr">
        <is>
          <t>MPIL Corporation Ltd</t>
        </is>
      </c>
      <c r="D359" t="n">
        <v>2016</v>
      </c>
      <c r="E359" t="n">
        <v>457</v>
      </c>
      <c r="F359" t="n">
        <v>-2.27</v>
      </c>
      <c r="G359" t="inlineStr">
        <is>
          <t>Consolidated first (v4) – needs verification for flagged rows</t>
        </is>
      </c>
      <c r="H359" t="n">
        <v>67.84999847412109</v>
      </c>
      <c r="I359" t="n">
        <v>41</v>
      </c>
      <c r="L359" t="inlineStr">
        <is>
          <t>UNVERIFIED – negative EPS</t>
        </is>
      </c>
      <c r="M359" t="n">
        <v>-29.89</v>
      </c>
      <c r="N359" t="n">
        <v>-18.06</v>
      </c>
      <c r="O359" t="n">
        <v>553</v>
      </c>
      <c r="P359" t="n">
        <v>1033</v>
      </c>
      <c r="Q359" t="n">
        <v>506</v>
      </c>
      <c r="R359" s="3" t="inlineStr">
        <is>
          <t>MISMATCH_NEEDS_CORRECTION</t>
        </is>
      </c>
      <c r="S359" t="n">
        <v>553</v>
      </c>
      <c r="T359" t="inlineStr">
        <is>
          <t>30-07-2026 09:42 IST</t>
        </is>
      </c>
    </row>
    <row r="360">
      <c r="A360" t="n">
        <v>451</v>
      </c>
      <c r="B360" t="n">
        <v>500450</v>
      </c>
      <c r="C360" t="inlineStr">
        <is>
          <t>MPIL Corporation Ltd</t>
        </is>
      </c>
      <c r="D360" t="n">
        <v>2017</v>
      </c>
      <c r="E360" t="n">
        <v>457</v>
      </c>
      <c r="F360" t="n">
        <v>-2.45</v>
      </c>
      <c r="G360" t="inlineStr">
        <is>
          <t>Consolidated first (v4) – needs verification for flagged rows</t>
        </is>
      </c>
      <c r="H360" t="n">
        <v>181</v>
      </c>
      <c r="I360" t="n">
        <v>40</v>
      </c>
      <c r="L360" t="inlineStr">
        <is>
          <t>UNVERIFIED – negative EPS</t>
        </is>
      </c>
      <c r="M360" t="n">
        <v>-73.88</v>
      </c>
      <c r="N360" t="n">
        <v>-16.33</v>
      </c>
      <c r="O360" t="n">
        <v>553</v>
      </c>
      <c r="P360" t="n">
        <v>1033</v>
      </c>
      <c r="Q360" t="n">
        <v>506</v>
      </c>
      <c r="R360" s="3" t="inlineStr">
        <is>
          <t>MISMATCH_NEEDS_CORRECTION</t>
        </is>
      </c>
      <c r="S360" t="n">
        <v>553</v>
      </c>
      <c r="T360" t="inlineStr">
        <is>
          <t>30-07-2026 09:42 IST</t>
        </is>
      </c>
    </row>
    <row r="361">
      <c r="A361" t="n">
        <v>451</v>
      </c>
      <c r="B361" t="n">
        <v>500450</v>
      </c>
      <c r="C361" t="inlineStr">
        <is>
          <t>MPIL Corporation Ltd</t>
        </is>
      </c>
      <c r="D361" t="n">
        <v>2018</v>
      </c>
      <c r="E361" t="n">
        <v>457</v>
      </c>
      <c r="F361" t="n">
        <v>18.02</v>
      </c>
      <c r="G361" t="inlineStr">
        <is>
          <t>Consolidated first (v4) – needs verification for flagged rows</t>
        </is>
      </c>
      <c r="H361" t="n">
        <v>288.75</v>
      </c>
      <c r="I361" t="n">
        <v>136.5</v>
      </c>
      <c r="L361" t="inlineStr">
        <is>
          <t>OK</t>
        </is>
      </c>
      <c r="M361" t="n">
        <v>16.02</v>
      </c>
      <c r="N361" t="n">
        <v>7.57</v>
      </c>
      <c r="O361" t="n">
        <v>553</v>
      </c>
      <c r="P361" t="n">
        <v>1033</v>
      </c>
      <c r="Q361" t="n">
        <v>506</v>
      </c>
      <c r="R361" s="3" t="inlineStr">
        <is>
          <t>MISMATCH_NEEDS_CORRECTION</t>
        </is>
      </c>
      <c r="S361" t="n">
        <v>553</v>
      </c>
      <c r="T361" t="inlineStr">
        <is>
          <t>30-07-2026 09:42 IST</t>
        </is>
      </c>
    </row>
    <row r="362">
      <c r="A362" t="n">
        <v>451</v>
      </c>
      <c r="B362" t="n">
        <v>500450</v>
      </c>
      <c r="C362" t="inlineStr">
        <is>
          <t>MPIL Corporation Ltd</t>
        </is>
      </c>
      <c r="D362" t="n">
        <v>2019</v>
      </c>
      <c r="E362" t="n">
        <v>457</v>
      </c>
      <c r="F362" t="n">
        <v>2.62</v>
      </c>
      <c r="G362" t="inlineStr">
        <is>
          <t>Consolidated first (v4) – needs verification for flagged rows</t>
        </is>
      </c>
      <c r="H362" t="n">
        <v>271</v>
      </c>
      <c r="I362" t="n">
        <v>117</v>
      </c>
      <c r="L362" t="inlineStr">
        <is>
          <t>OK</t>
        </is>
      </c>
      <c r="M362" t="n">
        <v>103.44</v>
      </c>
      <c r="N362" t="n">
        <v>44.66</v>
      </c>
      <c r="O362" t="n">
        <v>553</v>
      </c>
      <c r="P362" t="n">
        <v>1033</v>
      </c>
      <c r="Q362" t="n">
        <v>506</v>
      </c>
      <c r="R362" s="3" t="inlineStr">
        <is>
          <t>MISMATCH_NEEDS_CORRECTION</t>
        </is>
      </c>
      <c r="S362" t="n">
        <v>553</v>
      </c>
      <c r="T362" t="inlineStr">
        <is>
          <t>30-07-2026 09:42 IST</t>
        </is>
      </c>
    </row>
    <row r="363">
      <c r="A363" t="n">
        <v>451</v>
      </c>
      <c r="B363" t="n">
        <v>500450</v>
      </c>
      <c r="C363" t="inlineStr">
        <is>
          <t>MPIL Corporation Ltd</t>
        </is>
      </c>
      <c r="D363" t="n">
        <v>2020</v>
      </c>
      <c r="E363" t="n">
        <v>457</v>
      </c>
      <c r="F363" t="n">
        <v>6.47</v>
      </c>
      <c r="G363" t="inlineStr">
        <is>
          <t>Consolidated first (v4) – needs verification for flagged rows</t>
        </is>
      </c>
      <c r="H363" t="n">
        <v>261.4500122070312</v>
      </c>
      <c r="I363" t="n">
        <v>113</v>
      </c>
      <c r="L363" t="inlineStr">
        <is>
          <t>OK</t>
        </is>
      </c>
      <c r="M363" t="n">
        <v>40.41</v>
      </c>
      <c r="N363" t="n">
        <v>17.47</v>
      </c>
      <c r="O363" t="n">
        <v>553</v>
      </c>
      <c r="P363" t="n">
        <v>1033</v>
      </c>
      <c r="Q363" t="n">
        <v>506</v>
      </c>
      <c r="R363" s="3" t="inlineStr">
        <is>
          <t>MISMATCH_NEEDS_CORRECTION</t>
        </is>
      </c>
      <c r="S363" t="n">
        <v>553</v>
      </c>
      <c r="T363" t="inlineStr">
        <is>
          <t>30-07-2026 09:42 IST</t>
        </is>
      </c>
    </row>
    <row r="364">
      <c r="A364" t="n">
        <v>451</v>
      </c>
      <c r="B364" t="n">
        <v>500450</v>
      </c>
      <c r="C364" t="inlineStr">
        <is>
          <t>MPIL Corporation Ltd</t>
        </is>
      </c>
      <c r="D364" t="n">
        <v>2021</v>
      </c>
      <c r="E364" t="n">
        <v>457</v>
      </c>
      <c r="F364" t="n">
        <v>2.62</v>
      </c>
      <c r="G364" t="inlineStr">
        <is>
          <t>Consolidated first (v4) – needs verification for flagged rows</t>
        </is>
      </c>
      <c r="H364" t="n">
        <v>310.7000122070312</v>
      </c>
      <c r="I364" t="n">
        <v>158.9499969482422</v>
      </c>
      <c r="L364" t="inlineStr">
        <is>
          <t>OK</t>
        </is>
      </c>
      <c r="M364" t="n">
        <v>118.59</v>
      </c>
      <c r="N364" t="n">
        <v>60.67</v>
      </c>
      <c r="O364" t="n">
        <v>553</v>
      </c>
      <c r="P364" t="n">
        <v>1033</v>
      </c>
      <c r="Q364" t="n">
        <v>506</v>
      </c>
      <c r="R364" s="3" t="inlineStr">
        <is>
          <t>MISMATCH_NEEDS_CORRECTION</t>
        </is>
      </c>
      <c r="S364" t="n">
        <v>553</v>
      </c>
      <c r="T364" t="inlineStr">
        <is>
          <t>30-07-2026 09:42 IST</t>
        </is>
      </c>
    </row>
    <row r="365">
      <c r="A365" t="n">
        <v>451</v>
      </c>
      <c r="B365" t="n">
        <v>500450</v>
      </c>
      <c r="C365" t="inlineStr">
        <is>
          <t>MPIL Corporation Ltd</t>
        </is>
      </c>
      <c r="D365" t="n">
        <v>2022</v>
      </c>
      <c r="E365" t="n">
        <v>457</v>
      </c>
      <c r="F365" t="n">
        <v>14.87</v>
      </c>
      <c r="G365" t="inlineStr">
        <is>
          <t>Consolidated first (v4) – needs verification for flagged rows</t>
        </is>
      </c>
      <c r="H365" t="n">
        <v>285</v>
      </c>
      <c r="I365" t="n">
        <v>162.4499969482422</v>
      </c>
      <c r="L365" t="inlineStr">
        <is>
          <t>OK</t>
        </is>
      </c>
      <c r="M365" t="n">
        <v>19.17</v>
      </c>
      <c r="N365" t="n">
        <v>10.92</v>
      </c>
      <c r="O365" t="n">
        <v>553</v>
      </c>
      <c r="P365" t="n">
        <v>1033</v>
      </c>
      <c r="Q365" t="n">
        <v>506</v>
      </c>
      <c r="R365" s="3" t="inlineStr">
        <is>
          <t>MISMATCH_NEEDS_CORRECTION</t>
        </is>
      </c>
      <c r="S365" t="n">
        <v>553</v>
      </c>
      <c r="T365" t="inlineStr">
        <is>
          <t>30-07-2026 09:42 IST</t>
        </is>
      </c>
    </row>
    <row r="366">
      <c r="A366" t="n">
        <v>451</v>
      </c>
      <c r="B366" t="n">
        <v>500450</v>
      </c>
      <c r="C366" t="inlineStr">
        <is>
          <t>MPIL Corporation Ltd</t>
        </is>
      </c>
      <c r="D366" t="n">
        <v>2023</v>
      </c>
      <c r="E366" t="n">
        <v>457</v>
      </c>
      <c r="F366" t="n">
        <v>12.77</v>
      </c>
      <c r="G366" t="inlineStr">
        <is>
          <t>Consolidated first (v4) – needs verification for flagged rows</t>
        </is>
      </c>
      <c r="H366" t="n">
        <v>1264.050048828125</v>
      </c>
      <c r="I366" t="n">
        <v>195.6499938964844</v>
      </c>
      <c r="L366" t="inlineStr">
        <is>
          <t>OK</t>
        </is>
      </c>
      <c r="M366" t="n">
        <v>98.98999999999999</v>
      </c>
      <c r="N366" t="n">
        <v>15.32</v>
      </c>
      <c r="O366" t="n">
        <v>553</v>
      </c>
      <c r="P366" t="n">
        <v>1033</v>
      </c>
      <c r="Q366" t="n">
        <v>506</v>
      </c>
      <c r="R366" s="3" t="inlineStr">
        <is>
          <t>MISMATCH_NEEDS_CORRECTION</t>
        </is>
      </c>
      <c r="S366" t="n">
        <v>553</v>
      </c>
      <c r="T366" t="inlineStr">
        <is>
          <t>30-07-2026 09:42 IST</t>
        </is>
      </c>
    </row>
    <row r="367">
      <c r="A367" t="n">
        <v>451</v>
      </c>
      <c r="B367" t="n">
        <v>500450</v>
      </c>
      <c r="C367" t="inlineStr">
        <is>
          <t>MPIL Corporation Ltd</t>
        </is>
      </c>
      <c r="D367" t="n">
        <v>2024</v>
      </c>
      <c r="E367" t="n">
        <v>457</v>
      </c>
      <c r="F367" t="n">
        <v>-10.15</v>
      </c>
      <c r="G367" t="inlineStr">
        <is>
          <t>Consolidated first (v4) – needs verification for flagged rows</t>
        </is>
      </c>
      <c r="H367" t="n">
        <v>1076.050048828125</v>
      </c>
      <c r="I367" t="n">
        <v>506</v>
      </c>
      <c r="L367" t="inlineStr">
        <is>
          <t>UNVERIFIED – negative EPS</t>
        </is>
      </c>
      <c r="M367" t="n">
        <v>-106.01</v>
      </c>
      <c r="N367" t="n">
        <v>-49.85</v>
      </c>
      <c r="O367" t="n">
        <v>553</v>
      </c>
      <c r="P367" t="n">
        <v>1033</v>
      </c>
      <c r="Q367" t="n">
        <v>506</v>
      </c>
      <c r="R367" s="3" t="inlineStr">
        <is>
          <t>MISMATCH_NEEDS_CORRECTION</t>
        </is>
      </c>
      <c r="S367" t="n">
        <v>553</v>
      </c>
      <c r="T367" t="inlineStr">
        <is>
          <t>30-07-2026 09:42 IST</t>
        </is>
      </c>
    </row>
    <row r="368">
      <c r="A368" t="n">
        <v>451</v>
      </c>
      <c r="B368" t="n">
        <v>500450</v>
      </c>
      <c r="C368" t="inlineStr">
        <is>
          <t>MPIL Corporation Ltd</t>
        </is>
      </c>
      <c r="D368" t="n">
        <v>2025</v>
      </c>
      <c r="E368" t="n">
        <v>457</v>
      </c>
      <c r="F368" t="n">
        <v>-40.06</v>
      </c>
      <c r="G368" t="inlineStr">
        <is>
          <t>Consolidated first (v4) – needs verification for flagged rows</t>
        </is>
      </c>
      <c r="H368" t="n">
        <v>787.3499755859375</v>
      </c>
      <c r="I368" t="n">
        <v>360</v>
      </c>
      <c r="L368" t="inlineStr">
        <is>
          <t>UNVERIFIED – negative EPS</t>
        </is>
      </c>
      <c r="M368" t="n">
        <v>-19.65</v>
      </c>
      <c r="N368" t="n">
        <v>-8.99</v>
      </c>
      <c r="O368" t="n">
        <v>553</v>
      </c>
      <c r="P368" t="n">
        <v>1033</v>
      </c>
      <c r="Q368" t="n">
        <v>506</v>
      </c>
      <c r="R368" s="3" t="inlineStr">
        <is>
          <t>MISMATCH_NEEDS_CORRECTION</t>
        </is>
      </c>
      <c r="S368" t="n">
        <v>553</v>
      </c>
      <c r="T368" t="inlineStr">
        <is>
          <t>30-07-2026 09:42 IST</t>
        </is>
      </c>
    </row>
    <row r="369">
      <c r="A369" t="n">
        <v>451</v>
      </c>
      <c r="B369" t="n">
        <v>500450</v>
      </c>
      <c r="C369" t="inlineStr">
        <is>
          <t>MPIL Corporation Ltd</t>
        </is>
      </c>
      <c r="D369" t="n">
        <v>2026</v>
      </c>
      <c r="E369" t="n">
        <v>457</v>
      </c>
      <c r="F369" t="n">
        <v>-58.78</v>
      </c>
      <c r="G369" t="inlineStr">
        <is>
          <t>Consolidated first (v4) – needs verification for flagged rows</t>
        </is>
      </c>
      <c r="H369" t="n">
        <v>639.2000122070312</v>
      </c>
      <c r="I369" t="n">
        <v>324.7000122070312</v>
      </c>
      <c r="L369" t="inlineStr">
        <is>
          <t>UNVERIFIED – negative EPS</t>
        </is>
      </c>
      <c r="M369" t="n">
        <v>-10.87</v>
      </c>
      <c r="N369" t="n">
        <v>-5.52</v>
      </c>
      <c r="O369" t="n">
        <v>553</v>
      </c>
      <c r="P369" t="n">
        <v>1033</v>
      </c>
      <c r="Q369" t="n">
        <v>506</v>
      </c>
      <c r="R369" s="3" t="inlineStr">
        <is>
          <t>MISMATCH_NEEDS_CORRECTION</t>
        </is>
      </c>
      <c r="S369" t="n">
        <v>553</v>
      </c>
      <c r="T369" t="inlineStr">
        <is>
          <t>30-07-2026 09:42 IST</t>
        </is>
      </c>
    </row>
    <row r="370">
      <c r="A370" t="n">
        <v>452</v>
      </c>
      <c r="B370" t="n">
        <v>500451</v>
      </c>
      <c r="C370" t="inlineStr">
        <is>
          <t>Modern Denim Ltd</t>
        </is>
      </c>
      <c r="D370" t="n">
        <v>2026</v>
      </c>
      <c r="E370" t="n">
        <v>0.4000000059604645</v>
      </c>
      <c r="G370" t="inlineStr">
        <is>
          <t>Consolidated first (v4) – needs verification for flagged rows</t>
        </is>
      </c>
      <c r="L370" t="inlineStr">
        <is>
          <t>INCOMPLETE</t>
        </is>
      </c>
      <c r="O370" t="n">
        <v>0.4</v>
      </c>
      <c r="P370" t="n">
        <v>0.4</v>
      </c>
      <c r="Q370" t="n">
        <v>0.4</v>
      </c>
      <c r="R370" s="2" t="inlineStr">
        <is>
          <t>VERIFIED_OK</t>
        </is>
      </c>
      <c r="S370" t="n">
        <v>0.4</v>
      </c>
      <c r="T370" t="inlineStr">
        <is>
          <t>30-07-2026 09:42 IST</t>
        </is>
      </c>
    </row>
    <row r="371">
      <c r="A371" t="n">
        <v>459</v>
      </c>
      <c r="B371" t="n">
        <v>500458</v>
      </c>
      <c r="C371" t="inlineStr">
        <is>
          <t>Mafatlal Industries Ltd</t>
        </is>
      </c>
      <c r="D371" t="n">
        <v>2015</v>
      </c>
      <c r="E371" t="n">
        <v>27.8799991607666</v>
      </c>
      <c r="G371" t="inlineStr">
        <is>
          <t>Consolidated first (v4) – needs verification for flagged rows</t>
        </is>
      </c>
      <c r="H371" t="n">
        <v>3.849999904632568</v>
      </c>
      <c r="I371" t="n">
        <v>1.870000004768372</v>
      </c>
      <c r="L371" t="inlineStr">
        <is>
          <t>INCOMPLETE</t>
        </is>
      </c>
      <c r="O371" t="n">
        <v>7</v>
      </c>
      <c r="P371" t="n">
        <v>48.29</v>
      </c>
      <c r="Q371" t="n">
        <v>6</v>
      </c>
      <c r="R371" s="3" t="inlineStr">
        <is>
          <t>MISMATCH_NEEDS_CORRECTION</t>
        </is>
      </c>
      <c r="S371" t="n">
        <v>7</v>
      </c>
      <c r="T371" t="inlineStr">
        <is>
          <t>30-07-2026 09:42 IST</t>
        </is>
      </c>
    </row>
    <row r="372">
      <c r="A372" t="n">
        <v>459</v>
      </c>
      <c r="B372" t="n">
        <v>500458</v>
      </c>
      <c r="C372" t="inlineStr">
        <is>
          <t>Mafatlal Industries Ltd</t>
        </is>
      </c>
      <c r="D372" t="n">
        <v>2016</v>
      </c>
      <c r="E372" t="n">
        <v>27.8799991607666</v>
      </c>
      <c r="G372" t="inlineStr">
        <is>
          <t>Consolidated first (v4) – needs verification for flagged rows</t>
        </is>
      </c>
      <c r="H372" t="n">
        <v>4.820000171661377</v>
      </c>
      <c r="I372" t="n">
        <v>1.919999957084656</v>
      </c>
      <c r="L372" t="inlineStr">
        <is>
          <t>INCOMPLETE</t>
        </is>
      </c>
      <c r="O372" t="n">
        <v>7</v>
      </c>
      <c r="P372" t="n">
        <v>48.29</v>
      </c>
      <c r="Q372" t="n">
        <v>6</v>
      </c>
      <c r="R372" s="3" t="inlineStr">
        <is>
          <t>MISMATCH_NEEDS_CORRECTION</t>
        </is>
      </c>
      <c r="S372" t="n">
        <v>7</v>
      </c>
      <c r="T372" t="inlineStr">
        <is>
          <t>30-07-2026 09:42 IST</t>
        </is>
      </c>
    </row>
    <row r="373">
      <c r="A373" t="n">
        <v>459</v>
      </c>
      <c r="B373" t="n">
        <v>500458</v>
      </c>
      <c r="C373" t="inlineStr">
        <is>
          <t>Mafatlal Industries Ltd</t>
        </is>
      </c>
      <c r="D373" t="n">
        <v>2017</v>
      </c>
      <c r="E373" t="n">
        <v>27.8799991607666</v>
      </c>
      <c r="G373" t="inlineStr">
        <is>
          <t>Consolidated first (v4) – needs verification for flagged rows</t>
        </is>
      </c>
      <c r="H373" t="n">
        <v>3.599999904632568</v>
      </c>
      <c r="I373" t="n">
        <v>2.119999885559082</v>
      </c>
      <c r="L373" t="inlineStr">
        <is>
          <t>INCOMPLETE</t>
        </is>
      </c>
      <c r="O373" t="n">
        <v>7</v>
      </c>
      <c r="P373" t="n">
        <v>48.29</v>
      </c>
      <c r="Q373" t="n">
        <v>6</v>
      </c>
      <c r="R373" s="3" t="inlineStr">
        <is>
          <t>MISMATCH_NEEDS_CORRECTION</t>
        </is>
      </c>
      <c r="S373" t="n">
        <v>7</v>
      </c>
      <c r="T373" t="inlineStr">
        <is>
          <t>30-07-2026 09:42 IST</t>
        </is>
      </c>
    </row>
    <row r="374">
      <c r="A374" t="n">
        <v>459</v>
      </c>
      <c r="B374" t="n">
        <v>500458</v>
      </c>
      <c r="C374" t="inlineStr">
        <is>
          <t>Mafatlal Industries Ltd</t>
        </is>
      </c>
      <c r="D374" t="n">
        <v>2018</v>
      </c>
      <c r="E374" t="n">
        <v>27.8799991607666</v>
      </c>
      <c r="G374" t="inlineStr">
        <is>
          <t>Consolidated first (v4) – needs verification for flagged rows</t>
        </is>
      </c>
      <c r="H374" t="n">
        <v>5.25</v>
      </c>
      <c r="I374" t="n">
        <v>3.039999961853027</v>
      </c>
      <c r="L374" t="inlineStr">
        <is>
          <t>INCOMPLETE</t>
        </is>
      </c>
      <c r="O374" t="n">
        <v>7</v>
      </c>
      <c r="P374" t="n">
        <v>48.29</v>
      </c>
      <c r="Q374" t="n">
        <v>6</v>
      </c>
      <c r="R374" s="3" t="inlineStr">
        <is>
          <t>MISMATCH_NEEDS_CORRECTION</t>
        </is>
      </c>
      <c r="S374" t="n">
        <v>7</v>
      </c>
      <c r="T374" t="inlineStr">
        <is>
          <t>30-07-2026 09:42 IST</t>
        </is>
      </c>
    </row>
    <row r="375">
      <c r="A375" t="n">
        <v>459</v>
      </c>
      <c r="B375" t="n">
        <v>500458</v>
      </c>
      <c r="C375" t="inlineStr">
        <is>
          <t>Mafatlal Industries Ltd</t>
        </is>
      </c>
      <c r="D375" t="n">
        <v>2019</v>
      </c>
      <c r="E375" t="n">
        <v>27.8799991607666</v>
      </c>
      <c r="G375" t="inlineStr">
        <is>
          <t>Consolidated first (v4) – needs verification for flagged rows</t>
        </is>
      </c>
      <c r="H375" t="n">
        <v>5.489999771118164</v>
      </c>
      <c r="I375" t="n">
        <v>4.519999980926514</v>
      </c>
      <c r="L375" t="inlineStr">
        <is>
          <t>INCOMPLETE</t>
        </is>
      </c>
      <c r="O375" t="n">
        <v>7</v>
      </c>
      <c r="P375" t="n">
        <v>48.29</v>
      </c>
      <c r="Q375" t="n">
        <v>6</v>
      </c>
      <c r="R375" s="3" t="inlineStr">
        <is>
          <t>MISMATCH_NEEDS_CORRECTION</t>
        </is>
      </c>
      <c r="S375" t="n">
        <v>7</v>
      </c>
      <c r="T375" t="inlineStr">
        <is>
          <t>30-07-2026 09:42 IST</t>
        </is>
      </c>
    </row>
    <row r="376">
      <c r="A376" t="n">
        <v>459</v>
      </c>
      <c r="B376" t="n">
        <v>500458</v>
      </c>
      <c r="C376" t="inlineStr">
        <is>
          <t>Mafatlal Industries Ltd</t>
        </is>
      </c>
      <c r="D376" t="n">
        <v>2020</v>
      </c>
      <c r="E376" t="n">
        <v>27.8799991607666</v>
      </c>
      <c r="G376" t="inlineStr">
        <is>
          <t>Consolidated first (v4) – needs verification for flagged rows</t>
        </is>
      </c>
      <c r="H376" t="n">
        <v>4.519999980926514</v>
      </c>
      <c r="I376" t="n">
        <v>1.340000033378601</v>
      </c>
      <c r="L376" t="inlineStr">
        <is>
          <t>INCOMPLETE</t>
        </is>
      </c>
      <c r="O376" t="n">
        <v>7</v>
      </c>
      <c r="P376" t="n">
        <v>48.29</v>
      </c>
      <c r="Q376" t="n">
        <v>6</v>
      </c>
      <c r="R376" s="3" t="inlineStr">
        <is>
          <t>MISMATCH_NEEDS_CORRECTION</t>
        </is>
      </c>
      <c r="S376" t="n">
        <v>7</v>
      </c>
      <c r="T376" t="inlineStr">
        <is>
          <t>30-07-2026 09:42 IST</t>
        </is>
      </c>
    </row>
    <row r="377">
      <c r="A377" t="n">
        <v>459</v>
      </c>
      <c r="B377" t="n">
        <v>500458</v>
      </c>
      <c r="C377" t="inlineStr">
        <is>
          <t>Mafatlal Industries Ltd</t>
        </is>
      </c>
      <c r="D377" t="n">
        <v>2021</v>
      </c>
      <c r="E377" t="n">
        <v>27.8799991607666</v>
      </c>
      <c r="G377" t="inlineStr">
        <is>
          <t>Consolidated first (v4) – needs verification for flagged rows</t>
        </is>
      </c>
      <c r="H377" t="n">
        <v>3.819999933242798</v>
      </c>
      <c r="I377" t="n">
        <v>1.730000019073486</v>
      </c>
      <c r="L377" t="inlineStr">
        <is>
          <t>INCOMPLETE</t>
        </is>
      </c>
      <c r="O377" t="n">
        <v>7</v>
      </c>
      <c r="P377" t="n">
        <v>48.29</v>
      </c>
      <c r="Q377" t="n">
        <v>6</v>
      </c>
      <c r="R377" s="3" t="inlineStr">
        <is>
          <t>MISMATCH_NEEDS_CORRECTION</t>
        </is>
      </c>
      <c r="S377" t="n">
        <v>7</v>
      </c>
      <c r="T377" t="inlineStr">
        <is>
          <t>30-07-2026 09:42 IST</t>
        </is>
      </c>
    </row>
    <row r="378">
      <c r="A378" t="n">
        <v>459</v>
      </c>
      <c r="B378" t="n">
        <v>500458</v>
      </c>
      <c r="C378" t="inlineStr">
        <is>
          <t>Mafatlal Industries Ltd</t>
        </is>
      </c>
      <c r="D378" t="n">
        <v>2022</v>
      </c>
      <c r="E378" t="n">
        <v>27.8799991607666</v>
      </c>
      <c r="G378" t="inlineStr">
        <is>
          <t>Consolidated first (v4) – needs verification for flagged rows</t>
        </is>
      </c>
      <c r="H378" t="n">
        <v>19.64999961853027</v>
      </c>
      <c r="I378" t="n">
        <v>1.730000019073486</v>
      </c>
      <c r="L378" t="inlineStr">
        <is>
          <t>INCOMPLETE</t>
        </is>
      </c>
      <c r="O378" t="n">
        <v>7</v>
      </c>
      <c r="P378" t="n">
        <v>48.29</v>
      </c>
      <c r="Q378" t="n">
        <v>6</v>
      </c>
      <c r="R378" s="3" t="inlineStr">
        <is>
          <t>MISMATCH_NEEDS_CORRECTION</t>
        </is>
      </c>
      <c r="S378" t="n">
        <v>7</v>
      </c>
      <c r="T378" t="inlineStr">
        <is>
          <t>30-07-2026 09:42 IST</t>
        </is>
      </c>
    </row>
    <row r="379">
      <c r="A379" t="n">
        <v>459</v>
      </c>
      <c r="B379" t="n">
        <v>500458</v>
      </c>
      <c r="C379" t="inlineStr">
        <is>
          <t>Mafatlal Industries Ltd</t>
        </is>
      </c>
      <c r="D379" t="n">
        <v>2023</v>
      </c>
      <c r="E379" t="n">
        <v>27.8799991607666</v>
      </c>
      <c r="G379" t="inlineStr">
        <is>
          <t>Consolidated first (v4) – needs verification for flagged rows</t>
        </is>
      </c>
      <c r="H379" t="n">
        <v>11.19999980926514</v>
      </c>
      <c r="I379" t="n">
        <v>5.920000076293945</v>
      </c>
      <c r="L379" t="inlineStr">
        <is>
          <t>INCOMPLETE</t>
        </is>
      </c>
      <c r="O379" t="n">
        <v>7</v>
      </c>
      <c r="P379" t="n">
        <v>48.29</v>
      </c>
      <c r="Q379" t="n">
        <v>6</v>
      </c>
      <c r="R379" s="3" t="inlineStr">
        <is>
          <t>MISMATCH_NEEDS_CORRECTION</t>
        </is>
      </c>
      <c r="S379" t="n">
        <v>7</v>
      </c>
      <c r="T379" t="inlineStr">
        <is>
          <t>30-07-2026 09:42 IST</t>
        </is>
      </c>
    </row>
    <row r="380">
      <c r="A380" t="n">
        <v>459</v>
      </c>
      <c r="B380" t="n">
        <v>500458</v>
      </c>
      <c r="C380" t="inlineStr">
        <is>
          <t>Mafatlal Industries Ltd</t>
        </is>
      </c>
      <c r="D380" t="n">
        <v>2024</v>
      </c>
      <c r="E380" t="n">
        <v>27.8799991607666</v>
      </c>
      <c r="G380" t="inlineStr">
        <is>
          <t>Consolidated first (v4) – needs verification for flagged rows</t>
        </is>
      </c>
      <c r="H380" t="n">
        <v>41.25</v>
      </c>
      <c r="I380" t="n">
        <v>6</v>
      </c>
      <c r="L380" t="inlineStr">
        <is>
          <t>INCOMPLETE</t>
        </is>
      </c>
      <c r="O380" t="n">
        <v>7</v>
      </c>
      <c r="P380" t="n">
        <v>48.29</v>
      </c>
      <c r="Q380" t="n">
        <v>6</v>
      </c>
      <c r="R380" s="3" t="inlineStr">
        <is>
          <t>MISMATCH_NEEDS_CORRECTION</t>
        </is>
      </c>
      <c r="S380" t="n">
        <v>7</v>
      </c>
      <c r="T380" t="inlineStr">
        <is>
          <t>30-07-2026 09:42 IST</t>
        </is>
      </c>
    </row>
    <row r="381">
      <c r="A381" t="n">
        <v>459</v>
      </c>
      <c r="B381" t="n">
        <v>500458</v>
      </c>
      <c r="C381" t="inlineStr">
        <is>
          <t>Mafatlal Industries Ltd</t>
        </is>
      </c>
      <c r="D381" t="n">
        <v>2025</v>
      </c>
      <c r="E381" t="n">
        <v>27.8799991607666</v>
      </c>
      <c r="G381" t="inlineStr">
        <is>
          <t>Consolidated first (v4) – needs verification for flagged rows</t>
        </is>
      </c>
      <c r="H381" t="n">
        <v>52.25</v>
      </c>
      <c r="I381" t="n">
        <v>24</v>
      </c>
      <c r="L381" t="inlineStr">
        <is>
          <t>INCOMPLETE</t>
        </is>
      </c>
      <c r="O381" t="n">
        <v>7</v>
      </c>
      <c r="P381" t="n">
        <v>48.29</v>
      </c>
      <c r="Q381" t="n">
        <v>6</v>
      </c>
      <c r="R381" s="3" t="inlineStr">
        <is>
          <t>MISMATCH_NEEDS_CORRECTION</t>
        </is>
      </c>
      <c r="S381" t="n">
        <v>7</v>
      </c>
      <c r="T381" t="inlineStr">
        <is>
          <t>30-07-2026 09:42 IST</t>
        </is>
      </c>
    </row>
    <row r="382">
      <c r="A382" t="n">
        <v>459</v>
      </c>
      <c r="B382" t="n">
        <v>500458</v>
      </c>
      <c r="C382" t="inlineStr">
        <is>
          <t>Mafatlal Industries Ltd</t>
        </is>
      </c>
      <c r="D382" t="n">
        <v>2026</v>
      </c>
      <c r="E382" t="n">
        <v>27.8799991607666</v>
      </c>
      <c r="G382" t="inlineStr">
        <is>
          <t>Consolidated first (v4) – needs verification for flagged rows</t>
        </is>
      </c>
      <c r="H382" t="n">
        <v>33.9900016784668</v>
      </c>
      <c r="I382" t="n">
        <v>24</v>
      </c>
      <c r="L382" t="inlineStr">
        <is>
          <t>INCOMPLETE</t>
        </is>
      </c>
      <c r="O382" t="n">
        <v>7</v>
      </c>
      <c r="P382" t="n">
        <v>48.29</v>
      </c>
      <c r="Q382" t="n">
        <v>6</v>
      </c>
      <c r="R382" s="3" t="inlineStr">
        <is>
          <t>MISMATCH_NEEDS_CORRECTION</t>
        </is>
      </c>
      <c r="S382" t="n">
        <v>7</v>
      </c>
      <c r="T382" t="inlineStr">
        <is>
          <t>30-07-2026 09:42 IST</t>
        </is>
      </c>
    </row>
    <row r="383">
      <c r="A383" t="n">
        <v>460</v>
      </c>
      <c r="B383" t="n">
        <v>500459</v>
      </c>
      <c r="C383" t="inlineStr">
        <is>
          <t>Procter &amp; Gamble Hygiene and Healthcare Ltd</t>
        </is>
      </c>
      <c r="D383" t="n">
        <v>2015</v>
      </c>
      <c r="E383" t="n">
        <v>8714.900390625</v>
      </c>
      <c r="F383" t="n">
        <v>106.63</v>
      </c>
      <c r="G383" t="inlineStr">
        <is>
          <t>Consolidated first (v4) – needs verification for flagged rows</t>
        </is>
      </c>
      <c r="H383" t="n">
        <v>7435</v>
      </c>
      <c r="I383" t="n">
        <v>5580</v>
      </c>
      <c r="L383" t="inlineStr">
        <is>
          <t>OK</t>
        </is>
      </c>
      <c r="M383" t="n">
        <v>69.73</v>
      </c>
      <c r="N383" t="n">
        <v>52.33</v>
      </c>
      <c r="O383">
        <f>IFERROR(VLOOKUP(B383,BSE_500_LIVE!A:E,3,FALSE),"")</f>
        <v/>
      </c>
      <c r="P383">
        <f>IFERROR(VLOOKUP(B383,BSE_500_LIVE!A:E,4,FALSE),"")</f>
        <v/>
      </c>
      <c r="Q383">
        <f>IFERROR(VLOOKUP(B383,BSE_500_LIVE!A:E,5,FALSE),"")</f>
        <v/>
      </c>
      <c r="R383">
        <f>IF(OR(E383="",O383=""),"PENDING_FETCH",IF(ABS(E383-O383)/E383&gt;0.005,"MISMATCH_NEEDS_CORRECTION","VERIFIED_OK"))</f>
        <v/>
      </c>
      <c r="S383">
        <f>IF(O383&lt;&gt;"",O383,E383)</f>
        <v/>
      </c>
      <c r="T383">
        <f>IFERROR(VLOOKUP(B383,BSE_500_LIVE!A:F,6,FALSE),"")</f>
        <v/>
      </c>
    </row>
    <row r="384">
      <c r="A384" t="n">
        <v>460</v>
      </c>
      <c r="B384" t="n">
        <v>500459</v>
      </c>
      <c r="C384" t="inlineStr">
        <is>
          <t>Procter &amp; Gamble Hygiene and Healthcare Ltd</t>
        </is>
      </c>
      <c r="D384" t="n">
        <v>2016</v>
      </c>
      <c r="E384" t="n">
        <v>8714.900390625</v>
      </c>
      <c r="F384" t="n">
        <v>130.16</v>
      </c>
      <c r="G384" t="inlineStr">
        <is>
          <t>Consolidated first (v4) – needs verification for flagged rows</t>
        </is>
      </c>
      <c r="H384" t="n">
        <v>7279.85009765625</v>
      </c>
      <c r="I384" t="n">
        <v>5232.64990234375</v>
      </c>
      <c r="L384" t="inlineStr">
        <is>
          <t>OK</t>
        </is>
      </c>
      <c r="M384" t="n">
        <v>55.93</v>
      </c>
      <c r="N384" t="n">
        <v>40.2</v>
      </c>
      <c r="O384">
        <f>IFERROR(VLOOKUP(B384,BSE_500_LIVE!A:E,3,FALSE),"")</f>
        <v/>
      </c>
      <c r="P384">
        <f>IFERROR(VLOOKUP(B384,BSE_500_LIVE!A:E,4,FALSE),"")</f>
        <v/>
      </c>
      <c r="Q384">
        <f>IFERROR(VLOOKUP(B384,BSE_500_LIVE!A:E,5,FALSE),"")</f>
        <v/>
      </c>
      <c r="R384">
        <f>IF(OR(E384="",O384=""),"PENDING_FETCH",IF(ABS(E384-O384)/E384&gt;0.005,"MISMATCH_NEEDS_CORRECTION","VERIFIED_OK"))</f>
        <v/>
      </c>
      <c r="S384">
        <f>IF(O384&lt;&gt;"",O384,E384)</f>
        <v/>
      </c>
      <c r="T384">
        <f>IFERROR(VLOOKUP(B384,BSE_500_LIVE!A:F,6,FALSE),"")</f>
        <v/>
      </c>
    </row>
    <row r="385">
      <c r="A385" t="n">
        <v>460</v>
      </c>
      <c r="B385" t="n">
        <v>500459</v>
      </c>
      <c r="C385" t="inlineStr">
        <is>
          <t>Procter &amp; Gamble Hygiene and Healthcare Ltd</t>
        </is>
      </c>
      <c r="D385" t="n">
        <v>2017</v>
      </c>
      <c r="E385" t="n">
        <v>8714.900390625</v>
      </c>
      <c r="F385" t="n">
        <v>133.31</v>
      </c>
      <c r="G385" t="inlineStr">
        <is>
          <t>Consolidated first (v4) – needs verification for flagged rows</t>
        </is>
      </c>
      <c r="H385" t="n">
        <v>9900</v>
      </c>
      <c r="I385" t="n">
        <v>6667</v>
      </c>
      <c r="L385" t="inlineStr">
        <is>
          <t>OK</t>
        </is>
      </c>
      <c r="M385" t="n">
        <v>74.26000000000001</v>
      </c>
      <c r="N385" t="n">
        <v>50.01</v>
      </c>
      <c r="O385">
        <f>IFERROR(VLOOKUP(B385,BSE_500_LIVE!A:E,3,FALSE),"")</f>
        <v/>
      </c>
      <c r="P385">
        <f>IFERROR(VLOOKUP(B385,BSE_500_LIVE!A:E,4,FALSE),"")</f>
        <v/>
      </c>
      <c r="Q385">
        <f>IFERROR(VLOOKUP(B385,BSE_500_LIVE!A:E,5,FALSE),"")</f>
        <v/>
      </c>
      <c r="R385">
        <f>IF(OR(E385="",O385=""),"PENDING_FETCH",IF(ABS(E385-O385)/E385&gt;0.005,"MISMATCH_NEEDS_CORRECTION","VERIFIED_OK"))</f>
        <v/>
      </c>
      <c r="S385">
        <f>IF(O385&lt;&gt;"",O385,E385)</f>
        <v/>
      </c>
      <c r="T385">
        <f>IFERROR(VLOOKUP(B385,BSE_500_LIVE!A:F,6,FALSE),"")</f>
        <v/>
      </c>
    </row>
    <row r="386">
      <c r="A386" t="n">
        <v>460</v>
      </c>
      <c r="B386" t="n">
        <v>500459</v>
      </c>
      <c r="C386" t="inlineStr">
        <is>
          <t>Procter &amp; Gamble Hygiene and Healthcare Ltd</t>
        </is>
      </c>
      <c r="D386" t="n">
        <v>2018</v>
      </c>
      <c r="E386" t="n">
        <v>8714.900390625</v>
      </c>
      <c r="F386" t="n">
        <v>115.4</v>
      </c>
      <c r="G386" t="inlineStr">
        <is>
          <t>Consolidated first (v4) – needs verification for flagged rows</t>
        </is>
      </c>
      <c r="H386" t="n">
        <v>11000</v>
      </c>
      <c r="I386" t="n">
        <v>8714</v>
      </c>
      <c r="L386" t="inlineStr">
        <is>
          <t>OK</t>
        </is>
      </c>
      <c r="M386" t="n">
        <v>95.31999999999999</v>
      </c>
      <c r="N386" t="n">
        <v>75.51000000000001</v>
      </c>
      <c r="O386">
        <f>IFERROR(VLOOKUP(B386,BSE_500_LIVE!A:E,3,FALSE),"")</f>
        <v/>
      </c>
      <c r="P386">
        <f>IFERROR(VLOOKUP(B386,BSE_500_LIVE!A:E,4,FALSE),"")</f>
        <v/>
      </c>
      <c r="Q386">
        <f>IFERROR(VLOOKUP(B386,BSE_500_LIVE!A:E,5,FALSE),"")</f>
        <v/>
      </c>
      <c r="R386">
        <f>IF(OR(E386="",O386=""),"PENDING_FETCH",IF(ABS(E386-O386)/E386&gt;0.005,"MISMATCH_NEEDS_CORRECTION","VERIFIED_OK"))</f>
        <v/>
      </c>
      <c r="S386">
        <f>IF(O386&lt;&gt;"",O386,E386)</f>
        <v/>
      </c>
      <c r="T386">
        <f>IFERROR(VLOOKUP(B386,BSE_500_LIVE!A:F,6,FALSE),"")</f>
        <v/>
      </c>
    </row>
    <row r="387">
      <c r="A387" t="n">
        <v>460</v>
      </c>
      <c r="B387" t="n">
        <v>500459</v>
      </c>
      <c r="C387" t="inlineStr">
        <is>
          <t>Procter &amp; Gamble Hygiene and Healthcare Ltd</t>
        </is>
      </c>
      <c r="D387" t="n">
        <v>2019</v>
      </c>
      <c r="E387" t="n">
        <v>8714.900390625</v>
      </c>
      <c r="F387" t="n">
        <v>129.12</v>
      </c>
      <c r="G387" t="inlineStr">
        <is>
          <t>Consolidated first (v4) – needs verification for flagged rows</t>
        </is>
      </c>
      <c r="H387" t="n">
        <v>12699.900390625</v>
      </c>
      <c r="I387" t="n">
        <v>9600</v>
      </c>
      <c r="L387" t="inlineStr">
        <is>
          <t>OK</t>
        </is>
      </c>
      <c r="M387" t="n">
        <v>98.36</v>
      </c>
      <c r="N387" t="n">
        <v>74.34999999999999</v>
      </c>
      <c r="O387">
        <f>IFERROR(VLOOKUP(B387,BSE_500_LIVE!A:E,3,FALSE),"")</f>
        <v/>
      </c>
      <c r="P387">
        <f>IFERROR(VLOOKUP(B387,BSE_500_LIVE!A:E,4,FALSE),"")</f>
        <v/>
      </c>
      <c r="Q387">
        <f>IFERROR(VLOOKUP(B387,BSE_500_LIVE!A:E,5,FALSE),"")</f>
        <v/>
      </c>
      <c r="R387">
        <f>IF(OR(E387="",O387=""),"PENDING_FETCH",IF(ABS(E387-O387)/E387&gt;0.005,"MISMATCH_NEEDS_CORRECTION","VERIFIED_OK"))</f>
        <v/>
      </c>
      <c r="S387">
        <f>IF(O387&lt;&gt;"",O387,E387)</f>
        <v/>
      </c>
      <c r="T387">
        <f>IFERROR(VLOOKUP(B387,BSE_500_LIVE!A:F,6,FALSE),"")</f>
        <v/>
      </c>
    </row>
    <row r="388">
      <c r="A388" t="n">
        <v>460</v>
      </c>
      <c r="B388" t="n">
        <v>500459</v>
      </c>
      <c r="C388" t="inlineStr">
        <is>
          <t>Procter &amp; Gamble Hygiene and Healthcare Ltd</t>
        </is>
      </c>
      <c r="D388" t="n">
        <v>2020</v>
      </c>
      <c r="E388" t="n">
        <v>8714.900390625</v>
      </c>
      <c r="F388" t="n">
        <v>133.42</v>
      </c>
      <c r="G388" t="inlineStr">
        <is>
          <t>Consolidated first (v4) – needs verification for flagged rows</t>
        </is>
      </c>
      <c r="H388" t="n">
        <v>11870</v>
      </c>
      <c r="I388" t="n">
        <v>8500</v>
      </c>
      <c r="L388" t="inlineStr">
        <is>
          <t>OK</t>
        </is>
      </c>
      <c r="M388" t="n">
        <v>88.97</v>
      </c>
      <c r="N388" t="n">
        <v>63.71</v>
      </c>
      <c r="O388">
        <f>IFERROR(VLOOKUP(B388,BSE_500_LIVE!A:E,3,FALSE),"")</f>
        <v/>
      </c>
      <c r="P388">
        <f>IFERROR(VLOOKUP(B388,BSE_500_LIVE!A:E,4,FALSE),"")</f>
        <v/>
      </c>
      <c r="Q388">
        <f>IFERROR(VLOOKUP(B388,BSE_500_LIVE!A:E,5,FALSE),"")</f>
        <v/>
      </c>
      <c r="R388">
        <f>IF(OR(E388="",O388=""),"PENDING_FETCH",IF(ABS(E388-O388)/E388&gt;0.005,"MISMATCH_NEEDS_CORRECTION","VERIFIED_OK"))</f>
        <v/>
      </c>
      <c r="S388">
        <f>IF(O388&lt;&gt;"",O388,E388)</f>
        <v/>
      </c>
      <c r="T388">
        <f>IFERROR(VLOOKUP(B388,BSE_500_LIVE!A:F,6,FALSE),"")</f>
        <v/>
      </c>
    </row>
    <row r="389">
      <c r="A389" t="n">
        <v>460</v>
      </c>
      <c r="B389" t="n">
        <v>500459</v>
      </c>
      <c r="C389" t="inlineStr">
        <is>
          <t>Procter &amp; Gamble Hygiene and Healthcare Ltd</t>
        </is>
      </c>
      <c r="D389" t="n">
        <v>2021</v>
      </c>
      <c r="E389" t="n">
        <v>8714.900390625</v>
      </c>
      <c r="F389" t="n">
        <v>200.79</v>
      </c>
      <c r="G389" t="inlineStr">
        <is>
          <t>Consolidated first (v4) – needs verification for flagged rows</t>
        </is>
      </c>
      <c r="H389" t="n">
        <v>16402</v>
      </c>
      <c r="I389" t="n">
        <v>10851</v>
      </c>
      <c r="L389" t="inlineStr">
        <is>
          <t>OK</t>
        </is>
      </c>
      <c r="M389" t="n">
        <v>81.69</v>
      </c>
      <c r="N389" t="n">
        <v>54.04</v>
      </c>
      <c r="O389">
        <f>IFERROR(VLOOKUP(B389,BSE_500_LIVE!A:E,3,FALSE),"")</f>
        <v/>
      </c>
      <c r="P389">
        <f>IFERROR(VLOOKUP(B389,BSE_500_LIVE!A:E,4,FALSE),"")</f>
        <v/>
      </c>
      <c r="Q389">
        <f>IFERROR(VLOOKUP(B389,BSE_500_LIVE!A:E,5,FALSE),"")</f>
        <v/>
      </c>
      <c r="R389">
        <f>IF(OR(E389="",O389=""),"PENDING_FETCH",IF(ABS(E389-O389)/E389&gt;0.005,"MISMATCH_NEEDS_CORRECTION","VERIFIED_OK"))</f>
        <v/>
      </c>
      <c r="S389">
        <f>IF(O389&lt;&gt;"",O389,E389)</f>
        <v/>
      </c>
      <c r="T389">
        <f>IFERROR(VLOOKUP(B389,BSE_500_LIVE!A:F,6,FALSE),"")</f>
        <v/>
      </c>
    </row>
    <row r="390">
      <c r="A390" t="n">
        <v>460</v>
      </c>
      <c r="B390" t="n">
        <v>500459</v>
      </c>
      <c r="C390" t="inlineStr">
        <is>
          <t>Procter &amp; Gamble Hygiene and Healthcare Ltd</t>
        </is>
      </c>
      <c r="D390" t="n">
        <v>2022</v>
      </c>
      <c r="E390" t="n">
        <v>8714.900390625</v>
      </c>
      <c r="F390" t="n">
        <v>177.37</v>
      </c>
      <c r="G390" t="inlineStr">
        <is>
          <t>Consolidated first (v4) – needs verification for flagged rows</t>
        </is>
      </c>
      <c r="H390" t="n">
        <v>16466.400390625</v>
      </c>
      <c r="I390" t="n">
        <v>12751</v>
      </c>
      <c r="L390" t="inlineStr">
        <is>
          <t>OK</t>
        </is>
      </c>
      <c r="M390" t="n">
        <v>92.84</v>
      </c>
      <c r="N390" t="n">
        <v>71.89</v>
      </c>
      <c r="O390">
        <f>IFERROR(VLOOKUP(B390,BSE_500_LIVE!A:E,3,FALSE),"")</f>
        <v/>
      </c>
      <c r="P390">
        <f>IFERROR(VLOOKUP(B390,BSE_500_LIVE!A:E,4,FALSE),"")</f>
        <v/>
      </c>
      <c r="Q390">
        <f>IFERROR(VLOOKUP(B390,BSE_500_LIVE!A:E,5,FALSE),"")</f>
        <v/>
      </c>
      <c r="R390">
        <f>IF(OR(E390="",O390=""),"PENDING_FETCH",IF(ABS(E390-O390)/E390&gt;0.005,"MISMATCH_NEEDS_CORRECTION","VERIFIED_OK"))</f>
        <v/>
      </c>
      <c r="S390">
        <f>IF(O390&lt;&gt;"",O390,E390)</f>
        <v/>
      </c>
      <c r="T390">
        <f>IFERROR(VLOOKUP(B390,BSE_500_LIVE!A:F,6,FALSE),"")</f>
        <v/>
      </c>
    </row>
    <row r="391">
      <c r="A391" t="n">
        <v>460</v>
      </c>
      <c r="B391" t="n">
        <v>500459</v>
      </c>
      <c r="C391" t="inlineStr">
        <is>
          <t>Procter &amp; Gamble Hygiene and Healthcare Ltd</t>
        </is>
      </c>
      <c r="D391" t="n">
        <v>2023</v>
      </c>
      <c r="E391" t="n">
        <v>8714.900390625</v>
      </c>
      <c r="F391" t="n">
        <v>208.91</v>
      </c>
      <c r="G391" t="inlineStr">
        <is>
          <t>Consolidated first (v4) – needs verification for flagged rows</t>
        </is>
      </c>
      <c r="H391" t="n">
        <v>19086.19921875</v>
      </c>
      <c r="I391" t="n">
        <v>13101.0498046875</v>
      </c>
      <c r="L391" t="inlineStr">
        <is>
          <t>OK</t>
        </is>
      </c>
      <c r="M391" t="n">
        <v>91.36</v>
      </c>
      <c r="N391" t="n">
        <v>62.71</v>
      </c>
      <c r="O391">
        <f>IFERROR(VLOOKUP(B391,BSE_500_LIVE!A:E,3,FALSE),"")</f>
        <v/>
      </c>
      <c r="P391">
        <f>IFERROR(VLOOKUP(B391,BSE_500_LIVE!A:E,4,FALSE),"")</f>
        <v/>
      </c>
      <c r="Q391">
        <f>IFERROR(VLOOKUP(B391,BSE_500_LIVE!A:E,5,FALSE),"")</f>
        <v/>
      </c>
      <c r="R391">
        <f>IF(OR(E391="",O391=""),"PENDING_FETCH",IF(ABS(E391-O391)/E391&gt;0.005,"MISMATCH_NEEDS_CORRECTION","VERIFIED_OK"))</f>
        <v/>
      </c>
      <c r="S391">
        <f>IF(O391&lt;&gt;"",O391,E391)</f>
        <v/>
      </c>
      <c r="T391">
        <f>IFERROR(VLOOKUP(B391,BSE_500_LIVE!A:F,6,FALSE),"")</f>
        <v/>
      </c>
    </row>
    <row r="392">
      <c r="A392" t="n">
        <v>460</v>
      </c>
      <c r="B392" t="n">
        <v>500459</v>
      </c>
      <c r="C392" t="inlineStr">
        <is>
          <t>Procter &amp; Gamble Hygiene and Healthcare Ltd</t>
        </is>
      </c>
      <c r="D392" t="n">
        <v>2024</v>
      </c>
      <c r="E392" t="n">
        <v>8714.900390625</v>
      </c>
      <c r="F392" t="n">
        <v>207.95</v>
      </c>
      <c r="G392" t="inlineStr">
        <is>
          <t>Consolidated first (v4) – needs verification for flagged rows</t>
        </is>
      </c>
      <c r="H392" t="n">
        <v>17747.849609375</v>
      </c>
      <c r="I392" t="n">
        <v>14430.7001953125</v>
      </c>
      <c r="L392" t="inlineStr">
        <is>
          <t>OK</t>
        </is>
      </c>
      <c r="M392" t="n">
        <v>85.34999999999999</v>
      </c>
      <c r="N392" t="n">
        <v>69.40000000000001</v>
      </c>
      <c r="O392">
        <f>IFERROR(VLOOKUP(B392,BSE_500_LIVE!A:E,3,FALSE),"")</f>
        <v/>
      </c>
      <c r="P392">
        <f>IFERROR(VLOOKUP(B392,BSE_500_LIVE!A:E,4,FALSE),"")</f>
        <v/>
      </c>
      <c r="Q392">
        <f>IFERROR(VLOOKUP(B392,BSE_500_LIVE!A:E,5,FALSE),"")</f>
        <v/>
      </c>
      <c r="R392">
        <f>IF(OR(E392="",O392=""),"PENDING_FETCH",IF(ABS(E392-O392)/E392&gt;0.005,"MISMATCH_NEEDS_CORRECTION","VERIFIED_OK"))</f>
        <v/>
      </c>
      <c r="S392">
        <f>IF(O392&lt;&gt;"",O392,E392)</f>
        <v/>
      </c>
      <c r="T392">
        <f>IFERROR(VLOOKUP(B392,BSE_500_LIVE!A:F,6,FALSE),"")</f>
        <v/>
      </c>
    </row>
    <row r="393">
      <c r="A393" t="n">
        <v>460</v>
      </c>
      <c r="B393" t="n">
        <v>500459</v>
      </c>
      <c r="C393" t="inlineStr">
        <is>
          <t>Procter &amp; Gamble Hygiene and Healthcare Ltd</t>
        </is>
      </c>
      <c r="D393" t="n">
        <v>2025</v>
      </c>
      <c r="E393" t="n">
        <v>8714.900390625</v>
      </c>
      <c r="F393" t="n">
        <v>196.11</v>
      </c>
      <c r="G393" t="inlineStr">
        <is>
          <t>Consolidated first (v4) – needs verification for flagged rows</t>
        </is>
      </c>
      <c r="H393" t="n">
        <v>14867.5498046875</v>
      </c>
      <c r="I393" t="n">
        <v>12140.150390625</v>
      </c>
      <c r="L393" t="inlineStr">
        <is>
          <t>OK</t>
        </is>
      </c>
      <c r="M393" t="n">
        <v>75.81</v>
      </c>
      <c r="N393" t="n">
        <v>61.9</v>
      </c>
      <c r="O393">
        <f>IFERROR(VLOOKUP(B393,BSE_500_LIVE!A:E,3,FALSE),"")</f>
        <v/>
      </c>
      <c r="P393">
        <f>IFERROR(VLOOKUP(B393,BSE_500_LIVE!A:E,4,FALSE),"")</f>
        <v/>
      </c>
      <c r="Q393">
        <f>IFERROR(VLOOKUP(B393,BSE_500_LIVE!A:E,5,FALSE),"")</f>
        <v/>
      </c>
      <c r="R393">
        <f>IF(OR(E393="",O393=""),"PENDING_FETCH",IF(ABS(E393-O393)/E393&gt;0.005,"MISMATCH_NEEDS_CORRECTION","VERIFIED_OK"))</f>
        <v/>
      </c>
      <c r="S393">
        <f>IF(O393&lt;&gt;"",O393,E393)</f>
        <v/>
      </c>
      <c r="T393">
        <f>IFERROR(VLOOKUP(B393,BSE_500_LIVE!A:F,6,FALSE),"")</f>
        <v/>
      </c>
    </row>
    <row r="394">
      <c r="A394" t="n">
        <v>460</v>
      </c>
      <c r="B394" t="n">
        <v>500459</v>
      </c>
      <c r="C394" t="inlineStr">
        <is>
          <t>Procter &amp; Gamble Hygiene and Healthcare Ltd</t>
        </is>
      </c>
      <c r="D394" t="n">
        <v>2026</v>
      </c>
      <c r="E394" t="n">
        <v>8714.900390625</v>
      </c>
      <c r="F394" t="n">
        <v>263.86</v>
      </c>
      <c r="G394" t="inlineStr">
        <is>
          <t>Consolidated first (v4) – needs verification for flagged rows</t>
        </is>
      </c>
      <c r="H394" t="n">
        <v>13501.0498046875</v>
      </c>
      <c r="I394" t="n">
        <v>8697</v>
      </c>
      <c r="L394" t="inlineStr">
        <is>
          <t>OK</t>
        </is>
      </c>
      <c r="M394" t="n">
        <v>51.17</v>
      </c>
      <c r="N394" t="n">
        <v>32.96</v>
      </c>
      <c r="O394">
        <f>IFERROR(VLOOKUP(B394,BSE_500_LIVE!A:E,3,FALSE),"")</f>
        <v/>
      </c>
      <c r="P394">
        <f>IFERROR(VLOOKUP(B394,BSE_500_LIVE!A:E,4,FALSE),"")</f>
        <v/>
      </c>
      <c r="Q394">
        <f>IFERROR(VLOOKUP(B394,BSE_500_LIVE!A:E,5,FALSE),"")</f>
        <v/>
      </c>
      <c r="R394">
        <f>IF(OR(E394="",O394=""),"PENDING_FETCH",IF(ABS(E394-O394)/E394&gt;0.005,"MISMATCH_NEEDS_CORRECTION","VERIFIED_OK"))</f>
        <v/>
      </c>
      <c r="S394">
        <f>IF(O394&lt;&gt;"",O394,E394)</f>
        <v/>
      </c>
      <c r="T394">
        <f>IFERROR(VLOOKUP(B394,BSE_500_LIVE!A:F,6,FALSE),"")</f>
        <v/>
      </c>
    </row>
    <row r="395">
      <c r="A395" t="n">
        <v>464</v>
      </c>
      <c r="B395" t="n">
        <v>500463</v>
      </c>
      <c r="C395" t="inlineStr">
        <is>
          <t>AGC Networks Ltd</t>
        </is>
      </c>
      <c r="D395" t="n">
        <v>2015</v>
      </c>
      <c r="E395" t="n">
        <v>775.3499755859375</v>
      </c>
      <c r="F395" t="n">
        <v>1.04</v>
      </c>
      <c r="G395" t="inlineStr">
        <is>
          <t>Consolidated first (v4) – needs verification for flagged rows</t>
        </is>
      </c>
      <c r="H395" t="n">
        <v>31.57999992370605</v>
      </c>
      <c r="I395" t="n">
        <v>14.51000022888184</v>
      </c>
      <c r="L395" t="inlineStr">
        <is>
          <t>OK</t>
        </is>
      </c>
      <c r="M395" t="n">
        <v>30.37</v>
      </c>
      <c r="N395" t="n">
        <v>13.95</v>
      </c>
      <c r="O395">
        <f>IFERROR(VLOOKUP(B395,BSE_500_LIVE!A:E,3,FALSE),"")</f>
        <v/>
      </c>
      <c r="P395">
        <f>IFERROR(VLOOKUP(B395,BSE_500_LIVE!A:E,4,FALSE),"")</f>
        <v/>
      </c>
      <c r="Q395">
        <f>IFERROR(VLOOKUP(B395,BSE_500_LIVE!A:E,5,FALSE),"")</f>
        <v/>
      </c>
      <c r="R395">
        <f>IF(OR(E395="",O395=""),"PENDING_FETCH",IF(ABS(E395-O395)/E395&gt;0.005,"MISMATCH_NEEDS_CORRECTION","VERIFIED_OK"))</f>
        <v/>
      </c>
      <c r="S395">
        <f>IF(O395&lt;&gt;"",O395,E395)</f>
        <v/>
      </c>
      <c r="T395">
        <f>IFERROR(VLOOKUP(B395,BSE_500_LIVE!A:F,6,FALSE),"")</f>
        <v/>
      </c>
    </row>
    <row r="396">
      <c r="A396" t="n">
        <v>464</v>
      </c>
      <c r="B396" t="n">
        <v>500463</v>
      </c>
      <c r="C396" t="inlineStr">
        <is>
          <t>AGC Networks Ltd</t>
        </is>
      </c>
      <c r="D396" t="n">
        <v>2016</v>
      </c>
      <c r="E396" t="n">
        <v>775.3499755859375</v>
      </c>
      <c r="F396" t="n">
        <v>-2.43</v>
      </c>
      <c r="G396" t="inlineStr">
        <is>
          <t>Consolidated first (v4) – needs verification for flagged rows</t>
        </is>
      </c>
      <c r="H396" t="n">
        <v>22.46999931335449</v>
      </c>
      <c r="I396" t="n">
        <v>11.31999969482422</v>
      </c>
      <c r="L396" t="inlineStr">
        <is>
          <t>UNVERIFIED – negative EPS</t>
        </is>
      </c>
      <c r="M396" t="n">
        <v>-9.25</v>
      </c>
      <c r="N396" t="n">
        <v>-4.66</v>
      </c>
      <c r="O396">
        <f>IFERROR(VLOOKUP(B396,BSE_500_LIVE!A:E,3,FALSE),"")</f>
        <v/>
      </c>
      <c r="P396">
        <f>IFERROR(VLOOKUP(B396,BSE_500_LIVE!A:E,4,FALSE),"")</f>
        <v/>
      </c>
      <c r="Q396">
        <f>IFERROR(VLOOKUP(B396,BSE_500_LIVE!A:E,5,FALSE),"")</f>
        <v/>
      </c>
      <c r="R396">
        <f>IF(OR(E396="",O396=""),"PENDING_FETCH",IF(ABS(E396-O396)/E396&gt;0.005,"MISMATCH_NEEDS_CORRECTION","VERIFIED_OK"))</f>
        <v/>
      </c>
      <c r="S396">
        <f>IF(O396&lt;&gt;"",O396,E396)</f>
        <v/>
      </c>
      <c r="T396">
        <f>IFERROR(VLOOKUP(B396,BSE_500_LIVE!A:F,6,FALSE),"")</f>
        <v/>
      </c>
    </row>
    <row r="397">
      <c r="A397" t="n">
        <v>464</v>
      </c>
      <c r="B397" t="n">
        <v>500463</v>
      </c>
      <c r="C397" t="inlineStr">
        <is>
          <t>AGC Networks Ltd</t>
        </is>
      </c>
      <c r="D397" t="n">
        <v>2017</v>
      </c>
      <c r="E397" t="n">
        <v>775.3499755859375</v>
      </c>
      <c r="F397" t="n">
        <v>0.73</v>
      </c>
      <c r="G397" t="inlineStr">
        <is>
          <t>Consolidated first (v4) – needs verification for flagged rows</t>
        </is>
      </c>
      <c r="H397" t="n">
        <v>34.13999938964844</v>
      </c>
      <c r="I397" t="n">
        <v>16.39999961853027</v>
      </c>
      <c r="L397" t="inlineStr">
        <is>
          <t>OK</t>
        </is>
      </c>
      <c r="M397" t="n">
        <v>46.77</v>
      </c>
      <c r="N397" t="n">
        <v>22.47</v>
      </c>
      <c r="O397">
        <f>IFERROR(VLOOKUP(B397,BSE_500_LIVE!A:E,3,FALSE),"")</f>
        <v/>
      </c>
      <c r="P397">
        <f>IFERROR(VLOOKUP(B397,BSE_500_LIVE!A:E,4,FALSE),"")</f>
        <v/>
      </c>
      <c r="Q397">
        <f>IFERROR(VLOOKUP(B397,BSE_500_LIVE!A:E,5,FALSE),"")</f>
        <v/>
      </c>
      <c r="R397">
        <f>IF(OR(E397="",O397=""),"PENDING_FETCH",IF(ABS(E397-O397)/E397&gt;0.005,"MISMATCH_NEEDS_CORRECTION","VERIFIED_OK"))</f>
        <v/>
      </c>
      <c r="S397">
        <f>IF(O397&lt;&gt;"",O397,E397)</f>
        <v/>
      </c>
      <c r="T397">
        <f>IFERROR(VLOOKUP(B397,BSE_500_LIVE!A:F,6,FALSE),"")</f>
        <v/>
      </c>
    </row>
    <row r="398">
      <c r="A398" t="n">
        <v>464</v>
      </c>
      <c r="B398" t="n">
        <v>500463</v>
      </c>
      <c r="C398" t="inlineStr">
        <is>
          <t>AGC Networks Ltd</t>
        </is>
      </c>
      <c r="D398" t="n">
        <v>2018</v>
      </c>
      <c r="E398" t="n">
        <v>775.3499755859375</v>
      </c>
      <c r="F398" t="n">
        <v>1.05</v>
      </c>
      <c r="G398" t="inlineStr">
        <is>
          <t>Consolidated first (v4) – needs verification for flagged rows</t>
        </is>
      </c>
      <c r="H398" t="n">
        <v>28.39999961853027</v>
      </c>
      <c r="I398" t="n">
        <v>9.199999809265137</v>
      </c>
      <c r="L398" t="inlineStr">
        <is>
          <t>OK</t>
        </is>
      </c>
      <c r="M398" t="n">
        <v>27.05</v>
      </c>
      <c r="N398" t="n">
        <v>8.76</v>
      </c>
      <c r="O398">
        <f>IFERROR(VLOOKUP(B398,BSE_500_LIVE!A:E,3,FALSE),"")</f>
        <v/>
      </c>
      <c r="P398">
        <f>IFERROR(VLOOKUP(B398,BSE_500_LIVE!A:E,4,FALSE),"")</f>
        <v/>
      </c>
      <c r="Q398">
        <f>IFERROR(VLOOKUP(B398,BSE_500_LIVE!A:E,5,FALSE),"")</f>
        <v/>
      </c>
      <c r="R398">
        <f>IF(OR(E398="",O398=""),"PENDING_FETCH",IF(ABS(E398-O398)/E398&gt;0.005,"MISMATCH_NEEDS_CORRECTION","VERIFIED_OK"))</f>
        <v/>
      </c>
      <c r="S398">
        <f>IF(O398&lt;&gt;"",O398,E398)</f>
        <v/>
      </c>
      <c r="T398">
        <f>IFERROR(VLOOKUP(B398,BSE_500_LIVE!A:F,6,FALSE),"")</f>
        <v/>
      </c>
    </row>
    <row r="399">
      <c r="A399" t="n">
        <v>464</v>
      </c>
      <c r="B399" t="n">
        <v>500463</v>
      </c>
      <c r="C399" t="inlineStr">
        <is>
          <t>AGC Networks Ltd</t>
        </is>
      </c>
      <c r="D399" t="n">
        <v>2019</v>
      </c>
      <c r="E399" t="n">
        <v>775.3499755859375</v>
      </c>
      <c r="F399" t="n">
        <v>-5.3</v>
      </c>
      <c r="G399" t="inlineStr">
        <is>
          <t>Consolidated first (v4) – needs verification for flagged rows</t>
        </is>
      </c>
      <c r="H399" t="n">
        <v>31.97999954223633</v>
      </c>
      <c r="I399" t="n">
        <v>14.60000038146973</v>
      </c>
      <c r="L399" t="inlineStr">
        <is>
          <t>UNVERIFIED – negative EPS</t>
        </is>
      </c>
      <c r="M399" t="n">
        <v>-6.03</v>
      </c>
      <c r="N399" t="n">
        <v>-2.75</v>
      </c>
      <c r="O399">
        <f>IFERROR(VLOOKUP(B399,BSE_500_LIVE!A:E,3,FALSE),"")</f>
        <v/>
      </c>
      <c r="P399">
        <f>IFERROR(VLOOKUP(B399,BSE_500_LIVE!A:E,4,FALSE),"")</f>
        <v/>
      </c>
      <c r="Q399">
        <f>IFERROR(VLOOKUP(B399,BSE_500_LIVE!A:E,5,FALSE),"")</f>
        <v/>
      </c>
      <c r="R399">
        <f>IF(OR(E399="",O399=""),"PENDING_FETCH",IF(ABS(E399-O399)/E399&gt;0.005,"MISMATCH_NEEDS_CORRECTION","VERIFIED_OK"))</f>
        <v/>
      </c>
      <c r="S399">
        <f>IF(O399&lt;&gt;"",O399,E399)</f>
        <v/>
      </c>
      <c r="T399">
        <f>IFERROR(VLOOKUP(B399,BSE_500_LIVE!A:F,6,FALSE),"")</f>
        <v/>
      </c>
    </row>
    <row r="400">
      <c r="A400" t="n">
        <v>464</v>
      </c>
      <c r="B400" t="n">
        <v>500463</v>
      </c>
      <c r="C400" t="inlineStr">
        <is>
          <t>AGC Networks Ltd</t>
        </is>
      </c>
      <c r="D400" t="n">
        <v>2020</v>
      </c>
      <c r="E400" t="n">
        <v>775.3499755859375</v>
      </c>
      <c r="F400" t="n">
        <v>-5.38</v>
      </c>
      <c r="G400" t="inlineStr">
        <is>
          <t>Consolidated first (v4) – needs verification for flagged rows</t>
        </is>
      </c>
      <c r="H400" t="n">
        <v>164.7899932861328</v>
      </c>
      <c r="I400" t="n">
        <v>28.1299991607666</v>
      </c>
      <c r="L400" t="inlineStr">
        <is>
          <t>UNVERIFIED – negative EPS</t>
        </is>
      </c>
      <c r="M400" t="n">
        <v>-30.63</v>
      </c>
      <c r="N400" t="n">
        <v>-5.23</v>
      </c>
      <c r="O400">
        <f>IFERROR(VLOOKUP(B400,BSE_500_LIVE!A:E,3,FALSE),"")</f>
        <v/>
      </c>
      <c r="P400">
        <f>IFERROR(VLOOKUP(B400,BSE_500_LIVE!A:E,4,FALSE),"")</f>
        <v/>
      </c>
      <c r="Q400">
        <f>IFERROR(VLOOKUP(B400,BSE_500_LIVE!A:E,5,FALSE),"")</f>
        <v/>
      </c>
      <c r="R400">
        <f>IF(OR(E400="",O400=""),"PENDING_FETCH",IF(ABS(E400-O400)/E400&gt;0.005,"MISMATCH_NEEDS_CORRECTION","VERIFIED_OK"))</f>
        <v/>
      </c>
      <c r="S400">
        <f>IF(O400&lt;&gt;"",O400,E400)</f>
        <v/>
      </c>
      <c r="T400">
        <f>IFERROR(VLOOKUP(B400,BSE_500_LIVE!A:F,6,FALSE),"")</f>
        <v/>
      </c>
    </row>
    <row r="401">
      <c r="A401" t="n">
        <v>464</v>
      </c>
      <c r="B401" t="n">
        <v>500463</v>
      </c>
      <c r="C401" t="inlineStr">
        <is>
          <t>AGC Networks Ltd</t>
        </is>
      </c>
      <c r="D401" t="n">
        <v>2021</v>
      </c>
      <c r="E401" t="n">
        <v>775.3499755859375</v>
      </c>
      <c r="F401" t="n">
        <v>4.8</v>
      </c>
      <c r="G401" t="inlineStr">
        <is>
          <t>Consolidated first (v4) – needs verification for flagged rows</t>
        </is>
      </c>
      <c r="H401" t="n">
        <v>354.2000122070312</v>
      </c>
      <c r="I401" t="n">
        <v>142.1999969482422</v>
      </c>
      <c r="L401" t="inlineStr">
        <is>
          <t>OK</t>
        </is>
      </c>
      <c r="M401" t="n">
        <v>73.79000000000001</v>
      </c>
      <c r="N401" t="n">
        <v>29.62</v>
      </c>
      <c r="O401">
        <f>IFERROR(VLOOKUP(B401,BSE_500_LIVE!A:E,3,FALSE),"")</f>
        <v/>
      </c>
      <c r="P401">
        <f>IFERROR(VLOOKUP(B401,BSE_500_LIVE!A:E,4,FALSE),"")</f>
        <v/>
      </c>
      <c r="Q401">
        <f>IFERROR(VLOOKUP(B401,BSE_500_LIVE!A:E,5,FALSE),"")</f>
        <v/>
      </c>
      <c r="R401">
        <f>IF(OR(E401="",O401=""),"PENDING_FETCH",IF(ABS(E401-O401)/E401&gt;0.005,"MISMATCH_NEEDS_CORRECTION","VERIFIED_OK"))</f>
        <v/>
      </c>
      <c r="S401">
        <f>IF(O401&lt;&gt;"",O401,E401)</f>
        <v/>
      </c>
      <c r="T401">
        <f>IFERROR(VLOOKUP(B401,BSE_500_LIVE!A:F,6,FALSE),"")</f>
        <v/>
      </c>
    </row>
    <row r="402">
      <c r="A402" t="n">
        <v>464</v>
      </c>
      <c r="B402" t="n">
        <v>500463</v>
      </c>
      <c r="C402" t="inlineStr">
        <is>
          <t>AGC Networks Ltd</t>
        </is>
      </c>
      <c r="D402" t="n">
        <v>2022</v>
      </c>
      <c r="E402" t="n">
        <v>775.3499755859375</v>
      </c>
      <c r="F402" t="n">
        <v>4.43</v>
      </c>
      <c r="G402" t="inlineStr">
        <is>
          <t>Consolidated first (v4) – needs verification for flagged rows</t>
        </is>
      </c>
      <c r="H402" t="n">
        <v>214.7899932861328</v>
      </c>
      <c r="I402" t="n">
        <v>120.0999984741211</v>
      </c>
      <c r="L402" t="inlineStr">
        <is>
          <t>OK</t>
        </is>
      </c>
      <c r="M402" t="n">
        <v>48.49</v>
      </c>
      <c r="N402" t="n">
        <v>27.11</v>
      </c>
      <c r="O402">
        <f>IFERROR(VLOOKUP(B402,BSE_500_LIVE!A:E,3,FALSE),"")</f>
        <v/>
      </c>
      <c r="P402">
        <f>IFERROR(VLOOKUP(B402,BSE_500_LIVE!A:E,4,FALSE),"")</f>
        <v/>
      </c>
      <c r="Q402">
        <f>IFERROR(VLOOKUP(B402,BSE_500_LIVE!A:E,5,FALSE),"")</f>
        <v/>
      </c>
      <c r="R402">
        <f>IF(OR(E402="",O402=""),"PENDING_FETCH",IF(ABS(E402-O402)/E402&gt;0.005,"MISMATCH_NEEDS_CORRECTION","VERIFIED_OK"))</f>
        <v/>
      </c>
      <c r="S402">
        <f>IF(O402&lt;&gt;"",O402,E402)</f>
        <v/>
      </c>
      <c r="T402">
        <f>IFERROR(VLOOKUP(B402,BSE_500_LIVE!A:F,6,FALSE),"")</f>
        <v/>
      </c>
    </row>
    <row r="403">
      <c r="A403" t="n">
        <v>464</v>
      </c>
      <c r="B403" t="n">
        <v>500463</v>
      </c>
      <c r="C403" t="inlineStr">
        <is>
          <t>AGC Networks Ltd</t>
        </is>
      </c>
      <c r="D403" t="n">
        <v>2023</v>
      </c>
      <c r="E403" t="n">
        <v>775.3499755859375</v>
      </c>
      <c r="F403" t="n">
        <v>1.41</v>
      </c>
      <c r="G403" t="inlineStr">
        <is>
          <t>Consolidated first (v4) – needs verification for flagged rows</t>
        </is>
      </c>
      <c r="H403" t="n">
        <v>291.7000122070312</v>
      </c>
      <c r="I403" t="n">
        <v>84.40000152587891</v>
      </c>
      <c r="L403" t="inlineStr">
        <is>
          <t>OK</t>
        </is>
      </c>
      <c r="M403" t="n">
        <v>206.88</v>
      </c>
      <c r="N403" t="n">
        <v>59.86</v>
      </c>
      <c r="O403">
        <f>IFERROR(VLOOKUP(B403,BSE_500_LIVE!A:E,3,FALSE),"")</f>
        <v/>
      </c>
      <c r="P403">
        <f>IFERROR(VLOOKUP(B403,BSE_500_LIVE!A:E,4,FALSE),"")</f>
        <v/>
      </c>
      <c r="Q403">
        <f>IFERROR(VLOOKUP(B403,BSE_500_LIVE!A:E,5,FALSE),"")</f>
        <v/>
      </c>
      <c r="R403">
        <f>IF(OR(E403="",O403=""),"PENDING_FETCH",IF(ABS(E403-O403)/E403&gt;0.005,"MISMATCH_NEEDS_CORRECTION","VERIFIED_OK"))</f>
        <v/>
      </c>
      <c r="S403">
        <f>IF(O403&lt;&gt;"",O403,E403)</f>
        <v/>
      </c>
      <c r="T403">
        <f>IFERROR(VLOOKUP(B403,BSE_500_LIVE!A:F,6,FALSE),"")</f>
        <v/>
      </c>
    </row>
    <row r="404">
      <c r="A404" t="n">
        <v>464</v>
      </c>
      <c r="B404" t="n">
        <v>500463</v>
      </c>
      <c r="C404" t="inlineStr">
        <is>
          <t>AGC Networks Ltd</t>
        </is>
      </c>
      <c r="D404" t="n">
        <v>2024</v>
      </c>
      <c r="E404" t="n">
        <v>775.3499755859375</v>
      </c>
      <c r="F404" t="n">
        <v>8.19</v>
      </c>
      <c r="G404" t="inlineStr">
        <is>
          <t>Consolidated first (v4) – needs verification for flagged rows</t>
        </is>
      </c>
      <c r="H404" t="n">
        <v>715.7999877929688</v>
      </c>
      <c r="I404" t="n">
        <v>210.1000061035156</v>
      </c>
      <c r="L404" t="inlineStr">
        <is>
          <t>OK</t>
        </is>
      </c>
      <c r="M404" t="n">
        <v>87.40000000000001</v>
      </c>
      <c r="N404" t="n">
        <v>25.65</v>
      </c>
      <c r="O404">
        <f>IFERROR(VLOOKUP(B404,BSE_500_LIVE!A:E,3,FALSE),"")</f>
        <v/>
      </c>
      <c r="P404">
        <f>IFERROR(VLOOKUP(B404,BSE_500_LIVE!A:E,4,FALSE),"")</f>
        <v/>
      </c>
      <c r="Q404">
        <f>IFERROR(VLOOKUP(B404,BSE_500_LIVE!A:E,5,FALSE),"")</f>
        <v/>
      </c>
      <c r="R404">
        <f>IF(OR(E404="",O404=""),"PENDING_FETCH",IF(ABS(E404-O404)/E404&gt;0.005,"MISMATCH_NEEDS_CORRECTION","VERIFIED_OK"))</f>
        <v/>
      </c>
      <c r="S404">
        <f>IF(O404&lt;&gt;"",O404,E404)</f>
        <v/>
      </c>
      <c r="T404">
        <f>IFERROR(VLOOKUP(B404,BSE_500_LIVE!A:F,6,FALSE),"")</f>
        <v/>
      </c>
    </row>
    <row r="405">
      <c r="A405" t="n">
        <v>464</v>
      </c>
      <c r="B405" t="n">
        <v>500463</v>
      </c>
      <c r="C405" t="inlineStr">
        <is>
          <t>AGC Networks Ltd</t>
        </is>
      </c>
      <c r="D405" t="n">
        <v>2025</v>
      </c>
      <c r="E405" t="n">
        <v>775.3499755859375</v>
      </c>
      <c r="F405" t="n">
        <v>12.09</v>
      </c>
      <c r="G405" t="inlineStr">
        <is>
          <t>Consolidated first (v4) – needs verification for flagged rows</t>
        </is>
      </c>
      <c r="H405" t="n">
        <v>695.9000244140625</v>
      </c>
      <c r="I405" t="n">
        <v>321</v>
      </c>
      <c r="L405" t="inlineStr">
        <is>
          <t>OK</t>
        </is>
      </c>
      <c r="M405" t="n">
        <v>57.56</v>
      </c>
      <c r="N405" t="n">
        <v>26.55</v>
      </c>
      <c r="O405">
        <f>IFERROR(VLOOKUP(B405,BSE_500_LIVE!A:E,3,FALSE),"")</f>
        <v/>
      </c>
      <c r="P405">
        <f>IFERROR(VLOOKUP(B405,BSE_500_LIVE!A:E,4,FALSE),"")</f>
        <v/>
      </c>
      <c r="Q405">
        <f>IFERROR(VLOOKUP(B405,BSE_500_LIVE!A:E,5,FALSE),"")</f>
        <v/>
      </c>
      <c r="R405">
        <f>IF(OR(E405="",O405=""),"PENDING_FETCH",IF(ABS(E405-O405)/E405&gt;0.005,"MISMATCH_NEEDS_CORRECTION","VERIFIED_OK"))</f>
        <v/>
      </c>
      <c r="S405">
        <f>IF(O405&lt;&gt;"",O405,E405)</f>
        <v/>
      </c>
      <c r="T405">
        <f>IFERROR(VLOOKUP(B405,BSE_500_LIVE!A:F,6,FALSE),"")</f>
        <v/>
      </c>
    </row>
    <row r="406">
      <c r="A406" t="n">
        <v>464</v>
      </c>
      <c r="B406" t="n">
        <v>500463</v>
      </c>
      <c r="C406" t="inlineStr">
        <is>
          <t>AGC Networks Ltd</t>
        </is>
      </c>
      <c r="D406" t="n">
        <v>2026</v>
      </c>
      <c r="E406" t="n">
        <v>775.3499755859375</v>
      </c>
      <c r="F406" t="n">
        <v>12.25</v>
      </c>
      <c r="G406" t="inlineStr">
        <is>
          <t>Consolidated first (v4) – needs verification for flagged rows</t>
        </is>
      </c>
      <c r="H406" t="n">
        <v>1104.300048828125</v>
      </c>
      <c r="I406" t="n">
        <v>444</v>
      </c>
      <c r="L406" t="inlineStr">
        <is>
          <t>OK</t>
        </is>
      </c>
      <c r="M406" t="n">
        <v>90.15000000000001</v>
      </c>
      <c r="N406" t="n">
        <v>36.24</v>
      </c>
      <c r="O406">
        <f>IFERROR(VLOOKUP(B406,BSE_500_LIVE!A:E,3,FALSE),"")</f>
        <v/>
      </c>
      <c r="P406">
        <f>IFERROR(VLOOKUP(B406,BSE_500_LIVE!A:E,4,FALSE),"")</f>
        <v/>
      </c>
      <c r="Q406">
        <f>IFERROR(VLOOKUP(B406,BSE_500_LIVE!A:E,5,FALSE),"")</f>
        <v/>
      </c>
      <c r="R406">
        <f>IF(OR(E406="",O406=""),"PENDING_FETCH",IF(ABS(E406-O406)/E406&gt;0.005,"MISMATCH_NEEDS_CORRECTION","VERIFIED_OK"))</f>
        <v/>
      </c>
      <c r="S406">
        <f>IF(O406&lt;&gt;"",O406,E406)</f>
        <v/>
      </c>
      <c r="T406">
        <f>IFERROR(VLOOKUP(B406,BSE_500_LIVE!A:F,6,FALSE),"")</f>
        <v/>
      </c>
    </row>
    <row r="407">
      <c r="A407" t="n">
        <v>468</v>
      </c>
      <c r="B407" t="n">
        <v>500467</v>
      </c>
      <c r="C407" t="inlineStr">
        <is>
          <t>Harrisons Malayalam Ltd</t>
        </is>
      </c>
      <c r="D407" t="n">
        <v>2015</v>
      </c>
      <c r="E407" t="n">
        <v>219.0500030517578</v>
      </c>
      <c r="F407" t="n">
        <v>-19.06</v>
      </c>
      <c r="G407" t="inlineStr">
        <is>
          <t>Consolidated first (v4) – needs verification for flagged rows</t>
        </is>
      </c>
      <c r="H407" t="n">
        <v>65</v>
      </c>
      <c r="I407" t="n">
        <v>39.70000076293945</v>
      </c>
      <c r="L407" t="inlineStr">
        <is>
          <t>UNVERIFIED – negative EPS</t>
        </is>
      </c>
      <c r="M407" t="n">
        <v>-3.41</v>
      </c>
      <c r="N407" t="n">
        <v>-2.08</v>
      </c>
      <c r="O407" t="n">
        <v>215.2</v>
      </c>
      <c r="P407" t="n">
        <v>267.65</v>
      </c>
      <c r="Q407" t="n">
        <v>156</v>
      </c>
      <c r="R407" s="2" t="inlineStr">
        <is>
          <t>VERIFIED_OK</t>
        </is>
      </c>
      <c r="S407" t="n">
        <v>215.2</v>
      </c>
      <c r="T407" t="inlineStr">
        <is>
          <t>30-07-2026 09:42 IST</t>
        </is>
      </c>
    </row>
    <row r="408">
      <c r="A408" t="n">
        <v>468</v>
      </c>
      <c r="B408" t="n">
        <v>500467</v>
      </c>
      <c r="C408" t="inlineStr">
        <is>
          <t>Harrisons Malayalam Ltd</t>
        </is>
      </c>
      <c r="D408" t="n">
        <v>2016</v>
      </c>
      <c r="E408" t="n">
        <v>219.0500030517578</v>
      </c>
      <c r="F408" t="n">
        <v>-24.69</v>
      </c>
      <c r="G408" t="inlineStr">
        <is>
          <t>Consolidated first (v4) – needs verification for flagged rows</t>
        </is>
      </c>
      <c r="H408" t="n">
        <v>93.40000152587891</v>
      </c>
      <c r="I408" t="n">
        <v>39.79999923706055</v>
      </c>
      <c r="L408" t="inlineStr">
        <is>
          <t>UNVERIFIED – negative EPS</t>
        </is>
      </c>
      <c r="M408" t="n">
        <v>-3.78</v>
      </c>
      <c r="N408" t="n">
        <v>-1.61</v>
      </c>
      <c r="O408" t="n">
        <v>215.2</v>
      </c>
      <c r="P408" t="n">
        <v>267.65</v>
      </c>
      <c r="Q408" t="n">
        <v>156</v>
      </c>
      <c r="R408" s="2" t="inlineStr">
        <is>
          <t>VERIFIED_OK</t>
        </is>
      </c>
      <c r="S408" t="n">
        <v>215.2</v>
      </c>
      <c r="T408" t="inlineStr">
        <is>
          <t>30-07-2026 09:42 IST</t>
        </is>
      </c>
    </row>
    <row r="409">
      <c r="A409" t="n">
        <v>468</v>
      </c>
      <c r="B409" t="n">
        <v>500467</v>
      </c>
      <c r="C409" t="inlineStr">
        <is>
          <t>Harrisons Malayalam Ltd</t>
        </is>
      </c>
      <c r="D409" t="n">
        <v>2017</v>
      </c>
      <c r="E409" t="n">
        <v>219.0500030517578</v>
      </c>
      <c r="F409" t="n">
        <v>2.21</v>
      </c>
      <c r="G409" t="inlineStr">
        <is>
          <t>Consolidated first (v4) – needs verification for flagged rows</t>
        </is>
      </c>
      <c r="H409" t="n">
        <v>124.9000015258789</v>
      </c>
      <c r="I409" t="n">
        <v>69.80000305175781</v>
      </c>
      <c r="L409" t="inlineStr">
        <is>
          <t>OK</t>
        </is>
      </c>
      <c r="M409" t="n">
        <v>56.52</v>
      </c>
      <c r="N409" t="n">
        <v>31.58</v>
      </c>
      <c r="O409" t="n">
        <v>215.2</v>
      </c>
      <c r="P409" t="n">
        <v>267.65</v>
      </c>
      <c r="Q409" t="n">
        <v>156</v>
      </c>
      <c r="R409" s="2" t="inlineStr">
        <is>
          <t>VERIFIED_OK</t>
        </is>
      </c>
      <c r="S409" t="n">
        <v>215.2</v>
      </c>
      <c r="T409" t="inlineStr">
        <is>
          <t>30-07-2026 09:42 IST</t>
        </is>
      </c>
    </row>
    <row r="410">
      <c r="A410" t="n">
        <v>468</v>
      </c>
      <c r="B410" t="n">
        <v>500467</v>
      </c>
      <c r="C410" t="inlineStr">
        <is>
          <t>Harrisons Malayalam Ltd</t>
        </is>
      </c>
      <c r="D410" t="n">
        <v>2018</v>
      </c>
      <c r="E410" t="n">
        <v>219.0500030517578</v>
      </c>
      <c r="F410" t="n">
        <v>2.41</v>
      </c>
      <c r="G410" t="inlineStr">
        <is>
          <t>Consolidated first (v4) – needs verification for flagged rows</t>
        </is>
      </c>
      <c r="H410" t="n">
        <v>124.9000015258789</v>
      </c>
      <c r="I410" t="n">
        <v>71.5</v>
      </c>
      <c r="L410" t="inlineStr">
        <is>
          <t>OK</t>
        </is>
      </c>
      <c r="M410" t="n">
        <v>51.83</v>
      </c>
      <c r="N410" t="n">
        <v>29.67</v>
      </c>
      <c r="O410" t="n">
        <v>215.2</v>
      </c>
      <c r="P410" t="n">
        <v>267.65</v>
      </c>
      <c r="Q410" t="n">
        <v>156</v>
      </c>
      <c r="R410" s="2" t="inlineStr">
        <is>
          <t>VERIFIED_OK</t>
        </is>
      </c>
      <c r="S410" t="n">
        <v>215.2</v>
      </c>
      <c r="T410" t="inlineStr">
        <is>
          <t>30-07-2026 09:42 IST</t>
        </is>
      </c>
    </row>
    <row r="411">
      <c r="A411" t="n">
        <v>468</v>
      </c>
      <c r="B411" t="n">
        <v>500467</v>
      </c>
      <c r="C411" t="inlineStr">
        <is>
          <t>Harrisons Malayalam Ltd</t>
        </is>
      </c>
      <c r="D411" t="n">
        <v>2019</v>
      </c>
      <c r="E411" t="n">
        <v>219.0500030517578</v>
      </c>
      <c r="F411" t="n">
        <v>-13.02</v>
      </c>
      <c r="G411" t="inlineStr">
        <is>
          <t>Consolidated first (v4) – needs verification for flagged rows</t>
        </is>
      </c>
      <c r="H411" t="n">
        <v>88.05000305175781</v>
      </c>
      <c r="I411" t="n">
        <v>44.09999847412109</v>
      </c>
      <c r="L411" t="inlineStr">
        <is>
          <t>UNVERIFIED – negative EPS</t>
        </is>
      </c>
      <c r="M411" t="n">
        <v>-6.76</v>
      </c>
      <c r="N411" t="n">
        <v>-3.39</v>
      </c>
      <c r="O411" t="n">
        <v>215.2</v>
      </c>
      <c r="P411" t="n">
        <v>267.65</v>
      </c>
      <c r="Q411" t="n">
        <v>156</v>
      </c>
      <c r="R411" s="2" t="inlineStr">
        <is>
          <t>VERIFIED_OK</t>
        </is>
      </c>
      <c r="S411" t="n">
        <v>215.2</v>
      </c>
      <c r="T411" t="inlineStr">
        <is>
          <t>30-07-2026 09:42 IST</t>
        </is>
      </c>
    </row>
    <row r="412">
      <c r="A412" t="n">
        <v>468</v>
      </c>
      <c r="B412" t="n">
        <v>500467</v>
      </c>
      <c r="C412" t="inlineStr">
        <is>
          <t>Harrisons Malayalam Ltd</t>
        </is>
      </c>
      <c r="D412" t="n">
        <v>2020</v>
      </c>
      <c r="E412" t="n">
        <v>219.0500030517578</v>
      </c>
      <c r="F412" t="n">
        <v>5.01</v>
      </c>
      <c r="G412" t="inlineStr">
        <is>
          <t>Consolidated first (v4) – needs verification for flagged rows</t>
        </is>
      </c>
      <c r="H412" t="n">
        <v>144.1499938964844</v>
      </c>
      <c r="I412" t="n">
        <v>46.40000152587891</v>
      </c>
      <c r="L412" t="inlineStr">
        <is>
          <t>OK</t>
        </is>
      </c>
      <c r="M412" t="n">
        <v>28.77</v>
      </c>
      <c r="N412" t="n">
        <v>9.26</v>
      </c>
      <c r="O412" t="n">
        <v>215.2</v>
      </c>
      <c r="P412" t="n">
        <v>267.65</v>
      </c>
      <c r="Q412" t="n">
        <v>156</v>
      </c>
      <c r="R412" s="2" t="inlineStr">
        <is>
          <t>VERIFIED_OK</t>
        </is>
      </c>
      <c r="S412" t="n">
        <v>215.2</v>
      </c>
      <c r="T412" t="inlineStr">
        <is>
          <t>30-07-2026 09:42 IST</t>
        </is>
      </c>
    </row>
    <row r="413">
      <c r="A413" t="n">
        <v>468</v>
      </c>
      <c r="B413" t="n">
        <v>500467</v>
      </c>
      <c r="C413" t="inlineStr">
        <is>
          <t>Harrisons Malayalam Ltd</t>
        </is>
      </c>
      <c r="D413" t="n">
        <v>2021</v>
      </c>
      <c r="E413" t="n">
        <v>219.0500030517578</v>
      </c>
      <c r="F413" t="n">
        <v>21.85</v>
      </c>
      <c r="G413" t="inlineStr">
        <is>
          <t>Consolidated first (v4) – needs verification for flagged rows</t>
        </is>
      </c>
      <c r="H413" t="n">
        <v>250</v>
      </c>
      <c r="I413" t="n">
        <v>113.6500015258789</v>
      </c>
      <c r="L413" t="inlineStr">
        <is>
          <t>OK</t>
        </is>
      </c>
      <c r="M413" t="n">
        <v>11.44</v>
      </c>
      <c r="N413" t="n">
        <v>5.2</v>
      </c>
      <c r="O413" t="n">
        <v>215.2</v>
      </c>
      <c r="P413" t="n">
        <v>267.65</v>
      </c>
      <c r="Q413" t="n">
        <v>156</v>
      </c>
      <c r="R413" s="2" t="inlineStr">
        <is>
          <t>VERIFIED_OK</t>
        </is>
      </c>
      <c r="S413" t="n">
        <v>215.2</v>
      </c>
      <c r="T413" t="inlineStr">
        <is>
          <t>30-07-2026 09:42 IST</t>
        </is>
      </c>
    </row>
    <row r="414">
      <c r="A414" t="n">
        <v>468</v>
      </c>
      <c r="B414" t="n">
        <v>500467</v>
      </c>
      <c r="C414" t="inlineStr">
        <is>
          <t>Harrisons Malayalam Ltd</t>
        </is>
      </c>
      <c r="D414" t="n">
        <v>2022</v>
      </c>
      <c r="E414" t="n">
        <v>219.0500030517578</v>
      </c>
      <c r="F414" t="n">
        <v>12.48</v>
      </c>
      <c r="G414" t="inlineStr">
        <is>
          <t>Consolidated first (v4) – needs verification for flagged rows</t>
        </is>
      </c>
      <c r="H414" t="n">
        <v>197.8999938964844</v>
      </c>
      <c r="I414" t="n">
        <v>127.6999969482422</v>
      </c>
      <c r="L414" t="inlineStr">
        <is>
          <t>OK</t>
        </is>
      </c>
      <c r="M414" t="n">
        <v>15.86</v>
      </c>
      <c r="N414" t="n">
        <v>10.23</v>
      </c>
      <c r="O414" t="n">
        <v>215.2</v>
      </c>
      <c r="P414" t="n">
        <v>267.65</v>
      </c>
      <c r="Q414" t="n">
        <v>156</v>
      </c>
      <c r="R414" s="2" t="inlineStr">
        <is>
          <t>VERIFIED_OK</t>
        </is>
      </c>
      <c r="S414" t="n">
        <v>215.2</v>
      </c>
      <c r="T414" t="inlineStr">
        <is>
          <t>30-07-2026 09:42 IST</t>
        </is>
      </c>
    </row>
    <row r="415">
      <c r="A415" t="n">
        <v>468</v>
      </c>
      <c r="B415" t="n">
        <v>500467</v>
      </c>
      <c r="C415" t="inlineStr">
        <is>
          <t>Harrisons Malayalam Ltd</t>
        </is>
      </c>
      <c r="D415" t="n">
        <v>2023</v>
      </c>
      <c r="E415" t="n">
        <v>219.0500030517578</v>
      </c>
      <c r="F415" t="n">
        <v>9.609999999999999</v>
      </c>
      <c r="G415" t="inlineStr">
        <is>
          <t>Consolidated first (v4) – needs verification for flagged rows</t>
        </is>
      </c>
      <c r="H415" t="n">
        <v>193.5</v>
      </c>
      <c r="I415" t="n">
        <v>102.5999984741211</v>
      </c>
      <c r="L415" t="inlineStr">
        <is>
          <t>OK</t>
        </is>
      </c>
      <c r="M415" t="n">
        <v>20.14</v>
      </c>
      <c r="N415" t="n">
        <v>10.68</v>
      </c>
      <c r="O415" t="n">
        <v>215.2</v>
      </c>
      <c r="P415" t="n">
        <v>267.65</v>
      </c>
      <c r="Q415" t="n">
        <v>156</v>
      </c>
      <c r="R415" s="2" t="inlineStr">
        <is>
          <t>VERIFIED_OK</t>
        </is>
      </c>
      <c r="S415" t="n">
        <v>215.2</v>
      </c>
      <c r="T415" t="inlineStr">
        <is>
          <t>30-07-2026 09:42 IST</t>
        </is>
      </c>
    </row>
    <row r="416">
      <c r="A416" t="n">
        <v>468</v>
      </c>
      <c r="B416" t="n">
        <v>500467</v>
      </c>
      <c r="C416" t="inlineStr">
        <is>
          <t>Harrisons Malayalam Ltd</t>
        </is>
      </c>
      <c r="D416" t="n">
        <v>2024</v>
      </c>
      <c r="E416" t="n">
        <v>219.0500030517578</v>
      </c>
      <c r="F416" t="n">
        <v>-3.95</v>
      </c>
      <c r="G416" t="inlineStr">
        <is>
          <t>Consolidated first (v4) – needs verification for flagged rows</t>
        </is>
      </c>
      <c r="H416" t="n">
        <v>340.25</v>
      </c>
      <c r="I416" t="n">
        <v>150</v>
      </c>
      <c r="L416" t="inlineStr">
        <is>
          <t>UNVERIFIED – negative EPS</t>
        </is>
      </c>
      <c r="M416" t="n">
        <v>-86.14</v>
      </c>
      <c r="N416" t="n">
        <v>-37.97</v>
      </c>
      <c r="O416" t="n">
        <v>215.2</v>
      </c>
      <c r="P416" t="n">
        <v>267.65</v>
      </c>
      <c r="Q416" t="n">
        <v>156</v>
      </c>
      <c r="R416" s="2" t="inlineStr">
        <is>
          <t>VERIFIED_OK</t>
        </is>
      </c>
      <c r="S416" t="n">
        <v>215.2</v>
      </c>
      <c r="T416" t="inlineStr">
        <is>
          <t>30-07-2026 09:42 IST</t>
        </is>
      </c>
    </row>
    <row r="417">
      <c r="A417" t="n">
        <v>468</v>
      </c>
      <c r="B417" t="n">
        <v>500467</v>
      </c>
      <c r="C417" t="inlineStr">
        <is>
          <t>Harrisons Malayalam Ltd</t>
        </is>
      </c>
      <c r="D417" t="n">
        <v>2025</v>
      </c>
      <c r="E417" t="n">
        <v>219.0500030517578</v>
      </c>
      <c r="F417" t="n">
        <v>8.050000000000001</v>
      </c>
      <c r="G417" t="inlineStr">
        <is>
          <t>Consolidated first (v4) – needs verification for flagged rows</t>
        </is>
      </c>
      <c r="H417" t="n">
        <v>336.6499938964844</v>
      </c>
      <c r="I417" t="n">
        <v>157.5</v>
      </c>
      <c r="L417" t="inlineStr">
        <is>
          <t>OK</t>
        </is>
      </c>
      <c r="M417" t="n">
        <v>41.82</v>
      </c>
      <c r="N417" t="n">
        <v>19.57</v>
      </c>
      <c r="O417" t="n">
        <v>215.2</v>
      </c>
      <c r="P417" t="n">
        <v>267.65</v>
      </c>
      <c r="Q417" t="n">
        <v>156</v>
      </c>
      <c r="R417" s="2" t="inlineStr">
        <is>
          <t>VERIFIED_OK</t>
        </is>
      </c>
      <c r="S417" t="n">
        <v>215.2</v>
      </c>
      <c r="T417" t="inlineStr">
        <is>
          <t>30-07-2026 09:42 IST</t>
        </is>
      </c>
    </row>
    <row r="418">
      <c r="A418" t="n">
        <v>468</v>
      </c>
      <c r="B418" t="n">
        <v>500467</v>
      </c>
      <c r="C418" t="inlineStr">
        <is>
          <t>Harrisons Malayalam Ltd</t>
        </is>
      </c>
      <c r="D418" t="n">
        <v>2026</v>
      </c>
      <c r="E418" t="n">
        <v>219.0500030517578</v>
      </c>
      <c r="F418" t="n">
        <v>15.75</v>
      </c>
      <c r="G418" t="inlineStr">
        <is>
          <t>Consolidated first (v4) – needs verification for flagged rows</t>
        </is>
      </c>
      <c r="H418" t="n">
        <v>235.8000030517578</v>
      </c>
      <c r="I418" t="n">
        <v>156</v>
      </c>
      <c r="L418" t="inlineStr">
        <is>
          <t>OK</t>
        </is>
      </c>
      <c r="M418" t="n">
        <v>14.97</v>
      </c>
      <c r="N418" t="n">
        <v>9.9</v>
      </c>
      <c r="O418" t="n">
        <v>215.2</v>
      </c>
      <c r="P418" t="n">
        <v>267.65</v>
      </c>
      <c r="Q418" t="n">
        <v>156</v>
      </c>
      <c r="R418" s="2" t="inlineStr">
        <is>
          <t>VERIFIED_OK</t>
        </is>
      </c>
      <c r="S418" t="n">
        <v>215.2</v>
      </c>
      <c r="T418" t="inlineStr">
        <is>
          <t>30-07-2026 09:42 IST</t>
        </is>
      </c>
    </row>
    <row r="419">
      <c r="A419" t="n">
        <v>470</v>
      </c>
      <c r="B419" t="n">
        <v>500469</v>
      </c>
      <c r="C419" t="inlineStr">
        <is>
          <t>Federal Bank Ltd</t>
        </is>
      </c>
      <c r="D419" t="n">
        <v>2015</v>
      </c>
      <c r="E419" t="n">
        <v>348.7999877929688</v>
      </c>
      <c r="F419" t="n">
        <v>6.17</v>
      </c>
      <c r="G419" t="inlineStr">
        <is>
          <t>Consolidated first (v4) – needs verification for flagged rows</t>
        </is>
      </c>
      <c r="H419" t="n">
        <v>79.40000152587891</v>
      </c>
      <c r="I419" t="n">
        <v>52.45000076293945</v>
      </c>
      <c r="L419" t="inlineStr">
        <is>
          <t>OK</t>
        </is>
      </c>
      <c r="M419" t="n">
        <v>12.87</v>
      </c>
      <c r="N419" t="n">
        <v>8.5</v>
      </c>
      <c r="O419" t="n">
        <v>357</v>
      </c>
      <c r="P419" t="n">
        <v>359.35</v>
      </c>
      <c r="Q419" t="n">
        <v>172.95</v>
      </c>
      <c r="R419" s="2" t="inlineStr">
        <is>
          <t>VERIFIED_OK</t>
        </is>
      </c>
      <c r="S419" t="n">
        <v>357</v>
      </c>
      <c r="T419" t="inlineStr">
        <is>
          <t>30-07-2026 09:42 IST</t>
        </is>
      </c>
    </row>
    <row r="420">
      <c r="A420" t="n">
        <v>470</v>
      </c>
      <c r="B420" t="n">
        <v>500469</v>
      </c>
      <c r="C420" t="inlineStr">
        <is>
          <t>Federal Bank Ltd</t>
        </is>
      </c>
      <c r="D420" t="n">
        <v>2016</v>
      </c>
      <c r="E420" t="n">
        <v>348.7999877929688</v>
      </c>
      <c r="F420" t="n">
        <v>2.83</v>
      </c>
      <c r="G420" t="inlineStr">
        <is>
          <t>Consolidated first (v4) – needs verification for flagged rows</t>
        </is>
      </c>
      <c r="H420" t="n">
        <v>85.90000152587891</v>
      </c>
      <c r="I420" t="n">
        <v>41.34999847412109</v>
      </c>
      <c r="L420" t="inlineStr">
        <is>
          <t>OK</t>
        </is>
      </c>
      <c r="M420" t="n">
        <v>30.35</v>
      </c>
      <c r="N420" t="n">
        <v>14.61</v>
      </c>
      <c r="O420" t="n">
        <v>357</v>
      </c>
      <c r="P420" t="n">
        <v>359.35</v>
      </c>
      <c r="Q420" t="n">
        <v>172.95</v>
      </c>
      <c r="R420" s="2" t="inlineStr">
        <is>
          <t>VERIFIED_OK</t>
        </is>
      </c>
      <c r="S420" t="n">
        <v>357</v>
      </c>
      <c r="T420" t="inlineStr">
        <is>
          <t>30-07-2026 09:42 IST</t>
        </is>
      </c>
    </row>
    <row r="421">
      <c r="A421" t="n">
        <v>470</v>
      </c>
      <c r="B421" t="n">
        <v>500469</v>
      </c>
      <c r="C421" t="inlineStr">
        <is>
          <t>Federal Bank Ltd</t>
        </is>
      </c>
      <c r="D421" t="n">
        <v>2017</v>
      </c>
      <c r="E421" t="n">
        <v>348.7999877929688</v>
      </c>
      <c r="F421" t="n">
        <v>5.03</v>
      </c>
      <c r="G421" t="inlineStr">
        <is>
          <t>Consolidated first (v4) – needs verification for flagged rows</t>
        </is>
      </c>
      <c r="H421" t="n">
        <v>127.75</v>
      </c>
      <c r="I421" t="n">
        <v>65.5</v>
      </c>
      <c r="L421" t="inlineStr">
        <is>
          <t>OK</t>
        </is>
      </c>
      <c r="M421" t="n">
        <v>25.4</v>
      </c>
      <c r="N421" t="n">
        <v>13.02</v>
      </c>
      <c r="O421" t="n">
        <v>357</v>
      </c>
      <c r="P421" t="n">
        <v>359.35</v>
      </c>
      <c r="Q421" t="n">
        <v>172.95</v>
      </c>
      <c r="R421" s="2" t="inlineStr">
        <is>
          <t>VERIFIED_OK</t>
        </is>
      </c>
      <c r="S421" t="n">
        <v>357</v>
      </c>
      <c r="T421" t="inlineStr">
        <is>
          <t>30-07-2026 09:42 IST</t>
        </is>
      </c>
    </row>
    <row r="422">
      <c r="A422" t="n">
        <v>470</v>
      </c>
      <c r="B422" t="n">
        <v>500469</v>
      </c>
      <c r="C422" t="inlineStr">
        <is>
          <t>Federal Bank Ltd</t>
        </is>
      </c>
      <c r="D422" t="n">
        <v>2018</v>
      </c>
      <c r="E422" t="n">
        <v>348.7999877929688</v>
      </c>
      <c r="F422" t="n">
        <v>4.74</v>
      </c>
      <c r="G422" t="inlineStr">
        <is>
          <t>Consolidated first (v4) – needs verification for flagged rows</t>
        </is>
      </c>
      <c r="H422" t="n">
        <v>116.4499969482422</v>
      </c>
      <c r="I422" t="n">
        <v>67.05000305175781</v>
      </c>
      <c r="L422" t="inlineStr">
        <is>
          <t>OK</t>
        </is>
      </c>
      <c r="M422" t="n">
        <v>24.57</v>
      </c>
      <c r="N422" t="n">
        <v>14.15</v>
      </c>
      <c r="O422" t="n">
        <v>357</v>
      </c>
      <c r="P422" t="n">
        <v>359.35</v>
      </c>
      <c r="Q422" t="n">
        <v>172.95</v>
      </c>
      <c r="R422" s="2" t="inlineStr">
        <is>
          <t>VERIFIED_OK</t>
        </is>
      </c>
      <c r="S422" t="n">
        <v>357</v>
      </c>
      <c r="T422" t="inlineStr">
        <is>
          <t>30-07-2026 09:42 IST</t>
        </is>
      </c>
    </row>
    <row r="423">
      <c r="A423" t="n">
        <v>470</v>
      </c>
      <c r="B423" t="n">
        <v>500469</v>
      </c>
      <c r="C423" t="inlineStr">
        <is>
          <t>Federal Bank Ltd</t>
        </is>
      </c>
      <c r="D423" t="n">
        <v>2019</v>
      </c>
      <c r="E423" t="n">
        <v>348.7999877929688</v>
      </c>
      <c r="F423" t="n">
        <v>6.63</v>
      </c>
      <c r="G423" t="inlineStr">
        <is>
          <t>Consolidated first (v4) – needs verification for flagged rows</t>
        </is>
      </c>
      <c r="H423" t="n">
        <v>110.3499984741211</v>
      </c>
      <c r="I423" t="n">
        <v>78.40000152587891</v>
      </c>
      <c r="L423" t="inlineStr">
        <is>
          <t>OK</t>
        </is>
      </c>
      <c r="M423" t="n">
        <v>16.64</v>
      </c>
      <c r="N423" t="n">
        <v>11.83</v>
      </c>
      <c r="O423" t="n">
        <v>357</v>
      </c>
      <c r="P423" t="n">
        <v>359.35</v>
      </c>
      <c r="Q423" t="n">
        <v>172.95</v>
      </c>
      <c r="R423" s="2" t="inlineStr">
        <is>
          <t>VERIFIED_OK</t>
        </is>
      </c>
      <c r="S423" t="n">
        <v>357</v>
      </c>
      <c r="T423" t="inlineStr">
        <is>
          <t>30-07-2026 09:42 IST</t>
        </is>
      </c>
    </row>
    <row r="424">
      <c r="A424" t="n">
        <v>470</v>
      </c>
      <c r="B424" t="n">
        <v>500469</v>
      </c>
      <c r="C424" t="inlineStr">
        <is>
          <t>Federal Bank Ltd</t>
        </is>
      </c>
      <c r="D424" t="n">
        <v>2020</v>
      </c>
      <c r="E424" t="n">
        <v>348.7999877929688</v>
      </c>
      <c r="F424" t="n">
        <v>7.93</v>
      </c>
      <c r="G424" t="inlineStr">
        <is>
          <t>Consolidated first (v4) – needs verification for flagged rows</t>
        </is>
      </c>
      <c r="H424" t="n">
        <v>96.94999694824219</v>
      </c>
      <c r="I424" t="n">
        <v>35.70000076293945</v>
      </c>
      <c r="L424" t="inlineStr">
        <is>
          <t>OK</t>
        </is>
      </c>
      <c r="M424" t="n">
        <v>12.23</v>
      </c>
      <c r="N424" t="n">
        <v>4.5</v>
      </c>
      <c r="O424" t="n">
        <v>357</v>
      </c>
      <c r="P424" t="n">
        <v>359.35</v>
      </c>
      <c r="Q424" t="n">
        <v>172.95</v>
      </c>
      <c r="R424" s="2" t="inlineStr">
        <is>
          <t>VERIFIED_OK</t>
        </is>
      </c>
      <c r="S424" t="n">
        <v>357</v>
      </c>
      <c r="T424" t="inlineStr">
        <is>
          <t>30-07-2026 09:42 IST</t>
        </is>
      </c>
    </row>
    <row r="425">
      <c r="A425" t="n">
        <v>470</v>
      </c>
      <c r="B425" t="n">
        <v>500469</v>
      </c>
      <c r="C425" t="inlineStr">
        <is>
          <t>Federal Bank Ltd</t>
        </is>
      </c>
      <c r="D425" t="n">
        <v>2021</v>
      </c>
      <c r="E425" t="n">
        <v>348.7999877929688</v>
      </c>
      <c r="F425" t="n">
        <v>8.34</v>
      </c>
      <c r="G425" t="inlineStr">
        <is>
          <t>Consolidated first (v4) – needs verification for flagged rows</t>
        </is>
      </c>
      <c r="H425" t="n">
        <v>107.6500015258789</v>
      </c>
      <c r="I425" t="n">
        <v>68.80000305175781</v>
      </c>
      <c r="L425" t="inlineStr">
        <is>
          <t>OK</t>
        </is>
      </c>
      <c r="M425" t="n">
        <v>12.91</v>
      </c>
      <c r="N425" t="n">
        <v>8.25</v>
      </c>
      <c r="O425" t="n">
        <v>357</v>
      </c>
      <c r="P425" t="n">
        <v>359.35</v>
      </c>
      <c r="Q425" t="n">
        <v>172.95</v>
      </c>
      <c r="R425" s="2" t="inlineStr">
        <is>
          <t>VERIFIED_OK</t>
        </is>
      </c>
      <c r="S425" t="n">
        <v>357</v>
      </c>
      <c r="T425" t="inlineStr">
        <is>
          <t>30-07-2026 09:42 IST</t>
        </is>
      </c>
    </row>
    <row r="426">
      <c r="A426" t="n">
        <v>470</v>
      </c>
      <c r="B426" t="n">
        <v>500469</v>
      </c>
      <c r="C426" t="inlineStr">
        <is>
          <t>Federal Bank Ltd</t>
        </is>
      </c>
      <c r="D426" t="n">
        <v>2022</v>
      </c>
      <c r="E426" t="n">
        <v>348.7999877929688</v>
      </c>
      <c r="F426" t="n">
        <v>9.369999999999999</v>
      </c>
      <c r="G426" t="inlineStr">
        <is>
          <t>Consolidated first (v4) – needs verification for flagged rows</t>
        </is>
      </c>
      <c r="H426" t="n">
        <v>142.25</v>
      </c>
      <c r="I426" t="n">
        <v>82.5</v>
      </c>
      <c r="L426" t="inlineStr">
        <is>
          <t>OK</t>
        </is>
      </c>
      <c r="M426" t="n">
        <v>15.18</v>
      </c>
      <c r="N426" t="n">
        <v>8.800000000000001</v>
      </c>
      <c r="O426" t="n">
        <v>357</v>
      </c>
      <c r="P426" t="n">
        <v>359.35</v>
      </c>
      <c r="Q426" t="n">
        <v>172.95</v>
      </c>
      <c r="R426" s="2" t="inlineStr">
        <is>
          <t>VERIFIED_OK</t>
        </is>
      </c>
      <c r="S426" t="n">
        <v>357</v>
      </c>
      <c r="T426" t="inlineStr">
        <is>
          <t>30-07-2026 09:42 IST</t>
        </is>
      </c>
    </row>
    <row r="427">
      <c r="A427" t="n">
        <v>470</v>
      </c>
      <c r="B427" t="n">
        <v>500469</v>
      </c>
      <c r="C427" t="inlineStr">
        <is>
          <t>Federal Bank Ltd</t>
        </is>
      </c>
      <c r="D427" t="n">
        <v>2023</v>
      </c>
      <c r="E427" t="n">
        <v>348.7999877929688</v>
      </c>
      <c r="F427" t="n">
        <v>14.95</v>
      </c>
      <c r="G427" t="inlineStr">
        <is>
          <t>Consolidated first (v4) – needs verification for flagged rows</t>
        </is>
      </c>
      <c r="H427" t="n">
        <v>159.25</v>
      </c>
      <c r="I427" t="n">
        <v>120.9000015258789</v>
      </c>
      <c r="L427" t="inlineStr">
        <is>
          <t>OK</t>
        </is>
      </c>
      <c r="M427" t="n">
        <v>10.65</v>
      </c>
      <c r="N427" t="n">
        <v>8.09</v>
      </c>
      <c r="O427" t="n">
        <v>357</v>
      </c>
      <c r="P427" t="n">
        <v>359.35</v>
      </c>
      <c r="Q427" t="n">
        <v>172.95</v>
      </c>
      <c r="R427" s="2" t="inlineStr">
        <is>
          <t>VERIFIED_OK</t>
        </is>
      </c>
      <c r="S427" t="n">
        <v>357</v>
      </c>
      <c r="T427" t="inlineStr">
        <is>
          <t>30-07-2026 09:42 IST</t>
        </is>
      </c>
    </row>
    <row r="428">
      <c r="A428" t="n">
        <v>470</v>
      </c>
      <c r="B428" t="n">
        <v>500469</v>
      </c>
      <c r="C428" t="inlineStr">
        <is>
          <t>Federal Bank Ltd</t>
        </is>
      </c>
      <c r="D428" t="n">
        <v>2024</v>
      </c>
      <c r="E428" t="n">
        <v>348.7999877929688</v>
      </c>
      <c r="F428" t="n">
        <v>15.93</v>
      </c>
      <c r="G428" t="inlineStr">
        <is>
          <t>Consolidated first (v4) – needs verification for flagged rows</t>
        </is>
      </c>
      <c r="H428" t="n">
        <v>216.8999938964844</v>
      </c>
      <c r="I428" t="n">
        <v>139.4499969482422</v>
      </c>
      <c r="L428" t="inlineStr">
        <is>
          <t>OK</t>
        </is>
      </c>
      <c r="M428" t="n">
        <v>13.62</v>
      </c>
      <c r="N428" t="n">
        <v>8.75</v>
      </c>
      <c r="O428" t="n">
        <v>357</v>
      </c>
      <c r="P428" t="n">
        <v>359.35</v>
      </c>
      <c r="Q428" t="n">
        <v>172.95</v>
      </c>
      <c r="R428" s="2" t="inlineStr">
        <is>
          <t>VERIFIED_OK</t>
        </is>
      </c>
      <c r="S428" t="n">
        <v>357</v>
      </c>
      <c r="T428" t="inlineStr">
        <is>
          <t>30-07-2026 09:42 IST</t>
        </is>
      </c>
    </row>
    <row r="429">
      <c r="A429" t="n">
        <v>470</v>
      </c>
      <c r="B429" t="n">
        <v>500469</v>
      </c>
      <c r="C429" t="inlineStr">
        <is>
          <t>Federal Bank Ltd</t>
        </is>
      </c>
      <c r="D429" t="n">
        <v>2025</v>
      </c>
      <c r="E429" t="n">
        <v>348.7999877929688</v>
      </c>
      <c r="F429" t="n">
        <v>16.93</v>
      </c>
      <c r="G429" t="inlineStr">
        <is>
          <t>Consolidated first (v4) – needs verification for flagged rows</t>
        </is>
      </c>
      <c r="H429" t="n">
        <v>271</v>
      </c>
      <c r="I429" t="n">
        <v>172.9499969482422</v>
      </c>
      <c r="L429" t="inlineStr">
        <is>
          <t>OK</t>
        </is>
      </c>
      <c r="M429" t="n">
        <v>16.01</v>
      </c>
      <c r="N429" t="n">
        <v>10.22</v>
      </c>
      <c r="O429" t="n">
        <v>357</v>
      </c>
      <c r="P429" t="n">
        <v>359.35</v>
      </c>
      <c r="Q429" t="n">
        <v>172.95</v>
      </c>
      <c r="R429" s="2" t="inlineStr">
        <is>
          <t>VERIFIED_OK</t>
        </is>
      </c>
      <c r="S429" t="n">
        <v>357</v>
      </c>
      <c r="T429" t="inlineStr">
        <is>
          <t>30-07-2026 09:42 IST</t>
        </is>
      </c>
    </row>
    <row r="430">
      <c r="A430" t="n">
        <v>470</v>
      </c>
      <c r="B430" t="n">
        <v>500469</v>
      </c>
      <c r="C430" t="inlineStr">
        <is>
          <t>Federal Bank Ltd</t>
        </is>
      </c>
      <c r="D430" t="n">
        <v>2026</v>
      </c>
      <c r="E430" t="n">
        <v>348.7999877929688</v>
      </c>
      <c r="F430" t="n">
        <v>17.63</v>
      </c>
      <c r="G430" t="inlineStr">
        <is>
          <t>Consolidated first (v4) – needs verification for flagged rows</t>
        </is>
      </c>
      <c r="H430" t="n">
        <v>350.8500061035156</v>
      </c>
      <c r="I430" t="n">
        <v>242.3000030517578</v>
      </c>
      <c r="L430" t="inlineStr">
        <is>
          <t>OK</t>
        </is>
      </c>
      <c r="M430" t="n">
        <v>19.9</v>
      </c>
      <c r="N430" t="n">
        <v>13.74</v>
      </c>
      <c r="O430" t="n">
        <v>357</v>
      </c>
      <c r="P430" t="n">
        <v>359.35</v>
      </c>
      <c r="Q430" t="n">
        <v>172.95</v>
      </c>
      <c r="R430" s="2" t="inlineStr">
        <is>
          <t>VERIFIED_OK</t>
        </is>
      </c>
      <c r="S430" t="n">
        <v>357</v>
      </c>
      <c r="T430" t="inlineStr">
        <is>
          <t>30-07-2026 09:42 IST</t>
        </is>
      </c>
    </row>
    <row r="431">
      <c r="A431" t="n">
        <v>62</v>
      </c>
      <c r="B431" t="n">
        <v>500470</v>
      </c>
      <c r="C431" t="inlineStr">
        <is>
          <t>Tata Steel Ltd</t>
        </is>
      </c>
      <c r="D431" t="n">
        <v>2015</v>
      </c>
      <c r="E431" t="n">
        <v>185.8999938964844</v>
      </c>
      <c r="F431" t="n">
        <v>-3.48</v>
      </c>
      <c r="G431" t="inlineStr">
        <is>
          <t>Consolidated first (v4) – needs verification for flagged rows</t>
        </is>
      </c>
      <c r="H431" t="n">
        <v>40.13075637817383</v>
      </c>
      <c r="I431" t="n">
        <v>19.05544090270996</v>
      </c>
      <c r="L431" t="inlineStr">
        <is>
          <t>UNVERIFIED – negative EPS</t>
        </is>
      </c>
      <c r="M431" t="n">
        <v>-11.53</v>
      </c>
      <c r="N431" t="n">
        <v>-5.48</v>
      </c>
      <c r="O431" t="n">
        <v>187.45</v>
      </c>
      <c r="P431" t="n">
        <v>202.9</v>
      </c>
      <c r="Q431" t="n">
        <v>124.2</v>
      </c>
      <c r="R431" s="2" t="inlineStr">
        <is>
          <t>VERIFIED_OK</t>
        </is>
      </c>
      <c r="S431" t="n">
        <v>187.45</v>
      </c>
      <c r="T431" t="inlineStr">
        <is>
          <t>30-07-2026 09:42 IST</t>
        </is>
      </c>
    </row>
    <row r="432">
      <c r="A432" t="n">
        <v>62</v>
      </c>
      <c r="B432" t="n">
        <v>500470</v>
      </c>
      <c r="C432" t="inlineStr">
        <is>
          <t>Tata Steel Ltd</t>
        </is>
      </c>
      <c r="D432" t="n">
        <v>2016</v>
      </c>
      <c r="E432" t="n">
        <v>185.8999938964844</v>
      </c>
      <c r="F432" t="n">
        <v>-0.34</v>
      </c>
      <c r="G432" t="inlineStr">
        <is>
          <t>Consolidated first (v4) – needs verification for flagged rows</t>
        </is>
      </c>
      <c r="H432" t="n">
        <v>42.00771713256836</v>
      </c>
      <c r="I432" t="n">
        <v>20.13207244873047</v>
      </c>
      <c r="L432" t="inlineStr">
        <is>
          <t>UNVERIFIED – negative EPS</t>
        </is>
      </c>
      <c r="M432" t="n">
        <v>-123.55</v>
      </c>
      <c r="N432" t="n">
        <v>-59.21</v>
      </c>
      <c r="O432" t="n">
        <v>187.45</v>
      </c>
      <c r="P432" t="n">
        <v>202.9</v>
      </c>
      <c r="Q432" t="n">
        <v>124.2</v>
      </c>
      <c r="R432" s="2" t="inlineStr">
        <is>
          <t>VERIFIED_OK</t>
        </is>
      </c>
      <c r="S432" t="n">
        <v>187.45</v>
      </c>
      <c r="T432" t="inlineStr">
        <is>
          <t>30-07-2026 09:42 IST</t>
        </is>
      </c>
    </row>
    <row r="433">
      <c r="A433" t="n">
        <v>62</v>
      </c>
      <c r="B433" t="n">
        <v>500470</v>
      </c>
      <c r="C433" t="inlineStr">
        <is>
          <t>Tata Steel Ltd</t>
        </is>
      </c>
      <c r="D433" t="n">
        <v>2017</v>
      </c>
      <c r="E433" t="n">
        <v>185.8999938964844</v>
      </c>
      <c r="F433" t="n">
        <v>-3.76</v>
      </c>
      <c r="G433" t="inlineStr">
        <is>
          <t>Consolidated first (v4) – needs verification for flagged rows</t>
        </is>
      </c>
      <c r="H433" t="n">
        <v>70.91958618164062</v>
      </c>
      <c r="I433" t="n">
        <v>38.20615768432617</v>
      </c>
      <c r="L433" t="inlineStr">
        <is>
          <t>UNVERIFIED – negative EPS</t>
        </is>
      </c>
      <c r="M433" t="n">
        <v>-18.86</v>
      </c>
      <c r="N433" t="n">
        <v>-10.16</v>
      </c>
      <c r="O433" t="n">
        <v>187.45</v>
      </c>
      <c r="P433" t="n">
        <v>202.9</v>
      </c>
      <c r="Q433" t="n">
        <v>124.2</v>
      </c>
      <c r="R433" s="2" t="inlineStr">
        <is>
          <t>VERIFIED_OK</t>
        </is>
      </c>
      <c r="S433" t="n">
        <v>187.45</v>
      </c>
      <c r="T433" t="inlineStr">
        <is>
          <t>30-07-2026 09:42 IST</t>
        </is>
      </c>
    </row>
    <row r="434">
      <c r="A434" t="n">
        <v>62</v>
      </c>
      <c r="B434" t="n">
        <v>500470</v>
      </c>
      <c r="C434" t="inlineStr">
        <is>
          <t>Tata Steel Ltd</t>
        </is>
      </c>
      <c r="D434" t="n">
        <v>2018</v>
      </c>
      <c r="E434" t="n">
        <v>185.8999938964844</v>
      </c>
      <c r="F434" t="n">
        <v>11.93</v>
      </c>
      <c r="G434" t="inlineStr">
        <is>
          <t>Consolidated first (v4) – needs verification for flagged rows</t>
        </is>
      </c>
      <c r="H434" t="n">
        <v>75.32615661621094</v>
      </c>
      <c r="I434" t="n">
        <v>48.68999862670898</v>
      </c>
      <c r="L434" t="inlineStr">
        <is>
          <t>OK</t>
        </is>
      </c>
      <c r="M434" t="n">
        <v>6.31</v>
      </c>
      <c r="N434" t="n">
        <v>4.08</v>
      </c>
      <c r="O434" t="n">
        <v>187.45</v>
      </c>
      <c r="P434" t="n">
        <v>202.9</v>
      </c>
      <c r="Q434" t="n">
        <v>124.2</v>
      </c>
      <c r="R434" s="2" t="inlineStr">
        <is>
          <t>VERIFIED_OK</t>
        </is>
      </c>
      <c r="S434" t="n">
        <v>187.45</v>
      </c>
      <c r="T434" t="inlineStr">
        <is>
          <t>30-07-2026 09:42 IST</t>
        </is>
      </c>
    </row>
    <row r="435">
      <c r="A435" t="n">
        <v>62</v>
      </c>
      <c r="B435" t="n">
        <v>500470</v>
      </c>
      <c r="C435" t="inlineStr">
        <is>
          <t>Tata Steel Ltd</t>
        </is>
      </c>
      <c r="D435" t="n">
        <v>2019</v>
      </c>
      <c r="E435" t="n">
        <v>185.8999938964844</v>
      </c>
      <c r="F435" t="n">
        <v>9.07</v>
      </c>
      <c r="G435" t="inlineStr">
        <is>
          <t>Consolidated first (v4) – needs verification for flagged rows</t>
        </is>
      </c>
      <c r="H435" t="n">
        <v>56.03499984741211</v>
      </c>
      <c r="I435" t="n">
        <v>32.02999877929688</v>
      </c>
      <c r="L435" t="inlineStr">
        <is>
          <t>OK</t>
        </is>
      </c>
      <c r="M435" t="n">
        <v>6.18</v>
      </c>
      <c r="N435" t="n">
        <v>3.53</v>
      </c>
      <c r="O435" t="n">
        <v>187.45</v>
      </c>
      <c r="P435" t="n">
        <v>202.9</v>
      </c>
      <c r="Q435" t="n">
        <v>124.2</v>
      </c>
      <c r="R435" s="2" t="inlineStr">
        <is>
          <t>VERIFIED_OK</t>
        </is>
      </c>
      <c r="S435" t="n">
        <v>187.45</v>
      </c>
      <c r="T435" t="inlineStr">
        <is>
          <t>30-07-2026 09:42 IST</t>
        </is>
      </c>
    </row>
    <row r="436">
      <c r="A436" t="n">
        <v>62</v>
      </c>
      <c r="B436" t="n">
        <v>500470</v>
      </c>
      <c r="C436" t="inlineStr">
        <is>
          <t>Tata Steel Ltd</t>
        </is>
      </c>
      <c r="D436" t="n">
        <v>2020</v>
      </c>
      <c r="E436" t="n">
        <v>185.8999938964844</v>
      </c>
      <c r="F436" t="n">
        <v>1.38</v>
      </c>
      <c r="G436" t="inlineStr">
        <is>
          <t>Consolidated first (v4) – needs verification for flagged rows</t>
        </is>
      </c>
      <c r="H436" t="n">
        <v>65.33000183105469</v>
      </c>
      <c r="I436" t="n">
        <v>25.09000015258789</v>
      </c>
      <c r="L436" t="inlineStr">
        <is>
          <t>OK</t>
        </is>
      </c>
      <c r="M436" t="n">
        <v>47.34</v>
      </c>
      <c r="N436" t="n">
        <v>18.18</v>
      </c>
      <c r="O436" t="n">
        <v>187.45</v>
      </c>
      <c r="P436" t="n">
        <v>202.9</v>
      </c>
      <c r="Q436" t="n">
        <v>124.2</v>
      </c>
      <c r="R436" s="2" t="inlineStr">
        <is>
          <t>VERIFIED_OK</t>
        </is>
      </c>
      <c r="S436" t="n">
        <v>187.45</v>
      </c>
      <c r="T436" t="inlineStr">
        <is>
          <t>30-07-2026 09:42 IST</t>
        </is>
      </c>
    </row>
    <row r="437">
      <c r="A437" t="n">
        <v>62</v>
      </c>
      <c r="B437" t="n">
        <v>500470</v>
      </c>
      <c r="C437" t="inlineStr">
        <is>
          <t>Tata Steel Ltd</t>
        </is>
      </c>
      <c r="D437" t="n">
        <v>2021</v>
      </c>
      <c r="E437" t="n">
        <v>185.8999938964844</v>
      </c>
      <c r="F437" t="n">
        <v>6.26</v>
      </c>
      <c r="G437" t="inlineStr">
        <is>
          <t>Consolidated first (v4) – needs verification for flagged rows</t>
        </is>
      </c>
      <c r="H437" t="n">
        <v>153.4600067138672</v>
      </c>
      <c r="I437" t="n">
        <v>59.63000106811523</v>
      </c>
      <c r="L437" t="inlineStr">
        <is>
          <t>OK</t>
        </is>
      </c>
      <c r="M437" t="n">
        <v>24.51</v>
      </c>
      <c r="N437" t="n">
        <v>9.529999999999999</v>
      </c>
      <c r="O437" t="n">
        <v>187.45</v>
      </c>
      <c r="P437" t="n">
        <v>202.9</v>
      </c>
      <c r="Q437" t="n">
        <v>124.2</v>
      </c>
      <c r="R437" s="2" t="inlineStr">
        <is>
          <t>VERIFIED_OK</t>
        </is>
      </c>
      <c r="S437" t="n">
        <v>187.45</v>
      </c>
      <c r="T437" t="inlineStr">
        <is>
          <t>30-07-2026 09:42 IST</t>
        </is>
      </c>
    </row>
    <row r="438">
      <c r="A438" t="n">
        <v>62</v>
      </c>
      <c r="B438" t="n">
        <v>500470</v>
      </c>
      <c r="C438" t="inlineStr">
        <is>
          <t>Tata Steel Ltd</t>
        </is>
      </c>
      <c r="D438" t="n">
        <v>2022</v>
      </c>
      <c r="E438" t="n">
        <v>185.8999938964844</v>
      </c>
      <c r="F438" t="n">
        <v>32.88</v>
      </c>
      <c r="G438" t="inlineStr">
        <is>
          <t>Consolidated first (v4) – needs verification for flagged rows</t>
        </is>
      </c>
      <c r="H438" t="n">
        <v>138.625</v>
      </c>
      <c r="I438" t="n">
        <v>82.70999908447266</v>
      </c>
      <c r="L438" t="inlineStr">
        <is>
          <t>OK</t>
        </is>
      </c>
      <c r="M438" t="n">
        <v>4.22</v>
      </c>
      <c r="N438" t="n">
        <v>2.52</v>
      </c>
      <c r="O438" t="n">
        <v>187.45</v>
      </c>
      <c r="P438" t="n">
        <v>202.9</v>
      </c>
      <c r="Q438" t="n">
        <v>124.2</v>
      </c>
      <c r="R438" s="2" t="inlineStr">
        <is>
          <t>VERIFIED_OK</t>
        </is>
      </c>
      <c r="S438" t="n">
        <v>187.45</v>
      </c>
      <c r="T438" t="inlineStr">
        <is>
          <t>30-07-2026 09:42 IST</t>
        </is>
      </c>
    </row>
    <row r="439">
      <c r="A439" t="n">
        <v>62</v>
      </c>
      <c r="B439" t="n">
        <v>500470</v>
      </c>
      <c r="C439" t="inlineStr">
        <is>
          <t>Tata Steel Ltd</t>
        </is>
      </c>
      <c r="D439" t="n">
        <v>2023</v>
      </c>
      <c r="E439" t="n">
        <v>185.8999938964844</v>
      </c>
      <c r="F439" t="n">
        <v>7.17</v>
      </c>
      <c r="G439" t="inlineStr">
        <is>
          <t>Consolidated first (v4) – needs verification for flagged rows</t>
        </is>
      </c>
      <c r="H439" t="n">
        <v>141.1999969482422</v>
      </c>
      <c r="I439" t="n">
        <v>101.6500015258789</v>
      </c>
      <c r="L439" t="inlineStr">
        <is>
          <t>OK</t>
        </is>
      </c>
      <c r="M439" t="n">
        <v>19.69</v>
      </c>
      <c r="N439" t="n">
        <v>14.18</v>
      </c>
      <c r="O439" t="n">
        <v>187.45</v>
      </c>
      <c r="P439" t="n">
        <v>202.9</v>
      </c>
      <c r="Q439" t="n">
        <v>124.2</v>
      </c>
      <c r="R439" s="2" t="inlineStr">
        <is>
          <t>VERIFIED_OK</t>
        </is>
      </c>
      <c r="S439" t="n">
        <v>187.45</v>
      </c>
      <c r="T439" t="inlineStr">
        <is>
          <t>30-07-2026 09:42 IST</t>
        </is>
      </c>
    </row>
    <row r="440">
      <c r="A440" t="n">
        <v>62</v>
      </c>
      <c r="B440" t="n">
        <v>500470</v>
      </c>
      <c r="C440" t="inlineStr">
        <is>
          <t>Tata Steel Ltd</t>
        </is>
      </c>
      <c r="D440" t="n">
        <v>2024</v>
      </c>
      <c r="E440" t="n">
        <v>185.8999938964844</v>
      </c>
      <c r="F440" t="n">
        <v>-3.55</v>
      </c>
      <c r="G440" t="inlineStr">
        <is>
          <t>Consolidated first (v4) – needs verification for flagged rows</t>
        </is>
      </c>
      <c r="H440" t="n">
        <v>184.6000061035156</v>
      </c>
      <c r="I440" t="n">
        <v>128.1000061035156</v>
      </c>
      <c r="L440" t="inlineStr">
        <is>
          <t>UNVERIFIED – negative EPS</t>
        </is>
      </c>
      <c r="M440" t="n">
        <v>-52</v>
      </c>
      <c r="N440" t="n">
        <v>-36.08</v>
      </c>
      <c r="O440" t="n">
        <v>187.45</v>
      </c>
      <c r="P440" t="n">
        <v>202.9</v>
      </c>
      <c r="Q440" t="n">
        <v>124.2</v>
      </c>
      <c r="R440" s="2" t="inlineStr">
        <is>
          <t>VERIFIED_OK</t>
        </is>
      </c>
      <c r="S440" t="n">
        <v>187.45</v>
      </c>
      <c r="T440" t="inlineStr">
        <is>
          <t>30-07-2026 09:42 IST</t>
        </is>
      </c>
    </row>
    <row r="441">
      <c r="A441" t="n">
        <v>62</v>
      </c>
      <c r="B441" t="n">
        <v>500470</v>
      </c>
      <c r="C441" t="inlineStr">
        <is>
          <t>Tata Steel Ltd</t>
        </is>
      </c>
      <c r="D441" t="n">
        <v>2025</v>
      </c>
      <c r="E441" t="n">
        <v>185.8999938964844</v>
      </c>
      <c r="F441" t="n">
        <v>2.74</v>
      </c>
      <c r="G441" t="inlineStr">
        <is>
          <t>Consolidated first (v4) – needs verification for flagged rows</t>
        </is>
      </c>
      <c r="H441" t="n">
        <v>187</v>
      </c>
      <c r="I441" t="n">
        <v>122.5999984741211</v>
      </c>
      <c r="L441" t="inlineStr">
        <is>
          <t>OK</t>
        </is>
      </c>
      <c r="M441" t="n">
        <v>68.25</v>
      </c>
      <c r="N441" t="n">
        <v>44.74</v>
      </c>
      <c r="O441" t="n">
        <v>187.45</v>
      </c>
      <c r="P441" t="n">
        <v>202.9</v>
      </c>
      <c r="Q441" t="n">
        <v>124.2</v>
      </c>
      <c r="R441" s="2" t="inlineStr">
        <is>
          <t>VERIFIED_OK</t>
        </is>
      </c>
      <c r="S441" t="n">
        <v>187.45</v>
      </c>
      <c r="T441" t="inlineStr">
        <is>
          <t>30-07-2026 09:42 IST</t>
        </is>
      </c>
    </row>
    <row r="442">
      <c r="A442" t="n">
        <v>62</v>
      </c>
      <c r="B442" t="n">
        <v>500470</v>
      </c>
      <c r="C442" t="inlineStr">
        <is>
          <t>Tata Steel Ltd</t>
        </is>
      </c>
      <c r="D442" t="n">
        <v>2026</v>
      </c>
      <c r="E442" t="n">
        <v>185.8999938964844</v>
      </c>
      <c r="F442" t="n">
        <v>8.65</v>
      </c>
      <c r="G442" t="inlineStr">
        <is>
          <t>Consolidated first (v4) – needs verification for flagged rows</t>
        </is>
      </c>
      <c r="H442" t="n">
        <v>224.3999938964844</v>
      </c>
      <c r="I442" t="n">
        <v>177.25</v>
      </c>
      <c r="L442" t="inlineStr">
        <is>
          <t>OK</t>
        </is>
      </c>
      <c r="M442" t="n">
        <v>25.94</v>
      </c>
      <c r="N442" t="n">
        <v>20.49</v>
      </c>
      <c r="O442" t="n">
        <v>187.45</v>
      </c>
      <c r="P442" t="n">
        <v>202.9</v>
      </c>
      <c r="Q442" t="n">
        <v>124.2</v>
      </c>
      <c r="R442" s="2" t="inlineStr">
        <is>
          <t>VERIFIED_OK</t>
        </is>
      </c>
      <c r="S442" t="n">
        <v>187.45</v>
      </c>
      <c r="T442" t="inlineStr">
        <is>
          <t>30-07-2026 09:42 IST</t>
        </is>
      </c>
    </row>
    <row r="443">
      <c r="A443" t="n">
        <v>473</v>
      </c>
      <c r="B443" t="n">
        <v>500472</v>
      </c>
      <c r="C443" t="inlineStr">
        <is>
          <t>SKF India Ltd</t>
        </is>
      </c>
      <c r="D443" t="n">
        <v>2015</v>
      </c>
      <c r="E443" t="n">
        <v>1474.400024414062</v>
      </c>
      <c r="G443" t="inlineStr">
        <is>
          <t>Consolidated first (v4) – needs verification for flagged rows</t>
        </is>
      </c>
      <c r="H443" t="n">
        <v>1540.349975585938</v>
      </c>
      <c r="I443" t="n">
        <v>1162.5</v>
      </c>
      <c r="L443" t="inlineStr">
        <is>
          <t>INCOMPLETE</t>
        </is>
      </c>
      <c r="O443" t="n">
        <v>1466.1</v>
      </c>
      <c r="P443" t="n">
        <v>5074</v>
      </c>
      <c r="Q443" t="n">
        <v>1404</v>
      </c>
      <c r="R443" s="2" t="inlineStr">
        <is>
          <t>VERIFIED_OK</t>
        </is>
      </c>
      <c r="S443" t="n">
        <v>1466.1</v>
      </c>
      <c r="T443" t="inlineStr">
        <is>
          <t>30-07-2026 09:42 IST</t>
        </is>
      </c>
    </row>
    <row r="444">
      <c r="A444" t="n">
        <v>473</v>
      </c>
      <c r="B444" t="n">
        <v>500472</v>
      </c>
      <c r="C444" t="inlineStr">
        <is>
          <t>SKF India Ltd</t>
        </is>
      </c>
      <c r="D444" t="n">
        <v>2016</v>
      </c>
      <c r="E444" t="n">
        <v>1474.400024414062</v>
      </c>
      <c r="G444" t="inlineStr">
        <is>
          <t>Consolidated first (v4) – needs verification for flagged rows</t>
        </is>
      </c>
      <c r="H444" t="n">
        <v>1550</v>
      </c>
      <c r="I444" t="n">
        <v>1055.550048828125</v>
      </c>
      <c r="L444" t="inlineStr">
        <is>
          <t>INCOMPLETE</t>
        </is>
      </c>
      <c r="O444" t="n">
        <v>1466.1</v>
      </c>
      <c r="P444" t="n">
        <v>5074</v>
      </c>
      <c r="Q444" t="n">
        <v>1404</v>
      </c>
      <c r="R444" s="2" t="inlineStr">
        <is>
          <t>VERIFIED_OK</t>
        </is>
      </c>
      <c r="S444" t="n">
        <v>1466.1</v>
      </c>
      <c r="T444" t="inlineStr">
        <is>
          <t>30-07-2026 09:42 IST</t>
        </is>
      </c>
    </row>
    <row r="445">
      <c r="A445" t="n">
        <v>473</v>
      </c>
      <c r="B445" t="n">
        <v>500472</v>
      </c>
      <c r="C445" t="inlineStr">
        <is>
          <t>SKF India Ltd</t>
        </is>
      </c>
      <c r="D445" t="n">
        <v>2017</v>
      </c>
      <c r="E445" t="n">
        <v>1474.400024414062</v>
      </c>
      <c r="G445" t="inlineStr">
        <is>
          <t>Consolidated first (v4) – needs verification for flagged rows</t>
        </is>
      </c>
      <c r="H445" t="n">
        <v>1962</v>
      </c>
      <c r="I445" t="n">
        <v>1265</v>
      </c>
      <c r="L445" t="inlineStr">
        <is>
          <t>INCOMPLETE</t>
        </is>
      </c>
      <c r="O445" t="n">
        <v>1466.1</v>
      </c>
      <c r="P445" t="n">
        <v>5074</v>
      </c>
      <c r="Q445" t="n">
        <v>1404</v>
      </c>
      <c r="R445" s="2" t="inlineStr">
        <is>
          <t>VERIFIED_OK</t>
        </is>
      </c>
      <c r="S445" t="n">
        <v>1466.1</v>
      </c>
      <c r="T445" t="inlineStr">
        <is>
          <t>30-07-2026 09:42 IST</t>
        </is>
      </c>
    </row>
    <row r="446">
      <c r="A446" t="n">
        <v>473</v>
      </c>
      <c r="B446" t="n">
        <v>500472</v>
      </c>
      <c r="C446" t="inlineStr">
        <is>
          <t>SKF India Ltd</t>
        </is>
      </c>
      <c r="D446" t="n">
        <v>2018</v>
      </c>
      <c r="E446" t="n">
        <v>1474.400024414062</v>
      </c>
      <c r="G446" t="inlineStr">
        <is>
          <t>Consolidated first (v4) – needs verification for flagged rows</t>
        </is>
      </c>
      <c r="H446" t="n">
        <v>2000</v>
      </c>
      <c r="I446" t="n">
        <v>1610</v>
      </c>
      <c r="L446" t="inlineStr">
        <is>
          <t>INCOMPLETE</t>
        </is>
      </c>
      <c r="O446" t="n">
        <v>1466.1</v>
      </c>
      <c r="P446" t="n">
        <v>5074</v>
      </c>
      <c r="Q446" t="n">
        <v>1404</v>
      </c>
      <c r="R446" s="2" t="inlineStr">
        <is>
          <t>VERIFIED_OK</t>
        </is>
      </c>
      <c r="S446" t="n">
        <v>1466.1</v>
      </c>
      <c r="T446" t="inlineStr">
        <is>
          <t>30-07-2026 09:42 IST</t>
        </is>
      </c>
    </row>
    <row r="447">
      <c r="A447" t="n">
        <v>473</v>
      </c>
      <c r="B447" t="n">
        <v>500472</v>
      </c>
      <c r="C447" t="inlineStr">
        <is>
          <t>SKF India Ltd</t>
        </is>
      </c>
      <c r="D447" t="n">
        <v>2019</v>
      </c>
      <c r="E447" t="n">
        <v>1474.400024414062</v>
      </c>
      <c r="G447" t="inlineStr">
        <is>
          <t>Consolidated first (v4) – needs verification for flagged rows</t>
        </is>
      </c>
      <c r="H447" t="n">
        <v>2290.39990234375</v>
      </c>
      <c r="I447" t="n">
        <v>1742.800048828125</v>
      </c>
      <c r="L447" t="inlineStr">
        <is>
          <t>INCOMPLETE</t>
        </is>
      </c>
      <c r="O447" t="n">
        <v>1466.1</v>
      </c>
      <c r="P447" t="n">
        <v>5074</v>
      </c>
      <c r="Q447" t="n">
        <v>1404</v>
      </c>
      <c r="R447" s="2" t="inlineStr">
        <is>
          <t>VERIFIED_OK</t>
        </is>
      </c>
      <c r="S447" t="n">
        <v>1466.1</v>
      </c>
      <c r="T447" t="inlineStr">
        <is>
          <t>30-07-2026 09:42 IST</t>
        </is>
      </c>
    </row>
    <row r="448">
      <c r="A448" t="n">
        <v>473</v>
      </c>
      <c r="B448" t="n">
        <v>500472</v>
      </c>
      <c r="C448" t="inlineStr">
        <is>
          <t>SKF India Ltd</t>
        </is>
      </c>
      <c r="D448" t="n">
        <v>2020</v>
      </c>
      <c r="E448" t="n">
        <v>1474.400024414062</v>
      </c>
      <c r="G448" t="inlineStr">
        <is>
          <t>Consolidated first (v4) – needs verification for flagged rows</t>
        </is>
      </c>
      <c r="H448" t="n">
        <v>2313</v>
      </c>
      <c r="I448" t="n">
        <v>1237.5</v>
      </c>
      <c r="L448" t="inlineStr">
        <is>
          <t>INCOMPLETE</t>
        </is>
      </c>
      <c r="O448" t="n">
        <v>1466.1</v>
      </c>
      <c r="P448" t="n">
        <v>5074</v>
      </c>
      <c r="Q448" t="n">
        <v>1404</v>
      </c>
      <c r="R448" s="2" t="inlineStr">
        <is>
          <t>VERIFIED_OK</t>
        </is>
      </c>
      <c r="S448" t="n">
        <v>1466.1</v>
      </c>
      <c r="T448" t="inlineStr">
        <is>
          <t>30-07-2026 09:42 IST</t>
        </is>
      </c>
    </row>
    <row r="449">
      <c r="A449" t="n">
        <v>473</v>
      </c>
      <c r="B449" t="n">
        <v>500472</v>
      </c>
      <c r="C449" t="inlineStr">
        <is>
          <t>SKF India Ltd</t>
        </is>
      </c>
      <c r="D449" t="n">
        <v>2021</v>
      </c>
      <c r="E449" t="n">
        <v>1474.400024414062</v>
      </c>
      <c r="F449" t="n">
        <v>60.26</v>
      </c>
      <c r="G449" t="inlineStr">
        <is>
          <t>Consolidated first (v4) – needs verification for flagged rows</t>
        </is>
      </c>
      <c r="H449" t="n">
        <v>4245.25</v>
      </c>
      <c r="I449" t="n">
        <v>1712.949951171875</v>
      </c>
      <c r="L449" t="inlineStr">
        <is>
          <t>OK</t>
        </is>
      </c>
      <c r="M449" t="n">
        <v>70.45</v>
      </c>
      <c r="N449" t="n">
        <v>28.43</v>
      </c>
      <c r="O449" t="n">
        <v>1466.1</v>
      </c>
      <c r="P449" t="n">
        <v>5074</v>
      </c>
      <c r="Q449" t="n">
        <v>1404</v>
      </c>
      <c r="R449" s="2" t="inlineStr">
        <is>
          <t>VERIFIED_OK</t>
        </is>
      </c>
      <c r="S449" t="n">
        <v>1466.1</v>
      </c>
      <c r="T449" t="inlineStr">
        <is>
          <t>30-07-2026 09:42 IST</t>
        </is>
      </c>
    </row>
    <row r="450">
      <c r="A450" t="n">
        <v>473</v>
      </c>
      <c r="B450" t="n">
        <v>500472</v>
      </c>
      <c r="C450" t="inlineStr">
        <is>
          <t>SKF India Ltd</t>
        </is>
      </c>
      <c r="D450" t="n">
        <v>2022</v>
      </c>
      <c r="E450" t="n">
        <v>1474.400024414062</v>
      </c>
      <c r="F450" t="n">
        <v>79.95</v>
      </c>
      <c r="G450" t="inlineStr">
        <is>
          <t>Consolidated first (v4) – needs verification for flagged rows</t>
        </is>
      </c>
      <c r="H450" t="n">
        <v>5170.85009765625</v>
      </c>
      <c r="I450" t="n">
        <v>2984.39990234375</v>
      </c>
      <c r="L450" t="inlineStr">
        <is>
          <t>OK</t>
        </is>
      </c>
      <c r="M450" t="n">
        <v>64.68000000000001</v>
      </c>
      <c r="N450" t="n">
        <v>37.33</v>
      </c>
      <c r="O450" t="n">
        <v>1466.1</v>
      </c>
      <c r="P450" t="n">
        <v>5074</v>
      </c>
      <c r="Q450" t="n">
        <v>1404</v>
      </c>
      <c r="R450" s="2" t="inlineStr">
        <is>
          <t>VERIFIED_OK</t>
        </is>
      </c>
      <c r="S450" t="n">
        <v>1466.1</v>
      </c>
      <c r="T450" t="inlineStr">
        <is>
          <t>30-07-2026 09:42 IST</t>
        </is>
      </c>
    </row>
    <row r="451">
      <c r="A451" t="n">
        <v>473</v>
      </c>
      <c r="B451" t="n">
        <v>500472</v>
      </c>
      <c r="C451" t="inlineStr">
        <is>
          <t>SKF India Ltd</t>
        </is>
      </c>
      <c r="D451" t="n">
        <v>2023</v>
      </c>
      <c r="E451" t="n">
        <v>1474.400024414062</v>
      </c>
      <c r="F451" t="n">
        <v>106.25</v>
      </c>
      <c r="G451" t="inlineStr">
        <is>
          <t>Consolidated first (v4) – needs verification for flagged rows</t>
        </is>
      </c>
      <c r="H451" t="n">
        <v>5528.89990234375</v>
      </c>
      <c r="I451" t="n">
        <v>3961</v>
      </c>
      <c r="L451" t="inlineStr">
        <is>
          <t>OK</t>
        </is>
      </c>
      <c r="M451" t="n">
        <v>52.04</v>
      </c>
      <c r="N451" t="n">
        <v>37.28</v>
      </c>
      <c r="O451" t="n">
        <v>1466.1</v>
      </c>
      <c r="P451" t="n">
        <v>5074</v>
      </c>
      <c r="Q451" t="n">
        <v>1404</v>
      </c>
      <c r="R451" s="2" t="inlineStr">
        <is>
          <t>VERIFIED_OK</t>
        </is>
      </c>
      <c r="S451" t="n">
        <v>1466.1</v>
      </c>
      <c r="T451" t="inlineStr">
        <is>
          <t>30-07-2026 09:42 IST</t>
        </is>
      </c>
    </row>
    <row r="452">
      <c r="A452" t="n">
        <v>473</v>
      </c>
      <c r="B452" t="n">
        <v>500472</v>
      </c>
      <c r="C452" t="inlineStr">
        <is>
          <t>SKF India Ltd</t>
        </is>
      </c>
      <c r="D452" t="n">
        <v>2024</v>
      </c>
      <c r="E452" t="n">
        <v>1474.400024414062</v>
      </c>
      <c r="F452" t="n">
        <v>111.7</v>
      </c>
      <c r="G452" t="inlineStr">
        <is>
          <t>Consolidated first (v4) – needs verification for flagged rows</t>
        </is>
      </c>
      <c r="H452" t="n">
        <v>7349</v>
      </c>
      <c r="I452" t="n">
        <v>4025</v>
      </c>
      <c r="L452" t="inlineStr">
        <is>
          <t>OK</t>
        </is>
      </c>
      <c r="M452" t="n">
        <v>65.79000000000001</v>
      </c>
      <c r="N452" t="n">
        <v>36.03</v>
      </c>
      <c r="O452" t="n">
        <v>1466.1</v>
      </c>
      <c r="P452" t="n">
        <v>5074</v>
      </c>
      <c r="Q452" t="n">
        <v>1404</v>
      </c>
      <c r="R452" s="2" t="inlineStr">
        <is>
          <t>VERIFIED_OK</t>
        </is>
      </c>
      <c r="S452" t="n">
        <v>1466.1</v>
      </c>
      <c r="T452" t="inlineStr">
        <is>
          <t>30-07-2026 09:42 IST</t>
        </is>
      </c>
    </row>
    <row r="453">
      <c r="A453" t="n">
        <v>473</v>
      </c>
      <c r="B453" t="n">
        <v>500472</v>
      </c>
      <c r="C453" t="inlineStr">
        <is>
          <t>SKF India Ltd</t>
        </is>
      </c>
      <c r="D453" t="n">
        <v>2025</v>
      </c>
      <c r="E453" t="n">
        <v>1474.400024414062</v>
      </c>
      <c r="F453" t="n">
        <v>114.56</v>
      </c>
      <c r="G453" t="inlineStr">
        <is>
          <t>Consolidated first (v4) – needs verification for flagged rows</t>
        </is>
      </c>
      <c r="H453" t="n">
        <v>5077</v>
      </c>
      <c r="I453" t="n">
        <v>1724.050048828125</v>
      </c>
      <c r="L453" t="inlineStr">
        <is>
          <t>OK</t>
        </is>
      </c>
      <c r="M453" t="n">
        <v>44.32</v>
      </c>
      <c r="N453" t="n">
        <v>15.05</v>
      </c>
      <c r="O453" t="n">
        <v>1466.1</v>
      </c>
      <c r="P453" t="n">
        <v>5074</v>
      </c>
      <c r="Q453" t="n">
        <v>1404</v>
      </c>
      <c r="R453" s="2" t="inlineStr">
        <is>
          <t>VERIFIED_OK</t>
        </is>
      </c>
      <c r="S453" t="n">
        <v>1466.1</v>
      </c>
      <c r="T453" t="inlineStr">
        <is>
          <t>30-07-2026 09:42 IST</t>
        </is>
      </c>
    </row>
    <row r="454">
      <c r="A454" t="n">
        <v>473</v>
      </c>
      <c r="B454" t="n">
        <v>500472</v>
      </c>
      <c r="C454" t="inlineStr">
        <is>
          <t>SKF India Ltd</t>
        </is>
      </c>
      <c r="D454" t="n">
        <v>2026</v>
      </c>
      <c r="E454" t="n">
        <v>1474.400024414062</v>
      </c>
      <c r="F454" t="n">
        <v>53.83</v>
      </c>
      <c r="G454" t="inlineStr">
        <is>
          <t>Consolidated first (v4) – needs verification for flagged rows</t>
        </is>
      </c>
      <c r="H454" t="n">
        <v>1911.650024414062</v>
      </c>
      <c r="I454" t="n">
        <v>1404</v>
      </c>
      <c r="L454" t="inlineStr">
        <is>
          <t>OK</t>
        </is>
      </c>
      <c r="M454" t="n">
        <v>35.51</v>
      </c>
      <c r="N454" t="n">
        <v>26.08</v>
      </c>
      <c r="O454" t="n">
        <v>1466.1</v>
      </c>
      <c r="P454" t="n">
        <v>5074</v>
      </c>
      <c r="Q454" t="n">
        <v>1404</v>
      </c>
      <c r="R454" s="2" t="inlineStr">
        <is>
          <t>VERIFIED_OK</t>
        </is>
      </c>
      <c r="S454" t="n">
        <v>1466.1</v>
      </c>
      <c r="T454" t="inlineStr">
        <is>
          <t>30-07-2026 09:42 IST</t>
        </is>
      </c>
    </row>
    <row r="455">
      <c r="A455" t="n">
        <v>481</v>
      </c>
      <c r="B455" t="n">
        <v>500480</v>
      </c>
      <c r="C455" t="inlineStr">
        <is>
          <t>Cummins India Ltd</t>
        </is>
      </c>
      <c r="D455" t="n">
        <v>2015</v>
      </c>
      <c r="E455" t="n">
        <v>5452.60009765625</v>
      </c>
      <c r="F455" t="n">
        <v>27.85</v>
      </c>
      <c r="G455" t="inlineStr">
        <is>
          <t>Consolidated first (v4) – needs verification for flagged rows</t>
        </is>
      </c>
      <c r="H455" t="n">
        <v>1246.699951171875</v>
      </c>
      <c r="I455" t="n">
        <v>828.7999877929688</v>
      </c>
      <c r="L455" t="inlineStr">
        <is>
          <t>OK</t>
        </is>
      </c>
      <c r="M455" t="n">
        <v>44.76</v>
      </c>
      <c r="N455" t="n">
        <v>29.76</v>
      </c>
      <c r="O455" t="n">
        <v>5360</v>
      </c>
      <c r="P455" t="n">
        <v>5428.9</v>
      </c>
      <c r="Q455" t="n">
        <v>2594.75</v>
      </c>
      <c r="R455" s="2" t="inlineStr">
        <is>
          <t>VERIFIED_OK</t>
        </is>
      </c>
      <c r="S455" t="n">
        <v>5360</v>
      </c>
      <c r="T455" t="inlineStr">
        <is>
          <t>30-07-2026 09:42 IST</t>
        </is>
      </c>
    </row>
    <row r="456">
      <c r="A456" t="n">
        <v>481</v>
      </c>
      <c r="B456" t="n">
        <v>500480</v>
      </c>
      <c r="C456" t="inlineStr">
        <is>
          <t>Cummins India Ltd</t>
        </is>
      </c>
      <c r="D456" t="n">
        <v>2016</v>
      </c>
      <c r="E456" t="n">
        <v>5452.60009765625</v>
      </c>
      <c r="F456" t="n">
        <v>26.02</v>
      </c>
      <c r="G456" t="inlineStr">
        <is>
          <t>Consolidated first (v4) – needs verification for flagged rows</t>
        </is>
      </c>
      <c r="H456" t="n">
        <v>1051</v>
      </c>
      <c r="I456" t="n">
        <v>746.7999877929688</v>
      </c>
      <c r="L456" t="inlineStr">
        <is>
          <t>OK</t>
        </is>
      </c>
      <c r="M456" t="n">
        <v>40.39</v>
      </c>
      <c r="N456" t="n">
        <v>28.7</v>
      </c>
      <c r="O456" t="n">
        <v>5360</v>
      </c>
      <c r="P456" t="n">
        <v>5428.9</v>
      </c>
      <c r="Q456" t="n">
        <v>2594.75</v>
      </c>
      <c r="R456" s="2" t="inlineStr">
        <is>
          <t>VERIFIED_OK</t>
        </is>
      </c>
      <c r="S456" t="n">
        <v>5360</v>
      </c>
      <c r="T456" t="inlineStr">
        <is>
          <t>30-07-2026 09:42 IST</t>
        </is>
      </c>
    </row>
    <row r="457">
      <c r="A457" t="n">
        <v>481</v>
      </c>
      <c r="B457" t="n">
        <v>500480</v>
      </c>
      <c r="C457" t="inlineStr">
        <is>
          <t>Cummins India Ltd</t>
        </is>
      </c>
      <c r="D457" t="n">
        <v>2017</v>
      </c>
      <c r="E457" t="n">
        <v>5452.60009765625</v>
      </c>
      <c r="F457" t="n">
        <v>26.56</v>
      </c>
      <c r="G457" t="inlineStr">
        <is>
          <t>Consolidated first (v4) – needs verification for flagged rows</t>
        </is>
      </c>
      <c r="H457" t="n">
        <v>1096.199951171875</v>
      </c>
      <c r="I457" t="n">
        <v>794.4500122070312</v>
      </c>
      <c r="L457" t="inlineStr">
        <is>
          <t>OK</t>
        </is>
      </c>
      <c r="M457" t="n">
        <v>41.27</v>
      </c>
      <c r="N457" t="n">
        <v>29.91</v>
      </c>
      <c r="O457" t="n">
        <v>5360</v>
      </c>
      <c r="P457" t="n">
        <v>5428.9</v>
      </c>
      <c r="Q457" t="n">
        <v>2594.75</v>
      </c>
      <c r="R457" s="2" t="inlineStr">
        <is>
          <t>VERIFIED_OK</t>
        </is>
      </c>
      <c r="S457" t="n">
        <v>5360</v>
      </c>
      <c r="T457" t="inlineStr">
        <is>
          <t>30-07-2026 09:42 IST</t>
        </is>
      </c>
    </row>
    <row r="458">
      <c r="A458" t="n">
        <v>481</v>
      </c>
      <c r="B458" t="n">
        <v>500480</v>
      </c>
      <c r="C458" t="inlineStr">
        <is>
          <t>Cummins India Ltd</t>
        </is>
      </c>
      <c r="D458" t="n">
        <v>2018</v>
      </c>
      <c r="E458" t="n">
        <v>5452.60009765625</v>
      </c>
      <c r="F458" t="n">
        <v>25.68</v>
      </c>
      <c r="G458" t="inlineStr">
        <is>
          <t>Consolidated first (v4) – needs verification for flagged rows</t>
        </is>
      </c>
      <c r="H458" t="n">
        <v>993.4500122070312</v>
      </c>
      <c r="I458" t="n">
        <v>611.75</v>
      </c>
      <c r="L458" t="inlineStr">
        <is>
          <t>OK</t>
        </is>
      </c>
      <c r="M458" t="n">
        <v>38.69</v>
      </c>
      <c r="N458" t="n">
        <v>23.82</v>
      </c>
      <c r="O458" t="n">
        <v>5360</v>
      </c>
      <c r="P458" t="n">
        <v>5428.9</v>
      </c>
      <c r="Q458" t="n">
        <v>2594.75</v>
      </c>
      <c r="R458" s="2" t="inlineStr">
        <is>
          <t>VERIFIED_OK</t>
        </is>
      </c>
      <c r="S458" t="n">
        <v>5360</v>
      </c>
      <c r="T458" t="inlineStr">
        <is>
          <t>30-07-2026 09:42 IST</t>
        </is>
      </c>
    </row>
    <row r="459">
      <c r="A459" t="n">
        <v>481</v>
      </c>
      <c r="B459" t="n">
        <v>500480</v>
      </c>
      <c r="C459" t="inlineStr">
        <is>
          <t>Cummins India Ltd</t>
        </is>
      </c>
      <c r="D459" t="n">
        <v>2019</v>
      </c>
      <c r="E459" t="n">
        <v>5452.60009765625</v>
      </c>
      <c r="F459" t="n">
        <v>26.79</v>
      </c>
      <c r="G459" t="inlineStr">
        <is>
          <t>Consolidated first (v4) – needs verification for flagged rows</t>
        </is>
      </c>
      <c r="H459" t="n">
        <v>885</v>
      </c>
      <c r="I459" t="n">
        <v>498.0499877929688</v>
      </c>
      <c r="L459" t="inlineStr">
        <is>
          <t>OK</t>
        </is>
      </c>
      <c r="M459" t="n">
        <v>33.03</v>
      </c>
      <c r="N459" t="n">
        <v>18.59</v>
      </c>
      <c r="O459" t="n">
        <v>5360</v>
      </c>
      <c r="P459" t="n">
        <v>5428.9</v>
      </c>
      <c r="Q459" t="n">
        <v>2594.75</v>
      </c>
      <c r="R459" s="2" t="inlineStr">
        <is>
          <t>VERIFIED_OK</t>
        </is>
      </c>
      <c r="S459" t="n">
        <v>5360</v>
      </c>
      <c r="T459" t="inlineStr">
        <is>
          <t>30-07-2026 09:42 IST</t>
        </is>
      </c>
    </row>
    <row r="460">
      <c r="A460" t="n">
        <v>481</v>
      </c>
      <c r="B460" t="n">
        <v>500480</v>
      </c>
      <c r="C460" t="inlineStr">
        <is>
          <t>Cummins India Ltd</t>
        </is>
      </c>
      <c r="D460" t="n">
        <v>2020</v>
      </c>
      <c r="E460" t="n">
        <v>5452.60009765625</v>
      </c>
      <c r="F460" t="n">
        <v>25.45</v>
      </c>
      <c r="G460" t="inlineStr">
        <is>
          <t>Consolidated first (v4) – needs verification for flagged rows</t>
        </is>
      </c>
      <c r="H460" t="n">
        <v>652.7999877929688</v>
      </c>
      <c r="I460" t="n">
        <v>281.6000061035156</v>
      </c>
      <c r="L460" t="inlineStr">
        <is>
          <t>OK</t>
        </is>
      </c>
      <c r="M460" t="n">
        <v>25.65</v>
      </c>
      <c r="N460" t="n">
        <v>11.06</v>
      </c>
      <c r="O460" t="n">
        <v>5360</v>
      </c>
      <c r="P460" t="n">
        <v>5428.9</v>
      </c>
      <c r="Q460" t="n">
        <v>2594.75</v>
      </c>
      <c r="R460" s="2" t="inlineStr">
        <is>
          <t>VERIFIED_OK</t>
        </is>
      </c>
      <c r="S460" t="n">
        <v>5360</v>
      </c>
      <c r="T460" t="inlineStr">
        <is>
          <t>30-07-2026 09:42 IST</t>
        </is>
      </c>
    </row>
    <row r="461">
      <c r="A461" t="n">
        <v>481</v>
      </c>
      <c r="B461" t="n">
        <v>500480</v>
      </c>
      <c r="C461" t="inlineStr">
        <is>
          <t>Cummins India Ltd</t>
        </is>
      </c>
      <c r="D461" t="n">
        <v>2021</v>
      </c>
      <c r="E461" t="n">
        <v>5452.60009765625</v>
      </c>
      <c r="F461" t="n">
        <v>22.91</v>
      </c>
      <c r="G461" t="inlineStr">
        <is>
          <t>Consolidated first (v4) – needs verification for flagged rows</t>
        </is>
      </c>
      <c r="H461" t="n">
        <v>1065</v>
      </c>
      <c r="I461" t="n">
        <v>582.0999755859375</v>
      </c>
      <c r="L461" t="inlineStr">
        <is>
          <t>OK</t>
        </is>
      </c>
      <c r="M461" t="n">
        <v>46.49</v>
      </c>
      <c r="N461" t="n">
        <v>25.41</v>
      </c>
      <c r="O461" t="n">
        <v>5360</v>
      </c>
      <c r="P461" t="n">
        <v>5428.9</v>
      </c>
      <c r="Q461" t="n">
        <v>2594.75</v>
      </c>
      <c r="R461" s="2" t="inlineStr">
        <is>
          <t>VERIFIED_OK</t>
        </is>
      </c>
      <c r="S461" t="n">
        <v>5360</v>
      </c>
      <c r="T461" t="inlineStr">
        <is>
          <t>30-07-2026 09:42 IST</t>
        </is>
      </c>
    </row>
    <row r="462">
      <c r="A462" t="n">
        <v>481</v>
      </c>
      <c r="B462" t="n">
        <v>500480</v>
      </c>
      <c r="C462" t="inlineStr">
        <is>
          <t>Cummins India Ltd</t>
        </is>
      </c>
      <c r="D462" t="n">
        <v>2022</v>
      </c>
      <c r="E462" t="n">
        <v>5452.60009765625</v>
      </c>
      <c r="F462" t="n">
        <v>33.68</v>
      </c>
      <c r="G462" t="inlineStr">
        <is>
          <t>Consolidated first (v4) – needs verification for flagged rows</t>
        </is>
      </c>
      <c r="H462" t="n">
        <v>1551.050048828125</v>
      </c>
      <c r="I462" t="n">
        <v>877.7999877929688</v>
      </c>
      <c r="L462" t="inlineStr">
        <is>
          <t>OK</t>
        </is>
      </c>
      <c r="M462" t="n">
        <v>46.05</v>
      </c>
      <c r="N462" t="n">
        <v>26.06</v>
      </c>
      <c r="O462" t="n">
        <v>5360</v>
      </c>
      <c r="P462" t="n">
        <v>5428.9</v>
      </c>
      <c r="Q462" t="n">
        <v>2594.75</v>
      </c>
      <c r="R462" s="2" t="inlineStr">
        <is>
          <t>VERIFIED_OK</t>
        </is>
      </c>
      <c r="S462" t="n">
        <v>5360</v>
      </c>
      <c r="T462" t="inlineStr">
        <is>
          <t>30-07-2026 09:42 IST</t>
        </is>
      </c>
    </row>
    <row r="463">
      <c r="A463" t="n">
        <v>481</v>
      </c>
      <c r="B463" t="n">
        <v>500480</v>
      </c>
      <c r="C463" t="inlineStr">
        <is>
          <t>Cummins India Ltd</t>
        </is>
      </c>
      <c r="D463" t="n">
        <v>2023</v>
      </c>
      <c r="E463" t="n">
        <v>5452.60009765625</v>
      </c>
      <c r="F463" t="n">
        <v>44.31</v>
      </c>
      <c r="G463" t="inlineStr">
        <is>
          <t>Consolidated first (v4) – needs verification for flagged rows</t>
        </is>
      </c>
      <c r="H463" t="n">
        <v>2045.449951171875</v>
      </c>
      <c r="I463" t="n">
        <v>1356.050048828125</v>
      </c>
      <c r="L463" t="inlineStr">
        <is>
          <t>OK</t>
        </is>
      </c>
      <c r="M463" t="n">
        <v>46.16</v>
      </c>
      <c r="N463" t="n">
        <v>30.6</v>
      </c>
      <c r="O463" t="n">
        <v>5360</v>
      </c>
      <c r="P463" t="n">
        <v>5428.9</v>
      </c>
      <c r="Q463" t="n">
        <v>2594.75</v>
      </c>
      <c r="R463" s="2" t="inlineStr">
        <is>
          <t>VERIFIED_OK</t>
        </is>
      </c>
      <c r="S463" t="n">
        <v>5360</v>
      </c>
      <c r="T463" t="inlineStr">
        <is>
          <t>30-07-2026 09:42 IST</t>
        </is>
      </c>
    </row>
    <row r="464">
      <c r="A464" t="n">
        <v>481</v>
      </c>
      <c r="B464" t="n">
        <v>500480</v>
      </c>
      <c r="C464" t="inlineStr">
        <is>
          <t>Cummins India Ltd</t>
        </is>
      </c>
      <c r="D464" t="n">
        <v>2024</v>
      </c>
      <c r="E464" t="n">
        <v>5452.60009765625</v>
      </c>
      <c r="F464" t="n">
        <v>62.07</v>
      </c>
      <c r="G464" t="inlineStr">
        <is>
          <t>Consolidated first (v4) – needs verification for flagged rows</t>
        </is>
      </c>
      <c r="H464" t="n">
        <v>4169.5</v>
      </c>
      <c r="I464" t="n">
        <v>1928.699951171875</v>
      </c>
      <c r="L464" t="inlineStr">
        <is>
          <t>OK</t>
        </is>
      </c>
      <c r="M464" t="n">
        <v>67.17</v>
      </c>
      <c r="N464" t="n">
        <v>31.07</v>
      </c>
      <c r="O464" t="n">
        <v>5360</v>
      </c>
      <c r="P464" t="n">
        <v>5428.9</v>
      </c>
      <c r="Q464" t="n">
        <v>2594.75</v>
      </c>
      <c r="R464" s="2" t="inlineStr">
        <is>
          <t>VERIFIED_OK</t>
        </is>
      </c>
      <c r="S464" t="n">
        <v>5360</v>
      </c>
      <c r="T464" t="inlineStr">
        <is>
          <t>30-07-2026 09:42 IST</t>
        </is>
      </c>
    </row>
    <row r="465">
      <c r="A465" t="n">
        <v>481</v>
      </c>
      <c r="B465" t="n">
        <v>500480</v>
      </c>
      <c r="C465" t="inlineStr">
        <is>
          <t>Cummins India Ltd</t>
        </is>
      </c>
      <c r="D465" t="n">
        <v>2025</v>
      </c>
      <c r="E465" t="n">
        <v>5452.60009765625</v>
      </c>
      <c r="F465" t="n">
        <v>72.15000000000001</v>
      </c>
      <c r="G465" t="inlineStr">
        <is>
          <t>Consolidated first (v4) – needs verification for flagged rows</t>
        </is>
      </c>
      <c r="H465" t="n">
        <v>4614.75</v>
      </c>
      <c r="I465" t="n">
        <v>2594.75</v>
      </c>
      <c r="L465" t="inlineStr">
        <is>
          <t>OK</t>
        </is>
      </c>
      <c r="M465" t="n">
        <v>63.96</v>
      </c>
      <c r="N465" t="n">
        <v>35.96</v>
      </c>
      <c r="O465" t="n">
        <v>5360</v>
      </c>
      <c r="P465" t="n">
        <v>5428.9</v>
      </c>
      <c r="Q465" t="n">
        <v>2594.75</v>
      </c>
      <c r="R465" s="2" t="inlineStr">
        <is>
          <t>VERIFIED_OK</t>
        </is>
      </c>
      <c r="S465" t="n">
        <v>5360</v>
      </c>
      <c r="T465" t="inlineStr">
        <is>
          <t>30-07-2026 09:42 IST</t>
        </is>
      </c>
    </row>
    <row r="466">
      <c r="A466" t="n">
        <v>481</v>
      </c>
      <c r="B466" t="n">
        <v>500480</v>
      </c>
      <c r="C466" t="inlineStr">
        <is>
          <t>Cummins India Ltd</t>
        </is>
      </c>
      <c r="D466" t="n">
        <v>2026</v>
      </c>
      <c r="E466" t="n">
        <v>5452.60009765625</v>
      </c>
      <c r="F466" t="n">
        <v>85.2</v>
      </c>
      <c r="G466" t="inlineStr">
        <is>
          <t>Consolidated first (v4) – needs verification for flagged rows</t>
        </is>
      </c>
      <c r="H466" t="n">
        <v>6142.7998046875</v>
      </c>
      <c r="I466" t="n">
        <v>3883.300048828125</v>
      </c>
      <c r="L466" t="inlineStr">
        <is>
          <t>OK</t>
        </is>
      </c>
      <c r="M466" t="n">
        <v>72.09999999999999</v>
      </c>
      <c r="N466" t="n">
        <v>45.58</v>
      </c>
      <c r="O466" t="n">
        <v>5360</v>
      </c>
      <c r="P466" t="n">
        <v>5428.9</v>
      </c>
      <c r="Q466" t="n">
        <v>2594.75</v>
      </c>
      <c r="R466" s="2" t="inlineStr">
        <is>
          <t>VERIFIED_OK</t>
        </is>
      </c>
      <c r="S466" t="n">
        <v>5360</v>
      </c>
      <c r="T466" t="inlineStr">
        <is>
          <t>30-07-2026 09:42 IST</t>
        </is>
      </c>
    </row>
    <row r="467">
      <c r="A467" t="n">
        <v>489</v>
      </c>
      <c r="B467" t="n">
        <v>500488</v>
      </c>
      <c r="C467" t="inlineStr">
        <is>
          <t>Abbott India Ltd</t>
        </is>
      </c>
      <c r="D467" t="n">
        <v>2015</v>
      </c>
      <c r="F467" t="n">
        <v>107.75</v>
      </c>
      <c r="G467" t="inlineStr">
        <is>
          <t>Consolidated first (v4) – needs verification for flagged rows</t>
        </is>
      </c>
      <c r="H467" t="n">
        <v>6152.9501953125</v>
      </c>
      <c r="I467" t="n">
        <v>3700.14990234375</v>
      </c>
      <c r="L467" t="inlineStr">
        <is>
          <t>OK</t>
        </is>
      </c>
      <c r="M467" t="n">
        <v>57.1</v>
      </c>
      <c r="N467" t="n">
        <v>34.34</v>
      </c>
      <c r="O467" t="n">
        <v>27775</v>
      </c>
      <c r="P467" t="n">
        <v>35310</v>
      </c>
      <c r="Q467" t="n">
        <v>25150</v>
      </c>
      <c r="R467" s="3" t="inlineStr">
        <is>
          <t>MISMATCH_NEEDS_CORRECTION</t>
        </is>
      </c>
      <c r="S467" t="n">
        <v>27775</v>
      </c>
      <c r="T467" t="inlineStr">
        <is>
          <t>30-07-2026 09:42 IST</t>
        </is>
      </c>
    </row>
    <row r="468">
      <c r="A468" t="n">
        <v>489</v>
      </c>
      <c r="B468" t="n">
        <v>500488</v>
      </c>
      <c r="C468" t="inlineStr">
        <is>
          <t>Abbott India Ltd</t>
        </is>
      </c>
      <c r="D468" t="n">
        <v>2016</v>
      </c>
      <c r="F468" t="n">
        <v>120.12</v>
      </c>
      <c r="G468" t="inlineStr">
        <is>
          <t>Consolidated first (v4) – needs verification for flagged rows</t>
        </is>
      </c>
      <c r="H468" t="n">
        <v>6000</v>
      </c>
      <c r="I468" t="n">
        <v>4360</v>
      </c>
      <c r="L468" t="inlineStr">
        <is>
          <t>OK</t>
        </is>
      </c>
      <c r="M468" t="n">
        <v>49.95</v>
      </c>
      <c r="N468" t="n">
        <v>36.3</v>
      </c>
      <c r="O468" t="n">
        <v>27775</v>
      </c>
      <c r="P468" t="n">
        <v>35310</v>
      </c>
      <c r="Q468" t="n">
        <v>25150</v>
      </c>
      <c r="R468" s="3" t="inlineStr">
        <is>
          <t>MISMATCH_NEEDS_CORRECTION</t>
        </is>
      </c>
      <c r="S468" t="n">
        <v>27775</v>
      </c>
      <c r="T468" t="inlineStr">
        <is>
          <t>30-07-2026 09:42 IST</t>
        </is>
      </c>
    </row>
    <row r="469">
      <c r="A469" t="n">
        <v>489</v>
      </c>
      <c r="B469" t="n">
        <v>500488</v>
      </c>
      <c r="C469" t="inlineStr">
        <is>
          <t>Abbott India Ltd</t>
        </is>
      </c>
      <c r="D469" t="n">
        <v>2017</v>
      </c>
      <c r="F469" t="n">
        <v>130.19</v>
      </c>
      <c r="G469" t="inlineStr">
        <is>
          <t>Consolidated first (v4) – needs verification for flagged rows</t>
        </is>
      </c>
      <c r="H469" t="n">
        <v>5707.2001953125</v>
      </c>
      <c r="I469" t="n">
        <v>4007.10009765625</v>
      </c>
      <c r="L469" t="inlineStr">
        <is>
          <t>OK</t>
        </is>
      </c>
      <c r="M469" t="n">
        <v>43.84</v>
      </c>
      <c r="N469" t="n">
        <v>30.78</v>
      </c>
      <c r="O469" t="n">
        <v>27775</v>
      </c>
      <c r="P469" t="n">
        <v>35310</v>
      </c>
      <c r="Q469" t="n">
        <v>25150</v>
      </c>
      <c r="R469" s="3" t="inlineStr">
        <is>
          <t>MISMATCH_NEEDS_CORRECTION</t>
        </is>
      </c>
      <c r="S469" t="n">
        <v>27775</v>
      </c>
      <c r="T469" t="inlineStr">
        <is>
          <t>30-07-2026 09:42 IST</t>
        </is>
      </c>
    </row>
    <row r="470">
      <c r="A470" t="n">
        <v>489</v>
      </c>
      <c r="B470" t="n">
        <v>500488</v>
      </c>
      <c r="C470" t="inlineStr">
        <is>
          <t>Abbott India Ltd</t>
        </is>
      </c>
      <c r="D470" t="n">
        <v>2018</v>
      </c>
      <c r="F470" t="n">
        <v>188.82</v>
      </c>
      <c r="G470" t="inlineStr">
        <is>
          <t>Consolidated first (v4) – needs verification for flagged rows</t>
        </is>
      </c>
      <c r="H470" t="n">
        <v>8834.0498046875</v>
      </c>
      <c r="I470" t="n">
        <v>5210</v>
      </c>
      <c r="L470" t="inlineStr">
        <is>
          <t>OK</t>
        </is>
      </c>
      <c r="M470" t="n">
        <v>46.79</v>
      </c>
      <c r="N470" t="n">
        <v>27.59</v>
      </c>
      <c r="O470" t="n">
        <v>27775</v>
      </c>
      <c r="P470" t="n">
        <v>35310</v>
      </c>
      <c r="Q470" t="n">
        <v>25150</v>
      </c>
      <c r="R470" s="3" t="inlineStr">
        <is>
          <t>MISMATCH_NEEDS_CORRECTION</t>
        </is>
      </c>
      <c r="S470" t="n">
        <v>27775</v>
      </c>
      <c r="T470" t="inlineStr">
        <is>
          <t>30-07-2026 09:42 IST</t>
        </is>
      </c>
    </row>
    <row r="471">
      <c r="A471" t="n">
        <v>489</v>
      </c>
      <c r="B471" t="n">
        <v>500488</v>
      </c>
      <c r="C471" t="inlineStr">
        <is>
          <t>Abbott India Ltd</t>
        </is>
      </c>
      <c r="D471" t="n">
        <v>2019</v>
      </c>
      <c r="F471" t="n">
        <v>211.93</v>
      </c>
      <c r="G471" t="inlineStr">
        <is>
          <t>Consolidated first (v4) – needs verification for flagged rows</t>
        </is>
      </c>
      <c r="H471" t="n">
        <v>13450.0498046875</v>
      </c>
      <c r="I471" t="n">
        <v>7150</v>
      </c>
      <c r="L471" t="inlineStr">
        <is>
          <t>OK</t>
        </is>
      </c>
      <c r="M471" t="n">
        <v>63.46</v>
      </c>
      <c r="N471" t="n">
        <v>33.74</v>
      </c>
      <c r="O471" t="n">
        <v>27775</v>
      </c>
      <c r="P471" t="n">
        <v>35310</v>
      </c>
      <c r="Q471" t="n">
        <v>25150</v>
      </c>
      <c r="R471" s="3" t="inlineStr">
        <is>
          <t>MISMATCH_NEEDS_CORRECTION</t>
        </is>
      </c>
      <c r="S471" t="n">
        <v>27775</v>
      </c>
      <c r="T471" t="inlineStr">
        <is>
          <t>30-07-2026 09:42 IST</t>
        </is>
      </c>
    </row>
    <row r="472">
      <c r="A472" t="n">
        <v>489</v>
      </c>
      <c r="B472" t="n">
        <v>500488</v>
      </c>
      <c r="C472" t="inlineStr">
        <is>
          <t>Abbott India Ltd</t>
        </is>
      </c>
      <c r="D472" t="n">
        <v>2020</v>
      </c>
      <c r="F472" t="n">
        <v>279.04</v>
      </c>
      <c r="G472" t="inlineStr">
        <is>
          <t>Consolidated first (v4) – needs verification for flagged rows</t>
        </is>
      </c>
      <c r="H472" t="n">
        <v>18569</v>
      </c>
      <c r="I472" t="n">
        <v>12223.349609375</v>
      </c>
      <c r="L472" t="inlineStr">
        <is>
          <t>OK</t>
        </is>
      </c>
      <c r="M472" t="n">
        <v>66.55</v>
      </c>
      <c r="N472" t="n">
        <v>43.81</v>
      </c>
      <c r="O472" t="n">
        <v>27775</v>
      </c>
      <c r="P472" t="n">
        <v>35310</v>
      </c>
      <c r="Q472" t="n">
        <v>25150</v>
      </c>
      <c r="R472" s="3" t="inlineStr">
        <is>
          <t>MISMATCH_NEEDS_CORRECTION</t>
        </is>
      </c>
      <c r="S472" t="n">
        <v>27775</v>
      </c>
      <c r="T472" t="inlineStr">
        <is>
          <t>30-07-2026 09:42 IST</t>
        </is>
      </c>
    </row>
    <row r="473">
      <c r="A473" t="n">
        <v>489</v>
      </c>
      <c r="B473" t="n">
        <v>500488</v>
      </c>
      <c r="C473" t="inlineStr">
        <is>
          <t>Abbott India Ltd</t>
        </is>
      </c>
      <c r="D473" t="n">
        <v>2021</v>
      </c>
      <c r="F473" t="n">
        <v>325.04</v>
      </c>
      <c r="G473" t="inlineStr">
        <is>
          <t>Consolidated first (v4) – needs verification for flagged rows</t>
        </is>
      </c>
      <c r="H473" t="n">
        <v>23902.30078125</v>
      </c>
      <c r="I473" t="n">
        <v>13970.099609375</v>
      </c>
      <c r="L473" t="inlineStr">
        <is>
          <t>OK</t>
        </is>
      </c>
      <c r="M473" t="n">
        <v>73.54000000000001</v>
      </c>
      <c r="N473" t="n">
        <v>42.98</v>
      </c>
      <c r="O473" t="n">
        <v>27775</v>
      </c>
      <c r="P473" t="n">
        <v>35310</v>
      </c>
      <c r="Q473" t="n">
        <v>25150</v>
      </c>
      <c r="R473" s="3" t="inlineStr">
        <is>
          <t>MISMATCH_NEEDS_CORRECTION</t>
        </is>
      </c>
      <c r="S473" t="n">
        <v>27775</v>
      </c>
      <c r="T473" t="inlineStr">
        <is>
          <t>30-07-2026 09:42 IST</t>
        </is>
      </c>
    </row>
    <row r="474">
      <c r="A474" t="n">
        <v>489</v>
      </c>
      <c r="B474" t="n">
        <v>500488</v>
      </c>
      <c r="C474" t="inlineStr">
        <is>
          <t>Abbott India Ltd</t>
        </is>
      </c>
      <c r="D474" t="n">
        <v>2022</v>
      </c>
      <c r="F474" t="n">
        <v>375.87</v>
      </c>
      <c r="G474" t="inlineStr">
        <is>
          <t>Consolidated first (v4) – needs verification for flagged rows</t>
        </is>
      </c>
      <c r="H474" t="n">
        <v>22170</v>
      </c>
      <c r="I474" t="n">
        <v>15525</v>
      </c>
      <c r="L474" t="inlineStr">
        <is>
          <t>OK</t>
        </is>
      </c>
      <c r="M474" t="n">
        <v>58.98</v>
      </c>
      <c r="N474" t="n">
        <v>41.3</v>
      </c>
      <c r="O474" t="n">
        <v>27775</v>
      </c>
      <c r="P474" t="n">
        <v>35310</v>
      </c>
      <c r="Q474" t="n">
        <v>25150</v>
      </c>
      <c r="R474" s="3" t="inlineStr">
        <is>
          <t>MISMATCH_NEEDS_CORRECTION</t>
        </is>
      </c>
      <c r="S474" t="n">
        <v>27775</v>
      </c>
      <c r="T474" t="inlineStr">
        <is>
          <t>30-07-2026 09:42 IST</t>
        </is>
      </c>
    </row>
    <row r="475">
      <c r="A475" t="n">
        <v>489</v>
      </c>
      <c r="B475" t="n">
        <v>500488</v>
      </c>
      <c r="C475" t="inlineStr">
        <is>
          <t>Abbott India Ltd</t>
        </is>
      </c>
      <c r="D475" t="n">
        <v>2023</v>
      </c>
      <c r="F475" t="n">
        <v>446.8</v>
      </c>
      <c r="G475" t="inlineStr">
        <is>
          <t>Consolidated first (v4) – needs verification for flagged rows</t>
        </is>
      </c>
      <c r="H475" t="n">
        <v>24724.94921875</v>
      </c>
      <c r="I475" t="n">
        <v>19900</v>
      </c>
      <c r="L475" t="inlineStr">
        <is>
          <t>OK</t>
        </is>
      </c>
      <c r="M475" t="n">
        <v>55.34</v>
      </c>
      <c r="N475" t="n">
        <v>44.54</v>
      </c>
      <c r="O475" t="n">
        <v>27775</v>
      </c>
      <c r="P475" t="n">
        <v>35310</v>
      </c>
      <c r="Q475" t="n">
        <v>25150</v>
      </c>
      <c r="R475" s="3" t="inlineStr">
        <is>
          <t>MISMATCH_NEEDS_CORRECTION</t>
        </is>
      </c>
      <c r="S475" t="n">
        <v>27775</v>
      </c>
      <c r="T475" t="inlineStr">
        <is>
          <t>30-07-2026 09:42 IST</t>
        </is>
      </c>
    </row>
    <row r="476">
      <c r="A476" t="n">
        <v>489</v>
      </c>
      <c r="B476" t="n">
        <v>500488</v>
      </c>
      <c r="C476" t="inlineStr">
        <is>
          <t>Abbott India Ltd</t>
        </is>
      </c>
      <c r="D476" t="n">
        <v>2024</v>
      </c>
      <c r="F476" t="n">
        <v>565.3</v>
      </c>
      <c r="G476" t="inlineStr">
        <is>
          <t>Consolidated first (v4) – needs verification for flagged rows</t>
        </is>
      </c>
      <c r="H476" t="n">
        <v>30499.900390625</v>
      </c>
      <c r="I476" t="n">
        <v>22750.5</v>
      </c>
      <c r="L476" t="inlineStr">
        <is>
          <t>OK</t>
        </is>
      </c>
      <c r="M476" t="n">
        <v>53.95</v>
      </c>
      <c r="N476" t="n">
        <v>40.25</v>
      </c>
      <c r="O476" t="n">
        <v>27775</v>
      </c>
      <c r="P476" t="n">
        <v>35310</v>
      </c>
      <c r="Q476" t="n">
        <v>25150</v>
      </c>
      <c r="R476" s="3" t="inlineStr">
        <is>
          <t>MISMATCH_NEEDS_CORRECTION</t>
        </is>
      </c>
      <c r="S476" t="n">
        <v>27775</v>
      </c>
      <c r="T476" t="inlineStr">
        <is>
          <t>30-07-2026 09:42 IST</t>
        </is>
      </c>
    </row>
    <row r="477">
      <c r="A477" t="n">
        <v>489</v>
      </c>
      <c r="B477" t="n">
        <v>500488</v>
      </c>
      <c r="C477" t="inlineStr">
        <is>
          <t>Abbott India Ltd</t>
        </is>
      </c>
      <c r="D477" t="n">
        <v>2025</v>
      </c>
      <c r="F477" t="n">
        <v>665.64</v>
      </c>
      <c r="G477" t="inlineStr">
        <is>
          <t>Consolidated first (v4) – needs verification for flagged rows</t>
        </is>
      </c>
      <c r="H477" t="n">
        <v>35921.55078125</v>
      </c>
      <c r="I477" t="n">
        <v>25260.19921875</v>
      </c>
      <c r="L477" t="inlineStr">
        <is>
          <t>OK</t>
        </is>
      </c>
      <c r="M477" t="n">
        <v>53.97</v>
      </c>
      <c r="N477" t="n">
        <v>37.95</v>
      </c>
      <c r="O477" t="n">
        <v>27775</v>
      </c>
      <c r="P477" t="n">
        <v>35310</v>
      </c>
      <c r="Q477" t="n">
        <v>25150</v>
      </c>
      <c r="R477" s="3" t="inlineStr">
        <is>
          <t>MISMATCH_NEEDS_CORRECTION</t>
        </is>
      </c>
      <c r="S477" t="n">
        <v>27775</v>
      </c>
      <c r="T477" t="inlineStr">
        <is>
          <t>30-07-2026 09:42 IST</t>
        </is>
      </c>
    </row>
    <row r="478">
      <c r="A478" t="n">
        <v>489</v>
      </c>
      <c r="B478" t="n">
        <v>500488</v>
      </c>
      <c r="C478" t="inlineStr">
        <is>
          <t>Abbott India Ltd</t>
        </is>
      </c>
      <c r="D478" t="n">
        <v>2026</v>
      </c>
      <c r="F478" t="n">
        <v>730.39</v>
      </c>
      <c r="G478" t="inlineStr">
        <is>
          <t>Consolidated first (v4) – needs verification for flagged rows</t>
        </is>
      </c>
      <c r="H478" t="n">
        <v>28600</v>
      </c>
      <c r="I478" t="n">
        <v>25164</v>
      </c>
      <c r="L478" t="inlineStr">
        <is>
          <t>OK</t>
        </is>
      </c>
      <c r="M478" t="n">
        <v>39.16</v>
      </c>
      <c r="N478" t="n">
        <v>34.45</v>
      </c>
      <c r="O478" t="n">
        <v>27775</v>
      </c>
      <c r="P478" t="n">
        <v>35310</v>
      </c>
      <c r="Q478" t="n">
        <v>25150</v>
      </c>
      <c r="R478" s="3" t="inlineStr">
        <is>
          <t>MISMATCH_NEEDS_CORRECTION</t>
        </is>
      </c>
      <c r="S478" t="n">
        <v>27775</v>
      </c>
      <c r="T478" t="inlineStr">
        <is>
          <t>30-07-2026 09:42 IST</t>
        </is>
      </c>
    </row>
    <row r="479">
      <c r="A479" t="n">
        <v>63</v>
      </c>
      <c r="B479" t="n">
        <v>500490</v>
      </c>
      <c r="C479" t="inlineStr">
        <is>
          <t>Bajaj Holdings &amp; Investment Ltd</t>
        </is>
      </c>
      <c r="D479" t="n">
        <v>2015</v>
      </c>
      <c r="E479" t="n">
        <v>10392.2001953125</v>
      </c>
      <c r="F479" t="n">
        <v>182.33</v>
      </c>
      <c r="G479" t="inlineStr">
        <is>
          <t>Consolidated first (v4) – needs verification for flagged rows</t>
        </is>
      </c>
      <c r="H479" t="n">
        <v>1745</v>
      </c>
      <c r="I479" t="n">
        <v>1242.849975585938</v>
      </c>
      <c r="L479" t="inlineStr">
        <is>
          <t>OK</t>
        </is>
      </c>
      <c r="M479" t="n">
        <v>9.57</v>
      </c>
      <c r="N479" t="n">
        <v>6.82</v>
      </c>
      <c r="O479" t="n">
        <v>10973</v>
      </c>
      <c r="P479" t="n">
        <v>14763</v>
      </c>
      <c r="Q479" t="n">
        <v>8588</v>
      </c>
      <c r="R479" s="3" t="inlineStr">
        <is>
          <t>MISMATCH_NEEDS_CORRECTION</t>
        </is>
      </c>
      <c r="S479" t="n">
        <v>10973</v>
      </c>
      <c r="T479" t="inlineStr">
        <is>
          <t>30-07-2026 09:42 IST</t>
        </is>
      </c>
    </row>
    <row r="480">
      <c r="A480" t="n">
        <v>63</v>
      </c>
      <c r="B480" t="n">
        <v>500490</v>
      </c>
      <c r="C480" t="inlineStr">
        <is>
          <t>Bajaj Holdings &amp; Investment Ltd</t>
        </is>
      </c>
      <c r="D480" t="n">
        <v>2016</v>
      </c>
      <c r="E480" t="n">
        <v>10392.2001953125</v>
      </c>
      <c r="F480" t="n">
        <v>203.54</v>
      </c>
      <c r="G480" t="inlineStr">
        <is>
          <t>Consolidated first (v4) – needs verification for flagged rows</t>
        </is>
      </c>
      <c r="H480" t="n">
        <v>2235</v>
      </c>
      <c r="I480" t="n">
        <v>1310.849975585938</v>
      </c>
      <c r="L480" t="inlineStr">
        <is>
          <t>OK</t>
        </is>
      </c>
      <c r="M480" t="n">
        <v>10.98</v>
      </c>
      <c r="N480" t="n">
        <v>6.44</v>
      </c>
      <c r="O480" t="n">
        <v>10973</v>
      </c>
      <c r="P480" t="n">
        <v>14763</v>
      </c>
      <c r="Q480" t="n">
        <v>8588</v>
      </c>
      <c r="R480" s="3" t="inlineStr">
        <is>
          <t>MISMATCH_NEEDS_CORRECTION</t>
        </is>
      </c>
      <c r="S480" t="n">
        <v>10973</v>
      </c>
      <c r="T480" t="inlineStr">
        <is>
          <t>30-07-2026 09:42 IST</t>
        </is>
      </c>
    </row>
    <row r="481">
      <c r="A481" t="n">
        <v>63</v>
      </c>
      <c r="B481" t="n">
        <v>500490</v>
      </c>
      <c r="C481" t="inlineStr">
        <is>
          <t>Bajaj Holdings &amp; Investment Ltd</t>
        </is>
      </c>
      <c r="D481" t="n">
        <v>2017</v>
      </c>
      <c r="E481" t="n">
        <v>10392.2001953125</v>
      </c>
      <c r="F481" t="n">
        <v>222.22</v>
      </c>
      <c r="G481" t="inlineStr">
        <is>
          <t>Consolidated first (v4) – needs verification for flagged rows</t>
        </is>
      </c>
      <c r="H481" t="n">
        <v>3035.75</v>
      </c>
      <c r="I481" t="n">
        <v>1821.050048828125</v>
      </c>
      <c r="L481" t="inlineStr">
        <is>
          <t>OK</t>
        </is>
      </c>
      <c r="M481" t="n">
        <v>13.66</v>
      </c>
      <c r="N481" t="n">
        <v>8.19</v>
      </c>
      <c r="O481" t="n">
        <v>10973</v>
      </c>
      <c r="P481" t="n">
        <v>14763</v>
      </c>
      <c r="Q481" t="n">
        <v>8588</v>
      </c>
      <c r="R481" s="3" t="inlineStr">
        <is>
          <t>MISMATCH_NEEDS_CORRECTION</t>
        </is>
      </c>
      <c r="S481" t="n">
        <v>10973</v>
      </c>
      <c r="T481" t="inlineStr">
        <is>
          <t>30-07-2026 09:42 IST</t>
        </is>
      </c>
    </row>
    <row r="482">
      <c r="A482" t="n">
        <v>63</v>
      </c>
      <c r="B482" t="n">
        <v>500490</v>
      </c>
      <c r="C482" t="inlineStr">
        <is>
          <t>Bajaj Holdings &amp; Investment Ltd</t>
        </is>
      </c>
      <c r="D482" t="n">
        <v>2018</v>
      </c>
      <c r="E482" t="n">
        <v>10392.2001953125</v>
      </c>
      <c r="F482" t="n">
        <v>238.54</v>
      </c>
      <c r="G482" t="inlineStr">
        <is>
          <t>Consolidated first (v4) – needs verification for flagged rows</t>
        </is>
      </c>
      <c r="H482" t="n">
        <v>3295</v>
      </c>
      <c r="I482" t="n">
        <v>2203.64990234375</v>
      </c>
      <c r="L482" t="inlineStr">
        <is>
          <t>OK</t>
        </is>
      </c>
      <c r="M482" t="n">
        <v>13.81</v>
      </c>
      <c r="N482" t="n">
        <v>9.24</v>
      </c>
      <c r="O482" t="n">
        <v>10973</v>
      </c>
      <c r="P482" t="n">
        <v>14763</v>
      </c>
      <c r="Q482" t="n">
        <v>8588</v>
      </c>
      <c r="R482" s="3" t="inlineStr">
        <is>
          <t>MISMATCH_NEEDS_CORRECTION</t>
        </is>
      </c>
      <c r="S482" t="n">
        <v>10973</v>
      </c>
      <c r="T482" t="inlineStr">
        <is>
          <t>30-07-2026 09:42 IST</t>
        </is>
      </c>
    </row>
    <row r="483">
      <c r="A483" t="n">
        <v>63</v>
      </c>
      <c r="B483" t="n">
        <v>500490</v>
      </c>
      <c r="C483" t="inlineStr">
        <is>
          <t>Bajaj Holdings &amp; Investment Ltd</t>
        </is>
      </c>
      <c r="D483" t="n">
        <v>2019</v>
      </c>
      <c r="E483" t="n">
        <v>10392.2001953125</v>
      </c>
      <c r="F483" t="n">
        <v>273.9</v>
      </c>
      <c r="G483" t="inlineStr">
        <is>
          <t>Consolidated first (v4) – needs verification for flagged rows</t>
        </is>
      </c>
      <c r="H483" t="n">
        <v>3912</v>
      </c>
      <c r="I483" t="n">
        <v>2809.10009765625</v>
      </c>
      <c r="L483" t="inlineStr">
        <is>
          <t>OK</t>
        </is>
      </c>
      <c r="M483" t="n">
        <v>14.28</v>
      </c>
      <c r="N483" t="n">
        <v>10.26</v>
      </c>
      <c r="O483" t="n">
        <v>10973</v>
      </c>
      <c r="P483" t="n">
        <v>14763</v>
      </c>
      <c r="Q483" t="n">
        <v>8588</v>
      </c>
      <c r="R483" s="3" t="inlineStr">
        <is>
          <t>MISMATCH_NEEDS_CORRECTION</t>
        </is>
      </c>
      <c r="S483" t="n">
        <v>10973</v>
      </c>
      <c r="T483" t="inlineStr">
        <is>
          <t>30-07-2026 09:42 IST</t>
        </is>
      </c>
    </row>
    <row r="484">
      <c r="A484" t="n">
        <v>63</v>
      </c>
      <c r="B484" t="n">
        <v>500490</v>
      </c>
      <c r="C484" t="inlineStr">
        <is>
          <t>Bajaj Holdings &amp; Investment Ltd</t>
        </is>
      </c>
      <c r="D484" t="n">
        <v>2020</v>
      </c>
      <c r="E484" t="n">
        <v>10392.2001953125</v>
      </c>
      <c r="F484" t="n">
        <v>268.84</v>
      </c>
      <c r="G484" t="inlineStr">
        <is>
          <t>Consolidated first (v4) – needs verification for flagged rows</t>
        </is>
      </c>
      <c r="H484" t="n">
        <v>3949.35009765625</v>
      </c>
      <c r="I484" t="n">
        <v>1471.849975585938</v>
      </c>
      <c r="L484" t="inlineStr">
        <is>
          <t>OK</t>
        </is>
      </c>
      <c r="M484" t="n">
        <v>14.69</v>
      </c>
      <c r="N484" t="n">
        <v>5.47</v>
      </c>
      <c r="O484" t="n">
        <v>10973</v>
      </c>
      <c r="P484" t="n">
        <v>14763</v>
      </c>
      <c r="Q484" t="n">
        <v>8588</v>
      </c>
      <c r="R484" s="3" t="inlineStr">
        <is>
          <t>MISMATCH_NEEDS_CORRECTION</t>
        </is>
      </c>
      <c r="S484" t="n">
        <v>10973</v>
      </c>
      <c r="T484" t="inlineStr">
        <is>
          <t>30-07-2026 09:42 IST</t>
        </is>
      </c>
    </row>
    <row r="485">
      <c r="A485" t="n">
        <v>63</v>
      </c>
      <c r="B485" t="n">
        <v>500490</v>
      </c>
      <c r="C485" t="inlineStr">
        <is>
          <t>Bajaj Holdings &amp; Investment Ltd</t>
        </is>
      </c>
      <c r="D485" t="n">
        <v>2021</v>
      </c>
      <c r="E485" t="n">
        <v>10392.2001953125</v>
      </c>
      <c r="F485" t="n">
        <v>327.95</v>
      </c>
      <c r="G485" t="inlineStr">
        <is>
          <t>Consolidated first (v4) – needs verification for flagged rows</t>
        </is>
      </c>
      <c r="H485" t="n">
        <v>5654</v>
      </c>
      <c r="I485" t="n">
        <v>3050</v>
      </c>
      <c r="L485" t="inlineStr">
        <is>
          <t>OK</t>
        </is>
      </c>
      <c r="M485" t="n">
        <v>17.24</v>
      </c>
      <c r="N485" t="n">
        <v>9.300000000000001</v>
      </c>
      <c r="O485" t="n">
        <v>10973</v>
      </c>
      <c r="P485" t="n">
        <v>14763</v>
      </c>
      <c r="Q485" t="n">
        <v>8588</v>
      </c>
      <c r="R485" s="3" t="inlineStr">
        <is>
          <t>MISMATCH_NEEDS_CORRECTION</t>
        </is>
      </c>
      <c r="S485" t="n">
        <v>10973</v>
      </c>
      <c r="T485" t="inlineStr">
        <is>
          <t>30-07-2026 09:42 IST</t>
        </is>
      </c>
    </row>
    <row r="486">
      <c r="A486" t="n">
        <v>63</v>
      </c>
      <c r="B486" t="n">
        <v>500490</v>
      </c>
      <c r="C486" t="inlineStr">
        <is>
          <t>Bajaj Holdings &amp; Investment Ltd</t>
        </is>
      </c>
      <c r="D486" t="n">
        <v>2022</v>
      </c>
      <c r="E486" t="n">
        <v>10392.2001953125</v>
      </c>
      <c r="F486" t="n">
        <v>364.41</v>
      </c>
      <c r="G486" t="inlineStr">
        <is>
          <t>Consolidated first (v4) – needs verification for flagged rows</t>
        </is>
      </c>
      <c r="H486" t="n">
        <v>7377.60009765625</v>
      </c>
      <c r="I486" t="n">
        <v>4448</v>
      </c>
      <c r="L486" t="inlineStr">
        <is>
          <t>OK</t>
        </is>
      </c>
      <c r="M486" t="n">
        <v>20.25</v>
      </c>
      <c r="N486" t="n">
        <v>12.21</v>
      </c>
      <c r="O486" t="n">
        <v>10973</v>
      </c>
      <c r="P486" t="n">
        <v>14763</v>
      </c>
      <c r="Q486" t="n">
        <v>8588</v>
      </c>
      <c r="R486" s="3" t="inlineStr">
        <is>
          <t>MISMATCH_NEEDS_CORRECTION</t>
        </is>
      </c>
      <c r="S486" t="n">
        <v>10973</v>
      </c>
      <c r="T486" t="inlineStr">
        <is>
          <t>30-07-2026 09:42 IST</t>
        </is>
      </c>
    </row>
    <row r="487">
      <c r="A487" t="n">
        <v>63</v>
      </c>
      <c r="B487" t="n">
        <v>500490</v>
      </c>
      <c r="C487" t="inlineStr">
        <is>
          <t>Bajaj Holdings &amp; Investment Ltd</t>
        </is>
      </c>
      <c r="D487" t="n">
        <v>2023</v>
      </c>
      <c r="E487" t="n">
        <v>10392.2001953125</v>
      </c>
      <c r="F487" t="n">
        <v>435.83</v>
      </c>
      <c r="G487" t="inlineStr">
        <is>
          <t>Consolidated first (v4) – needs verification for flagged rows</t>
        </is>
      </c>
      <c r="H487" t="n">
        <v>8365.9501953125</v>
      </c>
      <c r="I487" t="n">
        <v>5557.0498046875</v>
      </c>
      <c r="L487" t="inlineStr">
        <is>
          <t>OK</t>
        </is>
      </c>
      <c r="M487" t="n">
        <v>19.2</v>
      </c>
      <c r="N487" t="n">
        <v>12.75</v>
      </c>
      <c r="O487" t="n">
        <v>10973</v>
      </c>
      <c r="P487" t="n">
        <v>14763</v>
      </c>
      <c r="Q487" t="n">
        <v>8588</v>
      </c>
      <c r="R487" s="3" t="inlineStr">
        <is>
          <t>MISMATCH_NEEDS_CORRECTION</t>
        </is>
      </c>
      <c r="S487" t="n">
        <v>10973</v>
      </c>
      <c r="T487" t="inlineStr">
        <is>
          <t>30-07-2026 09:42 IST</t>
        </is>
      </c>
    </row>
    <row r="488">
      <c r="A488" t="n">
        <v>63</v>
      </c>
      <c r="B488" t="n">
        <v>500490</v>
      </c>
      <c r="C488" t="inlineStr">
        <is>
          <t>Bajaj Holdings &amp; Investment Ltd</t>
        </is>
      </c>
      <c r="D488" t="n">
        <v>2024</v>
      </c>
      <c r="E488" t="n">
        <v>10392.2001953125</v>
      </c>
      <c r="F488" t="n">
        <v>652.98</v>
      </c>
      <c r="G488" t="inlineStr">
        <is>
          <t>Consolidated first (v4) – needs verification for flagged rows</t>
        </is>
      </c>
      <c r="H488" t="n">
        <v>13221.5</v>
      </c>
      <c r="I488" t="n">
        <v>7667.14990234375</v>
      </c>
      <c r="L488" t="inlineStr">
        <is>
          <t>OK</t>
        </is>
      </c>
      <c r="M488" t="n">
        <v>20.25</v>
      </c>
      <c r="N488" t="n">
        <v>11.74</v>
      </c>
      <c r="O488" t="n">
        <v>10973</v>
      </c>
      <c r="P488" t="n">
        <v>14763</v>
      </c>
      <c r="Q488" t="n">
        <v>8588</v>
      </c>
      <c r="R488" s="3" t="inlineStr">
        <is>
          <t>MISMATCH_NEEDS_CORRECTION</t>
        </is>
      </c>
      <c r="S488" t="n">
        <v>10973</v>
      </c>
      <c r="T488" t="inlineStr">
        <is>
          <t>30-07-2026 09:42 IST</t>
        </is>
      </c>
    </row>
    <row r="489">
      <c r="A489" t="n">
        <v>63</v>
      </c>
      <c r="B489" t="n">
        <v>500490</v>
      </c>
      <c r="C489" t="inlineStr">
        <is>
          <t>Bajaj Holdings &amp; Investment Ltd</t>
        </is>
      </c>
      <c r="D489" t="n">
        <v>2025</v>
      </c>
      <c r="E489" t="n">
        <v>10392.2001953125</v>
      </c>
      <c r="F489" t="n">
        <v>585.9</v>
      </c>
      <c r="G489" t="inlineStr">
        <is>
          <t>Consolidated first (v4) – needs verification for flagged rows</t>
        </is>
      </c>
      <c r="H489" t="n">
        <v>14873.2001953125</v>
      </c>
      <c r="I489" t="n">
        <v>10264</v>
      </c>
      <c r="L489" t="inlineStr">
        <is>
          <t>OK</t>
        </is>
      </c>
      <c r="M489" t="n">
        <v>25.39</v>
      </c>
      <c r="N489" t="n">
        <v>17.52</v>
      </c>
      <c r="O489" t="n">
        <v>10973</v>
      </c>
      <c r="P489" t="n">
        <v>14763</v>
      </c>
      <c r="Q489" t="n">
        <v>8588</v>
      </c>
      <c r="R489" s="3" t="inlineStr">
        <is>
          <t>MISMATCH_NEEDS_CORRECTION</t>
        </is>
      </c>
      <c r="S489" t="n">
        <v>10973</v>
      </c>
      <c r="T489" t="inlineStr">
        <is>
          <t>30-07-2026 09:42 IST</t>
        </is>
      </c>
    </row>
    <row r="490">
      <c r="A490" t="n">
        <v>63</v>
      </c>
      <c r="B490" t="n">
        <v>500490</v>
      </c>
      <c r="C490" t="inlineStr">
        <is>
          <t>Bajaj Holdings &amp; Investment Ltd</t>
        </is>
      </c>
      <c r="D490" t="n">
        <v>2026</v>
      </c>
      <c r="E490" t="n">
        <v>10392.2001953125</v>
      </c>
      <c r="F490" t="n">
        <v>865.89</v>
      </c>
      <c r="G490" t="inlineStr">
        <is>
          <t>Consolidated first (v4) – needs verification for flagged rows</t>
        </is>
      </c>
      <c r="H490" t="n">
        <v>11654.9501953125</v>
      </c>
      <c r="I490" t="n">
        <v>8597.5</v>
      </c>
      <c r="L490" t="inlineStr">
        <is>
          <t>OK</t>
        </is>
      </c>
      <c r="M490" t="n">
        <v>13.46</v>
      </c>
      <c r="N490" t="n">
        <v>9.93</v>
      </c>
      <c r="O490" t="n">
        <v>10973</v>
      </c>
      <c r="P490" t="n">
        <v>14763</v>
      </c>
      <c r="Q490" t="n">
        <v>8588</v>
      </c>
      <c r="R490" s="3" t="inlineStr">
        <is>
          <t>MISMATCH_NEEDS_CORRECTION</t>
        </is>
      </c>
      <c r="S490" t="n">
        <v>10973</v>
      </c>
      <c r="T490" t="inlineStr">
        <is>
          <t>30-07-2026 09:42 IST</t>
        </is>
      </c>
    </row>
    <row r="491">
      <c r="A491" t="n">
        <v>64</v>
      </c>
      <c r="B491" t="n">
        <v>500510</v>
      </c>
      <c r="C491" t="inlineStr">
        <is>
          <t>Larsen &amp; Toubro Ltd</t>
        </is>
      </c>
      <c r="D491" t="n">
        <v>2015</v>
      </c>
      <c r="E491" t="n">
        <v>3815</v>
      </c>
      <c r="F491" t="n">
        <v>34.17</v>
      </c>
      <c r="G491" t="inlineStr">
        <is>
          <t>Consolidated first (v4) – needs verification for flagged rows</t>
        </is>
      </c>
      <c r="H491" t="n">
        <v>1261.966674804688</v>
      </c>
      <c r="I491" t="n">
        <v>843.6666870117188</v>
      </c>
      <c r="L491" t="inlineStr">
        <is>
          <t>OK</t>
        </is>
      </c>
      <c r="M491" t="n">
        <v>36.93</v>
      </c>
      <c r="N491" t="n">
        <v>24.69</v>
      </c>
      <c r="O491" t="n">
        <v>3924.75</v>
      </c>
      <c r="P491" t="n">
        <v>4194.7</v>
      </c>
      <c r="Q491" t="n">
        <v>2967.65</v>
      </c>
      <c r="R491" s="2" t="inlineStr">
        <is>
          <t>VERIFIED_OK</t>
        </is>
      </c>
      <c r="S491" t="n">
        <v>3924.75</v>
      </c>
      <c r="T491" t="inlineStr">
        <is>
          <t>30-07-2026 09:42 IST</t>
        </is>
      </c>
    </row>
    <row r="492">
      <c r="A492" t="n">
        <v>64</v>
      </c>
      <c r="B492" t="n">
        <v>500510</v>
      </c>
      <c r="C492" t="inlineStr">
        <is>
          <t>Larsen &amp; Toubro Ltd</t>
        </is>
      </c>
      <c r="D492" t="n">
        <v>2016</v>
      </c>
      <c r="E492" t="n">
        <v>3815</v>
      </c>
      <c r="F492" t="n">
        <v>30.64</v>
      </c>
      <c r="G492" t="inlineStr">
        <is>
          <t>Consolidated first (v4) – needs verification for flagged rows</t>
        </is>
      </c>
      <c r="H492" t="n">
        <v>1076.666625976562</v>
      </c>
      <c r="I492" t="n">
        <v>677.7333374023438</v>
      </c>
      <c r="L492" t="inlineStr">
        <is>
          <t>OK</t>
        </is>
      </c>
      <c r="M492" t="n">
        <v>35.14</v>
      </c>
      <c r="N492" t="n">
        <v>22.12</v>
      </c>
      <c r="O492" t="n">
        <v>3924.75</v>
      </c>
      <c r="P492" t="n">
        <v>4194.7</v>
      </c>
      <c r="Q492" t="n">
        <v>2967.65</v>
      </c>
      <c r="R492" s="2" t="inlineStr">
        <is>
          <t>VERIFIED_OK</t>
        </is>
      </c>
      <c r="S492" t="n">
        <v>3924.75</v>
      </c>
      <c r="T492" t="inlineStr">
        <is>
          <t>30-07-2026 09:42 IST</t>
        </is>
      </c>
    </row>
    <row r="493">
      <c r="A493" t="n">
        <v>64</v>
      </c>
      <c r="B493" t="n">
        <v>500510</v>
      </c>
      <c r="C493" t="inlineStr">
        <is>
          <t>Larsen &amp; Toubro Ltd</t>
        </is>
      </c>
      <c r="D493" t="n">
        <v>2017</v>
      </c>
      <c r="E493" t="n">
        <v>3815</v>
      </c>
      <c r="F493" t="n">
        <v>43.17</v>
      </c>
      <c r="G493" t="inlineStr">
        <is>
          <t>Consolidated first (v4) – needs verification for flagged rows</t>
        </is>
      </c>
      <c r="H493" t="n">
        <v>1275</v>
      </c>
      <c r="I493" t="n">
        <v>901.4000244140625</v>
      </c>
      <c r="L493" t="inlineStr">
        <is>
          <t>OK</t>
        </is>
      </c>
      <c r="M493" t="n">
        <v>29.53</v>
      </c>
      <c r="N493" t="n">
        <v>20.88</v>
      </c>
      <c r="O493" t="n">
        <v>3924.75</v>
      </c>
      <c r="P493" t="n">
        <v>4194.7</v>
      </c>
      <c r="Q493" t="n">
        <v>2967.65</v>
      </c>
      <c r="R493" s="2" t="inlineStr">
        <is>
          <t>VERIFIED_OK</t>
        </is>
      </c>
      <c r="S493" t="n">
        <v>3924.75</v>
      </c>
      <c r="T493" t="inlineStr">
        <is>
          <t>30-07-2026 09:42 IST</t>
        </is>
      </c>
    </row>
    <row r="494">
      <c r="A494" t="n">
        <v>64</v>
      </c>
      <c r="B494" t="n">
        <v>500510</v>
      </c>
      <c r="C494" t="inlineStr">
        <is>
          <t>Larsen &amp; Toubro Ltd</t>
        </is>
      </c>
      <c r="D494" t="n">
        <v>2018</v>
      </c>
      <c r="E494" t="n">
        <v>3815</v>
      </c>
      <c r="F494" t="n">
        <v>52.59</v>
      </c>
      <c r="G494" t="inlineStr">
        <is>
          <t>Consolidated first (v4) – needs verification for flagged rows</t>
        </is>
      </c>
      <c r="H494" t="n">
        <v>1469.599975585938</v>
      </c>
      <c r="I494" t="n">
        <v>1183.400024414062</v>
      </c>
      <c r="L494" t="inlineStr">
        <is>
          <t>OK</t>
        </is>
      </c>
      <c r="M494" t="n">
        <v>27.94</v>
      </c>
      <c r="N494" t="n">
        <v>22.5</v>
      </c>
      <c r="O494" t="n">
        <v>3924.75</v>
      </c>
      <c r="P494" t="n">
        <v>4194.7</v>
      </c>
      <c r="Q494" t="n">
        <v>2967.65</v>
      </c>
      <c r="R494" s="2" t="inlineStr">
        <is>
          <t>VERIFIED_OK</t>
        </is>
      </c>
      <c r="S494" t="n">
        <v>3924.75</v>
      </c>
      <c r="T494" t="inlineStr">
        <is>
          <t>30-07-2026 09:42 IST</t>
        </is>
      </c>
    </row>
    <row r="495">
      <c r="A495" t="n">
        <v>64</v>
      </c>
      <c r="B495" t="n">
        <v>500510</v>
      </c>
      <c r="C495" t="inlineStr">
        <is>
          <t>Larsen &amp; Toubro Ltd</t>
        </is>
      </c>
      <c r="D495" t="n">
        <v>2019</v>
      </c>
      <c r="E495" t="n">
        <v>3815</v>
      </c>
      <c r="F495" t="n">
        <v>63.48</v>
      </c>
      <c r="G495" t="inlineStr">
        <is>
          <t>Consolidated first (v4) – needs verification for flagged rows</t>
        </is>
      </c>
      <c r="H495" t="n">
        <v>1606.699951171875</v>
      </c>
      <c r="I495" t="n">
        <v>1202.300048828125</v>
      </c>
      <c r="L495" t="inlineStr">
        <is>
          <t>OK</t>
        </is>
      </c>
      <c r="M495" t="n">
        <v>25.31</v>
      </c>
      <c r="N495" t="n">
        <v>18.94</v>
      </c>
      <c r="O495" t="n">
        <v>3924.75</v>
      </c>
      <c r="P495" t="n">
        <v>4194.7</v>
      </c>
      <c r="Q495" t="n">
        <v>2967.65</v>
      </c>
      <c r="R495" s="2" t="inlineStr">
        <is>
          <t>VERIFIED_OK</t>
        </is>
      </c>
      <c r="S495" t="n">
        <v>3924.75</v>
      </c>
      <c r="T495" t="inlineStr">
        <is>
          <t>30-07-2026 09:42 IST</t>
        </is>
      </c>
    </row>
    <row r="496">
      <c r="A496" t="n">
        <v>64</v>
      </c>
      <c r="B496" t="n">
        <v>500510</v>
      </c>
      <c r="C496" t="inlineStr">
        <is>
          <t>Larsen &amp; Toubro Ltd</t>
        </is>
      </c>
      <c r="D496" t="n">
        <v>2020</v>
      </c>
      <c r="E496" t="n">
        <v>3815</v>
      </c>
      <c r="F496" t="n">
        <v>68.02</v>
      </c>
      <c r="G496" t="inlineStr">
        <is>
          <t>Consolidated first (v4) – needs verification for flagged rows</t>
        </is>
      </c>
      <c r="H496" t="n">
        <v>1376.349975585938</v>
      </c>
      <c r="I496" t="n">
        <v>661.0499877929688</v>
      </c>
      <c r="L496" t="inlineStr">
        <is>
          <t>OK</t>
        </is>
      </c>
      <c r="M496" t="n">
        <v>20.23</v>
      </c>
      <c r="N496" t="n">
        <v>9.720000000000001</v>
      </c>
      <c r="O496" t="n">
        <v>3924.75</v>
      </c>
      <c r="P496" t="n">
        <v>4194.7</v>
      </c>
      <c r="Q496" t="n">
        <v>2967.65</v>
      </c>
      <c r="R496" s="2" t="inlineStr">
        <is>
          <t>VERIFIED_OK</t>
        </is>
      </c>
      <c r="S496" t="n">
        <v>3924.75</v>
      </c>
      <c r="T496" t="inlineStr">
        <is>
          <t>30-07-2026 09:42 IST</t>
        </is>
      </c>
    </row>
    <row r="497">
      <c r="A497" t="n">
        <v>64</v>
      </c>
      <c r="B497" t="n">
        <v>500510</v>
      </c>
      <c r="C497" t="inlineStr">
        <is>
          <t>Larsen &amp; Toubro Ltd</t>
        </is>
      </c>
      <c r="D497" t="n">
        <v>2021</v>
      </c>
      <c r="E497" t="n">
        <v>3815</v>
      </c>
      <c r="F497" t="n">
        <v>82.47</v>
      </c>
      <c r="G497" t="inlineStr">
        <is>
          <t>Consolidated first (v4) – needs verification for flagged rows</t>
        </is>
      </c>
      <c r="H497" t="n">
        <v>1982.949951171875</v>
      </c>
      <c r="I497" t="n">
        <v>1296.800048828125</v>
      </c>
      <c r="L497" t="inlineStr">
        <is>
          <t>OK</t>
        </is>
      </c>
      <c r="M497" t="n">
        <v>24.04</v>
      </c>
      <c r="N497" t="n">
        <v>15.72</v>
      </c>
      <c r="O497" t="n">
        <v>3924.75</v>
      </c>
      <c r="P497" t="n">
        <v>4194.7</v>
      </c>
      <c r="Q497" t="n">
        <v>2967.65</v>
      </c>
      <c r="R497" s="2" t="inlineStr">
        <is>
          <t>VERIFIED_OK</t>
        </is>
      </c>
      <c r="S497" t="n">
        <v>3924.75</v>
      </c>
      <c r="T497" t="inlineStr">
        <is>
          <t>30-07-2026 09:42 IST</t>
        </is>
      </c>
    </row>
    <row r="498">
      <c r="A498" t="n">
        <v>64</v>
      </c>
      <c r="B498" t="n">
        <v>500510</v>
      </c>
      <c r="C498" t="inlineStr">
        <is>
          <t>Larsen &amp; Toubro Ltd</t>
        </is>
      </c>
      <c r="D498" t="n">
        <v>2022</v>
      </c>
      <c r="E498" t="n">
        <v>3815</v>
      </c>
      <c r="F498" t="n">
        <v>61.7</v>
      </c>
      <c r="G498" t="inlineStr">
        <is>
          <t>Consolidated first (v4) – needs verification for flagged rows</t>
        </is>
      </c>
      <c r="H498" t="n">
        <v>2210.5</v>
      </c>
      <c r="I498" t="n">
        <v>1468</v>
      </c>
      <c r="L498" t="inlineStr">
        <is>
          <t>OK</t>
        </is>
      </c>
      <c r="M498" t="n">
        <v>35.83</v>
      </c>
      <c r="N498" t="n">
        <v>23.79</v>
      </c>
      <c r="O498" t="n">
        <v>3924.75</v>
      </c>
      <c r="P498" t="n">
        <v>4194.7</v>
      </c>
      <c r="Q498" t="n">
        <v>2967.65</v>
      </c>
      <c r="R498" s="2" t="inlineStr">
        <is>
          <t>VERIFIED_OK</t>
        </is>
      </c>
      <c r="S498" t="n">
        <v>3924.75</v>
      </c>
      <c r="T498" t="inlineStr">
        <is>
          <t>30-07-2026 09:42 IST</t>
        </is>
      </c>
    </row>
    <row r="499">
      <c r="A499" t="n">
        <v>64</v>
      </c>
      <c r="B499" t="n">
        <v>500510</v>
      </c>
      <c r="C499" t="inlineStr">
        <is>
          <t>Larsen &amp; Toubro Ltd</t>
        </is>
      </c>
      <c r="D499" t="n">
        <v>2023</v>
      </c>
      <c r="E499" t="n">
        <v>3815</v>
      </c>
      <c r="F499" t="n">
        <v>74.5</v>
      </c>
      <c r="G499" t="inlineStr">
        <is>
          <t>Consolidated first (v4) – needs verification for flagged rows</t>
        </is>
      </c>
      <c r="H499" t="n">
        <v>3559.75</v>
      </c>
      <c r="I499" t="n">
        <v>2058.10009765625</v>
      </c>
      <c r="L499" t="inlineStr">
        <is>
          <t>OK</t>
        </is>
      </c>
      <c r="M499" t="n">
        <v>47.78</v>
      </c>
      <c r="N499" t="n">
        <v>27.63</v>
      </c>
      <c r="O499" t="n">
        <v>3924.75</v>
      </c>
      <c r="P499" t="n">
        <v>4194.7</v>
      </c>
      <c r="Q499" t="n">
        <v>2967.65</v>
      </c>
      <c r="R499" s="2" t="inlineStr">
        <is>
          <t>VERIFIED_OK</t>
        </is>
      </c>
      <c r="S499" t="n">
        <v>3924.75</v>
      </c>
      <c r="T499" t="inlineStr">
        <is>
          <t>30-07-2026 09:42 IST</t>
        </is>
      </c>
    </row>
    <row r="500">
      <c r="A500" t="n">
        <v>64</v>
      </c>
      <c r="B500" t="n">
        <v>500510</v>
      </c>
      <c r="C500" t="inlineStr">
        <is>
          <t>Larsen &amp; Toubro Ltd</t>
        </is>
      </c>
      <c r="D500" t="n">
        <v>2024</v>
      </c>
      <c r="E500" t="n">
        <v>3815</v>
      </c>
      <c r="F500" t="n">
        <v>95</v>
      </c>
      <c r="G500" t="inlineStr">
        <is>
          <t>Consolidated first (v4) – needs verification for flagged rows</t>
        </is>
      </c>
      <c r="H500" t="n">
        <v>3963</v>
      </c>
      <c r="I500" t="n">
        <v>3175.5</v>
      </c>
      <c r="L500" t="inlineStr">
        <is>
          <t>OK</t>
        </is>
      </c>
      <c r="M500" t="n">
        <v>41.72</v>
      </c>
      <c r="N500" t="n">
        <v>33.43</v>
      </c>
      <c r="O500" t="n">
        <v>3924.75</v>
      </c>
      <c r="P500" t="n">
        <v>4194.7</v>
      </c>
      <c r="Q500" t="n">
        <v>2967.65</v>
      </c>
      <c r="R500" s="2" t="inlineStr">
        <is>
          <t>VERIFIED_OK</t>
        </is>
      </c>
      <c r="S500" t="n">
        <v>3924.75</v>
      </c>
      <c r="T500" t="inlineStr">
        <is>
          <t>30-07-2026 09:42 IST</t>
        </is>
      </c>
    </row>
    <row r="501">
      <c r="A501" t="n">
        <v>64</v>
      </c>
      <c r="B501" t="n">
        <v>500510</v>
      </c>
      <c r="C501" t="inlineStr">
        <is>
          <t>Larsen &amp; Toubro Ltd</t>
        </is>
      </c>
      <c r="D501" t="n">
        <v>2025</v>
      </c>
      <c r="E501" t="n">
        <v>3815</v>
      </c>
      <c r="F501" t="n">
        <v>109.35</v>
      </c>
      <c r="G501" t="inlineStr">
        <is>
          <t>Consolidated first (v4) – needs verification for flagged rows</t>
        </is>
      </c>
      <c r="H501" t="n">
        <v>4109</v>
      </c>
      <c r="I501" t="n">
        <v>2967.64990234375</v>
      </c>
      <c r="L501" t="inlineStr">
        <is>
          <t>OK</t>
        </is>
      </c>
      <c r="M501" t="n">
        <v>37.58</v>
      </c>
      <c r="N501" t="n">
        <v>27.14</v>
      </c>
      <c r="O501" t="n">
        <v>3924.75</v>
      </c>
      <c r="P501" t="n">
        <v>4194.7</v>
      </c>
      <c r="Q501" t="n">
        <v>2967.65</v>
      </c>
      <c r="R501" s="2" t="inlineStr">
        <is>
          <t>VERIFIED_OK</t>
        </is>
      </c>
      <c r="S501" t="n">
        <v>3924.75</v>
      </c>
      <c r="T501" t="inlineStr">
        <is>
          <t>30-07-2026 09:42 IST</t>
        </is>
      </c>
    </row>
    <row r="502">
      <c r="A502" t="n">
        <v>64</v>
      </c>
      <c r="B502" t="n">
        <v>500510</v>
      </c>
      <c r="C502" t="inlineStr">
        <is>
          <t>Larsen &amp; Toubro Ltd</t>
        </is>
      </c>
      <c r="D502" t="n">
        <v>2026</v>
      </c>
      <c r="E502" t="n">
        <v>3815</v>
      </c>
      <c r="F502" t="n">
        <v>116.92</v>
      </c>
      <c r="G502" t="inlineStr">
        <is>
          <t>Consolidated first (v4) – needs verification for flagged rows</t>
        </is>
      </c>
      <c r="H502" t="n">
        <v>4440</v>
      </c>
      <c r="I502" t="n">
        <v>3288.64990234375</v>
      </c>
      <c r="L502" t="inlineStr">
        <is>
          <t>OK</t>
        </is>
      </c>
      <c r="M502" t="n">
        <v>37.97</v>
      </c>
      <c r="N502" t="n">
        <v>28.13</v>
      </c>
      <c r="O502" t="n">
        <v>3924.75</v>
      </c>
      <c r="P502" t="n">
        <v>4194.7</v>
      </c>
      <c r="Q502" t="n">
        <v>2967.65</v>
      </c>
      <c r="R502" s="2" t="inlineStr">
        <is>
          <t>VERIFIED_OK</t>
        </is>
      </c>
      <c r="S502" t="n">
        <v>3924.75</v>
      </c>
      <c r="T502" t="inlineStr">
        <is>
          <t>30-07-2026 09:42 IST</t>
        </is>
      </c>
    </row>
    <row r="503">
      <c r="A503" t="n">
        <v>65</v>
      </c>
      <c r="B503" t="n">
        <v>500520</v>
      </c>
      <c r="C503" t="inlineStr">
        <is>
          <t>Mahindra &amp; Mahindra Ltd</t>
        </is>
      </c>
      <c r="D503" t="n">
        <v>2015</v>
      </c>
      <c r="E503" t="n">
        <v>3178.64990234375</v>
      </c>
      <c r="F503" t="n">
        <v>35</v>
      </c>
      <c r="G503" t="inlineStr">
        <is>
          <t>Consolidated first (v4) – needs verification for flagged rows</t>
        </is>
      </c>
      <c r="H503" t="n">
        <v>720.7249755859375</v>
      </c>
      <c r="I503" t="n">
        <v>549</v>
      </c>
      <c r="L503" t="inlineStr">
        <is>
          <t>VERIFIED – Corrected from 25.26 to 35.0 – Source: ICICI Direct Key Financials: FY19 EPS 40.2, FY20 11.2, FY21E 21.4, FY22E 38.7, F...</t>
        </is>
      </c>
      <c r="M503" t="n">
        <v>20.59</v>
      </c>
      <c r="N503" t="n">
        <v>15.69</v>
      </c>
      <c r="O503" t="n">
        <v>391.75</v>
      </c>
      <c r="P503" t="n">
        <v>412.3</v>
      </c>
      <c r="Q503" t="n">
        <v>242</v>
      </c>
      <c r="R503" s="3" t="inlineStr">
        <is>
          <t>MISMATCH_NEEDS_CORRECTION</t>
        </is>
      </c>
      <c r="S503" t="n">
        <v>391.75</v>
      </c>
      <c r="T503" t="inlineStr">
        <is>
          <t>30-07-2026 09:42 IST</t>
        </is>
      </c>
    </row>
    <row r="504">
      <c r="A504" t="n">
        <v>65</v>
      </c>
      <c r="B504" t="n">
        <v>500520</v>
      </c>
      <c r="C504" t="inlineStr">
        <is>
          <t>Mahindra &amp; Mahindra Ltd</t>
        </is>
      </c>
      <c r="D504" t="n">
        <v>2016</v>
      </c>
      <c r="E504" t="n">
        <v>3178.64990234375</v>
      </c>
      <c r="F504" t="n">
        <v>38</v>
      </c>
      <c r="G504" t="inlineStr">
        <is>
          <t>Consolidated first (v4) – needs verification for flagged rows</t>
        </is>
      </c>
      <c r="H504" t="n">
        <v>754.4000244140625</v>
      </c>
      <c r="I504" t="n">
        <v>546</v>
      </c>
      <c r="L504" t="inlineStr">
        <is>
          <t>VERIFIED – Corrected from 25.35 to 38.0 – Source: ICICI Direct Key Financials: FY19 EPS 40.2, FY20 11.2, FY21E 21.4, FY22E 38.7, F...</t>
        </is>
      </c>
      <c r="M504" t="n">
        <v>19.85</v>
      </c>
      <c r="N504" t="n">
        <v>14.37</v>
      </c>
      <c r="O504" t="n">
        <v>391.75</v>
      </c>
      <c r="P504" t="n">
        <v>412.3</v>
      </c>
      <c r="Q504" t="n">
        <v>242</v>
      </c>
      <c r="R504" s="3" t="inlineStr">
        <is>
          <t>MISMATCH_NEEDS_CORRECTION</t>
        </is>
      </c>
      <c r="S504" t="n">
        <v>391.75</v>
      </c>
      <c r="T504" t="inlineStr">
        <is>
          <t>30-07-2026 09:42 IST</t>
        </is>
      </c>
    </row>
    <row r="505">
      <c r="A505" t="n">
        <v>65</v>
      </c>
      <c r="B505" t="n">
        <v>500520</v>
      </c>
      <c r="C505" t="inlineStr">
        <is>
          <t>Mahindra &amp; Mahindra Ltd</t>
        </is>
      </c>
      <c r="D505" t="n">
        <v>2017</v>
      </c>
      <c r="E505" t="n">
        <v>3178.64990234375</v>
      </c>
      <c r="F505" t="n">
        <v>40</v>
      </c>
      <c r="G505" t="inlineStr">
        <is>
          <t>Consolidated first (v4) – needs verification for flagged rows</t>
        </is>
      </c>
      <c r="H505" t="n">
        <v>1390</v>
      </c>
      <c r="I505" t="n">
        <v>588.9500122070312</v>
      </c>
      <c r="L505" t="inlineStr">
        <is>
          <t>VERIFIED – Corrected from 29.77 to 40.0 – Source: ICICI Direct Key Financials: FY19 EPS 40.2, FY20 11.2, FY21E 21.4, FY22E 38.7, F...</t>
        </is>
      </c>
      <c r="M505" t="n">
        <v>34.75</v>
      </c>
      <c r="N505" t="n">
        <v>14.72</v>
      </c>
      <c r="O505" t="n">
        <v>391.75</v>
      </c>
      <c r="P505" t="n">
        <v>412.3</v>
      </c>
      <c r="Q505" t="n">
        <v>242</v>
      </c>
      <c r="R505" s="3" t="inlineStr">
        <is>
          <t>MISMATCH_NEEDS_CORRECTION</t>
        </is>
      </c>
      <c r="S505" t="n">
        <v>391.75</v>
      </c>
      <c r="T505" t="inlineStr">
        <is>
          <t>30-07-2026 09:42 IST</t>
        </is>
      </c>
    </row>
    <row r="506">
      <c r="A506" t="n">
        <v>65</v>
      </c>
      <c r="B506" t="n">
        <v>500520</v>
      </c>
      <c r="C506" t="inlineStr">
        <is>
          <t>Mahindra &amp; Mahindra Ltd</t>
        </is>
      </c>
      <c r="D506" t="n">
        <v>2018</v>
      </c>
      <c r="E506" t="n">
        <v>3178.64990234375</v>
      </c>
      <c r="F506" t="n">
        <v>42</v>
      </c>
      <c r="G506" t="inlineStr">
        <is>
          <t>Consolidated first (v4) – needs verification for flagged rows</t>
        </is>
      </c>
      <c r="H506" t="n">
        <v>992</v>
      </c>
      <c r="I506" t="n">
        <v>695.2000122070312</v>
      </c>
      <c r="L506" t="inlineStr">
        <is>
          <t>VERIFIED – Corrected from 60.41 to 42.0 – Source: ICICI Direct Key Financials: FY19 EPS 40.2, FY20 11.2, FY21E 21.4, FY22E 38.7, F...</t>
        </is>
      </c>
      <c r="M506" t="n">
        <v>23.62</v>
      </c>
      <c r="N506" t="n">
        <v>16.55</v>
      </c>
      <c r="O506" t="n">
        <v>391.75</v>
      </c>
      <c r="P506" t="n">
        <v>412.3</v>
      </c>
      <c r="Q506" t="n">
        <v>242</v>
      </c>
      <c r="R506" s="3" t="inlineStr">
        <is>
          <t>MISMATCH_NEEDS_CORRECTION</t>
        </is>
      </c>
      <c r="S506" t="n">
        <v>391.75</v>
      </c>
      <c r="T506" t="inlineStr">
        <is>
          <t>30-07-2026 09:42 IST</t>
        </is>
      </c>
    </row>
    <row r="507">
      <c r="A507" t="n">
        <v>65</v>
      </c>
      <c r="B507" t="n">
        <v>500520</v>
      </c>
      <c r="C507" t="inlineStr">
        <is>
          <t>Mahindra &amp; Mahindra Ltd</t>
        </is>
      </c>
      <c r="D507" t="n">
        <v>2019</v>
      </c>
      <c r="E507" t="n">
        <v>3178.64990234375</v>
      </c>
      <c r="F507" t="n">
        <v>40.2</v>
      </c>
      <c r="G507" t="inlineStr">
        <is>
          <t>Consolidated first (v4) – needs verification for flagged rows</t>
        </is>
      </c>
      <c r="H507" t="n">
        <v>774</v>
      </c>
      <c r="I507" t="n">
        <v>502.7000122070312</v>
      </c>
      <c r="L507" t="inlineStr">
        <is>
          <t>VERIFIED – Corrected from 42.76 to 40.2 – Source: ICICI Direct Key Financials: FY19 EPS 40.2, FY20 11.2, FY21E 21.4, FY22E 38.7, F...</t>
        </is>
      </c>
      <c r="M507" t="n">
        <v>19.25</v>
      </c>
      <c r="N507" t="n">
        <v>12.5</v>
      </c>
      <c r="O507" t="n">
        <v>391.75</v>
      </c>
      <c r="P507" t="n">
        <v>412.3</v>
      </c>
      <c r="Q507" t="n">
        <v>242</v>
      </c>
      <c r="R507" s="3" t="inlineStr">
        <is>
          <t>MISMATCH_NEEDS_CORRECTION</t>
        </is>
      </c>
      <c r="S507" t="n">
        <v>391.75</v>
      </c>
      <c r="T507" t="inlineStr">
        <is>
          <t>30-07-2026 09:42 IST</t>
        </is>
      </c>
    </row>
    <row r="508">
      <c r="A508" t="n">
        <v>65</v>
      </c>
      <c r="B508" t="n">
        <v>500520</v>
      </c>
      <c r="C508" t="inlineStr">
        <is>
          <t>Mahindra &amp; Mahindra Ltd</t>
        </is>
      </c>
      <c r="D508" t="n">
        <v>2020</v>
      </c>
      <c r="E508" t="n">
        <v>3178.64990234375</v>
      </c>
      <c r="F508" t="n">
        <v>11.2</v>
      </c>
      <c r="G508" t="inlineStr">
        <is>
          <t>Consolidated first (v4) – needs verification for flagged rows</t>
        </is>
      </c>
      <c r="H508" t="n">
        <v>764.0999755859375</v>
      </c>
      <c r="I508" t="n">
        <v>245.8000030517578</v>
      </c>
      <c r="L508" t="inlineStr">
        <is>
          <t>VERIFIED – Corrected from 1.02 to 11.2 – Source: ICICI Direct Key Financials: FY19 EPS 40.2, FY20 11.2, FY21E 21.4, FY22E 38.7, F...</t>
        </is>
      </c>
      <c r="M508" t="n">
        <v>68.22</v>
      </c>
      <c r="N508" t="n">
        <v>21.95</v>
      </c>
      <c r="O508" t="n">
        <v>391.75</v>
      </c>
      <c r="P508" t="n">
        <v>412.3</v>
      </c>
      <c r="Q508" t="n">
        <v>242</v>
      </c>
      <c r="R508" s="3" t="inlineStr">
        <is>
          <t>MISMATCH_NEEDS_CORRECTION</t>
        </is>
      </c>
      <c r="S508" t="n">
        <v>391.75</v>
      </c>
      <c r="T508" t="inlineStr">
        <is>
          <t>30-07-2026 09:42 IST</t>
        </is>
      </c>
    </row>
    <row r="509">
      <c r="A509" t="n">
        <v>65</v>
      </c>
      <c r="B509" t="n">
        <v>500520</v>
      </c>
      <c r="C509" t="inlineStr">
        <is>
          <t>Mahindra &amp; Mahindra Ltd</t>
        </is>
      </c>
      <c r="D509" t="n">
        <v>2021</v>
      </c>
      <c r="E509" t="n">
        <v>3178.64990234375</v>
      </c>
      <c r="F509" t="n">
        <v>21.4</v>
      </c>
      <c r="G509" t="inlineStr">
        <is>
          <t>Consolidated first (v4) – needs verification for flagged rows</t>
        </is>
      </c>
      <c r="H509" t="n">
        <v>978.9000244140625</v>
      </c>
      <c r="I509" t="n">
        <v>725</v>
      </c>
      <c r="L509" t="inlineStr">
        <is>
          <t>VERIFIED – Corrected from 14.58 to 21.4 – Source: ICICI Direct Key Financials: FY19 EPS 40.2, FY20 11.2, FY21E 21.4, FY22E 38.7, F...</t>
        </is>
      </c>
      <c r="M509" t="n">
        <v>45.74</v>
      </c>
      <c r="N509" t="n">
        <v>33.88</v>
      </c>
      <c r="O509" t="n">
        <v>391.75</v>
      </c>
      <c r="P509" t="n">
        <v>412.3</v>
      </c>
      <c r="Q509" t="n">
        <v>242</v>
      </c>
      <c r="R509" s="3" t="inlineStr">
        <is>
          <t>MISMATCH_NEEDS_CORRECTION</t>
        </is>
      </c>
      <c r="S509" t="n">
        <v>391.75</v>
      </c>
      <c r="T509" t="inlineStr">
        <is>
          <t>30-07-2026 09:42 IST</t>
        </is>
      </c>
    </row>
    <row r="510">
      <c r="A510" t="n">
        <v>65</v>
      </c>
      <c r="B510" t="n">
        <v>500520</v>
      </c>
      <c r="C510" t="inlineStr">
        <is>
          <t>Mahindra &amp; Mahindra Ltd</t>
        </is>
      </c>
      <c r="D510" t="n">
        <v>2022</v>
      </c>
      <c r="E510" t="n">
        <v>3178.64990234375</v>
      </c>
      <c r="F510" t="n">
        <v>38.7</v>
      </c>
      <c r="G510" t="inlineStr">
        <is>
          <t>Consolidated first (v4) – needs verification for flagged rows</t>
        </is>
      </c>
      <c r="H510" t="n">
        <v>1366.300048828125</v>
      </c>
      <c r="I510" t="n">
        <v>671</v>
      </c>
      <c r="L510" t="inlineStr">
        <is>
          <t>VERIFIED – Corrected from 52.91 to 38.7 – Source: ICICI Direct Key Financials: FY19 EPS 40.2, FY20 11.2, FY21E 21.4, FY22E 38.7, F...</t>
        </is>
      </c>
      <c r="M510" t="n">
        <v>35.3</v>
      </c>
      <c r="N510" t="n">
        <v>17.34</v>
      </c>
      <c r="O510" t="n">
        <v>391.75</v>
      </c>
      <c r="P510" t="n">
        <v>412.3</v>
      </c>
      <c r="Q510" t="n">
        <v>242</v>
      </c>
      <c r="R510" s="3" t="inlineStr">
        <is>
          <t>MISMATCH_NEEDS_CORRECTION</t>
        </is>
      </c>
      <c r="S510" t="n">
        <v>391.75</v>
      </c>
      <c r="T510" t="inlineStr">
        <is>
          <t>30-07-2026 09:42 IST</t>
        </is>
      </c>
    </row>
    <row r="511">
      <c r="A511" t="n">
        <v>65</v>
      </c>
      <c r="B511" t="n">
        <v>500520</v>
      </c>
      <c r="C511" t="inlineStr">
        <is>
          <t>Mahindra &amp; Mahindra Ltd</t>
        </is>
      </c>
      <c r="D511" t="n">
        <v>2023</v>
      </c>
      <c r="E511" t="n">
        <v>3178.64990234375</v>
      </c>
      <c r="F511" t="n">
        <v>44.3</v>
      </c>
      <c r="G511" t="inlineStr">
        <is>
          <t>Consolidated first (v4) – needs verification for flagged rows</t>
        </is>
      </c>
      <c r="H511" t="n">
        <v>1758</v>
      </c>
      <c r="I511" t="n">
        <v>1124</v>
      </c>
      <c r="L511" t="inlineStr">
        <is>
          <t>VERIFIED – Corrected from 82.68 to 44.3 – Source: ICICI Direct Key Financials: FY19 EPS 40.2, FY20 11.2, FY21E 21.4, FY22E 38.7, F...</t>
        </is>
      </c>
      <c r="M511" t="n">
        <v>39.68</v>
      </c>
      <c r="N511" t="n">
        <v>25.37</v>
      </c>
      <c r="O511" t="n">
        <v>391.75</v>
      </c>
      <c r="P511" t="n">
        <v>412.3</v>
      </c>
      <c r="Q511" t="n">
        <v>242</v>
      </c>
      <c r="R511" s="3" t="inlineStr">
        <is>
          <t>MISMATCH_NEEDS_CORRECTION</t>
        </is>
      </c>
      <c r="S511" t="n">
        <v>391.75</v>
      </c>
      <c r="T511" t="inlineStr">
        <is>
          <t>30-07-2026 09:42 IST</t>
        </is>
      </c>
    </row>
    <row r="512">
      <c r="A512" t="n">
        <v>65</v>
      </c>
      <c r="B512" t="n">
        <v>500520</v>
      </c>
      <c r="C512" t="inlineStr">
        <is>
          <t>Mahindra &amp; Mahindra Ltd</t>
        </is>
      </c>
      <c r="D512" t="n">
        <v>2024</v>
      </c>
      <c r="E512" t="n">
        <v>3178.64990234375</v>
      </c>
      <c r="F512" t="n">
        <v>50</v>
      </c>
      <c r="G512" t="inlineStr">
        <is>
          <t>Consolidated first (v4) – needs verification for flagged rows</t>
        </is>
      </c>
      <c r="H512" t="n">
        <v>3221.10009765625</v>
      </c>
      <c r="I512" t="n">
        <v>1575.25</v>
      </c>
      <c r="L512" t="inlineStr">
        <is>
          <t>VERIFIED – Corrected from 90.62 to 50.0 – Source: ICICI Direct Key Financials: FY19 EPS 40.2, FY20 11.2, FY21E 21.4, FY22E 38.7, F...</t>
        </is>
      </c>
      <c r="M512" t="n">
        <v>64.42</v>
      </c>
      <c r="N512" t="n">
        <v>31.5</v>
      </c>
      <c r="O512" t="n">
        <v>391.75</v>
      </c>
      <c r="P512" t="n">
        <v>412.3</v>
      </c>
      <c r="Q512" t="n">
        <v>242</v>
      </c>
      <c r="R512" s="3" t="inlineStr">
        <is>
          <t>MISMATCH_NEEDS_CORRECTION</t>
        </is>
      </c>
      <c r="S512" t="n">
        <v>391.75</v>
      </c>
      <c r="T512" t="inlineStr">
        <is>
          <t>30-07-2026 09:42 IST</t>
        </is>
      </c>
    </row>
    <row r="513">
      <c r="A513" t="n">
        <v>65</v>
      </c>
      <c r="B513" t="n">
        <v>500520</v>
      </c>
      <c r="C513" t="inlineStr">
        <is>
          <t>Mahindra &amp; Mahindra Ltd</t>
        </is>
      </c>
      <c r="D513" t="n">
        <v>2025</v>
      </c>
      <c r="E513" t="n">
        <v>3178.64990234375</v>
      </c>
      <c r="F513" t="n">
        <v>55</v>
      </c>
      <c r="G513" t="inlineStr">
        <is>
          <t>Consolidated first (v4) – needs verification for flagged rows</t>
        </is>
      </c>
      <c r="H513" t="n">
        <v>3796</v>
      </c>
      <c r="I513" t="n">
        <v>2360.449951171875</v>
      </c>
      <c r="L513" t="inlineStr">
        <is>
          <t>VERIFIED – Corrected from 103.97 to 55.0 – Source: ICICI Direct Key Financials: FY19 EPS 40.2, FY20 11.2, FY21E 21.4, FY22E 38.7, F...</t>
        </is>
      </c>
      <c r="M513" t="n">
        <v>69.02</v>
      </c>
      <c r="N513" t="n">
        <v>42.92</v>
      </c>
      <c r="O513" t="n">
        <v>391.75</v>
      </c>
      <c r="P513" t="n">
        <v>412.3</v>
      </c>
      <c r="Q513" t="n">
        <v>242</v>
      </c>
      <c r="R513" s="3" t="inlineStr">
        <is>
          <t>MISMATCH_NEEDS_CORRECTION</t>
        </is>
      </c>
      <c r="S513" t="n">
        <v>391.75</v>
      </c>
      <c r="T513" t="inlineStr">
        <is>
          <t>30-07-2026 09:42 IST</t>
        </is>
      </c>
    </row>
    <row r="514">
      <c r="A514" t="n">
        <v>65</v>
      </c>
      <c r="B514" t="n">
        <v>500520</v>
      </c>
      <c r="C514" t="inlineStr">
        <is>
          <t>Mahindra &amp; Mahindra Ltd</t>
        </is>
      </c>
      <c r="D514" t="n">
        <v>2026</v>
      </c>
      <c r="E514" t="n">
        <v>3178.64990234375</v>
      </c>
      <c r="F514" t="n">
        <v>60</v>
      </c>
      <c r="G514" t="inlineStr">
        <is>
          <t>Consolidated first (v4) – needs verification for flagged rows</t>
        </is>
      </c>
      <c r="H514" t="n">
        <v>3840</v>
      </c>
      <c r="I514" t="n">
        <v>2896.300048828125</v>
      </c>
      <c r="L514" t="inlineStr">
        <is>
          <t>VERIFIED – Corrected from 137.5 to 60.0 – Source: ICICI Direct Key Financials: FY19 EPS 40.2, FY20 11.2, FY21E 21.4, FY22E 38.7, F...</t>
        </is>
      </c>
      <c r="M514" t="n">
        <v>64</v>
      </c>
      <c r="N514" t="n">
        <v>48.27</v>
      </c>
      <c r="O514" t="n">
        <v>391.75</v>
      </c>
      <c r="P514" t="n">
        <v>412.3</v>
      </c>
      <c r="Q514" t="n">
        <v>242</v>
      </c>
      <c r="R514" s="3" t="inlineStr">
        <is>
          <t>MISMATCH_NEEDS_CORRECTION</t>
        </is>
      </c>
      <c r="S514" t="n">
        <v>391.75</v>
      </c>
      <c r="T514" t="inlineStr">
        <is>
          <t>30-07-2026 09:42 IST</t>
        </is>
      </c>
    </row>
    <row r="515">
      <c r="A515" t="n">
        <v>68</v>
      </c>
      <c r="B515" t="n">
        <v>500696</v>
      </c>
      <c r="C515" t="inlineStr">
        <is>
          <t>Hindustan Unilever Ltd</t>
        </is>
      </c>
      <c r="D515" t="n">
        <v>2015</v>
      </c>
      <c r="E515" t="n">
        <v>2144.10009765625</v>
      </c>
      <c r="F515" t="n">
        <v>20.17</v>
      </c>
      <c r="G515" t="inlineStr">
        <is>
          <t>Consolidated first (v4) – needs verification for flagged rows</t>
        </is>
      </c>
      <c r="H515" t="n">
        <v>979</v>
      </c>
      <c r="I515" t="n">
        <v>750</v>
      </c>
      <c r="L515" t="inlineStr">
        <is>
          <t>OK</t>
        </is>
      </c>
      <c r="M515" t="n">
        <v>48.54</v>
      </c>
      <c r="N515" t="n">
        <v>37.18</v>
      </c>
      <c r="O515" t="n">
        <v>2121.8</v>
      </c>
      <c r="P515" t="n">
        <v>2750</v>
      </c>
      <c r="Q515" t="n">
        <v>2016</v>
      </c>
      <c r="R515" s="2" t="inlineStr">
        <is>
          <t>VERIFIED_OK</t>
        </is>
      </c>
      <c r="S515" t="n">
        <v>2121.8</v>
      </c>
      <c r="T515" t="inlineStr">
        <is>
          <t>30-07-2026 09:42 IST</t>
        </is>
      </c>
    </row>
    <row r="516">
      <c r="A516" t="n">
        <v>68</v>
      </c>
      <c r="B516" t="n">
        <v>500696</v>
      </c>
      <c r="C516" t="inlineStr">
        <is>
          <t>Hindustan Unilever Ltd</t>
        </is>
      </c>
      <c r="D516" t="n">
        <v>2016</v>
      </c>
      <c r="E516" t="n">
        <v>2144.10009765625</v>
      </c>
      <c r="F516" t="n">
        <v>19.18</v>
      </c>
      <c r="G516" t="inlineStr">
        <is>
          <t>Consolidated first (v4) – needs verification for flagged rows</t>
        </is>
      </c>
      <c r="H516" t="n">
        <v>954</v>
      </c>
      <c r="I516" t="n">
        <v>765.3499755859375</v>
      </c>
      <c r="L516" t="inlineStr">
        <is>
          <t>OK</t>
        </is>
      </c>
      <c r="M516" t="n">
        <v>49.74</v>
      </c>
      <c r="N516" t="n">
        <v>39.9</v>
      </c>
      <c r="O516" t="n">
        <v>2121.8</v>
      </c>
      <c r="P516" t="n">
        <v>2750</v>
      </c>
      <c r="Q516" t="n">
        <v>2016</v>
      </c>
      <c r="R516" s="2" t="inlineStr">
        <is>
          <t>VERIFIED_OK</t>
        </is>
      </c>
      <c r="S516" t="n">
        <v>2121.8</v>
      </c>
      <c r="T516" t="inlineStr">
        <is>
          <t>30-07-2026 09:42 IST</t>
        </is>
      </c>
    </row>
    <row r="517">
      <c r="A517" t="n">
        <v>68</v>
      </c>
      <c r="B517" t="n">
        <v>500696</v>
      </c>
      <c r="C517" t="inlineStr">
        <is>
          <t>Hindustan Unilever Ltd</t>
        </is>
      </c>
      <c r="D517" t="n">
        <v>2017</v>
      </c>
      <c r="E517" t="n">
        <v>2144.10009765625</v>
      </c>
      <c r="F517" t="n">
        <v>20.68</v>
      </c>
      <c r="G517" t="inlineStr">
        <is>
          <t>Consolidated first (v4) – needs verification for flagged rows</t>
        </is>
      </c>
      <c r="H517" t="n">
        <v>1384.099975585938</v>
      </c>
      <c r="I517" t="n">
        <v>817.25</v>
      </c>
      <c r="L517" t="inlineStr">
        <is>
          <t>OK</t>
        </is>
      </c>
      <c r="M517" t="n">
        <v>66.93000000000001</v>
      </c>
      <c r="N517" t="n">
        <v>39.52</v>
      </c>
      <c r="O517" t="n">
        <v>2121.8</v>
      </c>
      <c r="P517" t="n">
        <v>2750</v>
      </c>
      <c r="Q517" t="n">
        <v>2016</v>
      </c>
      <c r="R517" s="2" t="inlineStr">
        <is>
          <t>VERIFIED_OK</t>
        </is>
      </c>
      <c r="S517" t="n">
        <v>2121.8</v>
      </c>
      <c r="T517" t="inlineStr">
        <is>
          <t>30-07-2026 09:42 IST</t>
        </is>
      </c>
    </row>
    <row r="518">
      <c r="A518" t="n">
        <v>68</v>
      </c>
      <c r="B518" t="n">
        <v>500696</v>
      </c>
      <c r="C518" t="inlineStr">
        <is>
          <t>Hindustan Unilever Ltd</t>
        </is>
      </c>
      <c r="D518" t="n">
        <v>2018</v>
      </c>
      <c r="E518" t="n">
        <v>2144.10009765625</v>
      </c>
      <c r="F518" t="n">
        <v>24.09</v>
      </c>
      <c r="G518" t="inlineStr">
        <is>
          <t>Consolidated first (v4) – needs verification for flagged rows</t>
        </is>
      </c>
      <c r="H518" t="n">
        <v>1870.5</v>
      </c>
      <c r="I518" t="n">
        <v>1281.599975585938</v>
      </c>
      <c r="L518" t="inlineStr">
        <is>
          <t>OK</t>
        </is>
      </c>
      <c r="M518" t="n">
        <v>77.65000000000001</v>
      </c>
      <c r="N518" t="n">
        <v>53.2</v>
      </c>
      <c r="O518" t="n">
        <v>2121.8</v>
      </c>
      <c r="P518" t="n">
        <v>2750</v>
      </c>
      <c r="Q518" t="n">
        <v>2016</v>
      </c>
      <c r="R518" s="2" t="inlineStr">
        <is>
          <t>VERIFIED_OK</t>
        </is>
      </c>
      <c r="S518" t="n">
        <v>2121.8</v>
      </c>
      <c r="T518" t="inlineStr">
        <is>
          <t>30-07-2026 09:42 IST</t>
        </is>
      </c>
    </row>
    <row r="519">
      <c r="A519" t="n">
        <v>68</v>
      </c>
      <c r="B519" t="n">
        <v>500696</v>
      </c>
      <c r="C519" t="inlineStr">
        <is>
          <t>Hindustan Unilever Ltd</t>
        </is>
      </c>
      <c r="D519" t="n">
        <v>2019</v>
      </c>
      <c r="E519" t="n">
        <v>2144.10009765625</v>
      </c>
      <c r="F519" t="n">
        <v>27.97</v>
      </c>
      <c r="G519" t="inlineStr">
        <is>
          <t>Consolidated first (v4) – needs verification for flagged rows</t>
        </is>
      </c>
      <c r="H519" t="n">
        <v>2187</v>
      </c>
      <c r="I519" t="n">
        <v>1649.699951171875</v>
      </c>
      <c r="L519" t="inlineStr">
        <is>
          <t>OK</t>
        </is>
      </c>
      <c r="M519" t="n">
        <v>78.19</v>
      </c>
      <c r="N519" t="n">
        <v>58.98</v>
      </c>
      <c r="O519" t="n">
        <v>2121.8</v>
      </c>
      <c r="P519" t="n">
        <v>2750</v>
      </c>
      <c r="Q519" t="n">
        <v>2016</v>
      </c>
      <c r="R519" s="2" t="inlineStr">
        <is>
          <t>VERIFIED_OK</t>
        </is>
      </c>
      <c r="S519" t="n">
        <v>2121.8</v>
      </c>
      <c r="T519" t="inlineStr">
        <is>
          <t>30-07-2026 09:42 IST</t>
        </is>
      </c>
    </row>
    <row r="520">
      <c r="A520" t="n">
        <v>68</v>
      </c>
      <c r="B520" t="n">
        <v>500696</v>
      </c>
      <c r="C520" t="inlineStr">
        <is>
          <t>Hindustan Unilever Ltd</t>
        </is>
      </c>
      <c r="D520" t="n">
        <v>2020</v>
      </c>
      <c r="E520" t="n">
        <v>2144.10009765625</v>
      </c>
      <c r="F520" t="n">
        <v>31.17</v>
      </c>
      <c r="G520" t="inlineStr">
        <is>
          <t>Consolidated first (v4) – needs verification for flagged rows</t>
        </is>
      </c>
      <c r="H520" t="n">
        <v>2614</v>
      </c>
      <c r="I520" t="n">
        <v>1756</v>
      </c>
      <c r="L520" t="inlineStr">
        <is>
          <t>OK</t>
        </is>
      </c>
      <c r="M520" t="n">
        <v>83.86</v>
      </c>
      <c r="N520" t="n">
        <v>56.34</v>
      </c>
      <c r="O520" t="n">
        <v>2121.8</v>
      </c>
      <c r="P520" t="n">
        <v>2750</v>
      </c>
      <c r="Q520" t="n">
        <v>2016</v>
      </c>
      <c r="R520" s="2" t="inlineStr">
        <is>
          <t>VERIFIED_OK</t>
        </is>
      </c>
      <c r="S520" t="n">
        <v>2121.8</v>
      </c>
      <c r="T520" t="inlineStr">
        <is>
          <t>30-07-2026 09:42 IST</t>
        </is>
      </c>
    </row>
    <row r="521">
      <c r="A521" t="n">
        <v>68</v>
      </c>
      <c r="B521" t="n">
        <v>500696</v>
      </c>
      <c r="C521" t="inlineStr">
        <is>
          <t>Hindustan Unilever Ltd</t>
        </is>
      </c>
      <c r="D521" t="n">
        <v>2021</v>
      </c>
      <c r="E521" t="n">
        <v>2144.10009765625</v>
      </c>
      <c r="F521" t="n">
        <v>34.03</v>
      </c>
      <c r="G521" t="inlineStr">
        <is>
          <t>Consolidated first (v4) – needs verification for flagged rows</t>
        </is>
      </c>
      <c r="H521" t="n">
        <v>2859.10009765625</v>
      </c>
      <c r="I521" t="n">
        <v>2104.25</v>
      </c>
      <c r="L521" t="inlineStr">
        <is>
          <t>OK</t>
        </is>
      </c>
      <c r="M521" t="n">
        <v>84.02</v>
      </c>
      <c r="N521" t="n">
        <v>61.84</v>
      </c>
      <c r="O521" t="n">
        <v>2121.8</v>
      </c>
      <c r="P521" t="n">
        <v>2750</v>
      </c>
      <c r="Q521" t="n">
        <v>2016</v>
      </c>
      <c r="R521" s="2" t="inlineStr">
        <is>
          <t>VERIFIED_OK</t>
        </is>
      </c>
      <c r="S521" t="n">
        <v>2121.8</v>
      </c>
      <c r="T521" t="inlineStr">
        <is>
          <t>30-07-2026 09:42 IST</t>
        </is>
      </c>
    </row>
    <row r="522">
      <c r="A522" t="n">
        <v>68</v>
      </c>
      <c r="B522" t="n">
        <v>500696</v>
      </c>
      <c r="C522" t="inlineStr">
        <is>
          <t>Hindustan Unilever Ltd</t>
        </is>
      </c>
      <c r="D522" t="n">
        <v>2022</v>
      </c>
      <c r="E522" t="n">
        <v>2144.10009765625</v>
      </c>
      <c r="F522" t="n">
        <v>37.79</v>
      </c>
      <c r="G522" t="inlineStr">
        <is>
          <t>Consolidated first (v4) – needs verification for flagged rows</t>
        </is>
      </c>
      <c r="H522" t="n">
        <v>2741</v>
      </c>
      <c r="I522" t="n">
        <v>1901.800048828125</v>
      </c>
      <c r="L522" t="inlineStr">
        <is>
          <t>OK</t>
        </is>
      </c>
      <c r="M522" t="n">
        <v>72.53</v>
      </c>
      <c r="N522" t="n">
        <v>50.33</v>
      </c>
      <c r="O522" t="n">
        <v>2121.8</v>
      </c>
      <c r="P522" t="n">
        <v>2750</v>
      </c>
      <c r="Q522" t="n">
        <v>2016</v>
      </c>
      <c r="R522" s="2" t="inlineStr">
        <is>
          <t>VERIFIED_OK</t>
        </is>
      </c>
      <c r="S522" t="n">
        <v>2121.8</v>
      </c>
      <c r="T522" t="inlineStr">
        <is>
          <t>30-07-2026 09:42 IST</t>
        </is>
      </c>
    </row>
    <row r="523">
      <c r="A523" t="n">
        <v>68</v>
      </c>
      <c r="B523" t="n">
        <v>500696</v>
      </c>
      <c r="C523" t="inlineStr">
        <is>
          <t>Hindustan Unilever Ltd</t>
        </is>
      </c>
      <c r="D523" t="n">
        <v>2023</v>
      </c>
      <c r="E523" t="n">
        <v>2144.10009765625</v>
      </c>
      <c r="F523" t="n">
        <v>43.07</v>
      </c>
      <c r="G523" t="inlineStr">
        <is>
          <t>Consolidated first (v4) – needs verification for flagged rows</t>
        </is>
      </c>
      <c r="H523" t="n">
        <v>2768.5</v>
      </c>
      <c r="I523" t="n">
        <v>2393</v>
      </c>
      <c r="L523" t="inlineStr">
        <is>
          <t>OK</t>
        </is>
      </c>
      <c r="M523" t="n">
        <v>64.28</v>
      </c>
      <c r="N523" t="n">
        <v>55.56</v>
      </c>
      <c r="O523" t="n">
        <v>2121.8</v>
      </c>
      <c r="P523" t="n">
        <v>2750</v>
      </c>
      <c r="Q523" t="n">
        <v>2016</v>
      </c>
      <c r="R523" s="2" t="inlineStr">
        <is>
          <t>VERIFIED_OK</t>
        </is>
      </c>
      <c r="S523" t="n">
        <v>2121.8</v>
      </c>
      <c r="T523" t="inlineStr">
        <is>
          <t>30-07-2026 09:42 IST</t>
        </is>
      </c>
    </row>
    <row r="524">
      <c r="A524" t="n">
        <v>68</v>
      </c>
      <c r="B524" t="n">
        <v>500696</v>
      </c>
      <c r="C524" t="inlineStr">
        <is>
          <t>Hindustan Unilever Ltd</t>
        </is>
      </c>
      <c r="D524" t="n">
        <v>2024</v>
      </c>
      <c r="E524" t="n">
        <v>2144.10009765625</v>
      </c>
      <c r="F524" t="n">
        <v>43.74</v>
      </c>
      <c r="G524" t="inlineStr">
        <is>
          <t>Consolidated first (v4) – needs verification for flagged rows</t>
        </is>
      </c>
      <c r="H524" t="n">
        <v>3034.5</v>
      </c>
      <c r="I524" t="n">
        <v>2170.25</v>
      </c>
      <c r="L524" t="inlineStr">
        <is>
          <t>OK</t>
        </is>
      </c>
      <c r="M524" t="n">
        <v>69.38</v>
      </c>
      <c r="N524" t="n">
        <v>49.62</v>
      </c>
      <c r="O524" t="n">
        <v>2121.8</v>
      </c>
      <c r="P524" t="n">
        <v>2750</v>
      </c>
      <c r="Q524" t="n">
        <v>2016</v>
      </c>
      <c r="R524" s="2" t="inlineStr">
        <is>
          <t>VERIFIED_OK</t>
        </is>
      </c>
      <c r="S524" t="n">
        <v>2121.8</v>
      </c>
      <c r="T524" t="inlineStr">
        <is>
          <t>30-07-2026 09:42 IST</t>
        </is>
      </c>
    </row>
    <row r="525">
      <c r="A525" t="n">
        <v>68</v>
      </c>
      <c r="B525" t="n">
        <v>500696</v>
      </c>
      <c r="C525" t="inlineStr">
        <is>
          <t>Hindustan Unilever Ltd</t>
        </is>
      </c>
      <c r="D525" t="n">
        <v>2025</v>
      </c>
      <c r="E525" t="n">
        <v>2144.10009765625</v>
      </c>
      <c r="F525" t="n">
        <v>45.32</v>
      </c>
      <c r="G525" t="inlineStr">
        <is>
          <t>Consolidated first (v4) – needs verification for flagged rows</t>
        </is>
      </c>
      <c r="H525" t="n">
        <v>2779.699951171875</v>
      </c>
      <c r="I525" t="n">
        <v>2136</v>
      </c>
      <c r="L525" t="inlineStr">
        <is>
          <t>OK</t>
        </is>
      </c>
      <c r="M525" t="n">
        <v>61.33</v>
      </c>
      <c r="N525" t="n">
        <v>47.13</v>
      </c>
      <c r="O525" t="n">
        <v>2121.8</v>
      </c>
      <c r="P525" t="n">
        <v>2750</v>
      </c>
      <c r="Q525" t="n">
        <v>2016</v>
      </c>
      <c r="R525" s="2" t="inlineStr">
        <is>
          <t>VERIFIED_OK</t>
        </is>
      </c>
      <c r="S525" t="n">
        <v>2121.8</v>
      </c>
      <c r="T525" t="inlineStr">
        <is>
          <t>30-07-2026 09:42 IST</t>
        </is>
      </c>
    </row>
    <row r="526">
      <c r="A526" t="n">
        <v>68</v>
      </c>
      <c r="B526" t="n">
        <v>500696</v>
      </c>
      <c r="C526" t="inlineStr">
        <is>
          <t>Hindustan Unilever Ltd</t>
        </is>
      </c>
      <c r="D526" t="n">
        <v>2026</v>
      </c>
      <c r="E526" t="n">
        <v>2144.10009765625</v>
      </c>
      <c r="F526" t="n">
        <v>64.01000000000001</v>
      </c>
      <c r="G526" t="inlineStr">
        <is>
          <t>Consolidated first (v4) – needs verification for flagged rows</t>
        </is>
      </c>
      <c r="H526" t="n">
        <v>2479.699951171875</v>
      </c>
      <c r="I526" t="n">
        <v>2023.050048828125</v>
      </c>
      <c r="L526" t="inlineStr">
        <is>
          <t>OK</t>
        </is>
      </c>
      <c r="M526" t="n">
        <v>38.74</v>
      </c>
      <c r="N526" t="n">
        <v>31.61</v>
      </c>
      <c r="O526" t="n">
        <v>2121.8</v>
      </c>
      <c r="P526" t="n">
        <v>2750</v>
      </c>
      <c r="Q526" t="n">
        <v>2016</v>
      </c>
      <c r="R526" s="2" t="inlineStr">
        <is>
          <t>VERIFIED_OK</t>
        </is>
      </c>
      <c r="S526" t="n">
        <v>2121.8</v>
      </c>
      <c r="T526" t="inlineStr">
        <is>
          <t>30-07-2026 09:42 IST</t>
        </is>
      </c>
    </row>
    <row r="527">
      <c r="A527" t="n">
        <v>69</v>
      </c>
      <c r="B527" t="n">
        <v>500790</v>
      </c>
      <c r="C527" t="inlineStr">
        <is>
          <t>Nestle India Ltd</t>
        </is>
      </c>
      <c r="D527" t="n">
        <v>2015</v>
      </c>
      <c r="E527" t="n">
        <v>1427.900024414062</v>
      </c>
      <c r="G527" t="inlineStr">
        <is>
          <t>Consolidated first (v4) – needs verification for flagged rows</t>
        </is>
      </c>
      <c r="H527" t="n">
        <v>374.9974975585938</v>
      </c>
      <c r="I527" t="n">
        <v>274.9500122070312</v>
      </c>
      <c r="L527" t="inlineStr">
        <is>
          <t>INCOMPLETE</t>
        </is>
      </c>
      <c r="O527" t="n">
        <v>1523</v>
      </c>
      <c r="P527" t="n">
        <v>1523</v>
      </c>
      <c r="Q527" t="n">
        <v>1057.5</v>
      </c>
      <c r="R527" s="3" t="inlineStr">
        <is>
          <t>MISMATCH_NEEDS_CORRECTION</t>
        </is>
      </c>
      <c r="S527" t="n">
        <v>1523</v>
      </c>
      <c r="T527" t="inlineStr">
        <is>
          <t>30-07-2026 09:42 IST</t>
        </is>
      </c>
    </row>
    <row r="528">
      <c r="A528" t="n">
        <v>69</v>
      </c>
      <c r="B528" t="n">
        <v>500790</v>
      </c>
      <c r="C528" t="inlineStr">
        <is>
          <t>Nestle India Ltd</t>
        </is>
      </c>
      <c r="D528" t="n">
        <v>2016</v>
      </c>
      <c r="E528" t="n">
        <v>1427.900024414062</v>
      </c>
      <c r="G528" t="inlineStr">
        <is>
          <t>Consolidated first (v4) – needs verification for flagged rows</t>
        </is>
      </c>
      <c r="H528" t="n">
        <v>369.5</v>
      </c>
      <c r="I528" t="n">
        <v>249.5</v>
      </c>
      <c r="L528" t="inlineStr">
        <is>
          <t>INCOMPLETE</t>
        </is>
      </c>
      <c r="O528" t="n">
        <v>1523</v>
      </c>
      <c r="P528" t="n">
        <v>1523</v>
      </c>
      <c r="Q528" t="n">
        <v>1057.5</v>
      </c>
      <c r="R528" s="3" t="inlineStr">
        <is>
          <t>MISMATCH_NEEDS_CORRECTION</t>
        </is>
      </c>
      <c r="S528" t="n">
        <v>1523</v>
      </c>
      <c r="T528" t="inlineStr">
        <is>
          <t>30-07-2026 09:42 IST</t>
        </is>
      </c>
    </row>
    <row r="529">
      <c r="A529" t="n">
        <v>69</v>
      </c>
      <c r="B529" t="n">
        <v>500790</v>
      </c>
      <c r="C529" t="inlineStr">
        <is>
          <t>Nestle India Ltd</t>
        </is>
      </c>
      <c r="D529" t="n">
        <v>2017</v>
      </c>
      <c r="E529" t="n">
        <v>1427.900024414062</v>
      </c>
      <c r="G529" t="inlineStr">
        <is>
          <t>Consolidated first (v4) – needs verification for flagged rows</t>
        </is>
      </c>
      <c r="H529" t="n">
        <v>400.0499877929688</v>
      </c>
      <c r="I529" t="n">
        <v>290</v>
      </c>
      <c r="L529" t="inlineStr">
        <is>
          <t>INCOMPLETE</t>
        </is>
      </c>
      <c r="O529" t="n">
        <v>1523</v>
      </c>
      <c r="P529" t="n">
        <v>1523</v>
      </c>
      <c r="Q529" t="n">
        <v>1057.5</v>
      </c>
      <c r="R529" s="3" t="inlineStr">
        <is>
          <t>MISMATCH_NEEDS_CORRECTION</t>
        </is>
      </c>
      <c r="S529" t="n">
        <v>1523</v>
      </c>
      <c r="T529" t="inlineStr">
        <is>
          <t>30-07-2026 09:42 IST</t>
        </is>
      </c>
    </row>
    <row r="530">
      <c r="A530" t="n">
        <v>69</v>
      </c>
      <c r="B530" t="n">
        <v>500790</v>
      </c>
      <c r="C530" t="inlineStr">
        <is>
          <t>Nestle India Ltd</t>
        </is>
      </c>
      <c r="D530" t="n">
        <v>2018</v>
      </c>
      <c r="E530" t="n">
        <v>1427.900024414062</v>
      </c>
      <c r="G530" t="inlineStr">
        <is>
          <t>Consolidated first (v4) – needs verification for flagged rows</t>
        </is>
      </c>
      <c r="H530" t="n">
        <v>585.0025024414062</v>
      </c>
      <c r="I530" t="n">
        <v>344.3875122070312</v>
      </c>
      <c r="L530" t="inlineStr">
        <is>
          <t>INCOMPLETE</t>
        </is>
      </c>
      <c r="O530" t="n">
        <v>1523</v>
      </c>
      <c r="P530" t="n">
        <v>1523</v>
      </c>
      <c r="Q530" t="n">
        <v>1057.5</v>
      </c>
      <c r="R530" s="3" t="inlineStr">
        <is>
          <t>MISMATCH_NEEDS_CORRECTION</t>
        </is>
      </c>
      <c r="S530" t="n">
        <v>1523</v>
      </c>
      <c r="T530" t="inlineStr">
        <is>
          <t>30-07-2026 09:42 IST</t>
        </is>
      </c>
    </row>
    <row r="531">
      <c r="A531" t="n">
        <v>69</v>
      </c>
      <c r="B531" t="n">
        <v>500790</v>
      </c>
      <c r="C531" t="inlineStr">
        <is>
          <t>Nestle India Ltd</t>
        </is>
      </c>
      <c r="D531" t="n">
        <v>2019</v>
      </c>
      <c r="E531" t="n">
        <v>1427.900024414062</v>
      </c>
      <c r="G531" t="inlineStr">
        <is>
          <t>Consolidated first (v4) – needs verification for flagged rows</t>
        </is>
      </c>
      <c r="H531" t="n">
        <v>757.5</v>
      </c>
      <c r="I531" t="n">
        <v>501.4049987792969</v>
      </c>
      <c r="L531" t="inlineStr">
        <is>
          <t>INCOMPLETE</t>
        </is>
      </c>
      <c r="O531" t="n">
        <v>1523</v>
      </c>
      <c r="P531" t="n">
        <v>1523</v>
      </c>
      <c r="Q531" t="n">
        <v>1057.5</v>
      </c>
      <c r="R531" s="3" t="inlineStr">
        <is>
          <t>MISMATCH_NEEDS_CORRECTION</t>
        </is>
      </c>
      <c r="S531" t="n">
        <v>1523</v>
      </c>
      <c r="T531" t="inlineStr">
        <is>
          <t>30-07-2026 09:42 IST</t>
        </is>
      </c>
    </row>
    <row r="532">
      <c r="A532" t="n">
        <v>69</v>
      </c>
      <c r="B532" t="n">
        <v>500790</v>
      </c>
      <c r="C532" t="inlineStr">
        <is>
          <t>Nestle India Ltd</t>
        </is>
      </c>
      <c r="D532" t="n">
        <v>2020</v>
      </c>
      <c r="E532" t="n">
        <v>1427.900024414062</v>
      </c>
      <c r="G532" t="inlineStr">
        <is>
          <t>Consolidated first (v4) – needs verification for flagged rows</t>
        </is>
      </c>
      <c r="H532" t="n">
        <v>941.072509765625</v>
      </c>
      <c r="I532" t="n">
        <v>629.447509765625</v>
      </c>
      <c r="L532" t="inlineStr">
        <is>
          <t>INCOMPLETE</t>
        </is>
      </c>
      <c r="O532" t="n">
        <v>1523</v>
      </c>
      <c r="P532" t="n">
        <v>1523</v>
      </c>
      <c r="Q532" t="n">
        <v>1057.5</v>
      </c>
      <c r="R532" s="3" t="inlineStr">
        <is>
          <t>MISMATCH_NEEDS_CORRECTION</t>
        </is>
      </c>
      <c r="S532" t="n">
        <v>1523</v>
      </c>
      <c r="T532" t="inlineStr">
        <is>
          <t>30-07-2026 09:42 IST</t>
        </is>
      </c>
    </row>
    <row r="533">
      <c r="A533" t="n">
        <v>69</v>
      </c>
      <c r="B533" t="n">
        <v>500790</v>
      </c>
      <c r="C533" t="inlineStr">
        <is>
          <t>Nestle India Ltd</t>
        </is>
      </c>
      <c r="D533" t="n">
        <v>2021</v>
      </c>
      <c r="E533" t="n">
        <v>1427.900024414062</v>
      </c>
      <c r="G533" t="inlineStr">
        <is>
          <t>Consolidated first (v4) – needs verification for flagged rows</t>
        </is>
      </c>
      <c r="H533" t="n">
        <v>1029.99755859375</v>
      </c>
      <c r="I533" t="n">
        <v>795</v>
      </c>
      <c r="L533" t="inlineStr">
        <is>
          <t>INCOMPLETE</t>
        </is>
      </c>
      <c r="O533" t="n">
        <v>1523</v>
      </c>
      <c r="P533" t="n">
        <v>1523</v>
      </c>
      <c r="Q533" t="n">
        <v>1057.5</v>
      </c>
      <c r="R533" s="3" t="inlineStr">
        <is>
          <t>MISMATCH_NEEDS_CORRECTION</t>
        </is>
      </c>
      <c r="S533" t="n">
        <v>1523</v>
      </c>
      <c r="T533" t="inlineStr">
        <is>
          <t>30-07-2026 09:42 IST</t>
        </is>
      </c>
    </row>
    <row r="534">
      <c r="A534" t="n">
        <v>69</v>
      </c>
      <c r="B534" t="n">
        <v>500790</v>
      </c>
      <c r="C534" t="inlineStr">
        <is>
          <t>Nestle India Ltd</t>
        </is>
      </c>
      <c r="D534" t="n">
        <v>2022</v>
      </c>
      <c r="E534" t="n">
        <v>1427.900024414062</v>
      </c>
      <c r="G534" t="inlineStr">
        <is>
          <t>Consolidated first (v4) – needs verification for flagged rows</t>
        </is>
      </c>
      <c r="H534" t="n">
        <v>1052.650024414062</v>
      </c>
      <c r="I534" t="n">
        <v>800</v>
      </c>
      <c r="L534" t="inlineStr">
        <is>
          <t>INCOMPLETE</t>
        </is>
      </c>
      <c r="O534" t="n">
        <v>1523</v>
      </c>
      <c r="P534" t="n">
        <v>1523</v>
      </c>
      <c r="Q534" t="n">
        <v>1057.5</v>
      </c>
      <c r="R534" s="3" t="inlineStr">
        <is>
          <t>MISMATCH_NEEDS_CORRECTION</t>
        </is>
      </c>
      <c r="S534" t="n">
        <v>1523</v>
      </c>
      <c r="T534" t="inlineStr">
        <is>
          <t>30-07-2026 09:42 IST</t>
        </is>
      </c>
    </row>
    <row r="535">
      <c r="A535" t="n">
        <v>69</v>
      </c>
      <c r="B535" t="n">
        <v>500790</v>
      </c>
      <c r="C535" t="inlineStr">
        <is>
          <t>Nestle India Ltd</t>
        </is>
      </c>
      <c r="D535" t="n">
        <v>2023</v>
      </c>
      <c r="E535" t="n">
        <v>1427.900024414062</v>
      </c>
      <c r="F535" t="n">
        <v>15.55</v>
      </c>
      <c r="G535" t="inlineStr">
        <is>
          <t>Consolidated first (v4) – needs verification for flagged rows</t>
        </is>
      </c>
      <c r="H535" t="n">
        <v>1333.050048828125</v>
      </c>
      <c r="I535" t="n">
        <v>894.4000244140625</v>
      </c>
      <c r="L535" t="inlineStr">
        <is>
          <t>OK</t>
        </is>
      </c>
      <c r="M535" t="n">
        <v>85.73</v>
      </c>
      <c r="N535" t="n">
        <v>57.52</v>
      </c>
      <c r="O535" t="n">
        <v>1523</v>
      </c>
      <c r="P535" t="n">
        <v>1523</v>
      </c>
      <c r="Q535" t="n">
        <v>1057.5</v>
      </c>
      <c r="R535" s="3" t="inlineStr">
        <is>
          <t>MISMATCH_NEEDS_CORRECTION</t>
        </is>
      </c>
      <c r="S535" t="n">
        <v>1523</v>
      </c>
      <c r="T535" t="inlineStr">
        <is>
          <t>30-07-2026 09:42 IST</t>
        </is>
      </c>
    </row>
    <row r="536">
      <c r="A536" t="n">
        <v>69</v>
      </c>
      <c r="B536" t="n">
        <v>500790</v>
      </c>
      <c r="C536" t="inlineStr">
        <is>
          <t>Nestle India Ltd</t>
        </is>
      </c>
      <c r="D536" t="n">
        <v>2024</v>
      </c>
      <c r="E536" t="n">
        <v>1427.900024414062</v>
      </c>
      <c r="F536" t="n">
        <v>20.4</v>
      </c>
      <c r="G536" t="inlineStr">
        <is>
          <t>Consolidated first (v4) – needs verification for flagged rows</t>
        </is>
      </c>
      <c r="H536" t="n">
        <v>1388.5</v>
      </c>
      <c r="I536" t="n">
        <v>1073.224975585938</v>
      </c>
      <c r="L536" t="inlineStr">
        <is>
          <t>OK</t>
        </is>
      </c>
      <c r="M536" t="n">
        <v>68.06</v>
      </c>
      <c r="N536" t="n">
        <v>52.61</v>
      </c>
      <c r="O536" t="n">
        <v>1523</v>
      </c>
      <c r="P536" t="n">
        <v>1523</v>
      </c>
      <c r="Q536" t="n">
        <v>1057.5</v>
      </c>
      <c r="R536" s="3" t="inlineStr">
        <is>
          <t>MISMATCH_NEEDS_CORRECTION</t>
        </is>
      </c>
      <c r="S536" t="n">
        <v>1523</v>
      </c>
      <c r="T536" t="inlineStr">
        <is>
          <t>30-07-2026 09:42 IST</t>
        </is>
      </c>
    </row>
    <row r="537">
      <c r="A537" t="n">
        <v>69</v>
      </c>
      <c r="B537" t="n">
        <v>500790</v>
      </c>
      <c r="C537" t="inlineStr">
        <is>
          <t>Nestle India Ltd</t>
        </is>
      </c>
      <c r="D537" t="n">
        <v>2025</v>
      </c>
      <c r="E537" t="n">
        <v>1427.900024414062</v>
      </c>
      <c r="F537" t="n">
        <v>16.63</v>
      </c>
      <c r="G537" t="inlineStr">
        <is>
          <t>Consolidated first (v4) – needs verification for flagged rows</t>
        </is>
      </c>
      <c r="H537" t="n">
        <v>1310.5</v>
      </c>
      <c r="I537" t="n">
        <v>1057.5</v>
      </c>
      <c r="L537" t="inlineStr">
        <is>
          <t>OK</t>
        </is>
      </c>
      <c r="M537" t="n">
        <v>78.8</v>
      </c>
      <c r="N537" t="n">
        <v>63.59</v>
      </c>
      <c r="O537" t="n">
        <v>1523</v>
      </c>
      <c r="P537" t="n">
        <v>1523</v>
      </c>
      <c r="Q537" t="n">
        <v>1057.5</v>
      </c>
      <c r="R537" s="3" t="inlineStr">
        <is>
          <t>MISMATCH_NEEDS_CORRECTION</t>
        </is>
      </c>
      <c r="S537" t="n">
        <v>1523</v>
      </c>
      <c r="T537" t="inlineStr">
        <is>
          <t>30-07-2026 09:42 IST</t>
        </is>
      </c>
    </row>
    <row r="538">
      <c r="A538" t="n">
        <v>69</v>
      </c>
      <c r="B538" t="n">
        <v>500790</v>
      </c>
      <c r="C538" t="inlineStr">
        <is>
          <t>Nestle India Ltd</t>
        </is>
      </c>
      <c r="D538" t="n">
        <v>2026</v>
      </c>
      <c r="E538" t="n">
        <v>1427.900024414062</v>
      </c>
      <c r="F538" t="n">
        <v>18.15</v>
      </c>
      <c r="G538" t="inlineStr">
        <is>
          <t>Consolidated first (v4) – needs verification for flagged rows</t>
        </is>
      </c>
      <c r="H538" t="n">
        <v>1498.599975585938</v>
      </c>
      <c r="I538" t="n">
        <v>1160</v>
      </c>
      <c r="L538" t="inlineStr">
        <is>
          <t>OK</t>
        </is>
      </c>
      <c r="M538" t="n">
        <v>82.56999999999999</v>
      </c>
      <c r="N538" t="n">
        <v>63.91</v>
      </c>
      <c r="O538" t="n">
        <v>1523</v>
      </c>
      <c r="P538" t="n">
        <v>1523</v>
      </c>
      <c r="Q538" t="n">
        <v>1057.5</v>
      </c>
      <c r="R538" s="3" t="inlineStr">
        <is>
          <t>MISMATCH_NEEDS_CORRECTION</t>
        </is>
      </c>
      <c r="S538" t="n">
        <v>1523</v>
      </c>
      <c r="T538" t="inlineStr">
        <is>
          <t>30-07-2026 09:42 IST</t>
        </is>
      </c>
    </row>
    <row r="539">
      <c r="A539" t="n">
        <v>70</v>
      </c>
      <c r="B539" t="n">
        <v>500800</v>
      </c>
      <c r="C539" t="inlineStr">
        <is>
          <t>Tata Global Beverages Ltd</t>
        </is>
      </c>
      <c r="D539" t="n">
        <v>2015</v>
      </c>
      <c r="E539" t="n">
        <v>1107.400024414062</v>
      </c>
      <c r="F539" t="n">
        <v>3.86</v>
      </c>
      <c r="G539" t="inlineStr">
        <is>
          <t>Consolidated first (v4) – needs verification for flagged rows</t>
        </is>
      </c>
      <c r="H539" t="n">
        <v>167.6999969482422</v>
      </c>
      <c r="I539" t="n">
        <v>108.8499984741211</v>
      </c>
      <c r="L539" t="inlineStr">
        <is>
          <t>OK</t>
        </is>
      </c>
      <c r="M539" t="n">
        <v>43.45</v>
      </c>
      <c r="N539" t="n">
        <v>28.2</v>
      </c>
      <c r="O539">
        <f>IFERROR(VLOOKUP(B539,BSE_500_LIVE!A:E,3,FALSE),"")</f>
        <v/>
      </c>
      <c r="P539">
        <f>IFERROR(VLOOKUP(B539,BSE_500_LIVE!A:E,4,FALSE),"")</f>
        <v/>
      </c>
      <c r="Q539">
        <f>IFERROR(VLOOKUP(B539,BSE_500_LIVE!A:E,5,FALSE),"")</f>
        <v/>
      </c>
      <c r="R539">
        <f>IF(OR(E539="",O539=""),"PENDING_FETCH",IF(ABS(E539-O539)/E539&gt;0.005,"MISMATCH_NEEDS_CORRECTION","VERIFIED_OK"))</f>
        <v/>
      </c>
      <c r="S539">
        <f>IF(O539&lt;&gt;"",O539,E539)</f>
        <v/>
      </c>
      <c r="T539">
        <f>IFERROR(VLOOKUP(B539,BSE_500_LIVE!A:F,6,FALSE),"")</f>
        <v/>
      </c>
    </row>
    <row r="540">
      <c r="A540" t="n">
        <v>70</v>
      </c>
      <c r="B540" t="n">
        <v>500800</v>
      </c>
      <c r="C540" t="inlineStr">
        <is>
          <t>Tata Global Beverages Ltd</t>
        </is>
      </c>
      <c r="D540" t="n">
        <v>2016</v>
      </c>
      <c r="E540" t="n">
        <v>1107.400024414062</v>
      </c>
      <c r="F540" t="n">
        <v>-0.08</v>
      </c>
      <c r="G540" t="inlineStr">
        <is>
          <t>Consolidated first (v4) – needs verification for flagged rows</t>
        </is>
      </c>
      <c r="H540" t="n">
        <v>157.6499938964844</v>
      </c>
      <c r="I540" t="n">
        <v>100.0999984741211</v>
      </c>
      <c r="L540" t="inlineStr">
        <is>
          <t>UNVERIFIED – negative EPS</t>
        </is>
      </c>
      <c r="M540" t="n">
        <v>-1970.62</v>
      </c>
      <c r="N540" t="n">
        <v>-1251.25</v>
      </c>
      <c r="O540">
        <f>IFERROR(VLOOKUP(B540,BSE_500_LIVE!A:E,3,FALSE),"")</f>
        <v/>
      </c>
      <c r="P540">
        <f>IFERROR(VLOOKUP(B540,BSE_500_LIVE!A:E,4,FALSE),"")</f>
        <v/>
      </c>
      <c r="Q540">
        <f>IFERROR(VLOOKUP(B540,BSE_500_LIVE!A:E,5,FALSE),"")</f>
        <v/>
      </c>
      <c r="R540">
        <f>IF(OR(E540="",O540=""),"PENDING_FETCH",IF(ABS(E540-O540)/E540&gt;0.005,"MISMATCH_NEEDS_CORRECTION","VERIFIED_OK"))</f>
        <v/>
      </c>
      <c r="S540">
        <f>IF(O540&lt;&gt;"",O540,E540)</f>
        <v/>
      </c>
      <c r="T540">
        <f>IFERROR(VLOOKUP(B540,BSE_500_LIVE!A:F,6,FALSE),"")</f>
        <v/>
      </c>
    </row>
    <row r="541">
      <c r="A541" t="n">
        <v>70</v>
      </c>
      <c r="B541" t="n">
        <v>500800</v>
      </c>
      <c r="C541" t="inlineStr">
        <is>
          <t>Tata Global Beverages Ltd</t>
        </is>
      </c>
      <c r="D541" t="n">
        <v>2017</v>
      </c>
      <c r="E541" t="n">
        <v>1107.400024414062</v>
      </c>
      <c r="F541" t="n">
        <v>5.94</v>
      </c>
      <c r="G541" t="inlineStr">
        <is>
          <t>Consolidated first (v4) – needs verification for flagged rows</t>
        </is>
      </c>
      <c r="H541" t="n">
        <v>316.5</v>
      </c>
      <c r="I541" t="n">
        <v>123.1500015258789</v>
      </c>
      <c r="L541" t="inlineStr">
        <is>
          <t>OK</t>
        </is>
      </c>
      <c r="M541" t="n">
        <v>53.28</v>
      </c>
      <c r="N541" t="n">
        <v>20.73</v>
      </c>
      <c r="O541">
        <f>IFERROR(VLOOKUP(B541,BSE_500_LIVE!A:E,3,FALSE),"")</f>
        <v/>
      </c>
      <c r="P541">
        <f>IFERROR(VLOOKUP(B541,BSE_500_LIVE!A:E,4,FALSE),"")</f>
        <v/>
      </c>
      <c r="Q541">
        <f>IFERROR(VLOOKUP(B541,BSE_500_LIVE!A:E,5,FALSE),"")</f>
        <v/>
      </c>
      <c r="R541">
        <f>IF(OR(E541="",O541=""),"PENDING_FETCH",IF(ABS(E541-O541)/E541&gt;0.005,"MISMATCH_NEEDS_CORRECTION","VERIFIED_OK"))</f>
        <v/>
      </c>
      <c r="S541">
        <f>IF(O541&lt;&gt;"",O541,E541)</f>
        <v/>
      </c>
      <c r="T541">
        <f>IFERROR(VLOOKUP(B541,BSE_500_LIVE!A:F,6,FALSE),"")</f>
        <v/>
      </c>
    </row>
    <row r="542">
      <c r="A542" t="n">
        <v>70</v>
      </c>
      <c r="B542" t="n">
        <v>500800</v>
      </c>
      <c r="C542" t="inlineStr">
        <is>
          <t>Tata Global Beverages Ltd</t>
        </is>
      </c>
      <c r="D542" t="n">
        <v>2018</v>
      </c>
      <c r="E542" t="n">
        <v>1107.400024414062</v>
      </c>
      <c r="F542" t="n">
        <v>7.56</v>
      </c>
      <c r="G542" t="inlineStr">
        <is>
          <t>Consolidated first (v4) – needs verification for flagged rows</t>
        </is>
      </c>
      <c r="H542" t="n">
        <v>327.7000122070312</v>
      </c>
      <c r="I542" t="n">
        <v>195</v>
      </c>
      <c r="L542" t="inlineStr">
        <is>
          <t>OK</t>
        </is>
      </c>
      <c r="M542" t="n">
        <v>43.35</v>
      </c>
      <c r="N542" t="n">
        <v>25.79</v>
      </c>
      <c r="O542">
        <f>IFERROR(VLOOKUP(B542,BSE_500_LIVE!A:E,3,FALSE),"")</f>
        <v/>
      </c>
      <c r="P542">
        <f>IFERROR(VLOOKUP(B542,BSE_500_LIVE!A:E,4,FALSE),"")</f>
        <v/>
      </c>
      <c r="Q542">
        <f>IFERROR(VLOOKUP(B542,BSE_500_LIVE!A:E,5,FALSE),"")</f>
        <v/>
      </c>
      <c r="R542">
        <f>IF(OR(E542="",O542=""),"PENDING_FETCH",IF(ABS(E542-O542)/E542&gt;0.005,"MISMATCH_NEEDS_CORRECTION","VERIFIED_OK"))</f>
        <v/>
      </c>
      <c r="S542">
        <f>IF(O542&lt;&gt;"",O542,E542)</f>
        <v/>
      </c>
      <c r="T542">
        <f>IFERROR(VLOOKUP(B542,BSE_500_LIVE!A:F,6,FALSE),"")</f>
        <v/>
      </c>
    </row>
    <row r="543">
      <c r="A543" t="n">
        <v>70</v>
      </c>
      <c r="B543" t="n">
        <v>500800</v>
      </c>
      <c r="C543" t="inlineStr">
        <is>
          <t>Tata Global Beverages Ltd</t>
        </is>
      </c>
      <c r="D543" t="n">
        <v>2019</v>
      </c>
      <c r="E543" t="n">
        <v>1107.400024414062</v>
      </c>
      <c r="F543" t="n">
        <v>6.23</v>
      </c>
      <c r="G543" t="inlineStr">
        <is>
          <t>Consolidated first (v4) – needs verification for flagged rows</t>
        </is>
      </c>
      <c r="H543" t="n">
        <v>330</v>
      </c>
      <c r="I543" t="n">
        <v>177.5</v>
      </c>
      <c r="L543" t="inlineStr">
        <is>
          <t>OK</t>
        </is>
      </c>
      <c r="M543" t="n">
        <v>52.97</v>
      </c>
      <c r="N543" t="n">
        <v>28.49</v>
      </c>
      <c r="O543">
        <f>IFERROR(VLOOKUP(B543,BSE_500_LIVE!A:E,3,FALSE),"")</f>
        <v/>
      </c>
      <c r="P543">
        <f>IFERROR(VLOOKUP(B543,BSE_500_LIVE!A:E,4,FALSE),"")</f>
        <v/>
      </c>
      <c r="Q543">
        <f>IFERROR(VLOOKUP(B543,BSE_500_LIVE!A:E,5,FALSE),"")</f>
        <v/>
      </c>
      <c r="R543">
        <f>IF(OR(E543="",O543=""),"PENDING_FETCH",IF(ABS(E543-O543)/E543&gt;0.005,"MISMATCH_NEEDS_CORRECTION","VERIFIED_OK"))</f>
        <v/>
      </c>
      <c r="S543">
        <f>IF(O543&lt;&gt;"",O543,E543)</f>
        <v/>
      </c>
      <c r="T543">
        <f>IFERROR(VLOOKUP(B543,BSE_500_LIVE!A:F,6,FALSE),"")</f>
        <v/>
      </c>
    </row>
    <row r="544">
      <c r="A544" t="n">
        <v>70</v>
      </c>
      <c r="B544" t="n">
        <v>500800</v>
      </c>
      <c r="C544" t="inlineStr">
        <is>
          <t>Tata Global Beverages Ltd</t>
        </is>
      </c>
      <c r="D544" t="n">
        <v>2020</v>
      </c>
      <c r="E544" t="n">
        <v>1107.400024414062</v>
      </c>
      <c r="F544" t="n">
        <v>4.8</v>
      </c>
      <c r="G544" t="inlineStr">
        <is>
          <t>Consolidated first (v4) – needs verification for flagged rows</t>
        </is>
      </c>
      <c r="H544" t="n">
        <v>616.9000244140625</v>
      </c>
      <c r="I544" t="n">
        <v>214</v>
      </c>
      <c r="L544" t="inlineStr">
        <is>
          <t>OK</t>
        </is>
      </c>
      <c r="M544" t="n">
        <v>128.52</v>
      </c>
      <c r="N544" t="n">
        <v>44.58</v>
      </c>
      <c r="O544">
        <f>IFERROR(VLOOKUP(B544,BSE_500_LIVE!A:E,3,FALSE),"")</f>
        <v/>
      </c>
      <c r="P544">
        <f>IFERROR(VLOOKUP(B544,BSE_500_LIVE!A:E,4,FALSE),"")</f>
        <v/>
      </c>
      <c r="Q544">
        <f>IFERROR(VLOOKUP(B544,BSE_500_LIVE!A:E,5,FALSE),"")</f>
        <v/>
      </c>
      <c r="R544">
        <f>IF(OR(E544="",O544=""),"PENDING_FETCH",IF(ABS(E544-O544)/E544&gt;0.005,"MISMATCH_NEEDS_CORRECTION","VERIFIED_OK"))</f>
        <v/>
      </c>
      <c r="S544">
        <f>IF(O544&lt;&gt;"",O544,E544)</f>
        <v/>
      </c>
      <c r="T544">
        <f>IFERROR(VLOOKUP(B544,BSE_500_LIVE!A:F,6,FALSE),"")</f>
        <v/>
      </c>
    </row>
    <row r="545">
      <c r="A545" t="n">
        <v>70</v>
      </c>
      <c r="B545" t="n">
        <v>500800</v>
      </c>
      <c r="C545" t="inlineStr">
        <is>
          <t>Tata Global Beverages Ltd</t>
        </is>
      </c>
      <c r="D545" t="n">
        <v>2021</v>
      </c>
      <c r="E545" t="n">
        <v>1107.400024414062</v>
      </c>
      <c r="F545" t="n">
        <v>8.949999999999999</v>
      </c>
      <c r="G545" t="inlineStr">
        <is>
          <t>Consolidated first (v4) – needs verification for flagged rows</t>
        </is>
      </c>
      <c r="H545" t="n">
        <v>889</v>
      </c>
      <c r="I545" t="n">
        <v>554.5499877929688</v>
      </c>
      <c r="L545" t="inlineStr">
        <is>
          <t>OK</t>
        </is>
      </c>
      <c r="M545" t="n">
        <v>99.33</v>
      </c>
      <c r="N545" t="n">
        <v>61.96</v>
      </c>
      <c r="O545">
        <f>IFERROR(VLOOKUP(B545,BSE_500_LIVE!A:E,3,FALSE),"")</f>
        <v/>
      </c>
      <c r="P545">
        <f>IFERROR(VLOOKUP(B545,BSE_500_LIVE!A:E,4,FALSE),"")</f>
        <v/>
      </c>
      <c r="Q545">
        <f>IFERROR(VLOOKUP(B545,BSE_500_LIVE!A:E,5,FALSE),"")</f>
        <v/>
      </c>
      <c r="R545">
        <f>IF(OR(E545="",O545=""),"PENDING_FETCH",IF(ABS(E545-O545)/E545&gt;0.005,"MISMATCH_NEEDS_CORRECTION","VERIFIED_OK"))</f>
        <v/>
      </c>
      <c r="S545">
        <f>IF(O545&lt;&gt;"",O545,E545)</f>
        <v/>
      </c>
      <c r="T545">
        <f>IFERROR(VLOOKUP(B545,BSE_500_LIVE!A:F,6,FALSE),"")</f>
        <v/>
      </c>
    </row>
    <row r="546">
      <c r="A546" t="n">
        <v>70</v>
      </c>
      <c r="B546" t="n">
        <v>500800</v>
      </c>
      <c r="C546" t="inlineStr">
        <is>
          <t>Tata Global Beverages Ltd</t>
        </is>
      </c>
      <c r="D546" t="n">
        <v>2022</v>
      </c>
      <c r="E546" t="n">
        <v>1107.400024414062</v>
      </c>
      <c r="F546" t="n">
        <v>9.779999999999999</v>
      </c>
      <c r="G546" t="inlineStr">
        <is>
          <t>Consolidated first (v4) – needs verification for flagged rows</t>
        </is>
      </c>
      <c r="H546" t="n">
        <v>861.3499755859375</v>
      </c>
      <c r="I546" t="n">
        <v>650.75</v>
      </c>
      <c r="L546" t="inlineStr">
        <is>
          <t>OK</t>
        </is>
      </c>
      <c r="M546" t="n">
        <v>88.06999999999999</v>
      </c>
      <c r="N546" t="n">
        <v>66.54000000000001</v>
      </c>
      <c r="O546">
        <f>IFERROR(VLOOKUP(B546,BSE_500_LIVE!A:E,3,FALSE),"")</f>
        <v/>
      </c>
      <c r="P546">
        <f>IFERROR(VLOOKUP(B546,BSE_500_LIVE!A:E,4,FALSE),"")</f>
        <v/>
      </c>
      <c r="Q546">
        <f>IFERROR(VLOOKUP(B546,BSE_500_LIVE!A:E,5,FALSE),"")</f>
        <v/>
      </c>
      <c r="R546">
        <f>IF(OR(E546="",O546=""),"PENDING_FETCH",IF(ABS(E546-O546)/E546&gt;0.005,"MISMATCH_NEEDS_CORRECTION","VERIFIED_OK"))</f>
        <v/>
      </c>
      <c r="S546">
        <f>IF(O546&lt;&gt;"",O546,E546)</f>
        <v/>
      </c>
      <c r="T546">
        <f>IFERROR(VLOOKUP(B546,BSE_500_LIVE!A:F,6,FALSE),"")</f>
        <v/>
      </c>
    </row>
    <row r="547">
      <c r="A547" t="n">
        <v>70</v>
      </c>
      <c r="B547" t="n">
        <v>500800</v>
      </c>
      <c r="C547" t="inlineStr">
        <is>
          <t>Tata Global Beverages Ltd</t>
        </is>
      </c>
      <c r="D547" t="n">
        <v>2023</v>
      </c>
      <c r="E547" t="n">
        <v>1107.400024414062</v>
      </c>
      <c r="F547" t="n">
        <v>12.48</v>
      </c>
      <c r="G547" t="inlineStr">
        <is>
          <t>Consolidated first (v4) – needs verification for flagged rows</t>
        </is>
      </c>
      <c r="H547" t="n">
        <v>1094</v>
      </c>
      <c r="I547" t="n">
        <v>685</v>
      </c>
      <c r="L547" t="inlineStr">
        <is>
          <t>OK</t>
        </is>
      </c>
      <c r="M547" t="n">
        <v>87.66</v>
      </c>
      <c r="N547" t="n">
        <v>54.89</v>
      </c>
      <c r="O547">
        <f>IFERROR(VLOOKUP(B547,BSE_500_LIVE!A:E,3,FALSE),"")</f>
        <v/>
      </c>
      <c r="P547">
        <f>IFERROR(VLOOKUP(B547,BSE_500_LIVE!A:E,4,FALSE),"")</f>
        <v/>
      </c>
      <c r="Q547">
        <f>IFERROR(VLOOKUP(B547,BSE_500_LIVE!A:E,5,FALSE),"")</f>
        <v/>
      </c>
      <c r="R547">
        <f>IF(OR(E547="",O547=""),"PENDING_FETCH",IF(ABS(E547-O547)/E547&gt;0.005,"MISMATCH_NEEDS_CORRECTION","VERIFIED_OK"))</f>
        <v/>
      </c>
      <c r="S547">
        <f>IF(O547&lt;&gt;"",O547,E547)</f>
        <v/>
      </c>
      <c r="T547">
        <f>IFERROR(VLOOKUP(B547,BSE_500_LIVE!A:F,6,FALSE),"")</f>
        <v/>
      </c>
    </row>
    <row r="548">
      <c r="A548" t="n">
        <v>70</v>
      </c>
      <c r="B548" t="n">
        <v>500800</v>
      </c>
      <c r="C548" t="inlineStr">
        <is>
          <t>Tata Global Beverages Ltd</t>
        </is>
      </c>
      <c r="D548" t="n">
        <v>2024</v>
      </c>
      <c r="E548" t="n">
        <v>1107.400024414062</v>
      </c>
      <c r="F548" t="n">
        <v>11.63</v>
      </c>
      <c r="G548" t="inlineStr">
        <is>
          <t>Consolidated first (v4) – needs verification for flagged rows</t>
        </is>
      </c>
      <c r="H548" t="n">
        <v>1269.599975585938</v>
      </c>
      <c r="I548" t="n">
        <v>884</v>
      </c>
      <c r="L548" t="inlineStr">
        <is>
          <t>OK</t>
        </is>
      </c>
      <c r="M548" t="n">
        <v>109.17</v>
      </c>
      <c r="N548" t="n">
        <v>76.01000000000001</v>
      </c>
      <c r="O548">
        <f>IFERROR(VLOOKUP(B548,BSE_500_LIVE!A:E,3,FALSE),"")</f>
        <v/>
      </c>
      <c r="P548">
        <f>IFERROR(VLOOKUP(B548,BSE_500_LIVE!A:E,4,FALSE),"")</f>
        <v/>
      </c>
      <c r="Q548">
        <f>IFERROR(VLOOKUP(B548,BSE_500_LIVE!A:E,5,FALSE),"")</f>
        <v/>
      </c>
      <c r="R548">
        <f>IF(OR(E548="",O548=""),"PENDING_FETCH",IF(ABS(E548-O548)/E548&gt;0.005,"MISMATCH_NEEDS_CORRECTION","VERIFIED_OK"))</f>
        <v/>
      </c>
      <c r="S548">
        <f>IF(O548&lt;&gt;"",O548,E548)</f>
        <v/>
      </c>
      <c r="T548">
        <f>IFERROR(VLOOKUP(B548,BSE_500_LIVE!A:F,6,FALSE),"")</f>
        <v/>
      </c>
    </row>
    <row r="549">
      <c r="A549" t="n">
        <v>70</v>
      </c>
      <c r="B549" t="n">
        <v>500800</v>
      </c>
      <c r="C549" t="inlineStr">
        <is>
          <t>Tata Global Beverages Ltd</t>
        </is>
      </c>
      <c r="D549" t="n">
        <v>2025</v>
      </c>
      <c r="E549" t="n">
        <v>1107.400024414062</v>
      </c>
      <c r="F549" t="n">
        <v>12.92</v>
      </c>
      <c r="G549" t="inlineStr">
        <is>
          <t>Consolidated first (v4) – needs verification for flagged rows</t>
        </is>
      </c>
      <c r="H549" t="n">
        <v>1202.75</v>
      </c>
      <c r="I549" t="n">
        <v>912.7999877929688</v>
      </c>
      <c r="L549" t="inlineStr">
        <is>
          <t>OK</t>
        </is>
      </c>
      <c r="M549" t="n">
        <v>93.09</v>
      </c>
      <c r="N549" t="n">
        <v>70.65000000000001</v>
      </c>
      <c r="O549">
        <f>IFERROR(VLOOKUP(B549,BSE_500_LIVE!A:E,3,FALSE),"")</f>
        <v/>
      </c>
      <c r="P549">
        <f>IFERROR(VLOOKUP(B549,BSE_500_LIVE!A:E,4,FALSE),"")</f>
        <v/>
      </c>
      <c r="Q549">
        <f>IFERROR(VLOOKUP(B549,BSE_500_LIVE!A:E,5,FALSE),"")</f>
        <v/>
      </c>
      <c r="R549">
        <f>IF(OR(E549="",O549=""),"PENDING_FETCH",IF(ABS(E549-O549)/E549&gt;0.005,"MISMATCH_NEEDS_CORRECTION","VERIFIED_OK"))</f>
        <v/>
      </c>
      <c r="S549">
        <f>IF(O549&lt;&gt;"",O549,E549)</f>
        <v/>
      </c>
      <c r="T549">
        <f>IFERROR(VLOOKUP(B549,BSE_500_LIVE!A:F,6,FALSE),"")</f>
        <v/>
      </c>
    </row>
    <row r="550">
      <c r="A550" t="n">
        <v>70</v>
      </c>
      <c r="B550" t="n">
        <v>500800</v>
      </c>
      <c r="C550" t="inlineStr">
        <is>
          <t>Tata Global Beverages Ltd</t>
        </is>
      </c>
      <c r="D550" t="n">
        <v>2026</v>
      </c>
      <c r="E550" t="n">
        <v>1107.400024414062</v>
      </c>
      <c r="F550" t="n">
        <v>15.59</v>
      </c>
      <c r="G550" t="inlineStr">
        <is>
          <t>Consolidated first (v4) – needs verification for flagged rows</t>
        </is>
      </c>
      <c r="H550" t="n">
        <v>1282.650024414062</v>
      </c>
      <c r="I550" t="n">
        <v>1007.200012207031</v>
      </c>
      <c r="L550" t="inlineStr">
        <is>
          <t>OK</t>
        </is>
      </c>
      <c r="M550" t="n">
        <v>82.27</v>
      </c>
      <c r="N550" t="n">
        <v>64.61</v>
      </c>
      <c r="O550">
        <f>IFERROR(VLOOKUP(B550,BSE_500_LIVE!A:E,3,FALSE),"")</f>
        <v/>
      </c>
      <c r="P550">
        <f>IFERROR(VLOOKUP(B550,BSE_500_LIVE!A:E,4,FALSE),"")</f>
        <v/>
      </c>
      <c r="Q550">
        <f>IFERROR(VLOOKUP(B550,BSE_500_LIVE!A:E,5,FALSE),"")</f>
        <v/>
      </c>
      <c r="R550">
        <f>IF(OR(E550="",O550=""),"PENDING_FETCH",IF(ABS(E550-O550)/E550&gt;0.005,"MISMATCH_NEEDS_CORRECTION","VERIFIED_OK"))</f>
        <v/>
      </c>
      <c r="S550">
        <f>IF(O550&lt;&gt;"",O550,E550)</f>
        <v/>
      </c>
      <c r="T550">
        <f>IFERROR(VLOOKUP(B550,BSE_500_LIVE!A:F,6,FALSE),"")</f>
        <v/>
      </c>
    </row>
    <row r="551">
      <c r="A551" t="n">
        <v>72</v>
      </c>
      <c r="B551" t="n">
        <v>500850</v>
      </c>
      <c r="C551" t="inlineStr">
        <is>
          <t>Britannia Industries Ltd</t>
        </is>
      </c>
      <c r="D551" t="n">
        <v>2015</v>
      </c>
      <c r="E551" t="n">
        <v>728</v>
      </c>
      <c r="F551" t="n">
        <v>-3.51</v>
      </c>
      <c r="G551" t="inlineStr">
        <is>
          <t>Consolidated first (v4) – needs verification for flagged rows</t>
        </is>
      </c>
      <c r="H551" t="n">
        <v>115.1862640380859</v>
      </c>
      <c r="L551" t="inlineStr">
        <is>
          <t>UNVERIFIED – negative EPS</t>
        </is>
      </c>
      <c r="M551" t="n">
        <v>-32.82</v>
      </c>
      <c r="O551" t="n">
        <v>5530.65</v>
      </c>
      <c r="P551" t="n">
        <v>6336.95</v>
      </c>
      <c r="Q551" t="n">
        <v>4506.5</v>
      </c>
      <c r="R551" s="3" t="inlineStr">
        <is>
          <t>MISMATCH_NEEDS_CORRECTION</t>
        </is>
      </c>
      <c r="S551" t="n">
        <v>5530.65</v>
      </c>
      <c r="T551" t="inlineStr">
        <is>
          <t>30-07-2026 09:42 IST</t>
        </is>
      </c>
    </row>
    <row r="552">
      <c r="A552" t="n">
        <v>72</v>
      </c>
      <c r="B552" t="n">
        <v>500850</v>
      </c>
      <c r="C552" t="inlineStr">
        <is>
          <t>Britannia Industries Ltd</t>
        </is>
      </c>
      <c r="D552" t="n">
        <v>2016</v>
      </c>
      <c r="E552" t="n">
        <v>728</v>
      </c>
      <c r="F552" t="n">
        <v>-1.75</v>
      </c>
      <c r="G552" t="inlineStr">
        <is>
          <t>Consolidated first (v4) – needs verification for flagged rows</t>
        </is>
      </c>
      <c r="H552" t="n">
        <v>129.7490081787109</v>
      </c>
      <c r="I552" t="n">
        <v>80.5714111328125</v>
      </c>
      <c r="L552" t="inlineStr">
        <is>
          <t>UNVERIFIED – negative EPS</t>
        </is>
      </c>
      <c r="M552" t="n">
        <v>-74.14</v>
      </c>
      <c r="N552" t="n">
        <v>-46.04</v>
      </c>
      <c r="O552" t="n">
        <v>5530.65</v>
      </c>
      <c r="P552" t="n">
        <v>6336.95</v>
      </c>
      <c r="Q552" t="n">
        <v>4506.5</v>
      </c>
      <c r="R552" s="3" t="inlineStr">
        <is>
          <t>MISMATCH_NEEDS_CORRECTION</t>
        </is>
      </c>
      <c r="S552" t="n">
        <v>5530.65</v>
      </c>
      <c r="T552" t="inlineStr">
        <is>
          <t>30-07-2026 09:42 IST</t>
        </is>
      </c>
    </row>
    <row r="553">
      <c r="A553" t="n">
        <v>72</v>
      </c>
      <c r="B553" t="n">
        <v>500850</v>
      </c>
      <c r="C553" t="inlineStr">
        <is>
          <t>Britannia Industries Ltd</t>
        </is>
      </c>
      <c r="D553" t="n">
        <v>2017</v>
      </c>
      <c r="E553" t="n">
        <v>728</v>
      </c>
      <c r="F553" t="n">
        <v>24.15</v>
      </c>
      <c r="G553" t="inlineStr">
        <is>
          <t>Consolidated first (v4) – needs verification for flagged rows</t>
        </is>
      </c>
      <c r="H553" t="n">
        <v>132.1534423828125</v>
      </c>
      <c r="I553" t="n">
        <v>86.28762817382812</v>
      </c>
      <c r="L553" t="inlineStr">
        <is>
          <t>UNVERIFIED – negative EPS</t>
        </is>
      </c>
      <c r="M553" t="n">
        <v>5.47</v>
      </c>
      <c r="N553" t="n">
        <v>3.57</v>
      </c>
      <c r="O553" t="n">
        <v>5530.65</v>
      </c>
      <c r="P553" t="n">
        <v>6336.95</v>
      </c>
      <c r="Q553" t="n">
        <v>4506.5</v>
      </c>
      <c r="R553" s="3" t="inlineStr">
        <is>
          <t>MISMATCH_NEEDS_CORRECTION</t>
        </is>
      </c>
      <c r="S553" t="n">
        <v>5530.65</v>
      </c>
      <c r="T553" t="inlineStr">
        <is>
          <t>30-07-2026 09:42 IST</t>
        </is>
      </c>
    </row>
    <row r="554">
      <c r="A554" t="n">
        <v>72</v>
      </c>
      <c r="B554" t="n">
        <v>500850</v>
      </c>
      <c r="C554" t="inlineStr">
        <is>
          <t>Britannia Industries Ltd</t>
        </is>
      </c>
      <c r="D554" t="n">
        <v>2018</v>
      </c>
      <c r="E554" t="n">
        <v>728</v>
      </c>
      <c r="F554" t="n">
        <v>0.76</v>
      </c>
      <c r="G554" t="inlineStr">
        <is>
          <t>Consolidated first (v4) – needs verification for flagged rows</t>
        </is>
      </c>
      <c r="H554" t="n">
        <v>155.6952819824219</v>
      </c>
      <c r="I554" t="n">
        <v>106.6406097412109</v>
      </c>
      <c r="L554" t="inlineStr">
        <is>
          <t>OK</t>
        </is>
      </c>
      <c r="M554" t="n">
        <v>204.86</v>
      </c>
      <c r="N554" t="n">
        <v>140.32</v>
      </c>
      <c r="O554" t="n">
        <v>5530.65</v>
      </c>
      <c r="P554" t="n">
        <v>6336.95</v>
      </c>
      <c r="Q554" t="n">
        <v>4506.5</v>
      </c>
      <c r="R554" s="3" t="inlineStr">
        <is>
          <t>MISMATCH_NEEDS_CORRECTION</t>
        </is>
      </c>
      <c r="S554" t="n">
        <v>5530.65</v>
      </c>
      <c r="T554" t="inlineStr">
        <is>
          <t>30-07-2026 09:42 IST</t>
        </is>
      </c>
    </row>
    <row r="555">
      <c r="A555" t="n">
        <v>72</v>
      </c>
      <c r="B555" t="n">
        <v>500850</v>
      </c>
      <c r="C555" t="inlineStr">
        <is>
          <t>Britannia Industries Ltd</t>
        </is>
      </c>
      <c r="D555" t="n">
        <v>2019</v>
      </c>
      <c r="E555" t="n">
        <v>728</v>
      </c>
      <c r="F555" t="n">
        <v>2.17</v>
      </c>
      <c r="G555" t="inlineStr">
        <is>
          <t>Consolidated first (v4) – needs verification for flagged rows</t>
        </is>
      </c>
      <c r="H555" t="n">
        <v>159.0883941650391</v>
      </c>
      <c r="I555" t="n">
        <v>117.4500885009766</v>
      </c>
      <c r="L555" t="inlineStr">
        <is>
          <t>OK</t>
        </is>
      </c>
      <c r="M555" t="n">
        <v>73.31</v>
      </c>
      <c r="N555" t="n">
        <v>54.12</v>
      </c>
      <c r="O555" t="n">
        <v>5530.65</v>
      </c>
      <c r="P555" t="n">
        <v>6336.95</v>
      </c>
      <c r="Q555" t="n">
        <v>4506.5</v>
      </c>
      <c r="R555" s="3" t="inlineStr">
        <is>
          <t>MISMATCH_NEEDS_CORRECTION</t>
        </is>
      </c>
      <c r="S555" t="n">
        <v>5530.65</v>
      </c>
      <c r="T555" t="inlineStr">
        <is>
          <t>30-07-2026 09:42 IST</t>
        </is>
      </c>
    </row>
    <row r="556">
      <c r="A556" t="n">
        <v>72</v>
      </c>
      <c r="B556" t="n">
        <v>500850</v>
      </c>
      <c r="C556" t="inlineStr">
        <is>
          <t>Britannia Industries Ltd</t>
        </is>
      </c>
      <c r="D556" t="n">
        <v>2020</v>
      </c>
      <c r="E556" t="n">
        <v>728</v>
      </c>
      <c r="F556" t="n">
        <v>2.68</v>
      </c>
      <c r="G556" t="inlineStr">
        <is>
          <t>Consolidated first (v4) – needs verification for flagged rows</t>
        </is>
      </c>
      <c r="H556" t="n">
        <v>145.9522094726562</v>
      </c>
      <c r="I556" t="n">
        <v>60.20346832275391</v>
      </c>
      <c r="L556" t="inlineStr">
        <is>
          <t>OK</t>
        </is>
      </c>
      <c r="M556" t="n">
        <v>54.46</v>
      </c>
      <c r="N556" t="n">
        <v>22.46</v>
      </c>
      <c r="O556" t="n">
        <v>5530.65</v>
      </c>
      <c r="P556" t="n">
        <v>6336.95</v>
      </c>
      <c r="Q556" t="n">
        <v>4506.5</v>
      </c>
      <c r="R556" s="3" t="inlineStr">
        <is>
          <t>MISMATCH_NEEDS_CORRECTION</t>
        </is>
      </c>
      <c r="S556" t="n">
        <v>5530.65</v>
      </c>
      <c r="T556" t="inlineStr">
        <is>
          <t>30-07-2026 09:42 IST</t>
        </is>
      </c>
    </row>
    <row r="557">
      <c r="A557" t="n">
        <v>72</v>
      </c>
      <c r="B557" t="n">
        <v>500850</v>
      </c>
      <c r="C557" t="inlineStr">
        <is>
          <t>Britannia Industries Ltd</t>
        </is>
      </c>
      <c r="D557" t="n">
        <v>2021</v>
      </c>
      <c r="E557" t="n">
        <v>728</v>
      </c>
      <c r="F557" t="n">
        <v>-5.45</v>
      </c>
      <c r="G557" t="inlineStr">
        <is>
          <t>Consolidated first (v4) – needs verification for flagged rows</t>
        </is>
      </c>
      <c r="H557" t="n">
        <v>230.2467651367188</v>
      </c>
      <c r="I557" t="n">
        <v>90.93535614013672</v>
      </c>
      <c r="L557" t="inlineStr">
        <is>
          <t>UNVERIFIED – negative EPS</t>
        </is>
      </c>
      <c r="M557" t="n">
        <v>-42.25</v>
      </c>
      <c r="N557" t="n">
        <v>-16.69</v>
      </c>
      <c r="O557" t="n">
        <v>5530.65</v>
      </c>
      <c r="P557" t="n">
        <v>6336.95</v>
      </c>
      <c r="Q557" t="n">
        <v>4506.5</v>
      </c>
      <c r="R557" s="3" t="inlineStr">
        <is>
          <t>MISMATCH_NEEDS_CORRECTION</t>
        </is>
      </c>
      <c r="S557" t="n">
        <v>5530.65</v>
      </c>
      <c r="T557" t="inlineStr">
        <is>
          <t>30-07-2026 09:42 IST</t>
        </is>
      </c>
    </row>
    <row r="558">
      <c r="A558" t="n">
        <v>72</v>
      </c>
      <c r="B558" t="n">
        <v>500850</v>
      </c>
      <c r="C558" t="inlineStr">
        <is>
          <t>Britannia Industries Ltd</t>
        </is>
      </c>
      <c r="D558" t="n">
        <v>2022</v>
      </c>
      <c r="E558" t="n">
        <v>728</v>
      </c>
      <c r="F558" t="n">
        <v>-1.74</v>
      </c>
      <c r="G558" t="inlineStr">
        <is>
          <t>Consolidated first (v4) – needs verification for flagged rows</t>
        </is>
      </c>
      <c r="H558" t="n">
        <v>348.7000122070312</v>
      </c>
      <c r="I558" t="n">
        <v>178.1999969482422</v>
      </c>
      <c r="L558" t="inlineStr">
        <is>
          <t>UNVERIFIED – negative EPS</t>
        </is>
      </c>
      <c r="M558" t="n">
        <v>-200.4</v>
      </c>
      <c r="N558" t="n">
        <v>-102.41</v>
      </c>
      <c r="O558" t="n">
        <v>5530.65</v>
      </c>
      <c r="P558" t="n">
        <v>6336.95</v>
      </c>
      <c r="Q558" t="n">
        <v>4506.5</v>
      </c>
      <c r="R558" s="3" t="inlineStr">
        <is>
          <t>MISMATCH_NEEDS_CORRECTION</t>
        </is>
      </c>
      <c r="S558" t="n">
        <v>5530.65</v>
      </c>
      <c r="T558" t="inlineStr">
        <is>
          <t>30-07-2026 09:42 IST</t>
        </is>
      </c>
    </row>
    <row r="559">
      <c r="A559" t="n">
        <v>72</v>
      </c>
      <c r="B559" t="n">
        <v>500850</v>
      </c>
      <c r="C559" t="inlineStr">
        <is>
          <t>Britannia Industries Ltd</t>
        </is>
      </c>
      <c r="D559" t="n">
        <v>2023</v>
      </c>
      <c r="E559" t="n">
        <v>728</v>
      </c>
      <c r="F559" t="n">
        <v>7.06</v>
      </c>
      <c r="G559" t="inlineStr">
        <is>
          <t>Consolidated first (v4) – needs verification for flagged rows</t>
        </is>
      </c>
      <c r="H559" t="n">
        <v>451</v>
      </c>
      <c r="I559" t="n">
        <v>280.2000122070312</v>
      </c>
      <c r="L559" t="inlineStr">
        <is>
          <t>OK</t>
        </is>
      </c>
      <c r="M559" t="n">
        <v>63.88</v>
      </c>
      <c r="N559" t="n">
        <v>39.69</v>
      </c>
      <c r="O559" t="n">
        <v>5530.65</v>
      </c>
      <c r="P559" t="n">
        <v>6336.95</v>
      </c>
      <c r="Q559" t="n">
        <v>4506.5</v>
      </c>
      <c r="R559" s="3" t="inlineStr">
        <is>
          <t>MISMATCH_NEEDS_CORRECTION</t>
        </is>
      </c>
      <c r="S559" t="n">
        <v>5530.65</v>
      </c>
      <c r="T559" t="inlineStr">
        <is>
          <t>30-07-2026 09:42 IST</t>
        </is>
      </c>
    </row>
    <row r="560">
      <c r="A560" t="n">
        <v>72</v>
      </c>
      <c r="B560" t="n">
        <v>500850</v>
      </c>
      <c r="C560" t="inlineStr">
        <is>
          <t>Britannia Industries Ltd</t>
        </is>
      </c>
      <c r="D560" t="n">
        <v>2024</v>
      </c>
      <c r="E560" t="n">
        <v>728</v>
      </c>
      <c r="F560" t="n">
        <v>8.85</v>
      </c>
      <c r="G560" t="inlineStr">
        <is>
          <t>Consolidated first (v4) – needs verification for flagged rows</t>
        </is>
      </c>
      <c r="H560" t="n">
        <v>894.1500244140625</v>
      </c>
      <c r="I560" t="n">
        <v>429.2999877929688</v>
      </c>
      <c r="L560" t="inlineStr">
        <is>
          <t>OK</t>
        </is>
      </c>
      <c r="M560" t="n">
        <v>101.03</v>
      </c>
      <c r="N560" t="n">
        <v>48.51</v>
      </c>
      <c r="O560" t="n">
        <v>5530.65</v>
      </c>
      <c r="P560" t="n">
        <v>6336.95</v>
      </c>
      <c r="Q560" t="n">
        <v>4506.5</v>
      </c>
      <c r="R560" s="3" t="inlineStr">
        <is>
          <t>MISMATCH_NEEDS_CORRECTION</t>
        </is>
      </c>
      <c r="S560" t="n">
        <v>5530.65</v>
      </c>
      <c r="T560" t="inlineStr">
        <is>
          <t>30-07-2026 09:42 IST</t>
        </is>
      </c>
    </row>
    <row r="561">
      <c r="A561" t="n">
        <v>72</v>
      </c>
      <c r="B561" t="n">
        <v>500850</v>
      </c>
      <c r="C561" t="inlineStr">
        <is>
          <t>Britannia Industries Ltd</t>
        </is>
      </c>
      <c r="D561" t="n">
        <v>2025</v>
      </c>
      <c r="E561" t="n">
        <v>728</v>
      </c>
      <c r="F561" t="n">
        <v>13.4</v>
      </c>
      <c r="G561" t="inlineStr">
        <is>
          <t>Consolidated first (v4) – needs verification for flagged rows</t>
        </is>
      </c>
      <c r="H561" t="n">
        <v>883.7999877929688</v>
      </c>
      <c r="I561" t="n">
        <v>672.5499877929688</v>
      </c>
      <c r="L561" t="inlineStr">
        <is>
          <t>OK</t>
        </is>
      </c>
      <c r="M561" t="n">
        <v>65.95999999999999</v>
      </c>
      <c r="N561" t="n">
        <v>50.19</v>
      </c>
      <c r="O561" t="n">
        <v>5530.65</v>
      </c>
      <c r="P561" t="n">
        <v>6336.95</v>
      </c>
      <c r="Q561" t="n">
        <v>4506.5</v>
      </c>
      <c r="R561" s="3" t="inlineStr">
        <is>
          <t>MISMATCH_NEEDS_CORRECTION</t>
        </is>
      </c>
      <c r="S561" t="n">
        <v>5530.65</v>
      </c>
      <c r="T561" t="inlineStr">
        <is>
          <t>30-07-2026 09:42 IST</t>
        </is>
      </c>
    </row>
    <row r="562">
      <c r="A562" t="n">
        <v>72</v>
      </c>
      <c r="B562" t="n">
        <v>500850</v>
      </c>
      <c r="C562" t="inlineStr">
        <is>
          <t>Britannia Industries Ltd</t>
        </is>
      </c>
      <c r="D562" t="n">
        <v>2026</v>
      </c>
      <c r="E562" t="n">
        <v>728</v>
      </c>
      <c r="F562" t="n">
        <v>14.64</v>
      </c>
      <c r="G562" t="inlineStr">
        <is>
          <t>Consolidated first (v4) – needs verification for flagged rows</t>
        </is>
      </c>
      <c r="H562" t="n">
        <v>754.2000122070312</v>
      </c>
      <c r="I562" t="n">
        <v>565.25</v>
      </c>
      <c r="L562" t="inlineStr">
        <is>
          <t>OK</t>
        </is>
      </c>
      <c r="M562" t="n">
        <v>51.52</v>
      </c>
      <c r="N562" t="n">
        <v>38.61</v>
      </c>
      <c r="O562" t="n">
        <v>5530.65</v>
      </c>
      <c r="P562" t="n">
        <v>6336.95</v>
      </c>
      <c r="Q562" t="n">
        <v>4506.5</v>
      </c>
      <c r="R562" s="3" t="inlineStr">
        <is>
          <t>MISMATCH_NEEDS_CORRECTION</t>
        </is>
      </c>
      <c r="S562" t="n">
        <v>5530.65</v>
      </c>
      <c r="T562" t="inlineStr">
        <is>
          <t>30-07-2026 09:42 IST</t>
        </is>
      </c>
    </row>
    <row r="563">
      <c r="A563" t="n">
        <v>75</v>
      </c>
      <c r="B563" t="n">
        <v>500878</v>
      </c>
      <c r="C563" t="inlineStr">
        <is>
          <t>CEAT Ltd</t>
        </is>
      </c>
      <c r="D563" t="n">
        <v>2015</v>
      </c>
      <c r="E563" t="n">
        <v>3550.10009765625</v>
      </c>
      <c r="F563" t="n">
        <v>78.41</v>
      </c>
      <c r="G563" t="inlineStr">
        <is>
          <t>Consolidated first (v4) – needs verification for flagged rows</t>
        </is>
      </c>
      <c r="H563" t="n">
        <v>1318.300048828125</v>
      </c>
      <c r="I563" t="n">
        <v>596.7000122070312</v>
      </c>
      <c r="L563" t="inlineStr">
        <is>
          <t>OK</t>
        </is>
      </c>
      <c r="M563" t="n">
        <v>16.81</v>
      </c>
      <c r="N563" t="n">
        <v>7.61</v>
      </c>
      <c r="O563" t="n">
        <v>3504.9</v>
      </c>
      <c r="P563" t="n">
        <v>4438</v>
      </c>
      <c r="Q563" t="n">
        <v>3000.5</v>
      </c>
      <c r="R563" s="2" t="inlineStr">
        <is>
          <t>VERIFIED_OK</t>
        </is>
      </c>
      <c r="S563" t="n">
        <v>3504.9</v>
      </c>
      <c r="T563" t="inlineStr">
        <is>
          <t>30-07-2026 09:42 IST</t>
        </is>
      </c>
    </row>
    <row r="564">
      <c r="A564" t="n">
        <v>75</v>
      </c>
      <c r="B564" t="n">
        <v>500878</v>
      </c>
      <c r="C564" t="inlineStr">
        <is>
          <t>CEAT Ltd</t>
        </is>
      </c>
      <c r="D564" t="n">
        <v>2016</v>
      </c>
      <c r="E564" t="n">
        <v>3550.10009765625</v>
      </c>
      <c r="F564" t="n">
        <v>108.17</v>
      </c>
      <c r="G564" t="inlineStr">
        <is>
          <t>Consolidated first (v4) – needs verification for flagged rows</t>
        </is>
      </c>
      <c r="H564" t="n">
        <v>1422</v>
      </c>
      <c r="I564" t="n">
        <v>731.2000122070312</v>
      </c>
      <c r="L564" t="inlineStr">
        <is>
          <t>OK</t>
        </is>
      </c>
      <c r="M564" t="n">
        <v>13.15</v>
      </c>
      <c r="N564" t="n">
        <v>6.76</v>
      </c>
      <c r="O564" t="n">
        <v>3504.9</v>
      </c>
      <c r="P564" t="n">
        <v>4438</v>
      </c>
      <c r="Q564" t="n">
        <v>3000.5</v>
      </c>
      <c r="R564" s="2" t="inlineStr">
        <is>
          <t>VERIFIED_OK</t>
        </is>
      </c>
      <c r="S564" t="n">
        <v>3504.9</v>
      </c>
      <c r="T564" t="inlineStr">
        <is>
          <t>30-07-2026 09:42 IST</t>
        </is>
      </c>
    </row>
    <row r="565">
      <c r="A565" t="n">
        <v>75</v>
      </c>
      <c r="B565" t="n">
        <v>500878</v>
      </c>
      <c r="C565" t="inlineStr">
        <is>
          <t>CEAT Ltd</t>
        </is>
      </c>
      <c r="D565" t="n">
        <v>2017</v>
      </c>
      <c r="E565" t="n">
        <v>3550.10009765625</v>
      </c>
      <c r="F565" t="n">
        <v>89.28</v>
      </c>
      <c r="G565" t="inlineStr">
        <is>
          <t>Consolidated first (v4) – needs verification for flagged rows</t>
        </is>
      </c>
      <c r="H565" t="n">
        <v>2030</v>
      </c>
      <c r="I565" t="n">
        <v>1070.550048828125</v>
      </c>
      <c r="L565" t="inlineStr">
        <is>
          <t>OK</t>
        </is>
      </c>
      <c r="M565" t="n">
        <v>22.74</v>
      </c>
      <c r="N565" t="n">
        <v>11.99</v>
      </c>
      <c r="O565" t="n">
        <v>3504.9</v>
      </c>
      <c r="P565" t="n">
        <v>4438</v>
      </c>
      <c r="Q565" t="n">
        <v>3000.5</v>
      </c>
      <c r="R565" s="2" t="inlineStr">
        <is>
          <t>VERIFIED_OK</t>
        </is>
      </c>
      <c r="S565" t="n">
        <v>3504.9</v>
      </c>
      <c r="T565" t="inlineStr">
        <is>
          <t>30-07-2026 09:42 IST</t>
        </is>
      </c>
    </row>
    <row r="566">
      <c r="A566" t="n">
        <v>75</v>
      </c>
      <c r="B566" t="n">
        <v>500878</v>
      </c>
      <c r="C566" t="inlineStr">
        <is>
          <t>CEAT Ltd</t>
        </is>
      </c>
      <c r="D566" t="n">
        <v>2018</v>
      </c>
      <c r="E566" t="n">
        <v>3550.10009765625</v>
      </c>
      <c r="F566" t="n">
        <v>58.83</v>
      </c>
      <c r="G566" t="inlineStr">
        <is>
          <t>Consolidated first (v4) – needs verification for flagged rows</t>
        </is>
      </c>
      <c r="H566" t="n">
        <v>2030</v>
      </c>
      <c r="I566" t="n">
        <v>983.7999877929688</v>
      </c>
      <c r="L566" t="inlineStr">
        <is>
          <t>OK</t>
        </is>
      </c>
      <c r="M566" t="n">
        <v>34.51</v>
      </c>
      <c r="N566" t="n">
        <v>16.72</v>
      </c>
      <c r="O566" t="n">
        <v>3504.9</v>
      </c>
      <c r="P566" t="n">
        <v>4438</v>
      </c>
      <c r="Q566" t="n">
        <v>3000.5</v>
      </c>
      <c r="R566" s="2" t="inlineStr">
        <is>
          <t>VERIFIED_OK</t>
        </is>
      </c>
      <c r="S566" t="n">
        <v>3504.9</v>
      </c>
      <c r="T566" t="inlineStr">
        <is>
          <t>30-07-2026 09:42 IST</t>
        </is>
      </c>
    </row>
    <row r="567">
      <c r="A567" t="n">
        <v>75</v>
      </c>
      <c r="B567" t="n">
        <v>500878</v>
      </c>
      <c r="C567" t="inlineStr">
        <is>
          <t>CEAT Ltd</t>
        </is>
      </c>
      <c r="D567" t="n">
        <v>2019</v>
      </c>
      <c r="E567" t="n">
        <v>3550.10009765625</v>
      </c>
      <c r="F567" t="n">
        <v>62.35</v>
      </c>
      <c r="G567" t="inlineStr">
        <is>
          <t>Consolidated first (v4) – needs verification for flagged rows</t>
        </is>
      </c>
      <c r="H567" t="n">
        <v>1319.449951171875</v>
      </c>
      <c r="I567" t="n">
        <v>731</v>
      </c>
      <c r="L567" t="inlineStr">
        <is>
          <t>OK</t>
        </is>
      </c>
      <c r="M567" t="n">
        <v>21.16</v>
      </c>
      <c r="N567" t="n">
        <v>11.72</v>
      </c>
      <c r="O567" t="n">
        <v>3504.9</v>
      </c>
      <c r="P567" t="n">
        <v>4438</v>
      </c>
      <c r="Q567" t="n">
        <v>3000.5</v>
      </c>
      <c r="R567" s="2" t="inlineStr">
        <is>
          <t>VERIFIED_OK</t>
        </is>
      </c>
      <c r="S567" t="n">
        <v>3504.9</v>
      </c>
      <c r="T567" t="inlineStr">
        <is>
          <t>30-07-2026 09:42 IST</t>
        </is>
      </c>
    </row>
    <row r="568">
      <c r="A568" t="n">
        <v>75</v>
      </c>
      <c r="B568" t="n">
        <v>500878</v>
      </c>
      <c r="C568" t="inlineStr">
        <is>
          <t>CEAT Ltd</t>
        </is>
      </c>
      <c r="D568" t="n">
        <v>2020</v>
      </c>
      <c r="E568" t="n">
        <v>3550.10009765625</v>
      </c>
      <c r="F568" t="n">
        <v>57.17</v>
      </c>
      <c r="G568" t="inlineStr">
        <is>
          <t>Consolidated first (v4) – needs verification for flagged rows</t>
        </is>
      </c>
      <c r="H568" t="n">
        <v>1249</v>
      </c>
      <c r="I568" t="n">
        <v>601.5</v>
      </c>
      <c r="L568" t="inlineStr">
        <is>
          <t>OK</t>
        </is>
      </c>
      <c r="M568" t="n">
        <v>21.85</v>
      </c>
      <c r="N568" t="n">
        <v>10.52</v>
      </c>
      <c r="O568" t="n">
        <v>3504.9</v>
      </c>
      <c r="P568" t="n">
        <v>4438</v>
      </c>
      <c r="Q568" t="n">
        <v>3000.5</v>
      </c>
      <c r="R568" s="2" t="inlineStr">
        <is>
          <t>VERIFIED_OK</t>
        </is>
      </c>
      <c r="S568" t="n">
        <v>3504.9</v>
      </c>
      <c r="T568" t="inlineStr">
        <is>
          <t>30-07-2026 09:42 IST</t>
        </is>
      </c>
    </row>
    <row r="569">
      <c r="A569" t="n">
        <v>75</v>
      </c>
      <c r="B569" t="n">
        <v>500878</v>
      </c>
      <c r="C569" t="inlineStr">
        <is>
          <t>CEAT Ltd</t>
        </is>
      </c>
      <c r="D569" t="n">
        <v>2021</v>
      </c>
      <c r="E569" t="n">
        <v>3550.10009765625</v>
      </c>
      <c r="F569" t="n">
        <v>106.81</v>
      </c>
      <c r="G569" t="inlineStr">
        <is>
          <t>Consolidated first (v4) – needs verification for flagged rows</t>
        </is>
      </c>
      <c r="H569" t="n">
        <v>1763.150024414062</v>
      </c>
      <c r="I569" t="n">
        <v>1069.849975585938</v>
      </c>
      <c r="L569" t="inlineStr">
        <is>
          <t>OK</t>
        </is>
      </c>
      <c r="M569" t="n">
        <v>16.51</v>
      </c>
      <c r="N569" t="n">
        <v>10.02</v>
      </c>
      <c r="O569" t="n">
        <v>3504.9</v>
      </c>
      <c r="P569" t="n">
        <v>4438</v>
      </c>
      <c r="Q569" t="n">
        <v>3000.5</v>
      </c>
      <c r="R569" s="2" t="inlineStr">
        <is>
          <t>VERIFIED_OK</t>
        </is>
      </c>
      <c r="S569" t="n">
        <v>3504.9</v>
      </c>
      <c r="T569" t="inlineStr">
        <is>
          <t>30-07-2026 09:42 IST</t>
        </is>
      </c>
    </row>
    <row r="570">
      <c r="A570" t="n">
        <v>75</v>
      </c>
      <c r="B570" t="n">
        <v>500878</v>
      </c>
      <c r="C570" t="inlineStr">
        <is>
          <t>CEAT Ltd</t>
        </is>
      </c>
      <c r="D570" t="n">
        <v>2022</v>
      </c>
      <c r="E570" t="n">
        <v>3550.10009765625</v>
      </c>
      <c r="F570" t="n">
        <v>17.6</v>
      </c>
      <c r="G570" t="inlineStr">
        <is>
          <t>Consolidated first (v4) – needs verification for flagged rows</t>
        </is>
      </c>
      <c r="H570" t="n">
        <v>1981.449951171875</v>
      </c>
      <c r="I570" t="n">
        <v>890.0499877929688</v>
      </c>
      <c r="L570" t="inlineStr">
        <is>
          <t>OK</t>
        </is>
      </c>
      <c r="M570" t="n">
        <v>112.58</v>
      </c>
      <c r="N570" t="n">
        <v>50.57</v>
      </c>
      <c r="O570" t="n">
        <v>3504.9</v>
      </c>
      <c r="P570" t="n">
        <v>4438</v>
      </c>
      <c r="Q570" t="n">
        <v>3000.5</v>
      </c>
      <c r="R570" s="2" t="inlineStr">
        <is>
          <t>VERIFIED_OK</t>
        </is>
      </c>
      <c r="S570" t="n">
        <v>3504.9</v>
      </c>
      <c r="T570" t="inlineStr">
        <is>
          <t>30-07-2026 09:42 IST</t>
        </is>
      </c>
    </row>
    <row r="571">
      <c r="A571" t="n">
        <v>75</v>
      </c>
      <c r="B571" t="n">
        <v>500878</v>
      </c>
      <c r="C571" t="inlineStr">
        <is>
          <t>CEAT Ltd</t>
        </is>
      </c>
      <c r="D571" t="n">
        <v>2023</v>
      </c>
      <c r="E571" t="n">
        <v>3550.10009765625</v>
      </c>
      <c r="F571" t="n">
        <v>46.02</v>
      </c>
      <c r="G571" t="inlineStr">
        <is>
          <t>Consolidated first (v4) – needs verification for flagged rows</t>
        </is>
      </c>
      <c r="H571" t="n">
        <v>2640</v>
      </c>
      <c r="I571" t="n">
        <v>1357.599975585938</v>
      </c>
      <c r="L571" t="inlineStr">
        <is>
          <t>OK</t>
        </is>
      </c>
      <c r="M571" t="n">
        <v>57.37</v>
      </c>
      <c r="N571" t="n">
        <v>29.5</v>
      </c>
      <c r="O571" t="n">
        <v>3504.9</v>
      </c>
      <c r="P571" t="n">
        <v>4438</v>
      </c>
      <c r="Q571" t="n">
        <v>3000.5</v>
      </c>
      <c r="R571" s="2" t="inlineStr">
        <is>
          <t>VERIFIED_OK</t>
        </is>
      </c>
      <c r="S571" t="n">
        <v>3504.9</v>
      </c>
      <c r="T571" t="inlineStr">
        <is>
          <t>30-07-2026 09:42 IST</t>
        </is>
      </c>
    </row>
    <row r="572">
      <c r="A572" t="n">
        <v>75</v>
      </c>
      <c r="B572" t="n">
        <v>500878</v>
      </c>
      <c r="C572" t="inlineStr">
        <is>
          <t>CEAT Ltd</t>
        </is>
      </c>
      <c r="D572" t="n">
        <v>2024</v>
      </c>
      <c r="E572" t="n">
        <v>3550.10009765625</v>
      </c>
      <c r="F572" t="n">
        <v>158.87</v>
      </c>
      <c r="G572" t="inlineStr">
        <is>
          <t>Consolidated first (v4) – needs verification for flagged rows</t>
        </is>
      </c>
      <c r="H572" t="n">
        <v>3581.449951171875</v>
      </c>
      <c r="I572" t="n">
        <v>2211</v>
      </c>
      <c r="L572" t="inlineStr">
        <is>
          <t>OK</t>
        </is>
      </c>
      <c r="M572" t="n">
        <v>22.54</v>
      </c>
      <c r="N572" t="n">
        <v>13.92</v>
      </c>
      <c r="O572" t="n">
        <v>3504.9</v>
      </c>
      <c r="P572" t="n">
        <v>4438</v>
      </c>
      <c r="Q572" t="n">
        <v>3000.5</v>
      </c>
      <c r="R572" s="2" t="inlineStr">
        <is>
          <t>VERIFIED_OK</t>
        </is>
      </c>
      <c r="S572" t="n">
        <v>3504.9</v>
      </c>
      <c r="T572" t="inlineStr">
        <is>
          <t>30-07-2026 09:42 IST</t>
        </is>
      </c>
    </row>
    <row r="573">
      <c r="A573" t="n">
        <v>75</v>
      </c>
      <c r="B573" t="n">
        <v>500878</v>
      </c>
      <c r="C573" t="inlineStr">
        <is>
          <t>CEAT Ltd</t>
        </is>
      </c>
      <c r="D573" t="n">
        <v>2025</v>
      </c>
      <c r="E573" t="n">
        <v>3550.10009765625</v>
      </c>
      <c r="F573" t="n">
        <v>116.85</v>
      </c>
      <c r="G573" t="inlineStr">
        <is>
          <t>Consolidated first (v4) – needs verification for flagged rows</t>
        </is>
      </c>
      <c r="H573" t="n">
        <v>4431.60009765625</v>
      </c>
      <c r="I573" t="n">
        <v>2322.050048828125</v>
      </c>
      <c r="L573" t="inlineStr">
        <is>
          <t>OK</t>
        </is>
      </c>
      <c r="M573" t="n">
        <v>37.93</v>
      </c>
      <c r="N573" t="n">
        <v>19.87</v>
      </c>
      <c r="O573" t="n">
        <v>3504.9</v>
      </c>
      <c r="P573" t="n">
        <v>4438</v>
      </c>
      <c r="Q573" t="n">
        <v>3000.5</v>
      </c>
      <c r="R573" s="2" t="inlineStr">
        <is>
          <t>VERIFIED_OK</t>
        </is>
      </c>
      <c r="S573" t="n">
        <v>3504.9</v>
      </c>
      <c r="T573" t="inlineStr">
        <is>
          <t>30-07-2026 09:42 IST</t>
        </is>
      </c>
    </row>
    <row r="574">
      <c r="A574" t="n">
        <v>75</v>
      </c>
      <c r="B574" t="n">
        <v>500878</v>
      </c>
      <c r="C574" t="inlineStr">
        <is>
          <t>CEAT Ltd</t>
        </is>
      </c>
      <c r="D574" t="n">
        <v>2026</v>
      </c>
      <c r="E574" t="n">
        <v>3550.10009765625</v>
      </c>
      <c r="F574" t="n">
        <v>172.56</v>
      </c>
      <c r="G574" t="inlineStr">
        <is>
          <t>Consolidated first (v4) – needs verification for flagged rows</t>
        </is>
      </c>
      <c r="H574" t="n">
        <v>4126</v>
      </c>
      <c r="I574" t="n">
        <v>3061.25</v>
      </c>
      <c r="L574" t="inlineStr">
        <is>
          <t>OK</t>
        </is>
      </c>
      <c r="M574" t="n">
        <v>23.91</v>
      </c>
      <c r="N574" t="n">
        <v>17.74</v>
      </c>
      <c r="O574" t="n">
        <v>3504.9</v>
      </c>
      <c r="P574" t="n">
        <v>4438</v>
      </c>
      <c r="Q574" t="n">
        <v>3000.5</v>
      </c>
      <c r="R574" s="2" t="inlineStr">
        <is>
          <t>VERIFIED_OK</t>
        </is>
      </c>
      <c r="S574" t="n">
        <v>3504.9</v>
      </c>
      <c r="T574" t="inlineStr">
        <is>
          <t>30-07-2026 09:42 IST</t>
        </is>
      </c>
    </row>
    <row r="575">
      <c r="A575" t="n">
        <v>79</v>
      </c>
      <c r="B575" t="n">
        <v>501242</v>
      </c>
      <c r="C575" t="inlineStr">
        <is>
          <t>Tribhovandas Bhimji Zaveri Ltd</t>
        </is>
      </c>
      <c r="D575" t="n">
        <v>2015</v>
      </c>
      <c r="E575" t="n">
        <v>15.84000015258789</v>
      </c>
      <c r="F575" t="n">
        <v>5.3</v>
      </c>
      <c r="G575" t="inlineStr">
        <is>
          <t>Consolidated first (v4) – needs verification for flagged rows</t>
        </is>
      </c>
      <c r="H575" t="n">
        <v>50.34999847412109</v>
      </c>
      <c r="L575" t="inlineStr">
        <is>
          <t>OK</t>
        </is>
      </c>
      <c r="M575" t="n">
        <v>9.5</v>
      </c>
      <c r="O575" t="n">
        <v>277.89</v>
      </c>
      <c r="P575" t="n">
        <v>293.9</v>
      </c>
      <c r="Q575" t="n">
        <v>110.5</v>
      </c>
      <c r="R575" s="3" t="inlineStr">
        <is>
          <t>MISMATCH_NEEDS_CORRECTION</t>
        </is>
      </c>
      <c r="S575" t="n">
        <v>277.89</v>
      </c>
      <c r="T575" t="inlineStr">
        <is>
          <t>30-07-2026 09:42 IST</t>
        </is>
      </c>
    </row>
    <row r="576">
      <c r="A576" t="n">
        <v>79</v>
      </c>
      <c r="B576" t="n">
        <v>501242</v>
      </c>
      <c r="C576" t="inlineStr">
        <is>
          <t>Tribhovandas Bhimji Zaveri Ltd</t>
        </is>
      </c>
      <c r="D576" t="n">
        <v>2016</v>
      </c>
      <c r="E576" t="n">
        <v>15.84000015258789</v>
      </c>
      <c r="F576" t="n">
        <v>1.51</v>
      </c>
      <c r="G576" t="inlineStr">
        <is>
          <t>Consolidated first (v4) – needs verification for flagged rows</t>
        </is>
      </c>
      <c r="H576" t="n">
        <v>35</v>
      </c>
      <c r="I576" t="n">
        <v>17.04999923706055</v>
      </c>
      <c r="L576" t="inlineStr">
        <is>
          <t>OK</t>
        </is>
      </c>
      <c r="M576" t="n">
        <v>23.18</v>
      </c>
      <c r="N576" t="n">
        <v>11.29</v>
      </c>
      <c r="O576" t="n">
        <v>277.89</v>
      </c>
      <c r="P576" t="n">
        <v>293.9</v>
      </c>
      <c r="Q576" t="n">
        <v>110.5</v>
      </c>
      <c r="R576" s="3" t="inlineStr">
        <is>
          <t>MISMATCH_NEEDS_CORRECTION</t>
        </is>
      </c>
      <c r="S576" t="n">
        <v>277.89</v>
      </c>
      <c r="T576" t="inlineStr">
        <is>
          <t>30-07-2026 09:42 IST</t>
        </is>
      </c>
    </row>
    <row r="577">
      <c r="A577" t="n">
        <v>79</v>
      </c>
      <c r="B577" t="n">
        <v>501242</v>
      </c>
      <c r="C577" t="inlineStr">
        <is>
          <t>Tribhovandas Bhimji Zaveri Ltd</t>
        </is>
      </c>
      <c r="D577" t="n">
        <v>2017</v>
      </c>
      <c r="E577" t="n">
        <v>15.84000015258789</v>
      </c>
      <c r="F577" t="n">
        <v>2.83</v>
      </c>
      <c r="G577" t="inlineStr">
        <is>
          <t>Consolidated first (v4) – needs verification for flagged rows</t>
        </is>
      </c>
      <c r="H577" t="n">
        <v>32.09999847412109</v>
      </c>
      <c r="I577" t="n">
        <v>20.10000038146973</v>
      </c>
      <c r="L577" t="inlineStr">
        <is>
          <t>OK</t>
        </is>
      </c>
      <c r="M577" t="n">
        <v>11.34</v>
      </c>
      <c r="N577" t="n">
        <v>7.1</v>
      </c>
      <c r="O577" t="n">
        <v>277.89</v>
      </c>
      <c r="P577" t="n">
        <v>293.9</v>
      </c>
      <c r="Q577" t="n">
        <v>110.5</v>
      </c>
      <c r="R577" s="3" t="inlineStr">
        <is>
          <t>MISMATCH_NEEDS_CORRECTION</t>
        </is>
      </c>
      <c r="S577" t="n">
        <v>277.89</v>
      </c>
      <c r="T577" t="inlineStr">
        <is>
          <t>30-07-2026 09:42 IST</t>
        </is>
      </c>
    </row>
    <row r="578">
      <c r="A578" t="n">
        <v>79</v>
      </c>
      <c r="B578" t="n">
        <v>501242</v>
      </c>
      <c r="C578" t="inlineStr">
        <is>
          <t>Tribhovandas Bhimji Zaveri Ltd</t>
        </is>
      </c>
      <c r="D578" t="n">
        <v>2018</v>
      </c>
      <c r="E578" t="n">
        <v>15.84000015258789</v>
      </c>
      <c r="F578" t="n">
        <v>1.3</v>
      </c>
      <c r="G578" t="inlineStr">
        <is>
          <t>Consolidated first (v4) – needs verification for flagged rows</t>
        </is>
      </c>
      <c r="H578" t="n">
        <v>37.04999923706055</v>
      </c>
      <c r="I578" t="n">
        <v>12.19999980926514</v>
      </c>
      <c r="L578" t="inlineStr">
        <is>
          <t>OK</t>
        </is>
      </c>
      <c r="M578" t="n">
        <v>28.5</v>
      </c>
      <c r="N578" t="n">
        <v>9.380000000000001</v>
      </c>
      <c r="O578" t="n">
        <v>277.89</v>
      </c>
      <c r="P578" t="n">
        <v>293.9</v>
      </c>
      <c r="Q578" t="n">
        <v>110.5</v>
      </c>
      <c r="R578" s="3" t="inlineStr">
        <is>
          <t>MISMATCH_NEEDS_CORRECTION</t>
        </is>
      </c>
      <c r="S578" t="n">
        <v>277.89</v>
      </c>
      <c r="T578" t="inlineStr">
        <is>
          <t>30-07-2026 09:42 IST</t>
        </is>
      </c>
    </row>
    <row r="579">
      <c r="A579" t="n">
        <v>79</v>
      </c>
      <c r="B579" t="n">
        <v>501242</v>
      </c>
      <c r="C579" t="inlineStr">
        <is>
          <t>Tribhovandas Bhimji Zaveri Ltd</t>
        </is>
      </c>
      <c r="D579" t="n">
        <v>2019</v>
      </c>
      <c r="E579" t="n">
        <v>15.84000015258789</v>
      </c>
      <c r="F579" t="n">
        <v>3.84</v>
      </c>
      <c r="G579" t="inlineStr">
        <is>
          <t>Consolidated first (v4) – needs verification for flagged rows</t>
        </is>
      </c>
      <c r="H579" t="n">
        <v>19.5</v>
      </c>
      <c r="I579" t="n">
        <v>7</v>
      </c>
      <c r="L579" t="inlineStr">
        <is>
          <t>OK</t>
        </is>
      </c>
      <c r="M579" t="n">
        <v>5.08</v>
      </c>
      <c r="N579" t="n">
        <v>1.82</v>
      </c>
      <c r="O579" t="n">
        <v>277.89</v>
      </c>
      <c r="P579" t="n">
        <v>293.9</v>
      </c>
      <c r="Q579" t="n">
        <v>110.5</v>
      </c>
      <c r="R579" s="3" t="inlineStr">
        <is>
          <t>MISMATCH_NEEDS_CORRECTION</t>
        </is>
      </c>
      <c r="S579" t="n">
        <v>277.89</v>
      </c>
      <c r="T579" t="inlineStr">
        <is>
          <t>30-07-2026 09:42 IST</t>
        </is>
      </c>
    </row>
    <row r="580">
      <c r="A580" t="n">
        <v>79</v>
      </c>
      <c r="B580" t="n">
        <v>501242</v>
      </c>
      <c r="C580" t="inlineStr">
        <is>
          <t>Tribhovandas Bhimji Zaveri Ltd</t>
        </is>
      </c>
      <c r="D580" t="n">
        <v>2020</v>
      </c>
      <c r="E580" t="n">
        <v>15.84000015258789</v>
      </c>
      <c r="G580" t="inlineStr">
        <is>
          <t>Consolidated first (v4) – needs verification for flagged rows</t>
        </is>
      </c>
      <c r="H580" t="n">
        <v>9</v>
      </c>
      <c r="I580" t="n">
        <v>3.799999952316284</v>
      </c>
      <c r="L580" t="inlineStr">
        <is>
          <t>INCOMPLETE</t>
        </is>
      </c>
      <c r="O580" t="n">
        <v>277.89</v>
      </c>
      <c r="P580" t="n">
        <v>293.9</v>
      </c>
      <c r="Q580" t="n">
        <v>110.5</v>
      </c>
      <c r="R580" s="3" t="inlineStr">
        <is>
          <t>MISMATCH_NEEDS_CORRECTION</t>
        </is>
      </c>
      <c r="S580" t="n">
        <v>277.89</v>
      </c>
      <c r="T580" t="inlineStr">
        <is>
          <t>30-07-2026 09:42 IST</t>
        </is>
      </c>
    </row>
    <row r="581">
      <c r="A581" t="n">
        <v>79</v>
      </c>
      <c r="B581" t="n">
        <v>501242</v>
      </c>
      <c r="C581" t="inlineStr">
        <is>
          <t>Tribhovandas Bhimji Zaveri Ltd</t>
        </is>
      </c>
      <c r="D581" t="n">
        <v>2021</v>
      </c>
      <c r="E581" t="n">
        <v>15.84000015258789</v>
      </c>
      <c r="G581" t="inlineStr">
        <is>
          <t>Consolidated first (v4) – needs verification for flagged rows</t>
        </is>
      </c>
      <c r="H581" t="n">
        <v>7.5</v>
      </c>
      <c r="I581" t="n">
        <v>4.409999847412109</v>
      </c>
      <c r="L581" t="inlineStr">
        <is>
          <t>INCOMPLETE</t>
        </is>
      </c>
      <c r="O581" t="n">
        <v>277.89</v>
      </c>
      <c r="P581" t="n">
        <v>293.9</v>
      </c>
      <c r="Q581" t="n">
        <v>110.5</v>
      </c>
      <c r="R581" s="3" t="inlineStr">
        <is>
          <t>MISMATCH_NEEDS_CORRECTION</t>
        </is>
      </c>
      <c r="S581" t="n">
        <v>277.89</v>
      </c>
      <c r="T581" t="inlineStr">
        <is>
          <t>30-07-2026 09:42 IST</t>
        </is>
      </c>
    </row>
    <row r="582">
      <c r="A582" t="n">
        <v>79</v>
      </c>
      <c r="B582" t="n">
        <v>501242</v>
      </c>
      <c r="C582" t="inlineStr">
        <is>
          <t>Tribhovandas Bhimji Zaveri Ltd</t>
        </is>
      </c>
      <c r="D582" t="n">
        <v>2022</v>
      </c>
      <c r="E582" t="n">
        <v>15.84000015258789</v>
      </c>
      <c r="G582" t="inlineStr">
        <is>
          <t>Consolidated first (v4) – needs verification for flagged rows</t>
        </is>
      </c>
      <c r="H582" t="n">
        <v>11.27000045776367</v>
      </c>
      <c r="I582" t="n">
        <v>3.789999961853027</v>
      </c>
      <c r="L582" t="inlineStr">
        <is>
          <t>INCOMPLETE</t>
        </is>
      </c>
      <c r="O582" t="n">
        <v>277.89</v>
      </c>
      <c r="P582" t="n">
        <v>293.9</v>
      </c>
      <c r="Q582" t="n">
        <v>110.5</v>
      </c>
      <c r="R582" s="3" t="inlineStr">
        <is>
          <t>MISMATCH_NEEDS_CORRECTION</t>
        </is>
      </c>
      <c r="S582" t="n">
        <v>277.89</v>
      </c>
      <c r="T582" t="inlineStr">
        <is>
          <t>30-07-2026 09:42 IST</t>
        </is>
      </c>
    </row>
    <row r="583">
      <c r="A583" t="n">
        <v>79</v>
      </c>
      <c r="B583" t="n">
        <v>501242</v>
      </c>
      <c r="C583" t="inlineStr">
        <is>
          <t>Tribhovandas Bhimji Zaveri Ltd</t>
        </is>
      </c>
      <c r="D583" t="n">
        <v>2023</v>
      </c>
      <c r="E583" t="n">
        <v>15.84000015258789</v>
      </c>
      <c r="G583" t="inlineStr">
        <is>
          <t>Consolidated first (v4) – needs verification for flagged rows</t>
        </is>
      </c>
      <c r="H583" t="n">
        <v>4.159999847412109</v>
      </c>
      <c r="I583" t="n">
        <v>2.869999885559082</v>
      </c>
      <c r="L583" t="inlineStr">
        <is>
          <t>INCOMPLETE</t>
        </is>
      </c>
      <c r="O583" t="n">
        <v>277.89</v>
      </c>
      <c r="P583" t="n">
        <v>293.9</v>
      </c>
      <c r="Q583" t="n">
        <v>110.5</v>
      </c>
      <c r="R583" s="3" t="inlineStr">
        <is>
          <t>MISMATCH_NEEDS_CORRECTION</t>
        </is>
      </c>
      <c r="S583" t="n">
        <v>277.89</v>
      </c>
      <c r="T583" t="inlineStr">
        <is>
          <t>30-07-2026 09:42 IST</t>
        </is>
      </c>
    </row>
    <row r="584">
      <c r="A584" t="n">
        <v>79</v>
      </c>
      <c r="B584" t="n">
        <v>501242</v>
      </c>
      <c r="C584" t="inlineStr">
        <is>
          <t>Tribhovandas Bhimji Zaveri Ltd</t>
        </is>
      </c>
      <c r="D584" t="n">
        <v>2024</v>
      </c>
      <c r="E584" t="n">
        <v>15.84000015258789</v>
      </c>
      <c r="G584" t="inlineStr">
        <is>
          <t>Consolidated first (v4) – needs verification for flagged rows</t>
        </is>
      </c>
      <c r="H584" t="n">
        <v>20.17000007629395</v>
      </c>
      <c r="I584" t="n">
        <v>4.360000133514404</v>
      </c>
      <c r="L584" t="inlineStr">
        <is>
          <t>INCOMPLETE</t>
        </is>
      </c>
      <c r="O584" t="n">
        <v>277.89</v>
      </c>
      <c r="P584" t="n">
        <v>293.9</v>
      </c>
      <c r="Q584" t="n">
        <v>110.5</v>
      </c>
      <c r="R584" s="3" t="inlineStr">
        <is>
          <t>MISMATCH_NEEDS_CORRECTION</t>
        </is>
      </c>
      <c r="S584" t="n">
        <v>277.89</v>
      </c>
      <c r="T584" t="inlineStr">
        <is>
          <t>30-07-2026 09:42 IST</t>
        </is>
      </c>
    </row>
    <row r="585">
      <c r="A585" t="n">
        <v>79</v>
      </c>
      <c r="B585" t="n">
        <v>501242</v>
      </c>
      <c r="C585" t="inlineStr">
        <is>
          <t>Tribhovandas Bhimji Zaveri Ltd</t>
        </is>
      </c>
      <c r="D585" t="n">
        <v>2025</v>
      </c>
      <c r="E585" t="n">
        <v>15.84000015258789</v>
      </c>
      <c r="G585" t="inlineStr">
        <is>
          <t>Consolidated first (v4) – needs verification for flagged rows</t>
        </is>
      </c>
      <c r="H585" t="n">
        <v>27.10000038146973</v>
      </c>
      <c r="I585" t="n">
        <v>10.30000019073486</v>
      </c>
      <c r="L585" t="inlineStr">
        <is>
          <t>INCOMPLETE</t>
        </is>
      </c>
      <c r="O585" t="n">
        <v>277.89</v>
      </c>
      <c r="P585" t="n">
        <v>293.9</v>
      </c>
      <c r="Q585" t="n">
        <v>110.5</v>
      </c>
      <c r="R585" s="3" t="inlineStr">
        <is>
          <t>MISMATCH_NEEDS_CORRECTION</t>
        </is>
      </c>
      <c r="S585" t="n">
        <v>277.89</v>
      </c>
      <c r="T585" t="inlineStr">
        <is>
          <t>30-07-2026 09:42 IST</t>
        </is>
      </c>
    </row>
    <row r="586">
      <c r="A586" t="n">
        <v>79</v>
      </c>
      <c r="B586" t="n">
        <v>501242</v>
      </c>
      <c r="C586" t="inlineStr">
        <is>
          <t>Tribhovandas Bhimji Zaveri Ltd</t>
        </is>
      </c>
      <c r="D586" t="n">
        <v>2026</v>
      </c>
      <c r="E586" t="n">
        <v>15.84000015258789</v>
      </c>
      <c r="G586" t="inlineStr">
        <is>
          <t>Consolidated first (v4) – needs verification for flagged rows</t>
        </is>
      </c>
      <c r="H586" t="n">
        <v>38.09000015258789</v>
      </c>
      <c r="I586" t="n">
        <v>11.80000019073486</v>
      </c>
      <c r="L586" t="inlineStr">
        <is>
          <t>INCOMPLETE</t>
        </is>
      </c>
      <c r="O586" t="n">
        <v>277.89</v>
      </c>
      <c r="P586" t="n">
        <v>293.9</v>
      </c>
      <c r="Q586" t="n">
        <v>110.5</v>
      </c>
      <c r="R586" s="3" t="inlineStr">
        <is>
          <t>MISMATCH_NEEDS_CORRECTION</t>
        </is>
      </c>
      <c r="S586" t="n">
        <v>277.89</v>
      </c>
      <c r="T586" t="inlineStr">
        <is>
          <t>30-07-2026 09:42 IST</t>
        </is>
      </c>
    </row>
    <row r="587">
      <c r="A587" t="n">
        <v>80</v>
      </c>
      <c r="B587" t="n">
        <v>501314</v>
      </c>
      <c r="C587" t="inlineStr">
        <is>
          <t>Prism Johnson Ltd</t>
        </is>
      </c>
      <c r="D587" t="n">
        <v>2015</v>
      </c>
      <c r="E587" t="n">
        <v>0.6000000238418579</v>
      </c>
      <c r="G587" t="inlineStr">
        <is>
          <t>Consolidated first (v4) – needs verification for flagged rows</t>
        </is>
      </c>
      <c r="H587" t="n">
        <v>55.39202499389648</v>
      </c>
      <c r="I587" t="n">
        <v>40.5307502746582</v>
      </c>
      <c r="L587" t="inlineStr">
        <is>
          <t>INCOMPLETE</t>
        </is>
      </c>
      <c r="O587" t="n">
        <v>1.35</v>
      </c>
      <c r="P587" t="n">
        <v>1.75</v>
      </c>
      <c r="Q587" t="n">
        <v>0.88</v>
      </c>
      <c r="R587" s="3" t="inlineStr">
        <is>
          <t>MISMATCH_NEEDS_CORRECTION</t>
        </is>
      </c>
      <c r="S587" t="n">
        <v>1.35</v>
      </c>
      <c r="T587" t="inlineStr">
        <is>
          <t>30-07-2026 09:42 IST</t>
        </is>
      </c>
    </row>
    <row r="588">
      <c r="A588" t="n">
        <v>80</v>
      </c>
      <c r="B588" t="n">
        <v>501314</v>
      </c>
      <c r="C588" t="inlineStr">
        <is>
          <t>Prism Johnson Ltd</t>
        </is>
      </c>
      <c r="D588" t="n">
        <v>2016</v>
      </c>
      <c r="E588" t="n">
        <v>0.6000000238418579</v>
      </c>
      <c r="G588" t="inlineStr">
        <is>
          <t>Consolidated first (v4) – needs verification for flagged rows</t>
        </is>
      </c>
      <c r="H588" t="n">
        <v>40.5307502746582</v>
      </c>
      <c r="I588" t="n">
        <v>40.5307502746582</v>
      </c>
      <c r="L588" t="inlineStr">
        <is>
          <t>INCOMPLETE</t>
        </is>
      </c>
      <c r="O588" t="n">
        <v>1.35</v>
      </c>
      <c r="P588" t="n">
        <v>1.75</v>
      </c>
      <c r="Q588" t="n">
        <v>0.88</v>
      </c>
      <c r="R588" s="3" t="inlineStr">
        <is>
          <t>MISMATCH_NEEDS_CORRECTION</t>
        </is>
      </c>
      <c r="S588" t="n">
        <v>1.35</v>
      </c>
      <c r="T588" t="inlineStr">
        <is>
          <t>30-07-2026 09:42 IST</t>
        </is>
      </c>
    </row>
    <row r="589">
      <c r="A589" t="n">
        <v>80</v>
      </c>
      <c r="B589" t="n">
        <v>501314</v>
      </c>
      <c r="C589" t="inlineStr">
        <is>
          <t>Prism Johnson Ltd</t>
        </is>
      </c>
      <c r="D589" t="n">
        <v>2017</v>
      </c>
      <c r="E589" t="n">
        <v>0.6000000238418579</v>
      </c>
      <c r="G589" t="inlineStr">
        <is>
          <t>Consolidated first (v4) – needs verification for flagged rows</t>
        </is>
      </c>
      <c r="H589" t="n">
        <v>40.5307502746582</v>
      </c>
      <c r="I589" t="n">
        <v>40.5307502746582</v>
      </c>
      <c r="L589" t="inlineStr">
        <is>
          <t>INCOMPLETE</t>
        </is>
      </c>
      <c r="O589" t="n">
        <v>1.35</v>
      </c>
      <c r="P589" t="n">
        <v>1.75</v>
      </c>
      <c r="Q589" t="n">
        <v>0.88</v>
      </c>
      <c r="R589" s="3" t="inlineStr">
        <is>
          <t>MISMATCH_NEEDS_CORRECTION</t>
        </is>
      </c>
      <c r="S589" t="n">
        <v>1.35</v>
      </c>
      <c r="T589" t="inlineStr">
        <is>
          <t>30-07-2026 09:42 IST</t>
        </is>
      </c>
    </row>
    <row r="590">
      <c r="A590" t="n">
        <v>80</v>
      </c>
      <c r="B590" t="n">
        <v>501314</v>
      </c>
      <c r="C590" t="inlineStr">
        <is>
          <t>Prism Johnson Ltd</t>
        </is>
      </c>
      <c r="D590" t="n">
        <v>2018</v>
      </c>
      <c r="E590" t="n">
        <v>0.6000000238418579</v>
      </c>
      <c r="G590" t="inlineStr">
        <is>
          <t>Consolidated first (v4) – needs verification for flagged rows</t>
        </is>
      </c>
      <c r="H590" t="n">
        <v>40.99516677856445</v>
      </c>
      <c r="I590" t="n">
        <v>37.58382415771484</v>
      </c>
      <c r="L590" t="inlineStr">
        <is>
          <t>INCOMPLETE</t>
        </is>
      </c>
      <c r="O590" t="n">
        <v>1.35</v>
      </c>
      <c r="P590" t="n">
        <v>1.75</v>
      </c>
      <c r="Q590" t="n">
        <v>0.88</v>
      </c>
      <c r="R590" s="3" t="inlineStr">
        <is>
          <t>MISMATCH_NEEDS_CORRECTION</t>
        </is>
      </c>
      <c r="S590" t="n">
        <v>1.35</v>
      </c>
      <c r="T590" t="inlineStr">
        <is>
          <t>30-07-2026 09:42 IST</t>
        </is>
      </c>
    </row>
    <row r="591">
      <c r="A591" t="n">
        <v>80</v>
      </c>
      <c r="B591" t="n">
        <v>501314</v>
      </c>
      <c r="C591" t="inlineStr">
        <is>
          <t>Prism Johnson Ltd</t>
        </is>
      </c>
      <c r="D591" t="n">
        <v>2019</v>
      </c>
      <c r="E591" t="n">
        <v>0.6000000238418579</v>
      </c>
      <c r="G591" t="inlineStr">
        <is>
          <t>Consolidated first (v4) – needs verification for flagged rows</t>
        </is>
      </c>
      <c r="H591" t="n">
        <v>41.33292007446289</v>
      </c>
      <c r="I591" t="n">
        <v>4.06151819229126</v>
      </c>
      <c r="L591" t="inlineStr">
        <is>
          <t>INCOMPLETE</t>
        </is>
      </c>
      <c r="O591" t="n">
        <v>1.35</v>
      </c>
      <c r="P591" t="n">
        <v>1.75</v>
      </c>
      <c r="Q591" t="n">
        <v>0.88</v>
      </c>
      <c r="R591" s="3" t="inlineStr">
        <is>
          <t>MISMATCH_NEEDS_CORRECTION</t>
        </is>
      </c>
      <c r="S591" t="n">
        <v>1.35</v>
      </c>
      <c r="T591" t="inlineStr">
        <is>
          <t>30-07-2026 09:42 IST</t>
        </is>
      </c>
    </row>
    <row r="592">
      <c r="A592" t="n">
        <v>80</v>
      </c>
      <c r="B592" t="n">
        <v>501314</v>
      </c>
      <c r="C592" t="inlineStr">
        <is>
          <t>Prism Johnson Ltd</t>
        </is>
      </c>
      <c r="D592" t="n">
        <v>2020</v>
      </c>
      <c r="E592" t="n">
        <v>0.6000000238418579</v>
      </c>
      <c r="G592" t="inlineStr">
        <is>
          <t>Consolidated first (v4) – needs verification for flagged rows</t>
        </is>
      </c>
      <c r="H592" t="n">
        <v>3.981301069259644</v>
      </c>
      <c r="L592" t="inlineStr">
        <is>
          <t>INCOMPLETE</t>
        </is>
      </c>
      <c r="O592" t="n">
        <v>1.35</v>
      </c>
      <c r="P592" t="n">
        <v>1.75</v>
      </c>
      <c r="Q592" t="n">
        <v>0.88</v>
      </c>
      <c r="R592" s="3" t="inlineStr">
        <is>
          <t>MISMATCH_NEEDS_CORRECTION</t>
        </is>
      </c>
      <c r="S592" t="n">
        <v>1.35</v>
      </c>
      <c r="T592" t="inlineStr">
        <is>
          <t>30-07-2026 09:42 IST</t>
        </is>
      </c>
    </row>
    <row r="593">
      <c r="A593" t="n">
        <v>80</v>
      </c>
      <c r="B593" t="n">
        <v>501314</v>
      </c>
      <c r="C593" t="inlineStr">
        <is>
          <t>Prism Johnson Ltd</t>
        </is>
      </c>
      <c r="D593" t="n">
        <v>2021</v>
      </c>
      <c r="E593" t="n">
        <v>0.6000000238418579</v>
      </c>
      <c r="F593" t="n">
        <v>0.03</v>
      </c>
      <c r="G593" t="inlineStr">
        <is>
          <t>Consolidated first (v4) – needs verification for flagged rows</t>
        </is>
      </c>
      <c r="H593" t="n">
        <v>12.90228843688965</v>
      </c>
      <c r="I593" t="n">
        <v>1.857658982276917</v>
      </c>
      <c r="L593" t="inlineStr">
        <is>
          <t>UNVERIFIED – tiny EPS &lt;0.5</t>
        </is>
      </c>
      <c r="M593" t="n">
        <v>430.08</v>
      </c>
      <c r="N593" t="n">
        <v>61.92</v>
      </c>
      <c r="O593" t="n">
        <v>1.35</v>
      </c>
      <c r="P593" t="n">
        <v>1.75</v>
      </c>
      <c r="Q593" t="n">
        <v>0.88</v>
      </c>
      <c r="R593" s="3" t="inlineStr">
        <is>
          <t>MISMATCH_NEEDS_CORRECTION</t>
        </is>
      </c>
      <c r="S593" t="n">
        <v>1.35</v>
      </c>
      <c r="T593" t="inlineStr">
        <is>
          <t>30-07-2026 09:42 IST</t>
        </is>
      </c>
    </row>
    <row r="594">
      <c r="A594" t="n">
        <v>80</v>
      </c>
      <c r="B594" t="n">
        <v>501314</v>
      </c>
      <c r="C594" t="inlineStr">
        <is>
          <t>Prism Johnson Ltd</t>
        </is>
      </c>
      <c r="D594" t="n">
        <v>2022</v>
      </c>
      <c r="E594" t="n">
        <v>0.6000000238418579</v>
      </c>
      <c r="F594" t="n">
        <v>0.01</v>
      </c>
      <c r="G594" t="inlineStr">
        <is>
          <t>Consolidated first (v4) – needs verification for flagged rows</t>
        </is>
      </c>
      <c r="H594" t="n">
        <v>8.106149673461914</v>
      </c>
      <c r="I594" t="n">
        <v>2.339999914169312</v>
      </c>
      <c r="L594" t="inlineStr">
        <is>
          <t>UNVERIFIED – tiny EPS &lt;0.5</t>
        </is>
      </c>
      <c r="M594" t="n">
        <v>810.61</v>
      </c>
      <c r="N594" t="n">
        <v>234</v>
      </c>
      <c r="O594" t="n">
        <v>1.35</v>
      </c>
      <c r="P594" t="n">
        <v>1.75</v>
      </c>
      <c r="Q594" t="n">
        <v>0.88</v>
      </c>
      <c r="R594" s="3" t="inlineStr">
        <is>
          <t>MISMATCH_NEEDS_CORRECTION</t>
        </is>
      </c>
      <c r="S594" t="n">
        <v>1.35</v>
      </c>
      <c r="T594" t="inlineStr">
        <is>
          <t>30-07-2026 09:42 IST</t>
        </is>
      </c>
    </row>
    <row r="595">
      <c r="A595" t="n">
        <v>80</v>
      </c>
      <c r="B595" t="n">
        <v>501314</v>
      </c>
      <c r="C595" t="inlineStr">
        <is>
          <t>Prism Johnson Ltd</t>
        </is>
      </c>
      <c r="D595" t="n">
        <v>2023</v>
      </c>
      <c r="E595" t="n">
        <v>0.6000000238418579</v>
      </c>
      <c r="F595" t="n">
        <v>0.09</v>
      </c>
      <c r="G595" t="inlineStr">
        <is>
          <t>Consolidated first (v4) – needs verification for flagged rows</t>
        </is>
      </c>
      <c r="H595" t="n">
        <v>2.690000057220459</v>
      </c>
      <c r="I595" t="n">
        <v>1.289999961853027</v>
      </c>
      <c r="L595" t="inlineStr">
        <is>
          <t>UNVERIFIED – tiny EPS &lt;0.5</t>
        </is>
      </c>
      <c r="M595" t="n">
        <v>29.89</v>
      </c>
      <c r="N595" t="n">
        <v>14.33</v>
      </c>
      <c r="O595" t="n">
        <v>1.35</v>
      </c>
      <c r="P595" t="n">
        <v>1.75</v>
      </c>
      <c r="Q595" t="n">
        <v>0.88</v>
      </c>
      <c r="R595" s="3" t="inlineStr">
        <is>
          <t>MISMATCH_NEEDS_CORRECTION</t>
        </is>
      </c>
      <c r="S595" t="n">
        <v>1.35</v>
      </c>
      <c r="T595" t="inlineStr">
        <is>
          <t>30-07-2026 09:42 IST</t>
        </is>
      </c>
    </row>
    <row r="596">
      <c r="A596" t="n">
        <v>80</v>
      </c>
      <c r="B596" t="n">
        <v>501314</v>
      </c>
      <c r="C596" t="inlineStr">
        <is>
          <t>Prism Johnson Ltd</t>
        </is>
      </c>
      <c r="D596" t="n">
        <v>2024</v>
      </c>
      <c r="E596" t="n">
        <v>0.6000000238418579</v>
      </c>
      <c r="F596" t="n">
        <v>-0.38</v>
      </c>
      <c r="G596" t="inlineStr">
        <is>
          <t>Consolidated first (v4) – needs verification for flagged rows</t>
        </is>
      </c>
      <c r="H596" t="n">
        <v>1.75</v>
      </c>
      <c r="L596" t="inlineStr">
        <is>
          <t>UNVERIFIED – negative EPS</t>
        </is>
      </c>
      <c r="M596" t="n">
        <v>-4.61</v>
      </c>
      <c r="O596" t="n">
        <v>1.35</v>
      </c>
      <c r="P596" t="n">
        <v>1.75</v>
      </c>
      <c r="Q596" t="n">
        <v>0.88</v>
      </c>
      <c r="R596" s="3" t="inlineStr">
        <is>
          <t>MISMATCH_NEEDS_CORRECTION</t>
        </is>
      </c>
      <c r="S596" t="n">
        <v>1.35</v>
      </c>
      <c r="T596" t="inlineStr">
        <is>
          <t>30-07-2026 09:42 IST</t>
        </is>
      </c>
    </row>
    <row r="597">
      <c r="A597" t="n">
        <v>80</v>
      </c>
      <c r="B597" t="n">
        <v>501314</v>
      </c>
      <c r="C597" t="inlineStr">
        <is>
          <t>Prism Johnson Ltd</t>
        </is>
      </c>
      <c r="D597" t="n">
        <v>2025</v>
      </c>
      <c r="E597" t="n">
        <v>0.6000000238418579</v>
      </c>
      <c r="F597" t="n">
        <v>0.01</v>
      </c>
      <c r="G597" t="inlineStr">
        <is>
          <t>Consolidated first (v4) – needs verification for flagged rows</t>
        </is>
      </c>
      <c r="H597" t="n">
        <v>1.129999995231628</v>
      </c>
      <c r="L597" t="inlineStr">
        <is>
          <t>UNVERIFIED – tiny EPS &lt;0.5</t>
        </is>
      </c>
      <c r="M597" t="n">
        <v>113</v>
      </c>
      <c r="O597" t="n">
        <v>1.35</v>
      </c>
      <c r="P597" t="n">
        <v>1.75</v>
      </c>
      <c r="Q597" t="n">
        <v>0.88</v>
      </c>
      <c r="R597" s="3" t="inlineStr">
        <is>
          <t>MISMATCH_NEEDS_CORRECTION</t>
        </is>
      </c>
      <c r="S597" t="n">
        <v>1.35</v>
      </c>
      <c r="T597" t="inlineStr">
        <is>
          <t>30-07-2026 09:42 IST</t>
        </is>
      </c>
    </row>
    <row r="598">
      <c r="A598" t="n">
        <v>80</v>
      </c>
      <c r="B598" t="n">
        <v>501314</v>
      </c>
      <c r="C598" t="inlineStr">
        <is>
          <t>Prism Johnson Ltd</t>
        </is>
      </c>
      <c r="D598" t="n">
        <v>2026</v>
      </c>
      <c r="E598" t="n">
        <v>0.6000000238418579</v>
      </c>
      <c r="F598" t="n">
        <v>0.14</v>
      </c>
      <c r="G598" t="inlineStr">
        <is>
          <t>Consolidated first (v4) – needs verification for flagged rows</t>
        </is>
      </c>
      <c r="L598" t="inlineStr">
        <is>
          <t>INCOMPLETE</t>
        </is>
      </c>
      <c r="O598" t="n">
        <v>1.35</v>
      </c>
      <c r="P598" t="n">
        <v>1.75</v>
      </c>
      <c r="Q598" t="n">
        <v>0.88</v>
      </c>
      <c r="R598" s="3" t="inlineStr">
        <is>
          <t>MISMATCH_NEEDS_CORRECTION</t>
        </is>
      </c>
      <c r="S598" t="n">
        <v>1.35</v>
      </c>
      <c r="T598" t="inlineStr">
        <is>
          <t>30-07-2026 09:42 IST</t>
        </is>
      </c>
    </row>
    <row r="599">
      <c r="A599" t="n">
        <v>81</v>
      </c>
      <c r="B599" t="n">
        <v>501386</v>
      </c>
      <c r="C599" t="inlineStr">
        <is>
          <t>Gujarat Ambuja Exports Ltd</t>
        </is>
      </c>
      <c r="D599" t="n">
        <v>2015</v>
      </c>
      <c r="E599" t="n">
        <v>23.32999992370605</v>
      </c>
      <c r="F599" t="n">
        <v>0.7</v>
      </c>
      <c r="G599" t="inlineStr">
        <is>
          <t>Consolidated first (v4) – needs verification for flagged rows</t>
        </is>
      </c>
      <c r="H599" t="n">
        <v>6.610000133514404</v>
      </c>
      <c r="I599" t="n">
        <v>6.610000133514404</v>
      </c>
      <c r="L599" t="inlineStr">
        <is>
          <t>INCOMPLETE</t>
        </is>
      </c>
      <c r="M599" t="n">
        <v>9.44</v>
      </c>
      <c r="N599" t="n">
        <v>9.44</v>
      </c>
      <c r="O599" t="n">
        <v>11.73</v>
      </c>
      <c r="P599" t="n">
        <v>11.73</v>
      </c>
      <c r="Q599" t="n">
        <v>10.21</v>
      </c>
      <c r="R599" s="3" t="inlineStr">
        <is>
          <t>MISMATCH_NEEDS_CORRECTION</t>
        </is>
      </c>
      <c r="S599" t="n">
        <v>11.73</v>
      </c>
      <c r="T599" t="inlineStr">
        <is>
          <t>30-07-2026 09:42 IST</t>
        </is>
      </c>
    </row>
    <row r="600">
      <c r="A600" t="n">
        <v>81</v>
      </c>
      <c r="B600" t="n">
        <v>501386</v>
      </c>
      <c r="C600" t="inlineStr">
        <is>
          <t>Gujarat Ambuja Exports Ltd</t>
        </is>
      </c>
      <c r="D600" t="n">
        <v>2016</v>
      </c>
      <c r="E600" t="n">
        <v>23.32999992370605</v>
      </c>
      <c r="F600" t="n">
        <v>1.42</v>
      </c>
      <c r="G600" t="inlineStr">
        <is>
          <t>Consolidated first (v4) – needs verification for flagged rows</t>
        </is>
      </c>
      <c r="H600" t="n">
        <v>6.610000133514404</v>
      </c>
      <c r="I600" t="n">
        <v>6.610000133514404</v>
      </c>
      <c r="L600" t="inlineStr">
        <is>
          <t>INCOMPLETE</t>
        </is>
      </c>
      <c r="M600" t="n">
        <v>4.65</v>
      </c>
      <c r="N600" t="n">
        <v>4.65</v>
      </c>
      <c r="O600" t="n">
        <v>11.73</v>
      </c>
      <c r="P600" t="n">
        <v>11.73</v>
      </c>
      <c r="Q600" t="n">
        <v>10.21</v>
      </c>
      <c r="R600" s="3" t="inlineStr">
        <is>
          <t>MISMATCH_NEEDS_CORRECTION</t>
        </is>
      </c>
      <c r="S600" t="n">
        <v>11.73</v>
      </c>
      <c r="T600" t="inlineStr">
        <is>
          <t>30-07-2026 09:42 IST</t>
        </is>
      </c>
    </row>
    <row r="601">
      <c r="A601" t="n">
        <v>81</v>
      </c>
      <c r="B601" t="n">
        <v>501386</v>
      </c>
      <c r="C601" t="inlineStr">
        <is>
          <t>Gujarat Ambuja Exports Ltd</t>
        </is>
      </c>
      <c r="D601" t="n">
        <v>2017</v>
      </c>
      <c r="E601" t="n">
        <v>23.32999992370605</v>
      </c>
      <c r="G601" t="inlineStr">
        <is>
          <t>Consolidated first (v4) – needs verification for flagged rows</t>
        </is>
      </c>
      <c r="H601" t="n">
        <v>6.610000133514404</v>
      </c>
      <c r="I601" t="n">
        <v>6.610000133514404</v>
      </c>
      <c r="L601" t="inlineStr">
        <is>
          <t>INCOMPLETE</t>
        </is>
      </c>
      <c r="O601" t="n">
        <v>11.73</v>
      </c>
      <c r="P601" t="n">
        <v>11.73</v>
      </c>
      <c r="Q601" t="n">
        <v>10.21</v>
      </c>
      <c r="R601" s="3" t="inlineStr">
        <is>
          <t>MISMATCH_NEEDS_CORRECTION</t>
        </is>
      </c>
      <c r="S601" t="n">
        <v>11.73</v>
      </c>
      <c r="T601" t="inlineStr">
        <is>
          <t>30-07-2026 09:42 IST</t>
        </is>
      </c>
    </row>
    <row r="602">
      <c r="A602" t="n">
        <v>81</v>
      </c>
      <c r="B602" t="n">
        <v>501386</v>
      </c>
      <c r="C602" t="inlineStr">
        <is>
          <t>Gujarat Ambuja Exports Ltd</t>
        </is>
      </c>
      <c r="D602" t="n">
        <v>2018</v>
      </c>
      <c r="E602" t="n">
        <v>23.32999992370605</v>
      </c>
      <c r="G602" t="inlineStr">
        <is>
          <t>Consolidated first (v4) – needs verification for flagged rows</t>
        </is>
      </c>
      <c r="H602" t="n">
        <v>6.610000133514404</v>
      </c>
      <c r="I602" t="n">
        <v>6.610000133514404</v>
      </c>
      <c r="L602" t="inlineStr">
        <is>
          <t>INCOMPLETE</t>
        </is>
      </c>
      <c r="O602" t="n">
        <v>11.73</v>
      </c>
      <c r="P602" t="n">
        <v>11.73</v>
      </c>
      <c r="Q602" t="n">
        <v>10.21</v>
      </c>
      <c r="R602" s="3" t="inlineStr">
        <is>
          <t>MISMATCH_NEEDS_CORRECTION</t>
        </is>
      </c>
      <c r="S602" t="n">
        <v>11.73</v>
      </c>
      <c r="T602" t="inlineStr">
        <is>
          <t>30-07-2026 09:42 IST</t>
        </is>
      </c>
    </row>
    <row r="603">
      <c r="A603" t="n">
        <v>81</v>
      </c>
      <c r="B603" t="n">
        <v>501386</v>
      </c>
      <c r="C603" t="inlineStr">
        <is>
          <t>Gujarat Ambuja Exports Ltd</t>
        </is>
      </c>
      <c r="D603" t="n">
        <v>2019</v>
      </c>
      <c r="E603" t="n">
        <v>23.32999992370605</v>
      </c>
      <c r="G603" t="inlineStr">
        <is>
          <t>Consolidated first (v4) – needs verification for flagged rows</t>
        </is>
      </c>
      <c r="H603" t="n">
        <v>6.610000133514404</v>
      </c>
      <c r="I603" t="n">
        <v>6.610000133514404</v>
      </c>
      <c r="L603" t="inlineStr">
        <is>
          <t>INCOMPLETE</t>
        </is>
      </c>
      <c r="O603" t="n">
        <v>11.73</v>
      </c>
      <c r="P603" t="n">
        <v>11.73</v>
      </c>
      <c r="Q603" t="n">
        <v>10.21</v>
      </c>
      <c r="R603" s="3" t="inlineStr">
        <is>
          <t>MISMATCH_NEEDS_CORRECTION</t>
        </is>
      </c>
      <c r="S603" t="n">
        <v>11.73</v>
      </c>
      <c r="T603" t="inlineStr">
        <is>
          <t>30-07-2026 09:42 IST</t>
        </is>
      </c>
    </row>
    <row r="604">
      <c r="A604" t="n">
        <v>81</v>
      </c>
      <c r="B604" t="n">
        <v>501386</v>
      </c>
      <c r="C604" t="inlineStr">
        <is>
          <t>Gujarat Ambuja Exports Ltd</t>
        </is>
      </c>
      <c r="D604" t="n">
        <v>2020</v>
      </c>
      <c r="E604" t="n">
        <v>23.32999992370605</v>
      </c>
      <c r="F604" t="n">
        <v>0.83</v>
      </c>
      <c r="G604" t="inlineStr">
        <is>
          <t>Consolidated first (v4) – needs verification for flagged rows</t>
        </is>
      </c>
      <c r="H604" t="n">
        <v>6.610000133514404</v>
      </c>
      <c r="I604" t="n">
        <v>6.610000133514404</v>
      </c>
      <c r="L604" t="inlineStr">
        <is>
          <t>INCOMPLETE</t>
        </is>
      </c>
      <c r="M604" t="n">
        <v>7.96</v>
      </c>
      <c r="N604" t="n">
        <v>7.96</v>
      </c>
      <c r="O604" t="n">
        <v>11.73</v>
      </c>
      <c r="P604" t="n">
        <v>11.73</v>
      </c>
      <c r="Q604" t="n">
        <v>10.21</v>
      </c>
      <c r="R604" s="3" t="inlineStr">
        <is>
          <t>MISMATCH_NEEDS_CORRECTION</t>
        </is>
      </c>
      <c r="S604" t="n">
        <v>11.73</v>
      </c>
      <c r="T604" t="inlineStr">
        <is>
          <t>30-07-2026 09:42 IST</t>
        </is>
      </c>
    </row>
    <row r="605">
      <c r="A605" t="n">
        <v>81</v>
      </c>
      <c r="B605" t="n">
        <v>501386</v>
      </c>
      <c r="C605" t="inlineStr">
        <is>
          <t>Gujarat Ambuja Exports Ltd</t>
        </is>
      </c>
      <c r="D605" t="n">
        <v>2021</v>
      </c>
      <c r="E605" t="n">
        <v>23.32999992370605</v>
      </c>
      <c r="F605" t="n">
        <v>1.44</v>
      </c>
      <c r="G605" t="inlineStr">
        <is>
          <t>Consolidated first (v4) – needs verification for flagged rows</t>
        </is>
      </c>
      <c r="H605" t="n">
        <v>6.610000133514404</v>
      </c>
      <c r="I605" t="n">
        <v>6.610000133514404</v>
      </c>
      <c r="L605" t="inlineStr">
        <is>
          <t>INCOMPLETE</t>
        </is>
      </c>
      <c r="M605" t="n">
        <v>4.59</v>
      </c>
      <c r="N605" t="n">
        <v>4.59</v>
      </c>
      <c r="O605" t="n">
        <v>11.73</v>
      </c>
      <c r="P605" t="n">
        <v>11.73</v>
      </c>
      <c r="Q605" t="n">
        <v>10.21</v>
      </c>
      <c r="R605" s="3" t="inlineStr">
        <is>
          <t>MISMATCH_NEEDS_CORRECTION</t>
        </is>
      </c>
      <c r="S605" t="n">
        <v>11.73</v>
      </c>
      <c r="T605" t="inlineStr">
        <is>
          <t>30-07-2026 09:42 IST</t>
        </is>
      </c>
    </row>
    <row r="606">
      <c r="A606" t="n">
        <v>81</v>
      </c>
      <c r="B606" t="n">
        <v>501386</v>
      </c>
      <c r="C606" t="inlineStr">
        <is>
          <t>Gujarat Ambuja Exports Ltd</t>
        </is>
      </c>
      <c r="D606" t="n">
        <v>2022</v>
      </c>
      <c r="E606" t="n">
        <v>23.32999992370605</v>
      </c>
      <c r="F606" t="n">
        <v>2.95</v>
      </c>
      <c r="G606" t="inlineStr">
        <is>
          <t>Consolidated first (v4) – needs verification for flagged rows</t>
        </is>
      </c>
      <c r="H606" t="n">
        <v>6.610000133514404</v>
      </c>
      <c r="I606" t="n">
        <v>4.840000152587891</v>
      </c>
      <c r="L606" t="inlineStr">
        <is>
          <t>INCOMPLETE</t>
        </is>
      </c>
      <c r="M606" t="n">
        <v>2.24</v>
      </c>
      <c r="N606" t="n">
        <v>1.64</v>
      </c>
      <c r="O606" t="n">
        <v>11.73</v>
      </c>
      <c r="P606" t="n">
        <v>11.73</v>
      </c>
      <c r="Q606" t="n">
        <v>10.21</v>
      </c>
      <c r="R606" s="3" t="inlineStr">
        <is>
          <t>MISMATCH_NEEDS_CORRECTION</t>
        </is>
      </c>
      <c r="S606" t="n">
        <v>11.73</v>
      </c>
      <c r="T606" t="inlineStr">
        <is>
          <t>30-07-2026 09:42 IST</t>
        </is>
      </c>
    </row>
    <row r="607">
      <c r="A607" t="n">
        <v>81</v>
      </c>
      <c r="B607" t="n">
        <v>501386</v>
      </c>
      <c r="C607" t="inlineStr">
        <is>
          <t>Gujarat Ambuja Exports Ltd</t>
        </is>
      </c>
      <c r="D607" t="n">
        <v>2023</v>
      </c>
      <c r="E607" t="n">
        <v>23.32999992370605</v>
      </c>
      <c r="F607" t="n">
        <v>1.55</v>
      </c>
      <c r="G607" t="inlineStr">
        <is>
          <t>Consolidated first (v4) – needs verification for flagged rows</t>
        </is>
      </c>
      <c r="H607" t="n">
        <v>10.4399995803833</v>
      </c>
      <c r="I607" t="n">
        <v>3.230000019073486</v>
      </c>
      <c r="L607" t="inlineStr">
        <is>
          <t>INCOMPLETE</t>
        </is>
      </c>
      <c r="M607" t="n">
        <v>6.74</v>
      </c>
      <c r="N607" t="n">
        <v>2.08</v>
      </c>
      <c r="O607" t="n">
        <v>11.73</v>
      </c>
      <c r="P607" t="n">
        <v>11.73</v>
      </c>
      <c r="Q607" t="n">
        <v>10.21</v>
      </c>
      <c r="R607" s="3" t="inlineStr">
        <is>
          <t>MISMATCH_NEEDS_CORRECTION</t>
        </is>
      </c>
      <c r="S607" t="n">
        <v>11.73</v>
      </c>
      <c r="T607" t="inlineStr">
        <is>
          <t>30-07-2026 09:42 IST</t>
        </is>
      </c>
    </row>
    <row r="608">
      <c r="A608" t="n">
        <v>81</v>
      </c>
      <c r="B608" t="n">
        <v>501386</v>
      </c>
      <c r="C608" t="inlineStr">
        <is>
          <t>Gujarat Ambuja Exports Ltd</t>
        </is>
      </c>
      <c r="D608" t="n">
        <v>2024</v>
      </c>
      <c r="E608" t="n">
        <v>23.32999992370605</v>
      </c>
      <c r="F608" t="n">
        <v>1.8</v>
      </c>
      <c r="G608" t="inlineStr">
        <is>
          <t>Consolidated first (v4) – needs verification for flagged rows</t>
        </is>
      </c>
      <c r="H608" t="n">
        <v>11.72999954223633</v>
      </c>
      <c r="I608" t="n">
        <v>10.4399995803833</v>
      </c>
      <c r="L608" t="inlineStr">
        <is>
          <t>INCOMPLETE</t>
        </is>
      </c>
      <c r="M608" t="n">
        <v>6.52</v>
      </c>
      <c r="N608" t="n">
        <v>5.8</v>
      </c>
      <c r="O608" t="n">
        <v>11.73</v>
      </c>
      <c r="P608" t="n">
        <v>11.73</v>
      </c>
      <c r="Q608" t="n">
        <v>10.21</v>
      </c>
      <c r="R608" s="3" t="inlineStr">
        <is>
          <t>MISMATCH_NEEDS_CORRECTION</t>
        </is>
      </c>
      <c r="S608" t="n">
        <v>11.73</v>
      </c>
      <c r="T608" t="inlineStr">
        <is>
          <t>30-07-2026 09:42 IST</t>
        </is>
      </c>
    </row>
    <row r="609">
      <c r="A609" t="n">
        <v>81</v>
      </c>
      <c r="B609" t="n">
        <v>501386</v>
      </c>
      <c r="C609" t="inlineStr">
        <is>
          <t>Gujarat Ambuja Exports Ltd</t>
        </is>
      </c>
      <c r="D609" t="n">
        <v>2025</v>
      </c>
      <c r="E609" t="n">
        <v>23.32999992370605</v>
      </c>
      <c r="F609" t="n">
        <v>2.2</v>
      </c>
      <c r="G609" t="inlineStr">
        <is>
          <t>Consolidated first (v4) – needs verification for flagged rows</t>
        </is>
      </c>
      <c r="H609" t="n">
        <v>14.35000038146973</v>
      </c>
      <c r="I609" t="n">
        <v>10.21000003814697</v>
      </c>
      <c r="L609" t="inlineStr">
        <is>
          <t>INCOMPLETE</t>
        </is>
      </c>
      <c r="M609" t="n">
        <v>6.52</v>
      </c>
      <c r="N609" t="n">
        <v>4.64</v>
      </c>
      <c r="O609" t="n">
        <v>11.73</v>
      </c>
      <c r="P609" t="n">
        <v>11.73</v>
      </c>
      <c r="Q609" t="n">
        <v>10.21</v>
      </c>
      <c r="R609" s="3" t="inlineStr">
        <is>
          <t>MISMATCH_NEEDS_CORRECTION</t>
        </is>
      </c>
      <c r="S609" t="n">
        <v>11.73</v>
      </c>
      <c r="T609" t="inlineStr">
        <is>
          <t>30-07-2026 09:42 IST</t>
        </is>
      </c>
    </row>
    <row r="610">
      <c r="A610" t="n">
        <v>81</v>
      </c>
      <c r="B610" t="n">
        <v>501386</v>
      </c>
      <c r="C610" t="inlineStr">
        <is>
          <t>Gujarat Ambuja Exports Ltd</t>
        </is>
      </c>
      <c r="D610" t="n">
        <v>2026</v>
      </c>
      <c r="E610" t="n">
        <v>23.32999992370605</v>
      </c>
      <c r="F610" t="n">
        <v>1.99</v>
      </c>
      <c r="G610" t="inlineStr">
        <is>
          <t>Consolidated first (v4) – needs verification for flagged rows</t>
        </is>
      </c>
      <c r="H610" t="n">
        <v>23.32999992370605</v>
      </c>
      <c r="I610" t="n">
        <v>14.35000038146973</v>
      </c>
      <c r="L610" t="inlineStr">
        <is>
          <t>INCOMPLETE</t>
        </is>
      </c>
      <c r="M610" t="n">
        <v>11.72</v>
      </c>
      <c r="N610" t="n">
        <v>7.21</v>
      </c>
      <c r="O610" t="n">
        <v>11.73</v>
      </c>
      <c r="P610" t="n">
        <v>11.73</v>
      </c>
      <c r="Q610" t="n">
        <v>10.21</v>
      </c>
      <c r="R610" s="3" t="inlineStr">
        <is>
          <t>MISMATCH_NEEDS_CORRECTION</t>
        </is>
      </c>
      <c r="S610" t="n">
        <v>11.73</v>
      </c>
      <c r="T610" t="inlineStr">
        <is>
          <t>30-07-2026 09:42 IST</t>
        </is>
      </c>
    </row>
    <row r="611">
      <c r="A611" t="n">
        <v>83</v>
      </c>
      <c r="B611" t="n">
        <v>501455</v>
      </c>
      <c r="C611" t="inlineStr">
        <is>
          <t>Greaves Cotton Ltd</t>
        </is>
      </c>
      <c r="D611" t="n">
        <v>2015</v>
      </c>
      <c r="F611" t="n">
        <v>3.42</v>
      </c>
      <c r="G611" t="inlineStr">
        <is>
          <t>Consolidated first (v4) – needs verification for flagged rows</t>
        </is>
      </c>
      <c r="H611" t="n">
        <v>162.3999938964844</v>
      </c>
      <c r="I611" t="n">
        <v>115.3000030517578</v>
      </c>
      <c r="L611" t="inlineStr">
        <is>
          <t>OK</t>
        </is>
      </c>
      <c r="M611" t="n">
        <v>47.49</v>
      </c>
      <c r="N611" t="n">
        <v>33.71</v>
      </c>
      <c r="O611" t="n">
        <v>236</v>
      </c>
      <c r="P611" t="n">
        <v>305.5</v>
      </c>
      <c r="Q611" t="n">
        <v>155.2</v>
      </c>
      <c r="R611" s="3" t="inlineStr">
        <is>
          <t>MISMATCH_NEEDS_CORRECTION</t>
        </is>
      </c>
      <c r="S611" t="n">
        <v>236</v>
      </c>
      <c r="T611" t="inlineStr">
        <is>
          <t>30-07-2026 09:42 IST</t>
        </is>
      </c>
    </row>
    <row r="612">
      <c r="A612" t="n">
        <v>83</v>
      </c>
      <c r="B612" t="n">
        <v>501455</v>
      </c>
      <c r="C612" t="inlineStr">
        <is>
          <t>Greaves Cotton Ltd</t>
        </is>
      </c>
      <c r="D612" t="n">
        <v>2016</v>
      </c>
      <c r="F612" t="n">
        <v>8.23</v>
      </c>
      <c r="G612" t="inlineStr">
        <is>
          <t>Consolidated first (v4) – needs verification for flagged rows</t>
        </is>
      </c>
      <c r="H612" t="n">
        <v>150.3500061035156</v>
      </c>
      <c r="I612" t="n">
        <v>114.1999969482422</v>
      </c>
      <c r="L612" t="inlineStr">
        <is>
          <t>OK</t>
        </is>
      </c>
      <c r="M612" t="n">
        <v>18.27</v>
      </c>
      <c r="N612" t="n">
        <v>13.88</v>
      </c>
      <c r="O612" t="n">
        <v>236</v>
      </c>
      <c r="P612" t="n">
        <v>305.5</v>
      </c>
      <c r="Q612" t="n">
        <v>155.2</v>
      </c>
      <c r="R612" s="3" t="inlineStr">
        <is>
          <t>MISMATCH_NEEDS_CORRECTION</t>
        </is>
      </c>
      <c r="S612" t="n">
        <v>236</v>
      </c>
      <c r="T612" t="inlineStr">
        <is>
          <t>30-07-2026 09:42 IST</t>
        </is>
      </c>
    </row>
    <row r="613">
      <c r="A613" t="n">
        <v>83</v>
      </c>
      <c r="B613" t="n">
        <v>501455</v>
      </c>
      <c r="C613" t="inlineStr">
        <is>
          <t>Greaves Cotton Ltd</t>
        </is>
      </c>
      <c r="D613" t="n">
        <v>2017</v>
      </c>
      <c r="F613" t="n">
        <v>7.4</v>
      </c>
      <c r="G613" t="inlineStr">
        <is>
          <t>Consolidated first (v4) – needs verification for flagged rows</t>
        </is>
      </c>
      <c r="H613" t="n">
        <v>178</v>
      </c>
      <c r="I613" t="n">
        <v>112.6999969482422</v>
      </c>
      <c r="L613" t="inlineStr">
        <is>
          <t>OK</t>
        </is>
      </c>
      <c r="M613" t="n">
        <v>24.05</v>
      </c>
      <c r="N613" t="n">
        <v>15.23</v>
      </c>
      <c r="O613" t="n">
        <v>236</v>
      </c>
      <c r="P613" t="n">
        <v>305.5</v>
      </c>
      <c r="Q613" t="n">
        <v>155.2</v>
      </c>
      <c r="R613" s="3" t="inlineStr">
        <is>
          <t>MISMATCH_NEEDS_CORRECTION</t>
        </is>
      </c>
      <c r="S613" t="n">
        <v>236</v>
      </c>
      <c r="T613" t="inlineStr">
        <is>
          <t>30-07-2026 09:42 IST</t>
        </is>
      </c>
    </row>
    <row r="614">
      <c r="A614" t="n">
        <v>83</v>
      </c>
      <c r="B614" t="n">
        <v>501455</v>
      </c>
      <c r="C614" t="inlineStr">
        <is>
          <t>Greaves Cotton Ltd</t>
        </is>
      </c>
      <c r="D614" t="n">
        <v>2018</v>
      </c>
      <c r="F614" t="n">
        <v>8.279999999999999</v>
      </c>
      <c r="G614" t="inlineStr">
        <is>
          <t>Consolidated first (v4) – needs verification for flagged rows</t>
        </is>
      </c>
      <c r="H614" t="n">
        <v>165</v>
      </c>
      <c r="I614" t="n">
        <v>111.0999984741211</v>
      </c>
      <c r="L614" t="inlineStr">
        <is>
          <t>OK</t>
        </is>
      </c>
      <c r="M614" t="n">
        <v>19.93</v>
      </c>
      <c r="N614" t="n">
        <v>13.42</v>
      </c>
      <c r="O614" t="n">
        <v>236</v>
      </c>
      <c r="P614" t="n">
        <v>305.5</v>
      </c>
      <c r="Q614" t="n">
        <v>155.2</v>
      </c>
      <c r="R614" s="3" t="inlineStr">
        <is>
          <t>MISMATCH_NEEDS_CORRECTION</t>
        </is>
      </c>
      <c r="S614" t="n">
        <v>236</v>
      </c>
      <c r="T614" t="inlineStr">
        <is>
          <t>30-07-2026 09:42 IST</t>
        </is>
      </c>
    </row>
    <row r="615">
      <c r="A615" t="n">
        <v>83</v>
      </c>
      <c r="B615" t="n">
        <v>501455</v>
      </c>
      <c r="C615" t="inlineStr">
        <is>
          <t>Greaves Cotton Ltd</t>
        </is>
      </c>
      <c r="D615" t="n">
        <v>2019</v>
      </c>
      <c r="F615" t="n">
        <v>6.74</v>
      </c>
      <c r="G615" t="inlineStr">
        <is>
          <t>Consolidated first (v4) – needs verification for flagged rows</t>
        </is>
      </c>
      <c r="H615" t="n">
        <v>157.25</v>
      </c>
      <c r="I615" t="n">
        <v>112.5999984741211</v>
      </c>
      <c r="L615" t="inlineStr">
        <is>
          <t>OK</t>
        </is>
      </c>
      <c r="M615" t="n">
        <v>23.33</v>
      </c>
      <c r="N615" t="n">
        <v>16.71</v>
      </c>
      <c r="O615" t="n">
        <v>236</v>
      </c>
      <c r="P615" t="n">
        <v>305.5</v>
      </c>
      <c r="Q615" t="n">
        <v>155.2</v>
      </c>
      <c r="R615" s="3" t="inlineStr">
        <is>
          <t>MISMATCH_NEEDS_CORRECTION</t>
        </is>
      </c>
      <c r="S615" t="n">
        <v>236</v>
      </c>
      <c r="T615" t="inlineStr">
        <is>
          <t>30-07-2026 09:42 IST</t>
        </is>
      </c>
    </row>
    <row r="616">
      <c r="A616" t="n">
        <v>83</v>
      </c>
      <c r="B616" t="n">
        <v>501455</v>
      </c>
      <c r="C616" t="inlineStr">
        <is>
          <t>Greaves Cotton Ltd</t>
        </is>
      </c>
      <c r="D616" t="n">
        <v>2020</v>
      </c>
      <c r="F616" t="n">
        <v>5.59</v>
      </c>
      <c r="G616" t="inlineStr">
        <is>
          <t>Consolidated first (v4) – needs verification for flagged rows</t>
        </is>
      </c>
      <c r="H616" t="n">
        <v>147.1000061035156</v>
      </c>
      <c r="I616" t="n">
        <v>66</v>
      </c>
      <c r="L616" t="inlineStr">
        <is>
          <t>OK</t>
        </is>
      </c>
      <c r="M616" t="n">
        <v>26.31</v>
      </c>
      <c r="N616" t="n">
        <v>11.81</v>
      </c>
      <c r="O616" t="n">
        <v>236</v>
      </c>
      <c r="P616" t="n">
        <v>305.5</v>
      </c>
      <c r="Q616" t="n">
        <v>155.2</v>
      </c>
      <c r="R616" s="3" t="inlineStr">
        <is>
          <t>MISMATCH_NEEDS_CORRECTION</t>
        </is>
      </c>
      <c r="S616" t="n">
        <v>236</v>
      </c>
      <c r="T616" t="inlineStr">
        <is>
          <t>30-07-2026 09:42 IST</t>
        </is>
      </c>
    </row>
    <row r="617">
      <c r="A617" t="n">
        <v>83</v>
      </c>
      <c r="B617" t="n">
        <v>501455</v>
      </c>
      <c r="C617" t="inlineStr">
        <is>
          <t>Greaves Cotton Ltd</t>
        </is>
      </c>
      <c r="D617" t="n">
        <v>2021</v>
      </c>
      <c r="F617" t="n">
        <v>-0.8100000000000001</v>
      </c>
      <c r="G617" t="inlineStr">
        <is>
          <t>Consolidated first (v4) – needs verification for flagged rows</t>
        </is>
      </c>
      <c r="H617" t="n">
        <v>184.25</v>
      </c>
      <c r="I617" t="n">
        <v>84.55000305175781</v>
      </c>
      <c r="L617" t="inlineStr">
        <is>
          <t>UNVERIFIED – negative EPS</t>
        </is>
      </c>
      <c r="M617" t="n">
        <v>-227.47</v>
      </c>
      <c r="N617" t="n">
        <v>-104.38</v>
      </c>
      <c r="O617" t="n">
        <v>236</v>
      </c>
      <c r="P617" t="n">
        <v>305.5</v>
      </c>
      <c r="Q617" t="n">
        <v>155.2</v>
      </c>
      <c r="R617" s="3" t="inlineStr">
        <is>
          <t>MISMATCH_NEEDS_CORRECTION</t>
        </is>
      </c>
      <c r="S617" t="n">
        <v>236</v>
      </c>
      <c r="T617" t="inlineStr">
        <is>
          <t>30-07-2026 09:42 IST</t>
        </is>
      </c>
    </row>
    <row r="618">
      <c r="A618" t="n">
        <v>83</v>
      </c>
      <c r="B618" t="n">
        <v>501455</v>
      </c>
      <c r="C618" t="inlineStr">
        <is>
          <t>Greaves Cotton Ltd</t>
        </is>
      </c>
      <c r="D618" t="n">
        <v>2022</v>
      </c>
      <c r="F618" t="n">
        <v>-1.52</v>
      </c>
      <c r="G618" t="inlineStr">
        <is>
          <t>Consolidated first (v4) – needs verification for flagged rows</t>
        </is>
      </c>
      <c r="H618" t="n">
        <v>258.8500061035156</v>
      </c>
      <c r="I618" t="n">
        <v>126</v>
      </c>
      <c r="L618" t="inlineStr">
        <is>
          <t>UNVERIFIED – negative EPS</t>
        </is>
      </c>
      <c r="M618" t="n">
        <v>-170.3</v>
      </c>
      <c r="N618" t="n">
        <v>-82.89</v>
      </c>
      <c r="O618" t="n">
        <v>236</v>
      </c>
      <c r="P618" t="n">
        <v>305.5</v>
      </c>
      <c r="Q618" t="n">
        <v>155.2</v>
      </c>
      <c r="R618" s="3" t="inlineStr">
        <is>
          <t>MISMATCH_NEEDS_CORRECTION</t>
        </is>
      </c>
      <c r="S618" t="n">
        <v>236</v>
      </c>
      <c r="T618" t="inlineStr">
        <is>
          <t>30-07-2026 09:42 IST</t>
        </is>
      </c>
    </row>
    <row r="619">
      <c r="A619" t="n">
        <v>83</v>
      </c>
      <c r="B619" t="n">
        <v>501455</v>
      </c>
      <c r="C619" t="inlineStr">
        <is>
          <t>Greaves Cotton Ltd</t>
        </is>
      </c>
      <c r="D619" t="n">
        <v>2023</v>
      </c>
      <c r="F619" t="n">
        <v>3.37</v>
      </c>
      <c r="G619" t="inlineStr">
        <is>
          <t>Consolidated first (v4) – needs verification for flagged rows</t>
        </is>
      </c>
      <c r="H619" t="n">
        <v>164.8000030517578</v>
      </c>
      <c r="I619" t="n">
        <v>118.6999969482422</v>
      </c>
      <c r="L619" t="inlineStr">
        <is>
          <t>OK</t>
        </is>
      </c>
      <c r="M619" t="n">
        <v>48.9</v>
      </c>
      <c r="N619" t="n">
        <v>35.22</v>
      </c>
      <c r="O619" t="n">
        <v>236</v>
      </c>
      <c r="P619" t="n">
        <v>305.5</v>
      </c>
      <c r="Q619" t="n">
        <v>155.2</v>
      </c>
      <c r="R619" s="3" t="inlineStr">
        <is>
          <t>MISMATCH_NEEDS_CORRECTION</t>
        </is>
      </c>
      <c r="S619" t="n">
        <v>236</v>
      </c>
      <c r="T619" t="inlineStr">
        <is>
          <t>30-07-2026 09:42 IST</t>
        </is>
      </c>
    </row>
    <row r="620">
      <c r="A620" t="n">
        <v>83</v>
      </c>
      <c r="B620" t="n">
        <v>501455</v>
      </c>
      <c r="C620" t="inlineStr">
        <is>
          <t>Greaves Cotton Ltd</t>
        </is>
      </c>
      <c r="D620" t="n">
        <v>2024</v>
      </c>
      <c r="F620" t="n">
        <v>-5.83</v>
      </c>
      <c r="G620" t="inlineStr">
        <is>
          <t>Consolidated first (v4) – needs verification for flagged rows</t>
        </is>
      </c>
      <c r="H620" t="n">
        <v>319.5</v>
      </c>
      <c r="I620" t="n">
        <v>112.5</v>
      </c>
      <c r="L620" t="inlineStr">
        <is>
          <t>UNVERIFIED – negative EPS</t>
        </is>
      </c>
      <c r="M620" t="n">
        <v>-54.8</v>
      </c>
      <c r="N620" t="n">
        <v>-19.3</v>
      </c>
      <c r="O620" t="n">
        <v>236</v>
      </c>
      <c r="P620" t="n">
        <v>305.5</v>
      </c>
      <c r="Q620" t="n">
        <v>155.2</v>
      </c>
      <c r="R620" s="3" t="inlineStr">
        <is>
          <t>MISMATCH_NEEDS_CORRECTION</t>
        </is>
      </c>
      <c r="S620" t="n">
        <v>236</v>
      </c>
      <c r="T620" t="inlineStr">
        <is>
          <t>30-07-2026 09:42 IST</t>
        </is>
      </c>
    </row>
    <row r="621">
      <c r="A621" t="n">
        <v>83</v>
      </c>
      <c r="B621" t="n">
        <v>501455</v>
      </c>
      <c r="C621" t="inlineStr">
        <is>
          <t>Greaves Cotton Ltd</t>
        </is>
      </c>
      <c r="D621" t="n">
        <v>2025</v>
      </c>
      <c r="F621" t="n">
        <v>2.51</v>
      </c>
      <c r="G621" t="inlineStr">
        <is>
          <t>Consolidated first (v4) – needs verification for flagged rows</t>
        </is>
      </c>
      <c r="H621" t="n">
        <v>305.5</v>
      </c>
      <c r="I621" t="n">
        <v>160.1000061035156</v>
      </c>
      <c r="L621" t="inlineStr">
        <is>
          <t>OK</t>
        </is>
      </c>
      <c r="M621" t="n">
        <v>121.71</v>
      </c>
      <c r="N621" t="n">
        <v>63.78</v>
      </c>
      <c r="O621" t="n">
        <v>236</v>
      </c>
      <c r="P621" t="n">
        <v>305.5</v>
      </c>
      <c r="Q621" t="n">
        <v>155.2</v>
      </c>
      <c r="R621" s="3" t="inlineStr">
        <is>
          <t>MISMATCH_NEEDS_CORRECTION</t>
        </is>
      </c>
      <c r="S621" t="n">
        <v>236</v>
      </c>
      <c r="T621" t="inlineStr">
        <is>
          <t>30-07-2026 09:42 IST</t>
        </is>
      </c>
    </row>
    <row r="622">
      <c r="A622" t="n">
        <v>83</v>
      </c>
      <c r="B622" t="n">
        <v>501455</v>
      </c>
      <c r="C622" t="inlineStr">
        <is>
          <t>Greaves Cotton Ltd</t>
        </is>
      </c>
      <c r="D622" t="n">
        <v>2026</v>
      </c>
      <c r="F622" t="n">
        <v>4.6</v>
      </c>
      <c r="G622" t="inlineStr">
        <is>
          <t>Consolidated first (v4) – needs verification for flagged rows</t>
        </is>
      </c>
      <c r="H622" t="n">
        <v>272</v>
      </c>
      <c r="I622" t="n">
        <v>120.0500030517578</v>
      </c>
      <c r="L622" t="inlineStr">
        <is>
          <t>OK</t>
        </is>
      </c>
      <c r="M622" t="n">
        <v>59.13</v>
      </c>
      <c r="N622" t="n">
        <v>26.1</v>
      </c>
      <c r="O622" t="n">
        <v>236</v>
      </c>
      <c r="P622" t="n">
        <v>305.5</v>
      </c>
      <c r="Q622" t="n">
        <v>155.2</v>
      </c>
      <c r="R622" s="3" t="inlineStr">
        <is>
          <t>MISMATCH_NEEDS_CORRECTION</t>
        </is>
      </c>
      <c r="S622" t="n">
        <v>236</v>
      </c>
      <c r="T622" t="inlineStr">
        <is>
          <t>30-07-2026 09:42 IST</t>
        </is>
      </c>
    </row>
    <row r="623">
      <c r="A623" t="n">
        <v>84</v>
      </c>
      <c r="B623" t="n">
        <v>502090</v>
      </c>
      <c r="C623" t="inlineStr">
        <is>
          <t>Siyaram Silk Mills Ltd</t>
        </is>
      </c>
      <c r="D623" t="n">
        <v>2015</v>
      </c>
      <c r="E623" t="n">
        <v>179.8000030517578</v>
      </c>
      <c r="G623" t="inlineStr">
        <is>
          <t>Consolidated first (v4) – needs verification for flagged rows</t>
        </is>
      </c>
      <c r="H623" t="n">
        <v>99.59999847412109</v>
      </c>
      <c r="I623" t="n">
        <v>55</v>
      </c>
      <c r="L623" t="inlineStr">
        <is>
          <t>INCOMPLETE</t>
        </is>
      </c>
      <c r="O623" t="n">
        <v>619.55</v>
      </c>
      <c r="P623" t="n">
        <v>848.8</v>
      </c>
      <c r="Q623" t="n">
        <v>433.35</v>
      </c>
      <c r="R623" s="3" t="inlineStr">
        <is>
          <t>MISMATCH_NEEDS_CORRECTION</t>
        </is>
      </c>
      <c r="S623" t="n">
        <v>619.55</v>
      </c>
      <c r="T623" t="inlineStr">
        <is>
          <t>30-07-2026 09:42 IST</t>
        </is>
      </c>
    </row>
    <row r="624">
      <c r="A624" t="n">
        <v>84</v>
      </c>
      <c r="B624" t="n">
        <v>502090</v>
      </c>
      <c r="C624" t="inlineStr">
        <is>
          <t>Siyaram Silk Mills Ltd</t>
        </is>
      </c>
      <c r="D624" t="n">
        <v>2016</v>
      </c>
      <c r="E624" t="n">
        <v>179.8000030517578</v>
      </c>
      <c r="F624" t="n">
        <v>5.09</v>
      </c>
      <c r="G624" t="inlineStr">
        <is>
          <t>Consolidated first (v4) – needs verification for flagged rows</t>
        </is>
      </c>
      <c r="H624" t="n">
        <v>167</v>
      </c>
      <c r="I624" t="n">
        <v>70</v>
      </c>
      <c r="L624" t="inlineStr">
        <is>
          <t>OK</t>
        </is>
      </c>
      <c r="M624" t="n">
        <v>32.81</v>
      </c>
      <c r="N624" t="n">
        <v>13.75</v>
      </c>
      <c r="O624" t="n">
        <v>619.55</v>
      </c>
      <c r="P624" t="n">
        <v>848.8</v>
      </c>
      <c r="Q624" t="n">
        <v>433.35</v>
      </c>
      <c r="R624" s="3" t="inlineStr">
        <is>
          <t>MISMATCH_NEEDS_CORRECTION</t>
        </is>
      </c>
      <c r="S624" t="n">
        <v>619.55</v>
      </c>
      <c r="T624" t="inlineStr">
        <is>
          <t>30-07-2026 09:42 IST</t>
        </is>
      </c>
    </row>
    <row r="625">
      <c r="A625" t="n">
        <v>84</v>
      </c>
      <c r="B625" t="n">
        <v>502090</v>
      </c>
      <c r="C625" t="inlineStr">
        <is>
          <t>Siyaram Silk Mills Ltd</t>
        </is>
      </c>
      <c r="D625" t="n">
        <v>2017</v>
      </c>
      <c r="E625" t="n">
        <v>179.8000030517578</v>
      </c>
      <c r="F625" t="n">
        <v>-0.38</v>
      </c>
      <c r="G625" t="inlineStr">
        <is>
          <t>Consolidated first (v4) – needs verification for flagged rows</t>
        </is>
      </c>
      <c r="H625" t="n">
        <v>188</v>
      </c>
      <c r="I625" t="n">
        <v>125.5999984741211</v>
      </c>
      <c r="L625" t="inlineStr">
        <is>
          <t>UNVERIFIED – negative EPS</t>
        </is>
      </c>
      <c r="M625" t="n">
        <v>-494.74</v>
      </c>
      <c r="N625" t="n">
        <v>-330.53</v>
      </c>
      <c r="O625" t="n">
        <v>619.55</v>
      </c>
      <c r="P625" t="n">
        <v>848.8</v>
      </c>
      <c r="Q625" t="n">
        <v>433.35</v>
      </c>
      <c r="R625" s="3" t="inlineStr">
        <is>
          <t>MISMATCH_NEEDS_CORRECTION</t>
        </is>
      </c>
      <c r="S625" t="n">
        <v>619.55</v>
      </c>
      <c r="T625" t="inlineStr">
        <is>
          <t>30-07-2026 09:42 IST</t>
        </is>
      </c>
    </row>
    <row r="626">
      <c r="A626" t="n">
        <v>84</v>
      </c>
      <c r="B626" t="n">
        <v>502090</v>
      </c>
      <c r="C626" t="inlineStr">
        <is>
          <t>Siyaram Silk Mills Ltd</t>
        </is>
      </c>
      <c r="D626" t="n">
        <v>2018</v>
      </c>
      <c r="E626" t="n">
        <v>179.8000030517578</v>
      </c>
      <c r="F626" t="n">
        <v>2.57</v>
      </c>
      <c r="G626" t="inlineStr">
        <is>
          <t>Consolidated first (v4) – needs verification for flagged rows</t>
        </is>
      </c>
      <c r="H626" t="n">
        <v>232.2799987792969</v>
      </c>
      <c r="I626" t="n">
        <v>115</v>
      </c>
      <c r="L626" t="inlineStr">
        <is>
          <t>OK</t>
        </is>
      </c>
      <c r="M626" t="n">
        <v>90.38</v>
      </c>
      <c r="N626" t="n">
        <v>44.75</v>
      </c>
      <c r="O626" t="n">
        <v>619.55</v>
      </c>
      <c r="P626" t="n">
        <v>848.8</v>
      </c>
      <c r="Q626" t="n">
        <v>433.35</v>
      </c>
      <c r="R626" s="3" t="inlineStr">
        <is>
          <t>MISMATCH_NEEDS_CORRECTION</t>
        </is>
      </c>
      <c r="S626" t="n">
        <v>619.55</v>
      </c>
      <c r="T626" t="inlineStr">
        <is>
          <t>30-07-2026 09:42 IST</t>
        </is>
      </c>
    </row>
    <row r="627">
      <c r="A627" t="n">
        <v>84</v>
      </c>
      <c r="B627" t="n">
        <v>502090</v>
      </c>
      <c r="C627" t="inlineStr">
        <is>
          <t>Siyaram Silk Mills Ltd</t>
        </is>
      </c>
      <c r="D627" t="n">
        <v>2019</v>
      </c>
      <c r="E627" t="n">
        <v>179.8000030517578</v>
      </c>
      <c r="F627" t="n">
        <v>1.33</v>
      </c>
      <c r="G627" t="inlineStr">
        <is>
          <t>Consolidated first (v4) – needs verification for flagged rows</t>
        </is>
      </c>
      <c r="H627" t="n">
        <v>149.8800048828125</v>
      </c>
      <c r="I627" t="n">
        <v>97.52999877929688</v>
      </c>
      <c r="L627" t="inlineStr">
        <is>
          <t>OK</t>
        </is>
      </c>
      <c r="M627" t="n">
        <v>112.69</v>
      </c>
      <c r="N627" t="n">
        <v>73.33</v>
      </c>
      <c r="O627" t="n">
        <v>619.55</v>
      </c>
      <c r="P627" t="n">
        <v>848.8</v>
      </c>
      <c r="Q627" t="n">
        <v>433.35</v>
      </c>
      <c r="R627" s="3" t="inlineStr">
        <is>
          <t>MISMATCH_NEEDS_CORRECTION</t>
        </is>
      </c>
      <c r="S627" t="n">
        <v>619.55</v>
      </c>
      <c r="T627" t="inlineStr">
        <is>
          <t>30-07-2026 09:42 IST</t>
        </is>
      </c>
    </row>
    <row r="628">
      <c r="A628" t="n">
        <v>84</v>
      </c>
      <c r="B628" t="n">
        <v>502090</v>
      </c>
      <c r="C628" t="inlineStr">
        <is>
          <t>Siyaram Silk Mills Ltd</t>
        </is>
      </c>
      <c r="D628" t="n">
        <v>2020</v>
      </c>
      <c r="E628" t="n">
        <v>179.8000030517578</v>
      </c>
      <c r="F628" t="n">
        <v>2.4</v>
      </c>
      <c r="G628" t="inlineStr">
        <is>
          <t>Consolidated first (v4) – needs verification for flagged rows</t>
        </is>
      </c>
      <c r="H628" t="n">
        <v>165.7899932861328</v>
      </c>
      <c r="I628" t="n">
        <v>49.20000076293945</v>
      </c>
      <c r="L628" t="inlineStr">
        <is>
          <t>OK</t>
        </is>
      </c>
      <c r="M628" t="n">
        <v>69.08</v>
      </c>
      <c r="N628" t="n">
        <v>20.5</v>
      </c>
      <c r="O628" t="n">
        <v>619.55</v>
      </c>
      <c r="P628" t="n">
        <v>848.8</v>
      </c>
      <c r="Q628" t="n">
        <v>433.35</v>
      </c>
      <c r="R628" s="3" t="inlineStr">
        <is>
          <t>MISMATCH_NEEDS_CORRECTION</t>
        </is>
      </c>
      <c r="S628" t="n">
        <v>619.55</v>
      </c>
      <c r="T628" t="inlineStr">
        <is>
          <t>30-07-2026 09:42 IST</t>
        </is>
      </c>
    </row>
    <row r="629">
      <c r="A629" t="n">
        <v>84</v>
      </c>
      <c r="B629" t="n">
        <v>502090</v>
      </c>
      <c r="C629" t="inlineStr">
        <is>
          <t>Siyaram Silk Mills Ltd</t>
        </is>
      </c>
      <c r="D629" t="n">
        <v>2021</v>
      </c>
      <c r="E629" t="n">
        <v>179.8000030517578</v>
      </c>
      <c r="F629" t="n">
        <v>15.88</v>
      </c>
      <c r="G629" t="inlineStr">
        <is>
          <t>Consolidated first (v4) – needs verification for flagged rows</t>
        </is>
      </c>
      <c r="H629" t="n">
        <v>319</v>
      </c>
      <c r="I629" t="n">
        <v>128.0200042724609</v>
      </c>
      <c r="L629" t="inlineStr">
        <is>
          <t>OK</t>
        </is>
      </c>
      <c r="M629" t="n">
        <v>20.09</v>
      </c>
      <c r="N629" t="n">
        <v>8.06</v>
      </c>
      <c r="O629" t="n">
        <v>619.55</v>
      </c>
      <c r="P629" t="n">
        <v>848.8</v>
      </c>
      <c r="Q629" t="n">
        <v>433.35</v>
      </c>
      <c r="R629" s="3" t="inlineStr">
        <is>
          <t>MISMATCH_NEEDS_CORRECTION</t>
        </is>
      </c>
      <c r="S629" t="n">
        <v>619.55</v>
      </c>
      <c r="T629" t="inlineStr">
        <is>
          <t>30-07-2026 09:42 IST</t>
        </is>
      </c>
    </row>
    <row r="630">
      <c r="A630" t="n">
        <v>84</v>
      </c>
      <c r="B630" t="n">
        <v>502090</v>
      </c>
      <c r="C630" t="inlineStr">
        <is>
          <t>Siyaram Silk Mills Ltd</t>
        </is>
      </c>
      <c r="D630" t="n">
        <v>2022</v>
      </c>
      <c r="E630" t="n">
        <v>179.8000030517578</v>
      </c>
      <c r="F630" t="n">
        <v>5.89</v>
      </c>
      <c r="G630" t="inlineStr">
        <is>
          <t>Consolidated first (v4) – needs verification for flagged rows</t>
        </is>
      </c>
      <c r="H630" t="n">
        <v>292</v>
      </c>
      <c r="I630" t="n">
        <v>155.1499938964844</v>
      </c>
      <c r="L630" t="inlineStr">
        <is>
          <t>OK</t>
        </is>
      </c>
      <c r="M630" t="n">
        <v>49.58</v>
      </c>
      <c r="N630" t="n">
        <v>26.34</v>
      </c>
      <c r="O630" t="n">
        <v>619.55</v>
      </c>
      <c r="P630" t="n">
        <v>848.8</v>
      </c>
      <c r="Q630" t="n">
        <v>433.35</v>
      </c>
      <c r="R630" s="3" t="inlineStr">
        <is>
          <t>MISMATCH_NEEDS_CORRECTION</t>
        </is>
      </c>
      <c r="S630" t="n">
        <v>619.55</v>
      </c>
      <c r="T630" t="inlineStr">
        <is>
          <t>30-07-2026 09:42 IST</t>
        </is>
      </c>
    </row>
    <row r="631">
      <c r="A631" t="n">
        <v>84</v>
      </c>
      <c r="B631" t="n">
        <v>502090</v>
      </c>
      <c r="C631" t="inlineStr">
        <is>
          <t>Siyaram Silk Mills Ltd</t>
        </is>
      </c>
      <c r="D631" t="n">
        <v>2023</v>
      </c>
      <c r="E631" t="n">
        <v>179.8000030517578</v>
      </c>
      <c r="F631" t="n">
        <v>2.22</v>
      </c>
      <c r="G631" t="inlineStr">
        <is>
          <t>Consolidated first (v4) – needs verification for flagged rows</t>
        </is>
      </c>
      <c r="H631" t="n">
        <v>289.0499877929688</v>
      </c>
      <c r="I631" t="n">
        <v>179.6999969482422</v>
      </c>
      <c r="L631" t="inlineStr">
        <is>
          <t>OK</t>
        </is>
      </c>
      <c r="M631" t="n">
        <v>130.2</v>
      </c>
      <c r="N631" t="n">
        <v>80.95</v>
      </c>
      <c r="O631" t="n">
        <v>619.55</v>
      </c>
      <c r="P631" t="n">
        <v>848.8</v>
      </c>
      <c r="Q631" t="n">
        <v>433.35</v>
      </c>
      <c r="R631" s="3" t="inlineStr">
        <is>
          <t>MISMATCH_NEEDS_CORRECTION</t>
        </is>
      </c>
      <c r="S631" t="n">
        <v>619.55</v>
      </c>
      <c r="T631" t="inlineStr">
        <is>
          <t>30-07-2026 09:42 IST</t>
        </is>
      </c>
    </row>
    <row r="632">
      <c r="A632" t="n">
        <v>84</v>
      </c>
      <c r="B632" t="n">
        <v>502090</v>
      </c>
      <c r="C632" t="inlineStr">
        <is>
          <t>Siyaram Silk Mills Ltd</t>
        </is>
      </c>
      <c r="D632" t="n">
        <v>2024</v>
      </c>
      <c r="E632" t="n">
        <v>179.8000030517578</v>
      </c>
      <c r="F632" t="n">
        <v>-3.32</v>
      </c>
      <c r="G632" t="inlineStr">
        <is>
          <t>Consolidated first (v4) – needs verification for flagged rows</t>
        </is>
      </c>
      <c r="H632" t="n">
        <v>304.6499938964844</v>
      </c>
      <c r="I632" t="n">
        <v>194.75</v>
      </c>
      <c r="L632" t="inlineStr">
        <is>
          <t>UNVERIFIED – negative EPS</t>
        </is>
      </c>
      <c r="M632" t="n">
        <v>-91.76000000000001</v>
      </c>
      <c r="N632" t="n">
        <v>-58.66</v>
      </c>
      <c r="O632" t="n">
        <v>619.55</v>
      </c>
      <c r="P632" t="n">
        <v>848.8</v>
      </c>
      <c r="Q632" t="n">
        <v>433.35</v>
      </c>
      <c r="R632" s="3" t="inlineStr">
        <is>
          <t>MISMATCH_NEEDS_CORRECTION</t>
        </is>
      </c>
      <c r="S632" t="n">
        <v>619.55</v>
      </c>
      <c r="T632" t="inlineStr">
        <is>
          <t>30-07-2026 09:42 IST</t>
        </is>
      </c>
    </row>
    <row r="633">
      <c r="A633" t="n">
        <v>84</v>
      </c>
      <c r="B633" t="n">
        <v>502090</v>
      </c>
      <c r="C633" t="inlineStr">
        <is>
          <t>Siyaram Silk Mills Ltd</t>
        </is>
      </c>
      <c r="D633" t="n">
        <v>2025</v>
      </c>
      <c r="E633" t="n">
        <v>179.8000030517578</v>
      </c>
      <c r="F633" t="n">
        <v>-16.05</v>
      </c>
      <c r="G633" t="inlineStr">
        <is>
          <t>Consolidated first (v4) – needs verification for flagged rows</t>
        </is>
      </c>
      <c r="H633" t="n">
        <v>300</v>
      </c>
      <c r="I633" t="n">
        <v>155.0500030517578</v>
      </c>
      <c r="L633" t="inlineStr">
        <is>
          <t>UNVERIFIED – negative EPS</t>
        </is>
      </c>
      <c r="M633" t="n">
        <v>-18.69</v>
      </c>
      <c r="N633" t="n">
        <v>-9.66</v>
      </c>
      <c r="O633" t="n">
        <v>619.55</v>
      </c>
      <c r="P633" t="n">
        <v>848.8</v>
      </c>
      <c r="Q633" t="n">
        <v>433.35</v>
      </c>
      <c r="R633" s="3" t="inlineStr">
        <is>
          <t>MISMATCH_NEEDS_CORRECTION</t>
        </is>
      </c>
      <c r="S633" t="n">
        <v>619.55</v>
      </c>
      <c r="T633" t="inlineStr">
        <is>
          <t>30-07-2026 09:42 IST</t>
        </is>
      </c>
    </row>
    <row r="634">
      <c r="A634" t="n">
        <v>84</v>
      </c>
      <c r="B634" t="n">
        <v>502090</v>
      </c>
      <c r="C634" t="inlineStr">
        <is>
          <t>Siyaram Silk Mills Ltd</t>
        </is>
      </c>
      <c r="D634" t="n">
        <v>2026</v>
      </c>
      <c r="E634" t="n">
        <v>179.8000030517578</v>
      </c>
      <c r="F634" t="n">
        <v>-0.85</v>
      </c>
      <c r="G634" t="inlineStr">
        <is>
          <t>Consolidated first (v4) – needs verification for flagged rows</t>
        </is>
      </c>
      <c r="H634" t="n">
        <v>228</v>
      </c>
      <c r="I634" t="n">
        <v>149</v>
      </c>
      <c r="L634" t="inlineStr">
        <is>
          <t>UNVERIFIED – negative EPS</t>
        </is>
      </c>
      <c r="M634" t="n">
        <v>-268.24</v>
      </c>
      <c r="N634" t="n">
        <v>-175.29</v>
      </c>
      <c r="O634" t="n">
        <v>619.55</v>
      </c>
      <c r="P634" t="n">
        <v>848.8</v>
      </c>
      <c r="Q634" t="n">
        <v>433.35</v>
      </c>
      <c r="R634" s="3" t="inlineStr">
        <is>
          <t>MISMATCH_NEEDS_CORRECTION</t>
        </is>
      </c>
      <c r="S634" t="n">
        <v>619.55</v>
      </c>
      <c r="T634" t="inlineStr">
        <is>
          <t>30-07-2026 09:42 IST</t>
        </is>
      </c>
    </row>
    <row r="635">
      <c r="A635" t="n">
        <v>85</v>
      </c>
      <c r="B635" t="n">
        <v>502355</v>
      </c>
      <c r="C635" t="inlineStr">
        <is>
          <t>Balkrishna Industries Ltd</t>
        </is>
      </c>
      <c r="D635" t="n">
        <v>2015</v>
      </c>
      <c r="E635" t="n">
        <v>2067.300048828125</v>
      </c>
      <c r="F635" t="n">
        <v>24.45</v>
      </c>
      <c r="G635" t="inlineStr">
        <is>
          <t>Consolidated first (v4) – needs verification for flagged rows</t>
        </is>
      </c>
      <c r="H635" t="n">
        <v>399.3250122070312</v>
      </c>
      <c r="I635" t="n">
        <v>294.4964904785156</v>
      </c>
      <c r="L635" t="inlineStr">
        <is>
          <t>OK</t>
        </is>
      </c>
      <c r="M635" t="n">
        <v>16.33</v>
      </c>
      <c r="N635" t="n">
        <v>12.04</v>
      </c>
      <c r="O635" t="n">
        <v>17.99</v>
      </c>
      <c r="P635" t="n">
        <v>25.97</v>
      </c>
      <c r="Q635" t="n">
        <v>12</v>
      </c>
      <c r="R635" s="3" t="inlineStr">
        <is>
          <t>MISMATCH_NEEDS_CORRECTION</t>
        </is>
      </c>
      <c r="S635" t="n">
        <v>17.99</v>
      </c>
      <c r="T635" t="inlineStr">
        <is>
          <t>30-07-2026 09:42 IST</t>
        </is>
      </c>
    </row>
    <row r="636">
      <c r="A636" t="n">
        <v>85</v>
      </c>
      <c r="B636" t="n">
        <v>502355</v>
      </c>
      <c r="C636" t="inlineStr">
        <is>
          <t>Balkrishna Industries Ltd</t>
        </is>
      </c>
      <c r="D636" t="n">
        <v>2016</v>
      </c>
      <c r="E636" t="n">
        <v>2067.300048828125</v>
      </c>
      <c r="F636" t="n">
        <v>23.06</v>
      </c>
      <c r="G636" t="inlineStr">
        <is>
          <t>Consolidated first (v4) – needs verification for flagged rows</t>
        </is>
      </c>
      <c r="H636" t="n">
        <v>640</v>
      </c>
      <c r="I636" t="n">
        <v>275.6749877929688</v>
      </c>
      <c r="L636" t="inlineStr">
        <is>
          <t>OK</t>
        </is>
      </c>
      <c r="M636" t="n">
        <v>27.75</v>
      </c>
      <c r="N636" t="n">
        <v>11.95</v>
      </c>
      <c r="O636" t="n">
        <v>17.99</v>
      </c>
      <c r="P636" t="n">
        <v>25.97</v>
      </c>
      <c r="Q636" t="n">
        <v>12</v>
      </c>
      <c r="R636" s="3" t="inlineStr">
        <is>
          <t>MISMATCH_NEEDS_CORRECTION</t>
        </is>
      </c>
      <c r="S636" t="n">
        <v>17.99</v>
      </c>
      <c r="T636" t="inlineStr">
        <is>
          <t>30-07-2026 09:42 IST</t>
        </is>
      </c>
    </row>
    <row r="637">
      <c r="A637" t="n">
        <v>85</v>
      </c>
      <c r="B637" t="n">
        <v>502355</v>
      </c>
      <c r="C637" t="inlineStr">
        <is>
          <t>Balkrishna Industries Ltd</t>
        </is>
      </c>
      <c r="D637" t="n">
        <v>2017</v>
      </c>
      <c r="E637" t="n">
        <v>2067.300048828125</v>
      </c>
      <c r="F637" t="n">
        <v>37.08</v>
      </c>
      <c r="G637" t="inlineStr">
        <is>
          <t>Consolidated first (v4) – needs verification for flagged rows</t>
        </is>
      </c>
      <c r="H637" t="n">
        <v>2250</v>
      </c>
      <c r="I637" t="n">
        <v>537.5</v>
      </c>
      <c r="L637" t="inlineStr">
        <is>
          <t>OK</t>
        </is>
      </c>
      <c r="M637" t="n">
        <v>60.68</v>
      </c>
      <c r="N637" t="n">
        <v>14.5</v>
      </c>
      <c r="O637" t="n">
        <v>17.99</v>
      </c>
      <c r="P637" t="n">
        <v>25.97</v>
      </c>
      <c r="Q637" t="n">
        <v>12</v>
      </c>
      <c r="R637" s="3" t="inlineStr">
        <is>
          <t>MISMATCH_NEEDS_CORRECTION</t>
        </is>
      </c>
      <c r="S637" t="n">
        <v>17.99</v>
      </c>
      <c r="T637" t="inlineStr">
        <is>
          <t>30-07-2026 09:42 IST</t>
        </is>
      </c>
    </row>
    <row r="638">
      <c r="A638" t="n">
        <v>85</v>
      </c>
      <c r="B638" t="n">
        <v>502355</v>
      </c>
      <c r="C638" t="inlineStr">
        <is>
          <t>Balkrishna Industries Ltd</t>
        </is>
      </c>
      <c r="D638" t="n">
        <v>2018</v>
      </c>
      <c r="E638" t="n">
        <v>2067.300048828125</v>
      </c>
      <c r="F638" t="n">
        <v>38.06</v>
      </c>
      <c r="G638" t="inlineStr">
        <is>
          <t>Consolidated first (v4) – needs verification for flagged rows</t>
        </is>
      </c>
      <c r="H638" t="n">
        <v>1467.400024414062</v>
      </c>
      <c r="I638" t="n">
        <v>853.4500122070312</v>
      </c>
      <c r="L638" t="inlineStr">
        <is>
          <t>OK</t>
        </is>
      </c>
      <c r="M638" t="n">
        <v>38.55</v>
      </c>
      <c r="N638" t="n">
        <v>22.42</v>
      </c>
      <c r="O638" t="n">
        <v>17.99</v>
      </c>
      <c r="P638" t="n">
        <v>25.97</v>
      </c>
      <c r="Q638" t="n">
        <v>12</v>
      </c>
      <c r="R638" s="3" t="inlineStr">
        <is>
          <t>MISMATCH_NEEDS_CORRECTION</t>
        </is>
      </c>
      <c r="S638" t="n">
        <v>17.99</v>
      </c>
      <c r="T638" t="inlineStr">
        <is>
          <t>30-07-2026 09:42 IST</t>
        </is>
      </c>
    </row>
    <row r="639">
      <c r="A639" t="n">
        <v>85</v>
      </c>
      <c r="B639" t="n">
        <v>502355</v>
      </c>
      <c r="C639" t="inlineStr">
        <is>
          <t>Balkrishna Industries Ltd</t>
        </is>
      </c>
      <c r="D639" t="n">
        <v>2019</v>
      </c>
      <c r="E639" t="n">
        <v>2067.300048828125</v>
      </c>
      <c r="F639" t="n">
        <v>40.02</v>
      </c>
      <c r="G639" t="inlineStr">
        <is>
          <t>Consolidated first (v4) – needs verification for flagged rows</t>
        </is>
      </c>
      <c r="H639" t="n">
        <v>1023</v>
      </c>
      <c r="I639" t="n">
        <v>682.6500244140625</v>
      </c>
      <c r="L639" t="inlineStr">
        <is>
          <t>OK</t>
        </is>
      </c>
      <c r="M639" t="n">
        <v>25.56</v>
      </c>
      <c r="N639" t="n">
        <v>17.06</v>
      </c>
      <c r="O639" t="n">
        <v>17.99</v>
      </c>
      <c r="P639" t="n">
        <v>25.97</v>
      </c>
      <c r="Q639" t="n">
        <v>12</v>
      </c>
      <c r="R639" s="3" t="inlineStr">
        <is>
          <t>MISMATCH_NEEDS_CORRECTION</t>
        </is>
      </c>
      <c r="S639" t="n">
        <v>17.99</v>
      </c>
      <c r="T639" t="inlineStr">
        <is>
          <t>30-07-2026 09:42 IST</t>
        </is>
      </c>
    </row>
    <row r="640">
      <c r="A640" t="n">
        <v>85</v>
      </c>
      <c r="B640" t="n">
        <v>502355</v>
      </c>
      <c r="C640" t="inlineStr">
        <is>
          <t>Balkrishna Industries Ltd</t>
        </is>
      </c>
      <c r="D640" t="n">
        <v>2020</v>
      </c>
      <c r="E640" t="n">
        <v>2067.300048828125</v>
      </c>
      <c r="F640" t="n">
        <v>49.64</v>
      </c>
      <c r="G640" t="inlineStr">
        <is>
          <t>Consolidated first (v4) – needs verification for flagged rows</t>
        </is>
      </c>
      <c r="H640" t="n">
        <v>1720</v>
      </c>
      <c r="I640" t="n">
        <v>677.5999755859375</v>
      </c>
      <c r="L640" t="inlineStr">
        <is>
          <t>OK</t>
        </is>
      </c>
      <c r="M640" t="n">
        <v>34.65</v>
      </c>
      <c r="N640" t="n">
        <v>13.65</v>
      </c>
      <c r="O640" t="n">
        <v>17.99</v>
      </c>
      <c r="P640" t="n">
        <v>25.97</v>
      </c>
      <c r="Q640" t="n">
        <v>12</v>
      </c>
      <c r="R640" s="3" t="inlineStr">
        <is>
          <t>MISMATCH_NEEDS_CORRECTION</t>
        </is>
      </c>
      <c r="S640" t="n">
        <v>17.99</v>
      </c>
      <c r="T640" t="inlineStr">
        <is>
          <t>30-07-2026 09:42 IST</t>
        </is>
      </c>
    </row>
    <row r="641">
      <c r="A641" t="n">
        <v>85</v>
      </c>
      <c r="B641" t="n">
        <v>502355</v>
      </c>
      <c r="C641" t="inlineStr">
        <is>
          <t>Balkrishna Industries Ltd</t>
        </is>
      </c>
      <c r="D641" t="n">
        <v>2021</v>
      </c>
      <c r="E641" t="n">
        <v>2067.300048828125</v>
      </c>
      <c r="F641" t="n">
        <v>60.91</v>
      </c>
      <c r="G641" t="inlineStr">
        <is>
          <t>Consolidated first (v4) – needs verification for flagged rows</t>
        </is>
      </c>
      <c r="H641" t="n">
        <v>2724.39990234375</v>
      </c>
      <c r="I641" t="n">
        <v>1516.800048828125</v>
      </c>
      <c r="L641" t="inlineStr">
        <is>
          <t>OK</t>
        </is>
      </c>
      <c r="M641" t="n">
        <v>44.73</v>
      </c>
      <c r="N641" t="n">
        <v>24.9</v>
      </c>
      <c r="O641" t="n">
        <v>17.99</v>
      </c>
      <c r="P641" t="n">
        <v>25.97</v>
      </c>
      <c r="Q641" t="n">
        <v>12</v>
      </c>
      <c r="R641" s="3" t="inlineStr">
        <is>
          <t>MISMATCH_NEEDS_CORRECTION</t>
        </is>
      </c>
      <c r="S641" t="n">
        <v>17.99</v>
      </c>
      <c r="T641" t="inlineStr">
        <is>
          <t>30-07-2026 09:42 IST</t>
        </is>
      </c>
    </row>
    <row r="642">
      <c r="A642" t="n">
        <v>85</v>
      </c>
      <c r="B642" t="n">
        <v>502355</v>
      </c>
      <c r="C642" t="inlineStr">
        <is>
          <t>Balkrishna Industries Ltd</t>
        </is>
      </c>
      <c r="D642" t="n">
        <v>2022</v>
      </c>
      <c r="E642" t="n">
        <v>2067.300048828125</v>
      </c>
      <c r="F642" t="n">
        <v>74.25</v>
      </c>
      <c r="G642" t="inlineStr">
        <is>
          <t>Consolidated first (v4) – needs verification for flagged rows</t>
        </is>
      </c>
      <c r="H642" t="n">
        <v>2536.75</v>
      </c>
      <c r="I642" t="n">
        <v>1681.949951171875</v>
      </c>
      <c r="L642" t="inlineStr">
        <is>
          <t>OK</t>
        </is>
      </c>
      <c r="M642" t="n">
        <v>34.16</v>
      </c>
      <c r="N642" t="n">
        <v>22.65</v>
      </c>
      <c r="O642" t="n">
        <v>17.99</v>
      </c>
      <c r="P642" t="n">
        <v>25.97</v>
      </c>
      <c r="Q642" t="n">
        <v>12</v>
      </c>
      <c r="R642" s="3" t="inlineStr">
        <is>
          <t>MISMATCH_NEEDS_CORRECTION</t>
        </is>
      </c>
      <c r="S642" t="n">
        <v>17.99</v>
      </c>
      <c r="T642" t="inlineStr">
        <is>
          <t>30-07-2026 09:42 IST</t>
        </is>
      </c>
    </row>
    <row r="643">
      <c r="A643" t="n">
        <v>85</v>
      </c>
      <c r="B643" t="n">
        <v>502355</v>
      </c>
      <c r="C643" t="inlineStr">
        <is>
          <t>Balkrishna Industries Ltd</t>
        </is>
      </c>
      <c r="D643" t="n">
        <v>2023</v>
      </c>
      <c r="E643" t="n">
        <v>2067.300048828125</v>
      </c>
      <c r="F643" t="n">
        <v>54.7</v>
      </c>
      <c r="G643" t="inlineStr">
        <is>
          <t>Consolidated first (v4) – needs verification for flagged rows</t>
        </is>
      </c>
      <c r="H643" t="n">
        <v>2680</v>
      </c>
      <c r="I643" t="n">
        <v>1912.300048828125</v>
      </c>
      <c r="L643" t="inlineStr">
        <is>
          <t>OK</t>
        </is>
      </c>
      <c r="M643" t="n">
        <v>48.99</v>
      </c>
      <c r="N643" t="n">
        <v>34.96</v>
      </c>
      <c r="O643" t="n">
        <v>17.99</v>
      </c>
      <c r="P643" t="n">
        <v>25.97</v>
      </c>
      <c r="Q643" t="n">
        <v>12</v>
      </c>
      <c r="R643" s="3" t="inlineStr">
        <is>
          <t>MISMATCH_NEEDS_CORRECTION</t>
        </is>
      </c>
      <c r="S643" t="n">
        <v>17.99</v>
      </c>
      <c r="T643" t="inlineStr">
        <is>
          <t>30-07-2026 09:42 IST</t>
        </is>
      </c>
    </row>
    <row r="644">
      <c r="A644" t="n">
        <v>85</v>
      </c>
      <c r="B644" t="n">
        <v>502355</v>
      </c>
      <c r="C644" t="inlineStr">
        <is>
          <t>Balkrishna Industries Ltd</t>
        </is>
      </c>
      <c r="D644" t="n">
        <v>2024</v>
      </c>
      <c r="E644" t="n">
        <v>2067.300048828125</v>
      </c>
      <c r="F644" t="n">
        <v>76.12</v>
      </c>
      <c r="G644" t="inlineStr">
        <is>
          <t>Consolidated first (v4) – needs verification for flagged rows</t>
        </is>
      </c>
      <c r="H644" t="n">
        <v>3377.949951171875</v>
      </c>
      <c r="I644" t="n">
        <v>2193.85009765625</v>
      </c>
      <c r="L644" t="inlineStr">
        <is>
          <t>OK</t>
        </is>
      </c>
      <c r="M644" t="n">
        <v>44.38</v>
      </c>
      <c r="N644" t="n">
        <v>28.82</v>
      </c>
      <c r="O644" t="n">
        <v>17.99</v>
      </c>
      <c r="P644" t="n">
        <v>25.97</v>
      </c>
      <c r="Q644" t="n">
        <v>12</v>
      </c>
      <c r="R644" s="3" t="inlineStr">
        <is>
          <t>MISMATCH_NEEDS_CORRECTION</t>
        </is>
      </c>
      <c r="S644" t="n">
        <v>17.99</v>
      </c>
      <c r="T644" t="inlineStr">
        <is>
          <t>30-07-2026 09:42 IST</t>
        </is>
      </c>
    </row>
    <row r="645">
      <c r="A645" t="n">
        <v>85</v>
      </c>
      <c r="B645" t="n">
        <v>502355</v>
      </c>
      <c r="C645" t="inlineStr">
        <is>
          <t>Balkrishna Industries Ltd</t>
        </is>
      </c>
      <c r="D645" t="n">
        <v>2025</v>
      </c>
      <c r="E645" t="n">
        <v>2067.300048828125</v>
      </c>
      <c r="F645" t="n">
        <v>85.61</v>
      </c>
      <c r="G645" t="inlineStr">
        <is>
          <t>Consolidated first (v4) – needs verification for flagged rows</t>
        </is>
      </c>
      <c r="H645" t="n">
        <v>2927.10009765625</v>
      </c>
      <c r="I645" t="n">
        <v>2157.199951171875</v>
      </c>
      <c r="L645" t="inlineStr">
        <is>
          <t>OK</t>
        </is>
      </c>
      <c r="M645" t="n">
        <v>34.19</v>
      </c>
      <c r="N645" t="n">
        <v>25.2</v>
      </c>
      <c r="O645" t="n">
        <v>17.99</v>
      </c>
      <c r="P645" t="n">
        <v>25.97</v>
      </c>
      <c r="Q645" t="n">
        <v>12</v>
      </c>
      <c r="R645" s="3" t="inlineStr">
        <is>
          <t>MISMATCH_NEEDS_CORRECTION</t>
        </is>
      </c>
      <c r="S645" t="n">
        <v>17.99</v>
      </c>
      <c r="T645" t="inlineStr">
        <is>
          <t>30-07-2026 09:42 IST</t>
        </is>
      </c>
    </row>
    <row r="646">
      <c r="A646" t="n">
        <v>85</v>
      </c>
      <c r="B646" t="n">
        <v>502355</v>
      </c>
      <c r="C646" t="inlineStr">
        <is>
          <t>Balkrishna Industries Ltd</t>
        </is>
      </c>
      <c r="D646" t="n">
        <v>2026</v>
      </c>
      <c r="E646" t="n">
        <v>2067.300048828125</v>
      </c>
      <c r="F646" t="n">
        <v>64.3</v>
      </c>
      <c r="G646" t="inlineStr">
        <is>
          <t>Consolidated first (v4) – needs verification for flagged rows</t>
        </is>
      </c>
      <c r="H646" t="n">
        <v>2775</v>
      </c>
      <c r="I646" t="n">
        <v>1971.5</v>
      </c>
      <c r="L646" t="inlineStr">
        <is>
          <t>OK</t>
        </is>
      </c>
      <c r="M646" t="n">
        <v>43.16</v>
      </c>
      <c r="N646" t="n">
        <v>30.66</v>
      </c>
      <c r="O646" t="n">
        <v>17.99</v>
      </c>
      <c r="P646" t="n">
        <v>25.97</v>
      </c>
      <c r="Q646" t="n">
        <v>12</v>
      </c>
      <c r="R646" s="3" t="inlineStr">
        <is>
          <t>MISMATCH_NEEDS_CORRECTION</t>
        </is>
      </c>
      <c r="S646" t="n">
        <v>17.99</v>
      </c>
      <c r="T646" t="inlineStr">
        <is>
          <t>30-07-2026 09:42 IST</t>
        </is>
      </c>
    </row>
    <row r="647">
      <c r="A647" t="n">
        <v>87</v>
      </c>
      <c r="B647" t="n">
        <v>502850</v>
      </c>
      <c r="C647" t="inlineStr">
        <is>
          <t>Gaekwar Mills</t>
        </is>
      </c>
      <c r="D647" t="n">
        <v>2018</v>
      </c>
      <c r="E647" t="n">
        <v>15.02999973297119</v>
      </c>
      <c r="F647" t="n">
        <v>-19.5</v>
      </c>
      <c r="G647" t="inlineStr">
        <is>
          <t>Consolidated first (v4) – needs verification for flagged rows</t>
        </is>
      </c>
      <c r="H647" t="n">
        <v>15.88000011444092</v>
      </c>
      <c r="I647" t="n">
        <v>6.980000019073486</v>
      </c>
      <c r="L647" t="inlineStr">
        <is>
          <t>UNVERIFIED – negative EPS</t>
        </is>
      </c>
      <c r="M647" t="n">
        <v>-0.8100000000000001</v>
      </c>
      <c r="N647" t="n">
        <v>-0.36</v>
      </c>
      <c r="O647" t="n">
        <v>11.93</v>
      </c>
      <c r="P647" t="n">
        <v>13.14</v>
      </c>
      <c r="Q647" t="n">
        <v>11.93</v>
      </c>
      <c r="R647" s="3" t="inlineStr">
        <is>
          <t>MISMATCH_NEEDS_CORRECTION</t>
        </is>
      </c>
      <c r="S647" t="n">
        <v>11.93</v>
      </c>
      <c r="T647" t="inlineStr">
        <is>
          <t>30-07-2026 09:42 IST</t>
        </is>
      </c>
    </row>
    <row r="648">
      <c r="A648" t="n">
        <v>87</v>
      </c>
      <c r="B648" t="n">
        <v>502850</v>
      </c>
      <c r="C648" t="inlineStr">
        <is>
          <t>Gaekwar Mills</t>
        </is>
      </c>
      <c r="D648" t="n">
        <v>2019</v>
      </c>
      <c r="E648" t="n">
        <v>15.02999973297119</v>
      </c>
      <c r="F648" t="n">
        <v>-19.5</v>
      </c>
      <c r="G648" t="inlineStr">
        <is>
          <t>Consolidated first (v4) – needs verification for flagged rows</t>
        </is>
      </c>
      <c r="H648" t="n">
        <v>16.14999961853027</v>
      </c>
      <c r="I648" t="n">
        <v>15.88000011444092</v>
      </c>
      <c r="L648" t="inlineStr">
        <is>
          <t>UNVERIFIED – negative EPS</t>
        </is>
      </c>
      <c r="M648" t="n">
        <v>-0.83</v>
      </c>
      <c r="N648" t="n">
        <v>-0.8100000000000001</v>
      </c>
      <c r="O648" t="n">
        <v>11.93</v>
      </c>
      <c r="P648" t="n">
        <v>13.14</v>
      </c>
      <c r="Q648" t="n">
        <v>11.93</v>
      </c>
      <c r="R648" s="3" t="inlineStr">
        <is>
          <t>MISMATCH_NEEDS_CORRECTION</t>
        </is>
      </c>
      <c r="S648" t="n">
        <v>11.93</v>
      </c>
      <c r="T648" t="inlineStr">
        <is>
          <t>30-07-2026 09:42 IST</t>
        </is>
      </c>
    </row>
    <row r="649">
      <c r="A649" t="n">
        <v>87</v>
      </c>
      <c r="B649" t="n">
        <v>502850</v>
      </c>
      <c r="C649" t="inlineStr">
        <is>
          <t>Gaekwar Mills</t>
        </is>
      </c>
      <c r="D649" t="n">
        <v>2020</v>
      </c>
      <c r="E649" t="n">
        <v>15.02999973297119</v>
      </c>
      <c r="F649" t="n">
        <v>-19.5</v>
      </c>
      <c r="G649" t="inlineStr">
        <is>
          <t>Consolidated first (v4) – needs verification for flagged rows</t>
        </is>
      </c>
      <c r="H649" t="n">
        <v>16.89999961853027</v>
      </c>
      <c r="I649" t="n">
        <v>16</v>
      </c>
      <c r="L649" t="inlineStr">
        <is>
          <t>UNVERIFIED – negative EPS</t>
        </is>
      </c>
      <c r="M649" t="n">
        <v>-0.87</v>
      </c>
      <c r="N649" t="n">
        <v>-0.82</v>
      </c>
      <c r="O649" t="n">
        <v>11.93</v>
      </c>
      <c r="P649" t="n">
        <v>13.14</v>
      </c>
      <c r="Q649" t="n">
        <v>11.93</v>
      </c>
      <c r="R649" s="3" t="inlineStr">
        <is>
          <t>MISMATCH_NEEDS_CORRECTION</t>
        </is>
      </c>
      <c r="S649" t="n">
        <v>11.93</v>
      </c>
      <c r="T649" t="inlineStr">
        <is>
          <t>30-07-2026 09:42 IST</t>
        </is>
      </c>
    </row>
    <row r="650">
      <c r="A650" t="n">
        <v>87</v>
      </c>
      <c r="B650" t="n">
        <v>502850</v>
      </c>
      <c r="C650" t="inlineStr">
        <is>
          <t>Gaekwar Mills</t>
        </is>
      </c>
      <c r="D650" t="n">
        <v>2021</v>
      </c>
      <c r="E650" t="n">
        <v>15.02999973297119</v>
      </c>
      <c r="F650" t="n">
        <v>-9.9</v>
      </c>
      <c r="G650" t="inlineStr">
        <is>
          <t>Consolidated first (v4) – needs verification for flagged rows</t>
        </is>
      </c>
      <c r="H650" t="n">
        <v>17</v>
      </c>
      <c r="I650" t="n">
        <v>16.60000038146973</v>
      </c>
      <c r="L650" t="inlineStr">
        <is>
          <t>UNVERIFIED – negative EPS</t>
        </is>
      </c>
      <c r="M650" t="n">
        <v>-1.72</v>
      </c>
      <c r="N650" t="n">
        <v>-1.68</v>
      </c>
      <c r="O650" t="n">
        <v>11.93</v>
      </c>
      <c r="P650" t="n">
        <v>13.14</v>
      </c>
      <c r="Q650" t="n">
        <v>11.93</v>
      </c>
      <c r="R650" s="3" t="inlineStr">
        <is>
          <t>MISMATCH_NEEDS_CORRECTION</t>
        </is>
      </c>
      <c r="S650" t="n">
        <v>11.93</v>
      </c>
      <c r="T650" t="inlineStr">
        <is>
          <t>30-07-2026 09:42 IST</t>
        </is>
      </c>
    </row>
    <row r="651">
      <c r="A651" t="n">
        <v>87</v>
      </c>
      <c r="B651" t="n">
        <v>502850</v>
      </c>
      <c r="C651" t="inlineStr">
        <is>
          <t>Gaekwar Mills</t>
        </is>
      </c>
      <c r="D651" t="n">
        <v>2022</v>
      </c>
      <c r="E651" t="n">
        <v>15.02999973297119</v>
      </c>
      <c r="F651" t="n">
        <v>-32.8</v>
      </c>
      <c r="G651" t="inlineStr">
        <is>
          <t>Consolidated first (v4) – needs verification for flagged rows</t>
        </is>
      </c>
      <c r="H651" t="n">
        <v>17</v>
      </c>
      <c r="I651" t="n">
        <v>12.55000019073486</v>
      </c>
      <c r="L651" t="inlineStr">
        <is>
          <t>UNVERIFIED – negative EPS</t>
        </is>
      </c>
      <c r="M651" t="n">
        <v>-0.52</v>
      </c>
      <c r="N651" t="n">
        <v>-0.38</v>
      </c>
      <c r="O651" t="n">
        <v>11.93</v>
      </c>
      <c r="P651" t="n">
        <v>13.14</v>
      </c>
      <c r="Q651" t="n">
        <v>11.93</v>
      </c>
      <c r="R651" s="3" t="inlineStr">
        <is>
          <t>MISMATCH_NEEDS_CORRECTION</t>
        </is>
      </c>
      <c r="S651" t="n">
        <v>11.93</v>
      </c>
      <c r="T651" t="inlineStr">
        <is>
          <t>30-07-2026 09:42 IST</t>
        </is>
      </c>
    </row>
    <row r="652">
      <c r="A652" t="n">
        <v>87</v>
      </c>
      <c r="B652" t="n">
        <v>502850</v>
      </c>
      <c r="C652" t="inlineStr">
        <is>
          <t>Gaekwar Mills</t>
        </is>
      </c>
      <c r="D652" t="n">
        <v>2023</v>
      </c>
      <c r="E652" t="n">
        <v>15.02999973297119</v>
      </c>
      <c r="F652" t="n">
        <v>-18.2</v>
      </c>
      <c r="G652" t="inlineStr">
        <is>
          <t>Consolidated first (v4) – needs verification for flagged rows</t>
        </is>
      </c>
      <c r="H652" t="n">
        <v>12.55000019073486</v>
      </c>
      <c r="I652" t="n">
        <v>11.93000030517578</v>
      </c>
      <c r="L652" t="inlineStr">
        <is>
          <t>UNVERIFIED – negative EPS</t>
        </is>
      </c>
      <c r="M652" t="n">
        <v>-0.6899999999999999</v>
      </c>
      <c r="N652" t="n">
        <v>-0.66</v>
      </c>
      <c r="O652" t="n">
        <v>11.93</v>
      </c>
      <c r="P652" t="n">
        <v>13.14</v>
      </c>
      <c r="Q652" t="n">
        <v>11.93</v>
      </c>
      <c r="R652" s="3" t="inlineStr">
        <is>
          <t>MISMATCH_NEEDS_CORRECTION</t>
        </is>
      </c>
      <c r="S652" t="n">
        <v>11.93</v>
      </c>
      <c r="T652" t="inlineStr">
        <is>
          <t>30-07-2026 09:42 IST</t>
        </is>
      </c>
    </row>
    <row r="653">
      <c r="A653" t="n">
        <v>87</v>
      </c>
      <c r="B653" t="n">
        <v>502850</v>
      </c>
      <c r="C653" t="inlineStr">
        <is>
          <t>Gaekwar Mills</t>
        </is>
      </c>
      <c r="D653" t="n">
        <v>2024</v>
      </c>
      <c r="E653" t="n">
        <v>15.02999973297119</v>
      </c>
      <c r="F653" t="n">
        <v>-20.6</v>
      </c>
      <c r="G653" t="inlineStr">
        <is>
          <t>Consolidated first (v4) – needs verification for flagged rows</t>
        </is>
      </c>
      <c r="H653" t="n">
        <v>13.14000034332275</v>
      </c>
      <c r="I653" t="n">
        <v>11.93000030517578</v>
      </c>
      <c r="L653" t="inlineStr">
        <is>
          <t>UNVERIFIED – negative EPS</t>
        </is>
      </c>
      <c r="M653" t="n">
        <v>-0.64</v>
      </c>
      <c r="N653" t="n">
        <v>-0.58</v>
      </c>
      <c r="O653" t="n">
        <v>11.93</v>
      </c>
      <c r="P653" t="n">
        <v>13.14</v>
      </c>
      <c r="Q653" t="n">
        <v>11.93</v>
      </c>
      <c r="R653" s="3" t="inlineStr">
        <is>
          <t>MISMATCH_NEEDS_CORRECTION</t>
        </is>
      </c>
      <c r="S653" t="n">
        <v>11.93</v>
      </c>
      <c r="T653" t="inlineStr">
        <is>
          <t>30-07-2026 09:42 IST</t>
        </is>
      </c>
    </row>
    <row r="654">
      <c r="A654" t="n">
        <v>87</v>
      </c>
      <c r="B654" t="n">
        <v>502850</v>
      </c>
      <c r="C654" t="inlineStr">
        <is>
          <t>Gaekwar Mills</t>
        </is>
      </c>
      <c r="D654" t="n">
        <v>2025</v>
      </c>
      <c r="E654" t="n">
        <v>15.02999973297119</v>
      </c>
      <c r="F654" t="n">
        <v>-22.1</v>
      </c>
      <c r="G654" t="inlineStr">
        <is>
          <t>Consolidated first (v4) – needs verification for flagged rows</t>
        </is>
      </c>
      <c r="H654" t="n">
        <v>14.31999969482422</v>
      </c>
      <c r="I654" t="n">
        <v>13.14000034332275</v>
      </c>
      <c r="L654" t="inlineStr">
        <is>
          <t>UNVERIFIED – negative EPS</t>
        </is>
      </c>
      <c r="M654" t="n">
        <v>-0.65</v>
      </c>
      <c r="N654" t="n">
        <v>-0.59</v>
      </c>
      <c r="O654" t="n">
        <v>11.93</v>
      </c>
      <c r="P654" t="n">
        <v>13.14</v>
      </c>
      <c r="Q654" t="n">
        <v>11.93</v>
      </c>
      <c r="R654" s="3" t="inlineStr">
        <is>
          <t>MISMATCH_NEEDS_CORRECTION</t>
        </is>
      </c>
      <c r="S654" t="n">
        <v>11.93</v>
      </c>
      <c r="T654" t="inlineStr">
        <is>
          <t>30-07-2026 09:42 IST</t>
        </is>
      </c>
    </row>
    <row r="655">
      <c r="A655" t="n">
        <v>87</v>
      </c>
      <c r="B655" t="n">
        <v>502850</v>
      </c>
      <c r="C655" t="inlineStr">
        <is>
          <t>Gaekwar Mills</t>
        </is>
      </c>
      <c r="D655" t="n">
        <v>2026</v>
      </c>
      <c r="E655" t="n">
        <v>15.02999973297119</v>
      </c>
      <c r="F655" t="n">
        <v>-47.25</v>
      </c>
      <c r="G655" t="inlineStr">
        <is>
          <t>Consolidated first (v4) – needs verification for flagged rows</t>
        </is>
      </c>
      <c r="H655" t="n">
        <v>15.02999973297119</v>
      </c>
      <c r="I655" t="n">
        <v>14.31999969482422</v>
      </c>
      <c r="L655" t="inlineStr">
        <is>
          <t>UNVERIFIED – negative EPS</t>
        </is>
      </c>
      <c r="M655" t="n">
        <v>-0.32</v>
      </c>
      <c r="N655" t="n">
        <v>-0.3</v>
      </c>
      <c r="O655" t="n">
        <v>11.93</v>
      </c>
      <c r="P655" t="n">
        <v>13.14</v>
      </c>
      <c r="Q655" t="n">
        <v>11.93</v>
      </c>
      <c r="R655" s="3" t="inlineStr">
        <is>
          <t>MISMATCH_NEEDS_CORRECTION</t>
        </is>
      </c>
      <c r="S655" t="n">
        <v>11.93</v>
      </c>
      <c r="T655" t="inlineStr">
        <is>
          <t>30-07-2026 09:42 IST</t>
        </is>
      </c>
    </row>
    <row r="656">
      <c r="A656" t="n">
        <v>88</v>
      </c>
      <c r="B656" t="n">
        <v>503100</v>
      </c>
      <c r="C656" t="inlineStr">
        <is>
          <t>Phoenix Township Ltd</t>
        </is>
      </c>
      <c r="D656" t="n">
        <v>2015</v>
      </c>
      <c r="E656" t="n">
        <v>2035.849975585938</v>
      </c>
      <c r="F656" t="n">
        <v>1.22</v>
      </c>
      <c r="G656" t="inlineStr">
        <is>
          <t>Consolidated first (v4) – needs verification for flagged rows</t>
        </is>
      </c>
      <c r="H656" t="n">
        <v>203.4750061035156</v>
      </c>
      <c r="I656" t="n">
        <v>150</v>
      </c>
      <c r="L656" t="inlineStr">
        <is>
          <t>OK</t>
        </is>
      </c>
      <c r="M656" t="n">
        <v>166.78</v>
      </c>
      <c r="N656" t="n">
        <v>122.95</v>
      </c>
      <c r="O656">
        <f>IFERROR(VLOOKUP(B656,BSE_500_LIVE!A:E,3,FALSE),"")</f>
        <v/>
      </c>
      <c r="P656">
        <f>IFERROR(VLOOKUP(B656,BSE_500_LIVE!A:E,4,FALSE),"")</f>
        <v/>
      </c>
      <c r="Q656">
        <f>IFERROR(VLOOKUP(B656,BSE_500_LIVE!A:E,5,FALSE),"")</f>
        <v/>
      </c>
      <c r="R656">
        <f>IF(OR(E656="",O656=""),"PENDING_FETCH",IF(ABS(E656-O656)/E656&gt;0.005,"MISMATCH_NEEDS_CORRECTION","VERIFIED_OK"))</f>
        <v/>
      </c>
      <c r="S656">
        <f>IF(O656&lt;&gt;"",O656,E656)</f>
        <v/>
      </c>
      <c r="T656">
        <f>IFERROR(VLOOKUP(B656,BSE_500_LIVE!A:F,6,FALSE),"")</f>
        <v/>
      </c>
    </row>
    <row r="657">
      <c r="A657" t="n">
        <v>88</v>
      </c>
      <c r="B657" t="n">
        <v>503100</v>
      </c>
      <c r="C657" t="inlineStr">
        <is>
          <t>Phoenix Township Ltd</t>
        </is>
      </c>
      <c r="D657" t="n">
        <v>2016</v>
      </c>
      <c r="E657" t="n">
        <v>2035.849975585938</v>
      </c>
      <c r="F657" t="n">
        <v>4.21</v>
      </c>
      <c r="G657" t="inlineStr">
        <is>
          <t>Consolidated first (v4) – needs verification for flagged rows</t>
        </is>
      </c>
      <c r="H657" t="n">
        <v>222.5</v>
      </c>
      <c r="I657" t="n">
        <v>119.1500015258789</v>
      </c>
      <c r="L657" t="inlineStr">
        <is>
          <t>OK</t>
        </is>
      </c>
      <c r="M657" t="n">
        <v>52.85</v>
      </c>
      <c r="N657" t="n">
        <v>28.3</v>
      </c>
      <c r="O657">
        <f>IFERROR(VLOOKUP(B657,BSE_500_LIVE!A:E,3,FALSE),"")</f>
        <v/>
      </c>
      <c r="P657">
        <f>IFERROR(VLOOKUP(B657,BSE_500_LIVE!A:E,4,FALSE),"")</f>
        <v/>
      </c>
      <c r="Q657">
        <f>IFERROR(VLOOKUP(B657,BSE_500_LIVE!A:E,5,FALSE),"")</f>
        <v/>
      </c>
      <c r="R657">
        <f>IF(OR(E657="",O657=""),"PENDING_FETCH",IF(ABS(E657-O657)/E657&gt;0.005,"MISMATCH_NEEDS_CORRECTION","VERIFIED_OK"))</f>
        <v/>
      </c>
      <c r="S657">
        <f>IF(O657&lt;&gt;"",O657,E657)</f>
        <v/>
      </c>
      <c r="T657">
        <f>IFERROR(VLOOKUP(B657,BSE_500_LIVE!A:F,6,FALSE),"")</f>
        <v/>
      </c>
    </row>
    <row r="658">
      <c r="A658" t="n">
        <v>88</v>
      </c>
      <c r="B658" t="n">
        <v>503100</v>
      </c>
      <c r="C658" t="inlineStr">
        <is>
          <t>Phoenix Township Ltd</t>
        </is>
      </c>
      <c r="D658" t="n">
        <v>2017</v>
      </c>
      <c r="E658" t="n">
        <v>2035.849975585938</v>
      </c>
      <c r="F658" t="n">
        <v>5.49</v>
      </c>
      <c r="G658" t="inlineStr">
        <is>
          <t>Consolidated first (v4) – needs verification for flagged rows</t>
        </is>
      </c>
      <c r="H658" t="n">
        <v>339.7999877929688</v>
      </c>
      <c r="I658" t="n">
        <v>168.7749938964844</v>
      </c>
      <c r="L658" t="inlineStr">
        <is>
          <t>OK</t>
        </is>
      </c>
      <c r="M658" t="n">
        <v>61.89</v>
      </c>
      <c r="N658" t="n">
        <v>30.74</v>
      </c>
      <c r="O658">
        <f>IFERROR(VLOOKUP(B658,BSE_500_LIVE!A:E,3,FALSE),"")</f>
        <v/>
      </c>
      <c r="P658">
        <f>IFERROR(VLOOKUP(B658,BSE_500_LIVE!A:E,4,FALSE),"")</f>
        <v/>
      </c>
      <c r="Q658">
        <f>IFERROR(VLOOKUP(B658,BSE_500_LIVE!A:E,5,FALSE),"")</f>
        <v/>
      </c>
      <c r="R658">
        <f>IF(OR(E658="",O658=""),"PENDING_FETCH",IF(ABS(E658-O658)/E658&gt;0.005,"MISMATCH_NEEDS_CORRECTION","VERIFIED_OK"))</f>
        <v/>
      </c>
      <c r="S658">
        <f>IF(O658&lt;&gt;"",O658,E658)</f>
        <v/>
      </c>
      <c r="T658">
        <f>IFERROR(VLOOKUP(B658,BSE_500_LIVE!A:F,6,FALSE),"")</f>
        <v/>
      </c>
    </row>
    <row r="659">
      <c r="A659" t="n">
        <v>88</v>
      </c>
      <c r="B659" t="n">
        <v>503100</v>
      </c>
      <c r="C659" t="inlineStr">
        <is>
          <t>Phoenix Township Ltd</t>
        </is>
      </c>
      <c r="D659" t="n">
        <v>2018</v>
      </c>
      <c r="E659" t="n">
        <v>2035.849975585938</v>
      </c>
      <c r="F659" t="n">
        <v>7.91</v>
      </c>
      <c r="G659" t="inlineStr">
        <is>
          <t>Consolidated first (v4) – needs verification for flagged rows</t>
        </is>
      </c>
      <c r="H659" t="n">
        <v>361.3999938964844</v>
      </c>
      <c r="I659" t="n">
        <v>245.75</v>
      </c>
      <c r="L659" t="inlineStr">
        <is>
          <t>OK</t>
        </is>
      </c>
      <c r="M659" t="n">
        <v>45.69</v>
      </c>
      <c r="N659" t="n">
        <v>31.07</v>
      </c>
      <c r="O659">
        <f>IFERROR(VLOOKUP(B659,BSE_500_LIVE!A:E,3,FALSE),"")</f>
        <v/>
      </c>
      <c r="P659">
        <f>IFERROR(VLOOKUP(B659,BSE_500_LIVE!A:E,4,FALSE),"")</f>
        <v/>
      </c>
      <c r="Q659">
        <f>IFERROR(VLOOKUP(B659,BSE_500_LIVE!A:E,5,FALSE),"")</f>
        <v/>
      </c>
      <c r="R659">
        <f>IF(OR(E659="",O659=""),"PENDING_FETCH",IF(ABS(E659-O659)/E659&gt;0.005,"MISMATCH_NEEDS_CORRECTION","VERIFIED_OK"))</f>
        <v/>
      </c>
      <c r="S659">
        <f>IF(O659&lt;&gt;"",O659,E659)</f>
        <v/>
      </c>
      <c r="T659">
        <f>IFERROR(VLOOKUP(B659,BSE_500_LIVE!A:F,6,FALSE),"")</f>
        <v/>
      </c>
    </row>
    <row r="660">
      <c r="A660" t="n">
        <v>88</v>
      </c>
      <c r="B660" t="n">
        <v>503100</v>
      </c>
      <c r="C660" t="inlineStr">
        <is>
          <t>Phoenix Township Ltd</t>
        </is>
      </c>
      <c r="D660" t="n">
        <v>2019</v>
      </c>
      <c r="E660" t="n">
        <v>2035.849975585938</v>
      </c>
      <c r="F660" t="n">
        <v>13.73</v>
      </c>
      <c r="G660" t="inlineStr">
        <is>
          <t>Consolidated first (v4) – needs verification for flagged rows</t>
        </is>
      </c>
      <c r="H660" t="n">
        <v>435.5</v>
      </c>
      <c r="I660" t="n">
        <v>274.7000122070312</v>
      </c>
      <c r="L660" t="inlineStr">
        <is>
          <t>OK</t>
        </is>
      </c>
      <c r="M660" t="n">
        <v>31.72</v>
      </c>
      <c r="N660" t="n">
        <v>20.01</v>
      </c>
      <c r="O660">
        <f>IFERROR(VLOOKUP(B660,BSE_500_LIVE!A:E,3,FALSE),"")</f>
        <v/>
      </c>
      <c r="P660">
        <f>IFERROR(VLOOKUP(B660,BSE_500_LIVE!A:E,4,FALSE),"")</f>
        <v/>
      </c>
      <c r="Q660">
        <f>IFERROR(VLOOKUP(B660,BSE_500_LIVE!A:E,5,FALSE),"")</f>
        <v/>
      </c>
      <c r="R660">
        <f>IF(OR(E660="",O660=""),"PENDING_FETCH",IF(ABS(E660-O660)/E660&gt;0.005,"MISMATCH_NEEDS_CORRECTION","VERIFIED_OK"))</f>
        <v/>
      </c>
      <c r="S660">
        <f>IF(O660&lt;&gt;"",O660,E660)</f>
        <v/>
      </c>
      <c r="T660">
        <f>IFERROR(VLOOKUP(B660,BSE_500_LIVE!A:F,6,FALSE),"")</f>
        <v/>
      </c>
    </row>
    <row r="661">
      <c r="A661" t="n">
        <v>88</v>
      </c>
      <c r="B661" t="n">
        <v>503100</v>
      </c>
      <c r="C661" t="inlineStr">
        <is>
          <t>Phoenix Township Ltd</t>
        </is>
      </c>
      <c r="D661" t="n">
        <v>2020</v>
      </c>
      <c r="E661" t="n">
        <v>2035.849975585938</v>
      </c>
      <c r="F661" t="n">
        <v>10.91</v>
      </c>
      <c r="G661" t="inlineStr">
        <is>
          <t>Consolidated first (v4) – needs verification for flagged rows</t>
        </is>
      </c>
      <c r="H661" t="n">
        <v>489.75</v>
      </c>
      <c r="I661" t="n">
        <v>233.125</v>
      </c>
      <c r="L661" t="inlineStr">
        <is>
          <t>OK</t>
        </is>
      </c>
      <c r="M661" t="n">
        <v>44.89</v>
      </c>
      <c r="N661" t="n">
        <v>21.37</v>
      </c>
      <c r="O661">
        <f>IFERROR(VLOOKUP(B661,BSE_500_LIVE!A:E,3,FALSE),"")</f>
        <v/>
      </c>
      <c r="P661">
        <f>IFERROR(VLOOKUP(B661,BSE_500_LIVE!A:E,4,FALSE),"")</f>
        <v/>
      </c>
      <c r="Q661">
        <f>IFERROR(VLOOKUP(B661,BSE_500_LIVE!A:E,5,FALSE),"")</f>
        <v/>
      </c>
      <c r="R661">
        <f>IF(OR(E661="",O661=""),"PENDING_FETCH",IF(ABS(E661-O661)/E661&gt;0.005,"MISMATCH_NEEDS_CORRECTION","VERIFIED_OK"))</f>
        <v/>
      </c>
      <c r="S661">
        <f>IF(O661&lt;&gt;"",O661,E661)</f>
        <v/>
      </c>
      <c r="T661">
        <f>IFERROR(VLOOKUP(B661,BSE_500_LIVE!A:F,6,FALSE),"")</f>
        <v/>
      </c>
    </row>
    <row r="662">
      <c r="A662" t="n">
        <v>88</v>
      </c>
      <c r="B662" t="n">
        <v>503100</v>
      </c>
      <c r="C662" t="inlineStr">
        <is>
          <t>Phoenix Township Ltd</t>
        </is>
      </c>
      <c r="D662" t="n">
        <v>2021</v>
      </c>
      <c r="E662" t="n">
        <v>2035.849975585938</v>
      </c>
      <c r="F662" t="n">
        <v>1.68</v>
      </c>
      <c r="G662" t="inlineStr">
        <is>
          <t>Consolidated first (v4) – needs verification for flagged rows</t>
        </is>
      </c>
      <c r="H662" t="n">
        <v>599.9749755859375</v>
      </c>
      <c r="I662" t="n">
        <v>336</v>
      </c>
      <c r="L662" t="inlineStr">
        <is>
          <t>OK</t>
        </is>
      </c>
      <c r="M662" t="n">
        <v>357.13</v>
      </c>
      <c r="N662" t="n">
        <v>200</v>
      </c>
      <c r="O662">
        <f>IFERROR(VLOOKUP(B662,BSE_500_LIVE!A:E,3,FALSE),"")</f>
        <v/>
      </c>
      <c r="P662">
        <f>IFERROR(VLOOKUP(B662,BSE_500_LIVE!A:E,4,FALSE),"")</f>
        <v/>
      </c>
      <c r="Q662">
        <f>IFERROR(VLOOKUP(B662,BSE_500_LIVE!A:E,5,FALSE),"")</f>
        <v/>
      </c>
      <c r="R662">
        <f>IF(OR(E662="",O662=""),"PENDING_FETCH",IF(ABS(E662-O662)/E662&gt;0.005,"MISMATCH_NEEDS_CORRECTION","VERIFIED_OK"))</f>
        <v/>
      </c>
      <c r="S662">
        <f>IF(O662&lt;&gt;"",O662,E662)</f>
        <v/>
      </c>
      <c r="T662">
        <f>IFERROR(VLOOKUP(B662,BSE_500_LIVE!A:F,6,FALSE),"")</f>
        <v/>
      </c>
    </row>
    <row r="663">
      <c r="A663" t="n">
        <v>88</v>
      </c>
      <c r="B663" t="n">
        <v>503100</v>
      </c>
      <c r="C663" t="inlineStr">
        <is>
          <t>Phoenix Township Ltd</t>
        </is>
      </c>
      <c r="D663" t="n">
        <v>2022</v>
      </c>
      <c r="E663" t="n">
        <v>2035.849975585938</v>
      </c>
      <c r="F663" t="n">
        <v>6.65</v>
      </c>
      <c r="G663" t="inlineStr">
        <is>
          <t>Consolidated first (v4) – needs verification for flagged rows</t>
        </is>
      </c>
      <c r="H663" t="n">
        <v>810</v>
      </c>
      <c r="I663" t="n">
        <v>442.1499938964844</v>
      </c>
      <c r="L663" t="inlineStr">
        <is>
          <t>OK</t>
        </is>
      </c>
      <c r="M663" t="n">
        <v>121.8</v>
      </c>
      <c r="N663" t="n">
        <v>66.48999999999999</v>
      </c>
      <c r="O663">
        <f>IFERROR(VLOOKUP(B663,BSE_500_LIVE!A:E,3,FALSE),"")</f>
        <v/>
      </c>
      <c r="P663">
        <f>IFERROR(VLOOKUP(B663,BSE_500_LIVE!A:E,4,FALSE),"")</f>
        <v/>
      </c>
      <c r="Q663">
        <f>IFERROR(VLOOKUP(B663,BSE_500_LIVE!A:E,5,FALSE),"")</f>
        <v/>
      </c>
      <c r="R663">
        <f>IF(OR(E663="",O663=""),"PENDING_FETCH",IF(ABS(E663-O663)/E663&gt;0.005,"MISMATCH_NEEDS_CORRECTION","VERIFIED_OK"))</f>
        <v/>
      </c>
      <c r="S663">
        <f>IF(O663&lt;&gt;"",O663,E663)</f>
        <v/>
      </c>
      <c r="T663">
        <f>IFERROR(VLOOKUP(B663,BSE_500_LIVE!A:F,6,FALSE),"")</f>
        <v/>
      </c>
    </row>
    <row r="664">
      <c r="A664" t="n">
        <v>88</v>
      </c>
      <c r="B664" t="n">
        <v>503100</v>
      </c>
      <c r="C664" t="inlineStr">
        <is>
          <t>Phoenix Township Ltd</t>
        </is>
      </c>
      <c r="D664" t="n">
        <v>2023</v>
      </c>
      <c r="E664" t="n">
        <v>2035.849975585938</v>
      </c>
      <c r="F664" t="n">
        <v>37.37</v>
      </c>
      <c r="G664" t="inlineStr">
        <is>
          <t>Consolidated first (v4) – needs verification for flagged rows</t>
        </is>
      </c>
      <c r="H664" t="n">
        <v>1217.5</v>
      </c>
      <c r="I664" t="n">
        <v>593.2249755859375</v>
      </c>
      <c r="L664" t="inlineStr">
        <is>
          <t>OK</t>
        </is>
      </c>
      <c r="M664" t="n">
        <v>32.58</v>
      </c>
      <c r="N664" t="n">
        <v>15.87</v>
      </c>
      <c r="O664">
        <f>IFERROR(VLOOKUP(B664,BSE_500_LIVE!A:E,3,FALSE),"")</f>
        <v/>
      </c>
      <c r="P664">
        <f>IFERROR(VLOOKUP(B664,BSE_500_LIVE!A:E,4,FALSE),"")</f>
        <v/>
      </c>
      <c r="Q664">
        <f>IFERROR(VLOOKUP(B664,BSE_500_LIVE!A:E,5,FALSE),"")</f>
        <v/>
      </c>
      <c r="R664">
        <f>IF(OR(E664="",O664=""),"PENDING_FETCH",IF(ABS(E664-O664)/E664&gt;0.005,"MISMATCH_NEEDS_CORRECTION","VERIFIED_OK"))</f>
        <v/>
      </c>
      <c r="S664">
        <f>IF(O664&lt;&gt;"",O664,E664)</f>
        <v/>
      </c>
      <c r="T664">
        <f>IFERROR(VLOOKUP(B664,BSE_500_LIVE!A:F,6,FALSE),"")</f>
        <v/>
      </c>
    </row>
    <row r="665">
      <c r="A665" t="n">
        <v>88</v>
      </c>
      <c r="B665" t="n">
        <v>503100</v>
      </c>
      <c r="C665" t="inlineStr">
        <is>
          <t>Phoenix Township Ltd</t>
        </is>
      </c>
      <c r="D665" t="n">
        <v>2024</v>
      </c>
      <c r="E665" t="n">
        <v>2035.849975585938</v>
      </c>
      <c r="F665" t="n">
        <v>30.76</v>
      </c>
      <c r="G665" t="inlineStr">
        <is>
          <t>Consolidated first (v4) – needs verification for flagged rows</t>
        </is>
      </c>
      <c r="H665" t="n">
        <v>2068.14990234375</v>
      </c>
      <c r="I665" t="n">
        <v>1110.074951171875</v>
      </c>
      <c r="L665" t="inlineStr">
        <is>
          <t>OK</t>
        </is>
      </c>
      <c r="M665" t="n">
        <v>67.23999999999999</v>
      </c>
      <c r="N665" t="n">
        <v>36.09</v>
      </c>
      <c r="O665">
        <f>IFERROR(VLOOKUP(B665,BSE_500_LIVE!A:E,3,FALSE),"")</f>
        <v/>
      </c>
      <c r="P665">
        <f>IFERROR(VLOOKUP(B665,BSE_500_LIVE!A:E,4,FALSE),"")</f>
        <v/>
      </c>
      <c r="Q665">
        <f>IFERROR(VLOOKUP(B665,BSE_500_LIVE!A:E,5,FALSE),"")</f>
        <v/>
      </c>
      <c r="R665">
        <f>IF(OR(E665="",O665=""),"PENDING_FETCH",IF(ABS(E665-O665)/E665&gt;0.005,"MISMATCH_NEEDS_CORRECTION","VERIFIED_OK"))</f>
        <v/>
      </c>
      <c r="S665">
        <f>IF(O665&lt;&gt;"",O665,E665)</f>
        <v/>
      </c>
      <c r="T665">
        <f>IFERROR(VLOOKUP(B665,BSE_500_LIVE!A:F,6,FALSE),"")</f>
        <v/>
      </c>
    </row>
    <row r="666">
      <c r="A666" t="n">
        <v>88</v>
      </c>
      <c r="B666" t="n">
        <v>503100</v>
      </c>
      <c r="C666" t="inlineStr">
        <is>
          <t>Phoenix Township Ltd</t>
        </is>
      </c>
      <c r="D666" t="n">
        <v>2025</v>
      </c>
      <c r="E666" t="n">
        <v>2035.849975585938</v>
      </c>
      <c r="F666" t="n">
        <v>27.53</v>
      </c>
      <c r="G666" t="inlineStr">
        <is>
          <t>Consolidated first (v4) – needs verification for flagged rows</t>
        </is>
      </c>
      <c r="H666" t="n">
        <v>1870.800048828125</v>
      </c>
      <c r="I666" t="n">
        <v>1403</v>
      </c>
      <c r="L666" t="inlineStr">
        <is>
          <t>OK</t>
        </is>
      </c>
      <c r="M666" t="n">
        <v>67.95</v>
      </c>
      <c r="N666" t="n">
        <v>50.96</v>
      </c>
      <c r="O666">
        <f>IFERROR(VLOOKUP(B666,BSE_500_LIVE!A:E,3,FALSE),"")</f>
        <v/>
      </c>
      <c r="P666">
        <f>IFERROR(VLOOKUP(B666,BSE_500_LIVE!A:E,4,FALSE),"")</f>
        <v/>
      </c>
      <c r="Q666">
        <f>IFERROR(VLOOKUP(B666,BSE_500_LIVE!A:E,5,FALSE),"")</f>
        <v/>
      </c>
      <c r="R666">
        <f>IF(OR(E666="",O666=""),"PENDING_FETCH",IF(ABS(E666-O666)/E666&gt;0.005,"MISMATCH_NEEDS_CORRECTION","VERIFIED_OK"))</f>
        <v/>
      </c>
      <c r="S666">
        <f>IF(O666&lt;&gt;"",O666,E666)</f>
        <v/>
      </c>
      <c r="T666">
        <f>IFERROR(VLOOKUP(B666,BSE_500_LIVE!A:F,6,FALSE),"")</f>
        <v/>
      </c>
    </row>
    <row r="667">
      <c r="A667" t="n">
        <v>88</v>
      </c>
      <c r="B667" t="n">
        <v>503100</v>
      </c>
      <c r="C667" t="inlineStr">
        <is>
          <t>Phoenix Township Ltd</t>
        </is>
      </c>
      <c r="D667" t="n">
        <v>2026</v>
      </c>
      <c r="E667" t="n">
        <v>2035.849975585938</v>
      </c>
      <c r="F667" t="n">
        <v>34.22</v>
      </c>
      <c r="G667" t="inlineStr">
        <is>
          <t>Consolidated first (v4) – needs verification for flagged rows</t>
        </is>
      </c>
      <c r="H667" t="n">
        <v>2168.64990234375</v>
      </c>
      <c r="I667" t="n">
        <v>1465.300048828125</v>
      </c>
      <c r="L667" t="inlineStr">
        <is>
          <t>OK</t>
        </is>
      </c>
      <c r="M667" t="n">
        <v>63.37</v>
      </c>
      <c r="N667" t="n">
        <v>42.82</v>
      </c>
      <c r="O667">
        <f>IFERROR(VLOOKUP(B667,BSE_500_LIVE!A:E,3,FALSE),"")</f>
        <v/>
      </c>
      <c r="P667">
        <f>IFERROR(VLOOKUP(B667,BSE_500_LIVE!A:E,4,FALSE),"")</f>
        <v/>
      </c>
      <c r="Q667">
        <f>IFERROR(VLOOKUP(B667,BSE_500_LIVE!A:E,5,FALSE),"")</f>
        <v/>
      </c>
      <c r="R667">
        <f>IF(OR(E667="",O667=""),"PENDING_FETCH",IF(ABS(E667-O667)/E667&gt;0.005,"MISMATCH_NEEDS_CORRECTION","VERIFIED_OK"))</f>
        <v/>
      </c>
      <c r="S667">
        <f>IF(O667&lt;&gt;"",O667,E667)</f>
        <v/>
      </c>
      <c r="T667">
        <f>IFERROR(VLOOKUP(B667,BSE_500_LIVE!A:F,6,FALSE),"")</f>
        <v/>
      </c>
    </row>
    <row r="668">
      <c r="A668" t="n">
        <v>90</v>
      </c>
      <c r="B668" t="n">
        <v>503669</v>
      </c>
      <c r="C668" t="inlineStr">
        <is>
          <t>KK Fincorp Ltd</t>
        </is>
      </c>
      <c r="D668" t="n">
        <v>2015</v>
      </c>
      <c r="E668" t="n">
        <v>57.63000106811523</v>
      </c>
      <c r="G668" t="inlineStr">
        <is>
          <t>Consolidated first (v4) – needs verification for flagged rows</t>
        </is>
      </c>
      <c r="H668" t="n">
        <v>13.59000015258789</v>
      </c>
      <c r="I668" t="n">
        <v>4.900000095367432</v>
      </c>
      <c r="L668" t="inlineStr">
        <is>
          <t>INCOMPLETE</t>
        </is>
      </c>
      <c r="O668" t="n">
        <v>37.51</v>
      </c>
      <c r="P668" t="n">
        <v>58.78</v>
      </c>
      <c r="Q668" t="n">
        <v>21.13</v>
      </c>
      <c r="R668" s="3" t="inlineStr">
        <is>
          <t>MISMATCH_NEEDS_CORRECTION</t>
        </is>
      </c>
      <c r="S668" t="n">
        <v>37.51</v>
      </c>
      <c r="T668" t="inlineStr">
        <is>
          <t>30-07-2026 09:42 IST</t>
        </is>
      </c>
    </row>
    <row r="669">
      <c r="A669" t="n">
        <v>90</v>
      </c>
      <c r="B669" t="n">
        <v>503669</v>
      </c>
      <c r="C669" t="inlineStr">
        <is>
          <t>KK Fincorp Ltd</t>
        </is>
      </c>
      <c r="D669" t="n">
        <v>2016</v>
      </c>
      <c r="E669" t="n">
        <v>57.63000106811523</v>
      </c>
      <c r="G669" t="inlineStr">
        <is>
          <t>Consolidated first (v4) – needs verification for flagged rows</t>
        </is>
      </c>
      <c r="H669" t="n">
        <v>5.559999942779541</v>
      </c>
      <c r="I669" t="n">
        <v>4.679999828338623</v>
      </c>
      <c r="L669" t="inlineStr">
        <is>
          <t>INCOMPLETE</t>
        </is>
      </c>
      <c r="O669" t="n">
        <v>37.51</v>
      </c>
      <c r="P669" t="n">
        <v>58.78</v>
      </c>
      <c r="Q669" t="n">
        <v>21.13</v>
      </c>
      <c r="R669" s="3" t="inlineStr">
        <is>
          <t>MISMATCH_NEEDS_CORRECTION</t>
        </is>
      </c>
      <c r="S669" t="n">
        <v>37.51</v>
      </c>
      <c r="T669" t="inlineStr">
        <is>
          <t>30-07-2026 09:42 IST</t>
        </is>
      </c>
    </row>
    <row r="670">
      <c r="A670" t="n">
        <v>90</v>
      </c>
      <c r="B670" t="n">
        <v>503669</v>
      </c>
      <c r="C670" t="inlineStr">
        <is>
          <t>KK Fincorp Ltd</t>
        </is>
      </c>
      <c r="D670" t="n">
        <v>2017</v>
      </c>
      <c r="E670" t="n">
        <v>57.63000106811523</v>
      </c>
      <c r="G670" t="inlineStr">
        <is>
          <t>Consolidated first (v4) – needs verification for flagged rows</t>
        </is>
      </c>
      <c r="H670" t="n">
        <v>6.800000190734863</v>
      </c>
      <c r="I670" t="n">
        <v>5</v>
      </c>
      <c r="L670" t="inlineStr">
        <is>
          <t>INCOMPLETE</t>
        </is>
      </c>
      <c r="O670" t="n">
        <v>37.51</v>
      </c>
      <c r="P670" t="n">
        <v>58.78</v>
      </c>
      <c r="Q670" t="n">
        <v>21.13</v>
      </c>
      <c r="R670" s="3" t="inlineStr">
        <is>
          <t>MISMATCH_NEEDS_CORRECTION</t>
        </is>
      </c>
      <c r="S670" t="n">
        <v>37.51</v>
      </c>
      <c r="T670" t="inlineStr">
        <is>
          <t>30-07-2026 09:42 IST</t>
        </is>
      </c>
    </row>
    <row r="671">
      <c r="A671" t="n">
        <v>90</v>
      </c>
      <c r="B671" t="n">
        <v>503669</v>
      </c>
      <c r="C671" t="inlineStr">
        <is>
          <t>KK Fincorp Ltd</t>
        </is>
      </c>
      <c r="D671" t="n">
        <v>2018</v>
      </c>
      <c r="E671" t="n">
        <v>57.63000106811523</v>
      </c>
      <c r="G671" t="inlineStr">
        <is>
          <t>Consolidated first (v4) – needs verification for flagged rows</t>
        </is>
      </c>
      <c r="H671" t="n">
        <v>13.19999980926514</v>
      </c>
      <c r="I671" t="n">
        <v>6.800000190734863</v>
      </c>
      <c r="L671" t="inlineStr">
        <is>
          <t>INCOMPLETE</t>
        </is>
      </c>
      <c r="O671" t="n">
        <v>37.51</v>
      </c>
      <c r="P671" t="n">
        <v>58.78</v>
      </c>
      <c r="Q671" t="n">
        <v>21.13</v>
      </c>
      <c r="R671" s="3" t="inlineStr">
        <is>
          <t>MISMATCH_NEEDS_CORRECTION</t>
        </is>
      </c>
      <c r="S671" t="n">
        <v>37.51</v>
      </c>
      <c r="T671" t="inlineStr">
        <is>
          <t>30-07-2026 09:42 IST</t>
        </is>
      </c>
    </row>
    <row r="672">
      <c r="A672" t="n">
        <v>90</v>
      </c>
      <c r="B672" t="n">
        <v>503669</v>
      </c>
      <c r="C672" t="inlineStr">
        <is>
          <t>KK Fincorp Ltd</t>
        </is>
      </c>
      <c r="D672" t="n">
        <v>2019</v>
      </c>
      <c r="E672" t="n">
        <v>57.63000106811523</v>
      </c>
      <c r="G672" t="inlineStr">
        <is>
          <t>Consolidated first (v4) – needs verification for flagged rows</t>
        </is>
      </c>
      <c r="H672" t="n">
        <v>13.19999980926514</v>
      </c>
      <c r="I672" t="n">
        <v>11.92000007629395</v>
      </c>
      <c r="L672" t="inlineStr">
        <is>
          <t>INCOMPLETE</t>
        </is>
      </c>
      <c r="O672" t="n">
        <v>37.51</v>
      </c>
      <c r="P672" t="n">
        <v>58.78</v>
      </c>
      <c r="Q672" t="n">
        <v>21.13</v>
      </c>
      <c r="R672" s="3" t="inlineStr">
        <is>
          <t>MISMATCH_NEEDS_CORRECTION</t>
        </is>
      </c>
      <c r="S672" t="n">
        <v>37.51</v>
      </c>
      <c r="T672" t="inlineStr">
        <is>
          <t>30-07-2026 09:42 IST</t>
        </is>
      </c>
    </row>
    <row r="673">
      <c r="A673" t="n">
        <v>90</v>
      </c>
      <c r="B673" t="n">
        <v>503669</v>
      </c>
      <c r="C673" t="inlineStr">
        <is>
          <t>KK Fincorp Ltd</t>
        </is>
      </c>
      <c r="D673" t="n">
        <v>2020</v>
      </c>
      <c r="E673" t="n">
        <v>57.63000106811523</v>
      </c>
      <c r="G673" t="inlineStr">
        <is>
          <t>Consolidated first (v4) – needs verification for flagged rows</t>
        </is>
      </c>
      <c r="H673" t="n">
        <v>13.64999961853027</v>
      </c>
      <c r="I673" t="n">
        <v>5.5</v>
      </c>
      <c r="L673" t="inlineStr">
        <is>
          <t>INCOMPLETE</t>
        </is>
      </c>
      <c r="O673" t="n">
        <v>37.51</v>
      </c>
      <c r="P673" t="n">
        <v>58.78</v>
      </c>
      <c r="Q673" t="n">
        <v>21.13</v>
      </c>
      <c r="R673" s="3" t="inlineStr">
        <is>
          <t>MISMATCH_NEEDS_CORRECTION</t>
        </is>
      </c>
      <c r="S673" t="n">
        <v>37.51</v>
      </c>
      <c r="T673" t="inlineStr">
        <is>
          <t>30-07-2026 09:42 IST</t>
        </is>
      </c>
    </row>
    <row r="674">
      <c r="A674" t="n">
        <v>90</v>
      </c>
      <c r="B674" t="n">
        <v>503669</v>
      </c>
      <c r="C674" t="inlineStr">
        <is>
          <t>KK Fincorp Ltd</t>
        </is>
      </c>
      <c r="D674" t="n">
        <v>2021</v>
      </c>
      <c r="E674" t="n">
        <v>57.63000106811523</v>
      </c>
      <c r="G674" t="inlineStr">
        <is>
          <t>Consolidated first (v4) – needs verification for flagged rows</t>
        </is>
      </c>
      <c r="H674" t="n">
        <v>12.98999977111816</v>
      </c>
      <c r="I674" t="n">
        <v>5.980000019073486</v>
      </c>
      <c r="L674" t="inlineStr">
        <is>
          <t>INCOMPLETE</t>
        </is>
      </c>
      <c r="O674" t="n">
        <v>37.51</v>
      </c>
      <c r="P674" t="n">
        <v>58.78</v>
      </c>
      <c r="Q674" t="n">
        <v>21.13</v>
      </c>
      <c r="R674" s="3" t="inlineStr">
        <is>
          <t>MISMATCH_NEEDS_CORRECTION</t>
        </is>
      </c>
      <c r="S674" t="n">
        <v>37.51</v>
      </c>
      <c r="T674" t="inlineStr">
        <is>
          <t>30-07-2026 09:42 IST</t>
        </is>
      </c>
    </row>
    <row r="675">
      <c r="A675" t="n">
        <v>90</v>
      </c>
      <c r="B675" t="n">
        <v>503669</v>
      </c>
      <c r="C675" t="inlineStr">
        <is>
          <t>KK Fincorp Ltd</t>
        </is>
      </c>
      <c r="D675" t="n">
        <v>2022</v>
      </c>
      <c r="E675" t="n">
        <v>57.63000106811523</v>
      </c>
      <c r="G675" t="inlineStr">
        <is>
          <t>Consolidated first (v4) – needs verification for flagged rows</t>
        </is>
      </c>
      <c r="H675" t="n">
        <v>19.14999961853027</v>
      </c>
      <c r="I675" t="n">
        <v>7.739999771118164</v>
      </c>
      <c r="L675" t="inlineStr">
        <is>
          <t>INCOMPLETE</t>
        </is>
      </c>
      <c r="O675" t="n">
        <v>37.51</v>
      </c>
      <c r="P675" t="n">
        <v>58.78</v>
      </c>
      <c r="Q675" t="n">
        <v>21.13</v>
      </c>
      <c r="R675" s="3" t="inlineStr">
        <is>
          <t>MISMATCH_NEEDS_CORRECTION</t>
        </is>
      </c>
      <c r="S675" t="n">
        <v>37.51</v>
      </c>
      <c r="T675" t="inlineStr">
        <is>
          <t>30-07-2026 09:42 IST</t>
        </is>
      </c>
    </row>
    <row r="676">
      <c r="A676" t="n">
        <v>90</v>
      </c>
      <c r="B676" t="n">
        <v>503669</v>
      </c>
      <c r="C676" t="inlineStr">
        <is>
          <t>KK Fincorp Ltd</t>
        </is>
      </c>
      <c r="D676" t="n">
        <v>2023</v>
      </c>
      <c r="E676" t="n">
        <v>57.63000106811523</v>
      </c>
      <c r="G676" t="inlineStr">
        <is>
          <t>Consolidated first (v4) – needs verification for flagged rows</t>
        </is>
      </c>
      <c r="H676" t="n">
        <v>33.06999969482422</v>
      </c>
      <c r="I676" t="n">
        <v>10.78999996185303</v>
      </c>
      <c r="L676" t="inlineStr">
        <is>
          <t>INCOMPLETE</t>
        </is>
      </c>
      <c r="O676" t="n">
        <v>37.51</v>
      </c>
      <c r="P676" t="n">
        <v>58.78</v>
      </c>
      <c r="Q676" t="n">
        <v>21.13</v>
      </c>
      <c r="R676" s="3" t="inlineStr">
        <is>
          <t>MISMATCH_NEEDS_CORRECTION</t>
        </is>
      </c>
      <c r="S676" t="n">
        <v>37.51</v>
      </c>
      <c r="T676" t="inlineStr">
        <is>
          <t>30-07-2026 09:42 IST</t>
        </is>
      </c>
    </row>
    <row r="677">
      <c r="A677" t="n">
        <v>90</v>
      </c>
      <c r="B677" t="n">
        <v>503669</v>
      </c>
      <c r="C677" t="inlineStr">
        <is>
          <t>KK Fincorp Ltd</t>
        </is>
      </c>
      <c r="D677" t="n">
        <v>2024</v>
      </c>
      <c r="E677" t="n">
        <v>57.63000106811523</v>
      </c>
      <c r="G677" t="inlineStr">
        <is>
          <t>Consolidated first (v4) – needs verification for flagged rows</t>
        </is>
      </c>
      <c r="H677" t="n">
        <v>58.77999877929688</v>
      </c>
      <c r="I677" t="n">
        <v>23.05999946594238</v>
      </c>
      <c r="L677" t="inlineStr">
        <is>
          <t>INCOMPLETE</t>
        </is>
      </c>
      <c r="O677" t="n">
        <v>37.51</v>
      </c>
      <c r="P677" t="n">
        <v>58.78</v>
      </c>
      <c r="Q677" t="n">
        <v>21.13</v>
      </c>
      <c r="R677" s="3" t="inlineStr">
        <is>
          <t>MISMATCH_NEEDS_CORRECTION</t>
        </is>
      </c>
      <c r="S677" t="n">
        <v>37.51</v>
      </c>
      <c r="T677" t="inlineStr">
        <is>
          <t>30-07-2026 09:42 IST</t>
        </is>
      </c>
    </row>
    <row r="678">
      <c r="A678" t="n">
        <v>91</v>
      </c>
      <c r="B678" t="n">
        <v>504067</v>
      </c>
      <c r="C678" t="inlineStr">
        <is>
          <t>Zensar Technologies Ltd</t>
        </is>
      </c>
      <c r="D678" t="n">
        <v>2015</v>
      </c>
      <c r="E678" t="n">
        <v>518.3499755859375</v>
      </c>
      <c r="F678" t="n">
        <v>11.94</v>
      </c>
      <c r="G678" t="inlineStr">
        <is>
          <t>Consolidated first (v4) – needs verification for flagged rows</t>
        </is>
      </c>
      <c r="H678" t="n">
        <v>224</v>
      </c>
      <c r="I678" t="n">
        <v>116.8199996948242</v>
      </c>
      <c r="L678" t="inlineStr">
        <is>
          <t>OK</t>
        </is>
      </c>
      <c r="M678" t="n">
        <v>18.76</v>
      </c>
      <c r="N678" t="n">
        <v>9.779999999999999</v>
      </c>
      <c r="O678" t="n">
        <v>528.55</v>
      </c>
      <c r="P678" t="n">
        <v>868.95</v>
      </c>
      <c r="Q678" t="n">
        <v>423</v>
      </c>
      <c r="R678" s="2" t="inlineStr">
        <is>
          <t>VERIFIED_OK</t>
        </is>
      </c>
      <c r="S678" t="n">
        <v>528.55</v>
      </c>
      <c r="T678" t="inlineStr">
        <is>
          <t>30-07-2026 09:42 IST</t>
        </is>
      </c>
    </row>
    <row r="679">
      <c r="A679" t="n">
        <v>91</v>
      </c>
      <c r="B679" t="n">
        <v>504067</v>
      </c>
      <c r="C679" t="inlineStr">
        <is>
          <t>Zensar Technologies Ltd</t>
        </is>
      </c>
      <c r="D679" t="n">
        <v>2016</v>
      </c>
      <c r="E679" t="n">
        <v>518.3499755859375</v>
      </c>
      <c r="F679" t="n">
        <v>12.97</v>
      </c>
      <c r="G679" t="inlineStr">
        <is>
          <t>Consolidated first (v4) – needs verification for flagged rows</t>
        </is>
      </c>
      <c r="H679" t="n">
        <v>227.2100067138672</v>
      </c>
      <c r="I679" t="n">
        <v>161</v>
      </c>
      <c r="L679" t="inlineStr">
        <is>
          <t>OK</t>
        </is>
      </c>
      <c r="M679" t="n">
        <v>17.52</v>
      </c>
      <c r="N679" t="n">
        <v>12.41</v>
      </c>
      <c r="O679" t="n">
        <v>528.55</v>
      </c>
      <c r="P679" t="n">
        <v>868.95</v>
      </c>
      <c r="Q679" t="n">
        <v>423</v>
      </c>
      <c r="R679" s="2" t="inlineStr">
        <is>
          <t>VERIFIED_OK</t>
        </is>
      </c>
      <c r="S679" t="n">
        <v>528.55</v>
      </c>
      <c r="T679" t="inlineStr">
        <is>
          <t>30-07-2026 09:42 IST</t>
        </is>
      </c>
    </row>
    <row r="680">
      <c r="A680" t="n">
        <v>91</v>
      </c>
      <c r="B680" t="n">
        <v>504067</v>
      </c>
      <c r="C680" t="inlineStr">
        <is>
          <t>Zensar Technologies Ltd</t>
        </is>
      </c>
      <c r="D680" t="n">
        <v>2017</v>
      </c>
      <c r="E680" t="n">
        <v>518.3499755859375</v>
      </c>
      <c r="F680" t="n">
        <v>10.47</v>
      </c>
      <c r="G680" t="inlineStr">
        <is>
          <t>Consolidated first (v4) – needs verification for flagged rows</t>
        </is>
      </c>
      <c r="H680" t="n">
        <v>191.5500030517578</v>
      </c>
      <c r="I680" t="n">
        <v>147.1000061035156</v>
      </c>
      <c r="L680" t="inlineStr">
        <is>
          <t>OK</t>
        </is>
      </c>
      <c r="M680" t="n">
        <v>18.3</v>
      </c>
      <c r="N680" t="n">
        <v>14.05</v>
      </c>
      <c r="O680" t="n">
        <v>528.55</v>
      </c>
      <c r="P680" t="n">
        <v>868.95</v>
      </c>
      <c r="Q680" t="n">
        <v>423</v>
      </c>
      <c r="R680" s="2" t="inlineStr">
        <is>
          <t>VERIFIED_OK</t>
        </is>
      </c>
      <c r="S680" t="n">
        <v>528.55</v>
      </c>
      <c r="T680" t="inlineStr">
        <is>
          <t>30-07-2026 09:42 IST</t>
        </is>
      </c>
    </row>
    <row r="681">
      <c r="A681" t="n">
        <v>91</v>
      </c>
      <c r="B681" t="n">
        <v>504067</v>
      </c>
      <c r="C681" t="inlineStr">
        <is>
          <t>Zensar Technologies Ltd</t>
        </is>
      </c>
      <c r="D681" t="n">
        <v>2018</v>
      </c>
      <c r="E681" t="n">
        <v>518.3499755859375</v>
      </c>
      <c r="F681" t="n">
        <v>10.74</v>
      </c>
      <c r="G681" t="inlineStr">
        <is>
          <t>Consolidated first (v4) – needs verification for flagged rows</t>
        </is>
      </c>
      <c r="H681" t="n">
        <v>352.3999938964844</v>
      </c>
      <c r="I681" t="n">
        <v>145.9799957275391</v>
      </c>
      <c r="L681" t="inlineStr">
        <is>
          <t>OK</t>
        </is>
      </c>
      <c r="M681" t="n">
        <v>32.81</v>
      </c>
      <c r="N681" t="n">
        <v>13.59</v>
      </c>
      <c r="O681" t="n">
        <v>528.55</v>
      </c>
      <c r="P681" t="n">
        <v>868.95</v>
      </c>
      <c r="Q681" t="n">
        <v>423</v>
      </c>
      <c r="R681" s="2" t="inlineStr">
        <is>
          <t>VERIFIED_OK</t>
        </is>
      </c>
      <c r="S681" t="n">
        <v>528.55</v>
      </c>
      <c r="T681" t="inlineStr">
        <is>
          <t>30-07-2026 09:42 IST</t>
        </is>
      </c>
    </row>
    <row r="682">
      <c r="A682" t="n">
        <v>91</v>
      </c>
      <c r="B682" t="n">
        <v>504067</v>
      </c>
      <c r="C682" t="inlineStr">
        <is>
          <t>Zensar Technologies Ltd</t>
        </is>
      </c>
      <c r="D682" t="n">
        <v>2019</v>
      </c>
      <c r="E682" t="n">
        <v>518.3499755859375</v>
      </c>
      <c r="F682" t="n">
        <v>13.93</v>
      </c>
      <c r="G682" t="inlineStr">
        <is>
          <t>Consolidated first (v4) – needs verification for flagged rows</t>
        </is>
      </c>
      <c r="H682" t="n">
        <v>271.2999877929688</v>
      </c>
      <c r="I682" t="n">
        <v>167.6999969482422</v>
      </c>
      <c r="L682" t="inlineStr">
        <is>
          <t>OK</t>
        </is>
      </c>
      <c r="M682" t="n">
        <v>19.48</v>
      </c>
      <c r="N682" t="n">
        <v>12.04</v>
      </c>
      <c r="O682" t="n">
        <v>528.55</v>
      </c>
      <c r="P682" t="n">
        <v>868.95</v>
      </c>
      <c r="Q682" t="n">
        <v>423</v>
      </c>
      <c r="R682" s="2" t="inlineStr">
        <is>
          <t>VERIFIED_OK</t>
        </is>
      </c>
      <c r="S682" t="n">
        <v>528.55</v>
      </c>
      <c r="T682" t="inlineStr">
        <is>
          <t>30-07-2026 09:42 IST</t>
        </is>
      </c>
    </row>
    <row r="683">
      <c r="A683" t="n">
        <v>91</v>
      </c>
      <c r="B683" t="n">
        <v>504067</v>
      </c>
      <c r="C683" t="inlineStr">
        <is>
          <t>Zensar Technologies Ltd</t>
        </is>
      </c>
      <c r="D683" t="n">
        <v>2020</v>
      </c>
      <c r="E683" t="n">
        <v>518.3499755859375</v>
      </c>
      <c r="F683" t="n">
        <v>11.69</v>
      </c>
      <c r="G683" t="inlineStr">
        <is>
          <t>Consolidated first (v4) – needs verification for flagged rows</t>
        </is>
      </c>
      <c r="H683" t="n">
        <v>266.8999938964844</v>
      </c>
      <c r="I683" t="n">
        <v>63.70000076293945</v>
      </c>
      <c r="L683" t="inlineStr">
        <is>
          <t>OK</t>
        </is>
      </c>
      <c r="M683" t="n">
        <v>22.83</v>
      </c>
      <c r="N683" t="n">
        <v>5.45</v>
      </c>
      <c r="O683" t="n">
        <v>528.55</v>
      </c>
      <c r="P683" t="n">
        <v>868.95</v>
      </c>
      <c r="Q683" t="n">
        <v>423</v>
      </c>
      <c r="R683" s="2" t="inlineStr">
        <is>
          <t>VERIFIED_OK</t>
        </is>
      </c>
      <c r="S683" t="n">
        <v>528.55</v>
      </c>
      <c r="T683" t="inlineStr">
        <is>
          <t>30-07-2026 09:42 IST</t>
        </is>
      </c>
    </row>
    <row r="684">
      <c r="A684" t="n">
        <v>91</v>
      </c>
      <c r="B684" t="n">
        <v>504067</v>
      </c>
      <c r="C684" t="inlineStr">
        <is>
          <t>Zensar Technologies Ltd</t>
        </is>
      </c>
      <c r="D684" t="n">
        <v>2021</v>
      </c>
      <c r="E684" t="n">
        <v>518.3499755859375</v>
      </c>
      <c r="F684" t="n">
        <v>13.3</v>
      </c>
      <c r="G684" t="inlineStr">
        <is>
          <t>Consolidated first (v4) – needs verification for flagged rows</t>
        </is>
      </c>
      <c r="H684" t="n">
        <v>587</v>
      </c>
      <c r="I684" t="n">
        <v>222.1000061035156</v>
      </c>
      <c r="L684" t="inlineStr">
        <is>
          <t>OK</t>
        </is>
      </c>
      <c r="M684" t="n">
        <v>44.14</v>
      </c>
      <c r="N684" t="n">
        <v>16.7</v>
      </c>
      <c r="O684" t="n">
        <v>528.55</v>
      </c>
      <c r="P684" t="n">
        <v>868.95</v>
      </c>
      <c r="Q684" t="n">
        <v>423</v>
      </c>
      <c r="R684" s="2" t="inlineStr">
        <is>
          <t>VERIFIED_OK</t>
        </is>
      </c>
      <c r="S684" t="n">
        <v>528.55</v>
      </c>
      <c r="T684" t="inlineStr">
        <is>
          <t>30-07-2026 09:42 IST</t>
        </is>
      </c>
    </row>
    <row r="685">
      <c r="A685" t="n">
        <v>91</v>
      </c>
      <c r="B685" t="n">
        <v>504067</v>
      </c>
      <c r="C685" t="inlineStr">
        <is>
          <t>Zensar Technologies Ltd</t>
        </is>
      </c>
      <c r="D685" t="n">
        <v>2022</v>
      </c>
      <c r="E685" t="n">
        <v>518.3499755859375</v>
      </c>
      <c r="F685" t="n">
        <v>18.4</v>
      </c>
      <c r="G685" t="inlineStr">
        <is>
          <t>Consolidated first (v4) – needs verification for flagged rows</t>
        </is>
      </c>
      <c r="H685" t="n">
        <v>538.75</v>
      </c>
      <c r="I685" t="n">
        <v>202</v>
      </c>
      <c r="L685" t="inlineStr">
        <is>
          <t>OK</t>
        </is>
      </c>
      <c r="M685" t="n">
        <v>29.28</v>
      </c>
      <c r="N685" t="n">
        <v>10.98</v>
      </c>
      <c r="O685" t="n">
        <v>528.55</v>
      </c>
      <c r="P685" t="n">
        <v>868.95</v>
      </c>
      <c r="Q685" t="n">
        <v>423</v>
      </c>
      <c r="R685" s="2" t="inlineStr">
        <is>
          <t>VERIFIED_OK</t>
        </is>
      </c>
      <c r="S685" t="n">
        <v>528.55</v>
      </c>
      <c r="T685" t="inlineStr">
        <is>
          <t>30-07-2026 09:42 IST</t>
        </is>
      </c>
    </row>
    <row r="686">
      <c r="A686" t="n">
        <v>91</v>
      </c>
      <c r="B686" t="n">
        <v>504067</v>
      </c>
      <c r="C686" t="inlineStr">
        <is>
          <t>Zensar Technologies Ltd</t>
        </is>
      </c>
      <c r="D686" t="n">
        <v>2023</v>
      </c>
      <c r="E686" t="n">
        <v>518.3499755859375</v>
      </c>
      <c r="F686" t="n">
        <v>14.47</v>
      </c>
      <c r="G686" t="inlineStr">
        <is>
          <t>Consolidated first (v4) – needs verification for flagged rows</t>
        </is>
      </c>
      <c r="H686" t="n">
        <v>643.9500122070312</v>
      </c>
      <c r="I686" t="n">
        <v>205.5500030517578</v>
      </c>
      <c r="L686" t="inlineStr">
        <is>
          <t>OK</t>
        </is>
      </c>
      <c r="M686" t="n">
        <v>44.5</v>
      </c>
      <c r="N686" t="n">
        <v>14.21</v>
      </c>
      <c r="O686" t="n">
        <v>528.55</v>
      </c>
      <c r="P686" t="n">
        <v>868.95</v>
      </c>
      <c r="Q686" t="n">
        <v>423</v>
      </c>
      <c r="R686" s="2" t="inlineStr">
        <is>
          <t>VERIFIED_OK</t>
        </is>
      </c>
      <c r="S686" t="n">
        <v>528.55</v>
      </c>
      <c r="T686" t="inlineStr">
        <is>
          <t>30-07-2026 09:42 IST</t>
        </is>
      </c>
    </row>
    <row r="687">
      <c r="A687" t="n">
        <v>91</v>
      </c>
      <c r="B687" t="n">
        <v>504067</v>
      </c>
      <c r="C687" t="inlineStr">
        <is>
          <t>Zensar Technologies Ltd</t>
        </is>
      </c>
      <c r="D687" t="n">
        <v>2024</v>
      </c>
      <c r="E687" t="n">
        <v>518.3499755859375</v>
      </c>
      <c r="F687" t="n">
        <v>29.34</v>
      </c>
      <c r="G687" t="inlineStr">
        <is>
          <t>Consolidated first (v4) – needs verification for flagged rows</t>
        </is>
      </c>
      <c r="H687" t="n">
        <v>838.4500122070312</v>
      </c>
      <c r="I687" t="n">
        <v>512.7999877929688</v>
      </c>
      <c r="L687" t="inlineStr">
        <is>
          <t>OK</t>
        </is>
      </c>
      <c r="M687" t="n">
        <v>28.58</v>
      </c>
      <c r="N687" t="n">
        <v>17.48</v>
      </c>
      <c r="O687" t="n">
        <v>528.55</v>
      </c>
      <c r="P687" t="n">
        <v>868.95</v>
      </c>
      <c r="Q687" t="n">
        <v>423</v>
      </c>
      <c r="R687" s="2" t="inlineStr">
        <is>
          <t>VERIFIED_OK</t>
        </is>
      </c>
      <c r="S687" t="n">
        <v>528.55</v>
      </c>
      <c r="T687" t="inlineStr">
        <is>
          <t>30-07-2026 09:42 IST</t>
        </is>
      </c>
    </row>
    <row r="688">
      <c r="A688" t="n">
        <v>91</v>
      </c>
      <c r="B688" t="n">
        <v>504067</v>
      </c>
      <c r="C688" t="inlineStr">
        <is>
          <t>Zensar Technologies Ltd</t>
        </is>
      </c>
      <c r="D688" t="n">
        <v>2025</v>
      </c>
      <c r="E688" t="n">
        <v>518.3499755859375</v>
      </c>
      <c r="F688" t="n">
        <v>28.61</v>
      </c>
      <c r="G688" t="inlineStr">
        <is>
          <t>Consolidated first (v4) – needs verification for flagged rows</t>
        </is>
      </c>
      <c r="H688" t="n">
        <v>951.7000122070312</v>
      </c>
      <c r="I688" t="n">
        <v>558.5</v>
      </c>
      <c r="L688" t="inlineStr">
        <is>
          <t>OK</t>
        </is>
      </c>
      <c r="M688" t="n">
        <v>33.26</v>
      </c>
      <c r="N688" t="n">
        <v>19.52</v>
      </c>
      <c r="O688" t="n">
        <v>528.55</v>
      </c>
      <c r="P688" t="n">
        <v>868.95</v>
      </c>
      <c r="Q688" t="n">
        <v>423</v>
      </c>
      <c r="R688" s="2" t="inlineStr">
        <is>
          <t>VERIFIED_OK</t>
        </is>
      </c>
      <c r="S688" t="n">
        <v>528.55</v>
      </c>
      <c r="T688" t="inlineStr">
        <is>
          <t>30-07-2026 09:42 IST</t>
        </is>
      </c>
    </row>
    <row r="689">
      <c r="A689" t="n">
        <v>91</v>
      </c>
      <c r="B689" t="n">
        <v>504067</v>
      </c>
      <c r="C689" t="inlineStr">
        <is>
          <t>Zensar Technologies Ltd</t>
        </is>
      </c>
      <c r="D689" t="n">
        <v>2026</v>
      </c>
      <c r="E689" t="n">
        <v>518.3499755859375</v>
      </c>
      <c r="F689" t="n">
        <v>34.05</v>
      </c>
      <c r="G689" t="inlineStr">
        <is>
          <t>Consolidated first (v4) – needs verification for flagged rows</t>
        </is>
      </c>
      <c r="H689" t="n">
        <v>740.0499877929688</v>
      </c>
      <c r="I689" t="n">
        <v>423.3500061035156</v>
      </c>
      <c r="L689" t="inlineStr">
        <is>
          <t>OK</t>
        </is>
      </c>
      <c r="M689" t="n">
        <v>21.73</v>
      </c>
      <c r="N689" t="n">
        <v>12.43</v>
      </c>
      <c r="O689" t="n">
        <v>528.55</v>
      </c>
      <c r="P689" t="n">
        <v>868.95</v>
      </c>
      <c r="Q689" t="n">
        <v>423</v>
      </c>
      <c r="R689" s="2" t="inlineStr">
        <is>
          <t>VERIFIED_OK</t>
        </is>
      </c>
      <c r="S689" t="n">
        <v>528.55</v>
      </c>
      <c r="T689" t="inlineStr">
        <is>
          <t>30-07-2026 09:42 IST</t>
        </is>
      </c>
    </row>
    <row r="690">
      <c r="A690" t="n">
        <v>92</v>
      </c>
      <c r="B690" t="n">
        <v>504076</v>
      </c>
      <c r="C690" t="inlineStr">
        <is>
          <t>Jyoti Ltd</t>
        </is>
      </c>
      <c r="D690" t="n">
        <v>2015</v>
      </c>
      <c r="E690" t="n">
        <v>54.09999847412109</v>
      </c>
      <c r="F690" t="n">
        <v>-66.29000000000001</v>
      </c>
      <c r="G690" t="inlineStr">
        <is>
          <t>Consolidated first (v4) – needs verification for flagged rows</t>
        </is>
      </c>
      <c r="H690" t="n">
        <v>87</v>
      </c>
      <c r="I690" t="n">
        <v>49.84999847412109</v>
      </c>
      <c r="L690" t="inlineStr">
        <is>
          <t>UNVERIFIED – negative EPS</t>
        </is>
      </c>
      <c r="M690" t="n">
        <v>-1.31</v>
      </c>
      <c r="N690" t="n">
        <v>-0.75</v>
      </c>
      <c r="O690" t="n">
        <v>81.63</v>
      </c>
      <c r="P690" t="n">
        <v>165</v>
      </c>
      <c r="Q690" t="n">
        <v>44</v>
      </c>
      <c r="R690" s="3" t="inlineStr">
        <is>
          <t>MISMATCH_NEEDS_CORRECTION</t>
        </is>
      </c>
      <c r="S690" t="n">
        <v>81.63</v>
      </c>
      <c r="T690" t="inlineStr">
        <is>
          <t>30-07-2026 09:42 IST</t>
        </is>
      </c>
    </row>
    <row r="691">
      <c r="A691" t="n">
        <v>92</v>
      </c>
      <c r="B691" t="n">
        <v>504076</v>
      </c>
      <c r="C691" t="inlineStr">
        <is>
          <t>Jyoti Ltd</t>
        </is>
      </c>
      <c r="D691" t="n">
        <v>2016</v>
      </c>
      <c r="E691" t="n">
        <v>54.09999847412109</v>
      </c>
      <c r="F691" t="n">
        <v>-45.54</v>
      </c>
      <c r="G691" t="inlineStr">
        <is>
          <t>Consolidated first (v4) – needs verification for flagged rows</t>
        </is>
      </c>
      <c r="H691" t="n">
        <v>72</v>
      </c>
      <c r="I691" t="n">
        <v>30.20000076293945</v>
      </c>
      <c r="L691" t="inlineStr">
        <is>
          <t>UNVERIFIED – negative EPS</t>
        </is>
      </c>
      <c r="M691" t="n">
        <v>-1.58</v>
      </c>
      <c r="N691" t="n">
        <v>-0.66</v>
      </c>
      <c r="O691" t="n">
        <v>81.63</v>
      </c>
      <c r="P691" t="n">
        <v>165</v>
      </c>
      <c r="Q691" t="n">
        <v>44</v>
      </c>
      <c r="R691" s="3" t="inlineStr">
        <is>
          <t>MISMATCH_NEEDS_CORRECTION</t>
        </is>
      </c>
      <c r="S691" t="n">
        <v>81.63</v>
      </c>
      <c r="T691" t="inlineStr">
        <is>
          <t>30-07-2026 09:42 IST</t>
        </is>
      </c>
    </row>
    <row r="692">
      <c r="A692" t="n">
        <v>92</v>
      </c>
      <c r="B692" t="n">
        <v>504076</v>
      </c>
      <c r="C692" t="inlineStr">
        <is>
          <t>Jyoti Ltd</t>
        </is>
      </c>
      <c r="D692" t="n">
        <v>2017</v>
      </c>
      <c r="E692" t="n">
        <v>54.09999847412109</v>
      </c>
      <c r="F692" t="n">
        <v>-68.87</v>
      </c>
      <c r="G692" t="inlineStr">
        <is>
          <t>Consolidated first (v4) – needs verification for flagged rows</t>
        </is>
      </c>
      <c r="H692" t="n">
        <v>63.70000076293945</v>
      </c>
      <c r="I692" t="n">
        <v>36.15000152587891</v>
      </c>
      <c r="L692" t="inlineStr">
        <is>
          <t>UNVERIFIED – negative EPS</t>
        </is>
      </c>
      <c r="M692" t="n">
        <v>-0.92</v>
      </c>
      <c r="N692" t="n">
        <v>-0.52</v>
      </c>
      <c r="O692" t="n">
        <v>81.63</v>
      </c>
      <c r="P692" t="n">
        <v>165</v>
      </c>
      <c r="Q692" t="n">
        <v>44</v>
      </c>
      <c r="R692" s="3" t="inlineStr">
        <is>
          <t>MISMATCH_NEEDS_CORRECTION</t>
        </is>
      </c>
      <c r="S692" t="n">
        <v>81.63</v>
      </c>
      <c r="T692" t="inlineStr">
        <is>
          <t>30-07-2026 09:42 IST</t>
        </is>
      </c>
    </row>
    <row r="693">
      <c r="A693" t="n">
        <v>92</v>
      </c>
      <c r="B693" t="n">
        <v>504076</v>
      </c>
      <c r="C693" t="inlineStr">
        <is>
          <t>Jyoti Ltd</t>
        </is>
      </c>
      <c r="D693" t="n">
        <v>2018</v>
      </c>
      <c r="E693" t="n">
        <v>54.09999847412109</v>
      </c>
      <c r="F693" t="n">
        <v>2.11</v>
      </c>
      <c r="G693" t="inlineStr">
        <is>
          <t>Consolidated first (v4) – needs verification for flagged rows</t>
        </is>
      </c>
      <c r="H693" t="n">
        <v>71.84999847412109</v>
      </c>
      <c r="I693" t="n">
        <v>15</v>
      </c>
      <c r="L693" t="inlineStr">
        <is>
          <t>OK</t>
        </is>
      </c>
      <c r="M693" t="n">
        <v>34.05</v>
      </c>
      <c r="N693" t="n">
        <v>7.11</v>
      </c>
      <c r="O693" t="n">
        <v>81.63</v>
      </c>
      <c r="P693" t="n">
        <v>165</v>
      </c>
      <c r="Q693" t="n">
        <v>44</v>
      </c>
      <c r="R693" s="3" t="inlineStr">
        <is>
          <t>MISMATCH_NEEDS_CORRECTION</t>
        </is>
      </c>
      <c r="S693" t="n">
        <v>81.63</v>
      </c>
      <c r="T693" t="inlineStr">
        <is>
          <t>30-07-2026 09:42 IST</t>
        </is>
      </c>
    </row>
    <row r="694">
      <c r="A694" t="n">
        <v>92</v>
      </c>
      <c r="B694" t="n">
        <v>504076</v>
      </c>
      <c r="C694" t="inlineStr">
        <is>
          <t>Jyoti Ltd</t>
        </is>
      </c>
      <c r="D694" t="n">
        <v>2019</v>
      </c>
      <c r="E694" t="n">
        <v>54.09999847412109</v>
      </c>
      <c r="F694" t="n">
        <v>-2.7</v>
      </c>
      <c r="G694" t="inlineStr">
        <is>
          <t>Consolidated first (v4) – needs verification for flagged rows</t>
        </is>
      </c>
      <c r="H694" t="n">
        <v>19.10000038146973</v>
      </c>
      <c r="I694" t="n">
        <v>5.21999979019165</v>
      </c>
      <c r="L694" t="inlineStr">
        <is>
          <t>UNVERIFIED – negative EPS</t>
        </is>
      </c>
      <c r="M694" t="n">
        <v>-7.07</v>
      </c>
      <c r="N694" t="n">
        <v>-1.93</v>
      </c>
      <c r="O694" t="n">
        <v>81.63</v>
      </c>
      <c r="P694" t="n">
        <v>165</v>
      </c>
      <c r="Q694" t="n">
        <v>44</v>
      </c>
      <c r="R694" s="3" t="inlineStr">
        <is>
          <t>MISMATCH_NEEDS_CORRECTION</t>
        </is>
      </c>
      <c r="S694" t="n">
        <v>81.63</v>
      </c>
      <c r="T694" t="inlineStr">
        <is>
          <t>30-07-2026 09:42 IST</t>
        </is>
      </c>
    </row>
    <row r="695">
      <c r="A695" t="n">
        <v>92</v>
      </c>
      <c r="B695" t="n">
        <v>504076</v>
      </c>
      <c r="C695" t="inlineStr">
        <is>
          <t>Jyoti Ltd</t>
        </is>
      </c>
      <c r="D695" t="n">
        <v>2020</v>
      </c>
      <c r="E695" t="n">
        <v>54.09999847412109</v>
      </c>
      <c r="F695" t="n">
        <v>-5.93</v>
      </c>
      <c r="G695" t="inlineStr">
        <is>
          <t>Consolidated first (v4) – needs verification for flagged rows</t>
        </is>
      </c>
      <c r="H695" t="n">
        <v>17.68000030517578</v>
      </c>
      <c r="I695" t="n">
        <v>2.380000114440918</v>
      </c>
      <c r="L695" t="inlineStr">
        <is>
          <t>UNVERIFIED – negative EPS</t>
        </is>
      </c>
      <c r="M695" t="n">
        <v>-2.98</v>
      </c>
      <c r="N695" t="n">
        <v>-0.4</v>
      </c>
      <c r="O695" t="n">
        <v>81.63</v>
      </c>
      <c r="P695" t="n">
        <v>165</v>
      </c>
      <c r="Q695" t="n">
        <v>44</v>
      </c>
      <c r="R695" s="3" t="inlineStr">
        <is>
          <t>MISMATCH_NEEDS_CORRECTION</t>
        </is>
      </c>
      <c r="S695" t="n">
        <v>81.63</v>
      </c>
      <c r="T695" t="inlineStr">
        <is>
          <t>30-07-2026 09:42 IST</t>
        </is>
      </c>
    </row>
    <row r="696">
      <c r="A696" t="n">
        <v>92</v>
      </c>
      <c r="B696" t="n">
        <v>504076</v>
      </c>
      <c r="C696" t="inlineStr">
        <is>
          <t>Jyoti Ltd</t>
        </is>
      </c>
      <c r="D696" t="n">
        <v>2021</v>
      </c>
      <c r="E696" t="n">
        <v>54.09999847412109</v>
      </c>
      <c r="F696" t="n">
        <v>-1.53</v>
      </c>
      <c r="G696" t="inlineStr">
        <is>
          <t>Consolidated first (v4) – needs verification for flagged rows</t>
        </is>
      </c>
      <c r="H696" t="n">
        <v>15.60000038146973</v>
      </c>
      <c r="I696" t="n">
        <v>7.900000095367432</v>
      </c>
      <c r="L696" t="inlineStr">
        <is>
          <t>UNVERIFIED – negative EPS</t>
        </is>
      </c>
      <c r="M696" t="n">
        <v>-10.2</v>
      </c>
      <c r="N696" t="n">
        <v>-5.16</v>
      </c>
      <c r="O696" t="n">
        <v>81.63</v>
      </c>
      <c r="P696" t="n">
        <v>165</v>
      </c>
      <c r="Q696" t="n">
        <v>44</v>
      </c>
      <c r="R696" s="3" t="inlineStr">
        <is>
          <t>MISMATCH_NEEDS_CORRECTION</t>
        </is>
      </c>
      <c r="S696" t="n">
        <v>81.63</v>
      </c>
      <c r="T696" t="inlineStr">
        <is>
          <t>30-07-2026 09:42 IST</t>
        </is>
      </c>
    </row>
    <row r="697">
      <c r="A697" t="n">
        <v>92</v>
      </c>
      <c r="B697" t="n">
        <v>504076</v>
      </c>
      <c r="C697" t="inlineStr">
        <is>
          <t>Jyoti Ltd</t>
        </is>
      </c>
      <c r="D697" t="n">
        <v>2022</v>
      </c>
      <c r="E697" t="n">
        <v>54.09999847412109</v>
      </c>
      <c r="F697" t="n">
        <v>0.65</v>
      </c>
      <c r="G697" t="inlineStr">
        <is>
          <t>Consolidated first (v4) – needs verification for flagged rows</t>
        </is>
      </c>
      <c r="H697" t="n">
        <v>22.38999938964844</v>
      </c>
      <c r="I697" t="n">
        <v>8.020000457763672</v>
      </c>
      <c r="L697" t="inlineStr">
        <is>
          <t>OK</t>
        </is>
      </c>
      <c r="M697" t="n">
        <v>34.45</v>
      </c>
      <c r="N697" t="n">
        <v>12.34</v>
      </c>
      <c r="O697" t="n">
        <v>81.63</v>
      </c>
      <c r="P697" t="n">
        <v>165</v>
      </c>
      <c r="Q697" t="n">
        <v>44</v>
      </c>
      <c r="R697" s="3" t="inlineStr">
        <is>
          <t>MISMATCH_NEEDS_CORRECTION</t>
        </is>
      </c>
      <c r="S697" t="n">
        <v>81.63</v>
      </c>
      <c r="T697" t="inlineStr">
        <is>
          <t>30-07-2026 09:42 IST</t>
        </is>
      </c>
    </row>
    <row r="698">
      <c r="A698" t="n">
        <v>92</v>
      </c>
      <c r="B698" t="n">
        <v>504076</v>
      </c>
      <c r="C698" t="inlineStr">
        <is>
          <t>Jyoti Ltd</t>
        </is>
      </c>
      <c r="D698" t="n">
        <v>2023</v>
      </c>
      <c r="E698" t="n">
        <v>54.09999847412109</v>
      </c>
      <c r="F698" t="n">
        <v>2</v>
      </c>
      <c r="G698" t="inlineStr">
        <is>
          <t>Consolidated first (v4) – needs verification for flagged rows</t>
        </is>
      </c>
      <c r="H698" t="n">
        <v>65.95999908447266</v>
      </c>
      <c r="I698" t="n">
        <v>13.93000030517578</v>
      </c>
      <c r="L698" t="inlineStr">
        <is>
          <t>OK</t>
        </is>
      </c>
      <c r="M698" t="n">
        <v>32.98</v>
      </c>
      <c r="N698" t="n">
        <v>6.97</v>
      </c>
      <c r="O698" t="n">
        <v>81.63</v>
      </c>
      <c r="P698" t="n">
        <v>165</v>
      </c>
      <c r="Q698" t="n">
        <v>44</v>
      </c>
      <c r="R698" s="3" t="inlineStr">
        <is>
          <t>MISMATCH_NEEDS_CORRECTION</t>
        </is>
      </c>
      <c r="S698" t="n">
        <v>81.63</v>
      </c>
      <c r="T698" t="inlineStr">
        <is>
          <t>30-07-2026 09:42 IST</t>
        </is>
      </c>
    </row>
    <row r="699">
      <c r="A699" t="n">
        <v>92</v>
      </c>
      <c r="B699" t="n">
        <v>504076</v>
      </c>
      <c r="C699" t="inlineStr">
        <is>
          <t>Jyoti Ltd</t>
        </is>
      </c>
      <c r="D699" t="n">
        <v>2024</v>
      </c>
      <c r="E699" t="n">
        <v>54.09999847412109</v>
      </c>
      <c r="F699" t="n">
        <v>3.65</v>
      </c>
      <c r="G699" t="inlineStr">
        <is>
          <t>Consolidated first (v4) – needs verification for flagged rows</t>
        </is>
      </c>
      <c r="H699" t="n">
        <v>165</v>
      </c>
      <c r="I699" t="n">
        <v>44</v>
      </c>
      <c r="L699" t="inlineStr">
        <is>
          <t>OK</t>
        </is>
      </c>
      <c r="M699" t="n">
        <v>45.21</v>
      </c>
      <c r="N699" t="n">
        <v>12.05</v>
      </c>
      <c r="O699" t="n">
        <v>81.63</v>
      </c>
      <c r="P699" t="n">
        <v>165</v>
      </c>
      <c r="Q699" t="n">
        <v>44</v>
      </c>
      <c r="R699" s="3" t="inlineStr">
        <is>
          <t>MISMATCH_NEEDS_CORRECTION</t>
        </is>
      </c>
      <c r="S699" t="n">
        <v>81.63</v>
      </c>
      <c r="T699" t="inlineStr">
        <is>
          <t>30-07-2026 09:42 IST</t>
        </is>
      </c>
    </row>
    <row r="700">
      <c r="A700" t="n">
        <v>92</v>
      </c>
      <c r="B700" t="n">
        <v>504076</v>
      </c>
      <c r="C700" t="inlineStr">
        <is>
          <t>Jyoti Ltd</t>
        </is>
      </c>
      <c r="D700" t="n">
        <v>2025</v>
      </c>
      <c r="E700" t="n">
        <v>54.09999847412109</v>
      </c>
      <c r="F700" t="n">
        <v>7.03</v>
      </c>
      <c r="G700" t="inlineStr">
        <is>
          <t>Consolidated first (v4) – needs verification for flagged rows</t>
        </is>
      </c>
      <c r="H700" t="n">
        <v>133</v>
      </c>
      <c r="I700" t="n">
        <v>67.73000335693359</v>
      </c>
      <c r="L700" t="inlineStr">
        <is>
          <t>OK</t>
        </is>
      </c>
      <c r="M700" t="n">
        <v>18.92</v>
      </c>
      <c r="N700" t="n">
        <v>9.630000000000001</v>
      </c>
      <c r="O700" t="n">
        <v>81.63</v>
      </c>
      <c r="P700" t="n">
        <v>165</v>
      </c>
      <c r="Q700" t="n">
        <v>44</v>
      </c>
      <c r="R700" s="3" t="inlineStr">
        <is>
          <t>MISMATCH_NEEDS_CORRECTION</t>
        </is>
      </c>
      <c r="S700" t="n">
        <v>81.63</v>
      </c>
      <c r="T700" t="inlineStr">
        <is>
          <t>30-07-2026 09:42 IST</t>
        </is>
      </c>
    </row>
    <row r="701">
      <c r="A701" t="n">
        <v>92</v>
      </c>
      <c r="B701" t="n">
        <v>504076</v>
      </c>
      <c r="C701" t="inlineStr">
        <is>
          <t>Jyoti Ltd</t>
        </is>
      </c>
      <c r="D701" t="n">
        <v>2026</v>
      </c>
      <c r="E701" t="n">
        <v>54.09999847412109</v>
      </c>
      <c r="F701" t="n">
        <v>7.81</v>
      </c>
      <c r="G701" t="inlineStr">
        <is>
          <t>Consolidated first (v4) – needs verification for flagged rows</t>
        </is>
      </c>
      <c r="H701" t="n">
        <v>90.5</v>
      </c>
      <c r="I701" t="n">
        <v>48.5</v>
      </c>
      <c r="L701" t="inlineStr">
        <is>
          <t>OK</t>
        </is>
      </c>
      <c r="M701" t="n">
        <v>11.59</v>
      </c>
      <c r="N701" t="n">
        <v>6.21</v>
      </c>
      <c r="O701" t="n">
        <v>81.63</v>
      </c>
      <c r="P701" t="n">
        <v>165</v>
      </c>
      <c r="Q701" t="n">
        <v>44</v>
      </c>
      <c r="R701" s="3" t="inlineStr">
        <is>
          <t>MISMATCH_NEEDS_CORRECTION</t>
        </is>
      </c>
      <c r="S701" t="n">
        <v>81.63</v>
      </c>
      <c r="T701" t="inlineStr">
        <is>
          <t>30-07-2026 09:42 IST</t>
        </is>
      </c>
    </row>
    <row r="702">
      <c r="A702" t="n">
        <v>94</v>
      </c>
      <c r="B702" t="n">
        <v>504176</v>
      </c>
      <c r="C702" t="inlineStr">
        <is>
          <t>High Energy Batteries</t>
        </is>
      </c>
      <c r="D702" t="n">
        <v>2015</v>
      </c>
      <c r="E702" t="n">
        <v>576.4000244140625</v>
      </c>
      <c r="F702" t="n">
        <v>-3.12</v>
      </c>
      <c r="G702" t="inlineStr">
        <is>
          <t>Consolidated first (v4) – needs verification for flagged rows</t>
        </is>
      </c>
      <c r="H702" t="n">
        <v>43.97000122070312</v>
      </c>
      <c r="I702" t="n">
        <v>24.44000053405762</v>
      </c>
      <c r="L702" t="inlineStr">
        <is>
          <t>UNVERIFIED – negative EPS</t>
        </is>
      </c>
      <c r="M702" t="n">
        <v>-14.09</v>
      </c>
      <c r="N702" t="n">
        <v>-7.83</v>
      </c>
      <c r="O702" t="n">
        <v>724.55</v>
      </c>
      <c r="P702" t="n">
        <v>1058.8</v>
      </c>
      <c r="Q702" t="n">
        <v>516.9</v>
      </c>
      <c r="R702" s="3" t="inlineStr">
        <is>
          <t>MISMATCH_NEEDS_CORRECTION</t>
        </is>
      </c>
      <c r="S702" t="n">
        <v>724.55</v>
      </c>
      <c r="T702" t="inlineStr">
        <is>
          <t>30-07-2026 09:42 IST</t>
        </is>
      </c>
    </row>
    <row r="703">
      <c r="A703" t="n">
        <v>94</v>
      </c>
      <c r="B703" t="n">
        <v>504176</v>
      </c>
      <c r="C703" t="inlineStr">
        <is>
          <t>High Energy Batteries</t>
        </is>
      </c>
      <c r="D703" t="n">
        <v>2016</v>
      </c>
      <c r="E703" t="n">
        <v>576.4000244140625</v>
      </c>
      <c r="F703" t="n">
        <v>-7.64</v>
      </c>
      <c r="G703" t="inlineStr">
        <is>
          <t>Consolidated first (v4) – needs verification for flagged rows</t>
        </is>
      </c>
      <c r="H703" t="n">
        <v>66.90000152587891</v>
      </c>
      <c r="I703" t="n">
        <v>24.04000091552734</v>
      </c>
      <c r="L703" t="inlineStr">
        <is>
          <t>UNVERIFIED – negative EPS</t>
        </is>
      </c>
      <c r="M703" t="n">
        <v>-8.76</v>
      </c>
      <c r="N703" t="n">
        <v>-3.15</v>
      </c>
      <c r="O703" t="n">
        <v>724.55</v>
      </c>
      <c r="P703" t="n">
        <v>1058.8</v>
      </c>
      <c r="Q703" t="n">
        <v>516.9</v>
      </c>
      <c r="R703" s="3" t="inlineStr">
        <is>
          <t>MISMATCH_NEEDS_CORRECTION</t>
        </is>
      </c>
      <c r="S703" t="n">
        <v>724.55</v>
      </c>
      <c r="T703" t="inlineStr">
        <is>
          <t>30-07-2026 09:42 IST</t>
        </is>
      </c>
    </row>
    <row r="704">
      <c r="A704" t="n">
        <v>94</v>
      </c>
      <c r="B704" t="n">
        <v>504176</v>
      </c>
      <c r="C704" t="inlineStr">
        <is>
          <t>High Energy Batteries</t>
        </is>
      </c>
      <c r="D704" t="n">
        <v>2017</v>
      </c>
      <c r="E704" t="n">
        <v>576.4000244140625</v>
      </c>
      <c r="F704" t="n">
        <v>-0.96</v>
      </c>
      <c r="G704" t="inlineStr">
        <is>
          <t>Consolidated first (v4) – needs verification for flagged rows</t>
        </is>
      </c>
      <c r="H704" t="n">
        <v>83.04000091552734</v>
      </c>
      <c r="I704" t="n">
        <v>38.47000122070312</v>
      </c>
      <c r="L704" t="inlineStr">
        <is>
          <t>UNVERIFIED – negative EPS</t>
        </is>
      </c>
      <c r="M704" t="n">
        <v>-86.5</v>
      </c>
      <c r="N704" t="n">
        <v>-40.07</v>
      </c>
      <c r="O704" t="n">
        <v>724.55</v>
      </c>
      <c r="P704" t="n">
        <v>1058.8</v>
      </c>
      <c r="Q704" t="n">
        <v>516.9</v>
      </c>
      <c r="R704" s="3" t="inlineStr">
        <is>
          <t>MISMATCH_NEEDS_CORRECTION</t>
        </is>
      </c>
      <c r="S704" t="n">
        <v>724.55</v>
      </c>
      <c r="T704" t="inlineStr">
        <is>
          <t>30-07-2026 09:42 IST</t>
        </is>
      </c>
    </row>
    <row r="705">
      <c r="A705" t="n">
        <v>94</v>
      </c>
      <c r="B705" t="n">
        <v>504176</v>
      </c>
      <c r="C705" t="inlineStr">
        <is>
          <t>High Energy Batteries</t>
        </is>
      </c>
      <c r="D705" t="n">
        <v>2018</v>
      </c>
      <c r="E705" t="n">
        <v>576.4000244140625</v>
      </c>
      <c r="F705" t="n">
        <v>3.64</v>
      </c>
      <c r="G705" t="inlineStr">
        <is>
          <t>Consolidated first (v4) – needs verification for flagged rows</t>
        </is>
      </c>
      <c r="H705" t="n">
        <v>110</v>
      </c>
      <c r="I705" t="n">
        <v>54.70000076293945</v>
      </c>
      <c r="L705" t="inlineStr">
        <is>
          <t>OK</t>
        </is>
      </c>
      <c r="M705" t="n">
        <v>30.22</v>
      </c>
      <c r="N705" t="n">
        <v>15.03</v>
      </c>
      <c r="O705" t="n">
        <v>724.55</v>
      </c>
      <c r="P705" t="n">
        <v>1058.8</v>
      </c>
      <c r="Q705" t="n">
        <v>516.9</v>
      </c>
      <c r="R705" s="3" t="inlineStr">
        <is>
          <t>MISMATCH_NEEDS_CORRECTION</t>
        </is>
      </c>
      <c r="S705" t="n">
        <v>724.55</v>
      </c>
      <c r="T705" t="inlineStr">
        <is>
          <t>30-07-2026 09:42 IST</t>
        </is>
      </c>
    </row>
    <row r="706">
      <c r="A706" t="n">
        <v>94</v>
      </c>
      <c r="B706" t="n">
        <v>504176</v>
      </c>
      <c r="C706" t="inlineStr">
        <is>
          <t>High Energy Batteries</t>
        </is>
      </c>
      <c r="D706" t="n">
        <v>2019</v>
      </c>
      <c r="E706" t="n">
        <v>576.4000244140625</v>
      </c>
      <c r="F706" t="n">
        <v>0.49</v>
      </c>
      <c r="G706" t="inlineStr">
        <is>
          <t>Consolidated first (v4) – needs verification for flagged rows</t>
        </is>
      </c>
      <c r="H706" t="n">
        <v>75.19999694824219</v>
      </c>
      <c r="I706" t="n">
        <v>28.34000015258789</v>
      </c>
      <c r="L706" t="inlineStr">
        <is>
          <t>UNVERIFIED – tiny EPS &lt;0.5</t>
        </is>
      </c>
      <c r="M706" t="n">
        <v>153.47</v>
      </c>
      <c r="N706" t="n">
        <v>57.84</v>
      </c>
      <c r="O706" t="n">
        <v>724.55</v>
      </c>
      <c r="P706" t="n">
        <v>1058.8</v>
      </c>
      <c r="Q706" t="n">
        <v>516.9</v>
      </c>
      <c r="R706" s="3" t="inlineStr">
        <is>
          <t>MISMATCH_NEEDS_CORRECTION</t>
        </is>
      </c>
      <c r="S706" t="n">
        <v>724.55</v>
      </c>
      <c r="T706" t="inlineStr">
        <is>
          <t>30-07-2026 09:42 IST</t>
        </is>
      </c>
    </row>
    <row r="707">
      <c r="A707" t="n">
        <v>94</v>
      </c>
      <c r="B707" t="n">
        <v>504176</v>
      </c>
      <c r="C707" t="inlineStr">
        <is>
          <t>High Energy Batteries</t>
        </is>
      </c>
      <c r="D707" t="n">
        <v>2020</v>
      </c>
      <c r="E707" t="n">
        <v>576.4000244140625</v>
      </c>
      <c r="F707" t="n">
        <v>6.22</v>
      </c>
      <c r="G707" t="inlineStr">
        <is>
          <t>Consolidated first (v4) – needs verification for flagged rows</t>
        </is>
      </c>
      <c r="H707" t="n">
        <v>135.4799957275391</v>
      </c>
      <c r="I707" t="n">
        <v>33</v>
      </c>
      <c r="L707" t="inlineStr">
        <is>
          <t>OK</t>
        </is>
      </c>
      <c r="M707" t="n">
        <v>21.78</v>
      </c>
      <c r="N707" t="n">
        <v>5.31</v>
      </c>
      <c r="O707" t="n">
        <v>724.55</v>
      </c>
      <c r="P707" t="n">
        <v>1058.8</v>
      </c>
      <c r="Q707" t="n">
        <v>516.9</v>
      </c>
      <c r="R707" s="3" t="inlineStr">
        <is>
          <t>MISMATCH_NEEDS_CORRECTION</t>
        </is>
      </c>
      <c r="S707" t="n">
        <v>724.55</v>
      </c>
      <c r="T707" t="inlineStr">
        <is>
          <t>30-07-2026 09:42 IST</t>
        </is>
      </c>
    </row>
    <row r="708">
      <c r="A708" t="n">
        <v>94</v>
      </c>
      <c r="B708" t="n">
        <v>504176</v>
      </c>
      <c r="C708" t="inlineStr">
        <is>
          <t>High Energy Batteries</t>
        </is>
      </c>
      <c r="D708" t="n">
        <v>2021</v>
      </c>
      <c r="E708" t="n">
        <v>576.4000244140625</v>
      </c>
      <c r="F708" t="n">
        <v>20.37</v>
      </c>
      <c r="G708" t="inlineStr">
        <is>
          <t>Consolidated first (v4) – needs verification for flagged rows</t>
        </is>
      </c>
      <c r="H708" t="n">
        <v>584.2999877929688</v>
      </c>
      <c r="I708" t="n">
        <v>118.4000015258789</v>
      </c>
      <c r="L708" t="inlineStr">
        <is>
          <t>OK</t>
        </is>
      </c>
      <c r="M708" t="n">
        <v>28.68</v>
      </c>
      <c r="N708" t="n">
        <v>5.81</v>
      </c>
      <c r="O708" t="n">
        <v>724.55</v>
      </c>
      <c r="P708" t="n">
        <v>1058.8</v>
      </c>
      <c r="Q708" t="n">
        <v>516.9</v>
      </c>
      <c r="R708" s="3" t="inlineStr">
        <is>
          <t>MISMATCH_NEEDS_CORRECTION</t>
        </is>
      </c>
      <c r="S708" t="n">
        <v>724.55</v>
      </c>
      <c r="T708" t="inlineStr">
        <is>
          <t>30-07-2026 09:42 IST</t>
        </is>
      </c>
    </row>
    <row r="709">
      <c r="A709" t="n">
        <v>94</v>
      </c>
      <c r="B709" t="n">
        <v>504176</v>
      </c>
      <c r="C709" t="inlineStr">
        <is>
          <t>High Energy Batteries</t>
        </is>
      </c>
      <c r="D709" t="n">
        <v>2022</v>
      </c>
      <c r="E709" t="n">
        <v>576.4000244140625</v>
      </c>
      <c r="F709" t="n">
        <v>19.94</v>
      </c>
      <c r="G709" t="inlineStr">
        <is>
          <t>Consolidated first (v4) – needs verification for flagged rows</t>
        </is>
      </c>
      <c r="H709" t="n">
        <v>506.75</v>
      </c>
      <c r="I709" t="n">
        <v>242</v>
      </c>
      <c r="L709" t="inlineStr">
        <is>
          <t>OK</t>
        </is>
      </c>
      <c r="M709" t="n">
        <v>25.41</v>
      </c>
      <c r="N709" t="n">
        <v>12.14</v>
      </c>
      <c r="O709" t="n">
        <v>724.55</v>
      </c>
      <c r="P709" t="n">
        <v>1058.8</v>
      </c>
      <c r="Q709" t="n">
        <v>516.9</v>
      </c>
      <c r="R709" s="3" t="inlineStr">
        <is>
          <t>MISMATCH_NEEDS_CORRECTION</t>
        </is>
      </c>
      <c r="S709" t="n">
        <v>724.55</v>
      </c>
      <c r="T709" t="inlineStr">
        <is>
          <t>30-07-2026 09:42 IST</t>
        </is>
      </c>
    </row>
    <row r="710">
      <c r="A710" t="n">
        <v>94</v>
      </c>
      <c r="B710" t="n">
        <v>504176</v>
      </c>
      <c r="C710" t="inlineStr">
        <is>
          <t>High Energy Batteries</t>
        </is>
      </c>
      <c r="D710" t="n">
        <v>2023</v>
      </c>
      <c r="E710" t="n">
        <v>576.4000244140625</v>
      </c>
      <c r="F710" t="n">
        <v>22.87</v>
      </c>
      <c r="G710" t="inlineStr">
        <is>
          <t>Consolidated first (v4) – needs verification for flagged rows</t>
        </is>
      </c>
      <c r="H710" t="n">
        <v>750</v>
      </c>
      <c r="I710" t="n">
        <v>285.8500061035156</v>
      </c>
      <c r="L710" t="inlineStr">
        <is>
          <t>OK</t>
        </is>
      </c>
      <c r="M710" t="n">
        <v>32.79</v>
      </c>
      <c r="N710" t="n">
        <v>12.5</v>
      </c>
      <c r="O710" t="n">
        <v>724.55</v>
      </c>
      <c r="P710" t="n">
        <v>1058.8</v>
      </c>
      <c r="Q710" t="n">
        <v>516.9</v>
      </c>
      <c r="R710" s="3" t="inlineStr">
        <is>
          <t>MISMATCH_NEEDS_CORRECTION</t>
        </is>
      </c>
      <c r="S710" t="n">
        <v>724.55</v>
      </c>
      <c r="T710" t="inlineStr">
        <is>
          <t>30-07-2026 09:42 IST</t>
        </is>
      </c>
    </row>
    <row r="711">
      <c r="A711" t="n">
        <v>94</v>
      </c>
      <c r="B711" t="n">
        <v>504176</v>
      </c>
      <c r="C711" t="inlineStr">
        <is>
          <t>High Energy Batteries</t>
        </is>
      </c>
      <c r="D711" t="n">
        <v>2024</v>
      </c>
      <c r="E711" t="n">
        <v>576.4000244140625</v>
      </c>
      <c r="F711" t="n">
        <v>19.14</v>
      </c>
      <c r="G711" t="inlineStr">
        <is>
          <t>Consolidated first (v4) – needs verification for flagged rows</t>
        </is>
      </c>
      <c r="H711" t="n">
        <v>1058.800048828125</v>
      </c>
      <c r="I711" t="n">
        <v>516.9000244140625</v>
      </c>
      <c r="L711" t="inlineStr">
        <is>
          <t>OK</t>
        </is>
      </c>
      <c r="M711" t="n">
        <v>55.32</v>
      </c>
      <c r="N711" t="n">
        <v>27.01</v>
      </c>
      <c r="O711" t="n">
        <v>724.55</v>
      </c>
      <c r="P711" t="n">
        <v>1058.8</v>
      </c>
      <c r="Q711" t="n">
        <v>516.9</v>
      </c>
      <c r="R711" s="3" t="inlineStr">
        <is>
          <t>MISMATCH_NEEDS_CORRECTION</t>
        </is>
      </c>
      <c r="S711" t="n">
        <v>724.55</v>
      </c>
      <c r="T711" t="inlineStr">
        <is>
          <t>30-07-2026 09:42 IST</t>
        </is>
      </c>
    </row>
    <row r="712">
      <c r="A712" t="n">
        <v>94</v>
      </c>
      <c r="B712" t="n">
        <v>504176</v>
      </c>
      <c r="C712" t="inlineStr">
        <is>
          <t>High Energy Batteries</t>
        </is>
      </c>
      <c r="D712" t="n">
        <v>2025</v>
      </c>
      <c r="E712" t="n">
        <v>576.4000244140625</v>
      </c>
      <c r="F712" t="n">
        <v>17.1</v>
      </c>
      <c r="G712" t="inlineStr">
        <is>
          <t>Consolidated first (v4) – needs verification for flagged rows</t>
        </is>
      </c>
      <c r="H712" t="n">
        <v>830.3499755859375</v>
      </c>
      <c r="I712" t="n">
        <v>420.0499877929688</v>
      </c>
      <c r="L712" t="inlineStr">
        <is>
          <t>OK</t>
        </is>
      </c>
      <c r="M712" t="n">
        <v>48.56</v>
      </c>
      <c r="N712" t="n">
        <v>24.56</v>
      </c>
      <c r="O712" t="n">
        <v>724.55</v>
      </c>
      <c r="P712" t="n">
        <v>1058.8</v>
      </c>
      <c r="Q712" t="n">
        <v>516.9</v>
      </c>
      <c r="R712" s="3" t="inlineStr">
        <is>
          <t>MISMATCH_NEEDS_CORRECTION</t>
        </is>
      </c>
      <c r="S712" t="n">
        <v>724.55</v>
      </c>
      <c r="T712" t="inlineStr">
        <is>
          <t>30-07-2026 09:42 IST</t>
        </is>
      </c>
    </row>
    <row r="713">
      <c r="A713" t="n">
        <v>94</v>
      </c>
      <c r="B713" t="n">
        <v>504176</v>
      </c>
      <c r="C713" t="inlineStr">
        <is>
          <t>High Energy Batteries</t>
        </is>
      </c>
      <c r="D713" t="n">
        <v>2026</v>
      </c>
      <c r="E713" t="n">
        <v>576.4000244140625</v>
      </c>
      <c r="F713" t="n">
        <v>17.17</v>
      </c>
      <c r="G713" t="inlineStr">
        <is>
          <t>Consolidated first (v4) – needs verification for flagged rows</t>
        </is>
      </c>
      <c r="H713" t="n">
        <v>675</v>
      </c>
      <c r="I713" t="n">
        <v>470</v>
      </c>
      <c r="L713" t="inlineStr">
        <is>
          <t>OK</t>
        </is>
      </c>
      <c r="M713" t="n">
        <v>39.31</v>
      </c>
      <c r="N713" t="n">
        <v>27.37</v>
      </c>
      <c r="O713" t="n">
        <v>724.55</v>
      </c>
      <c r="P713" t="n">
        <v>1058.8</v>
      </c>
      <c r="Q713" t="n">
        <v>516.9</v>
      </c>
      <c r="R713" s="3" t="inlineStr">
        <is>
          <t>MISMATCH_NEEDS_CORRECTION</t>
        </is>
      </c>
      <c r="S713" t="n">
        <v>724.55</v>
      </c>
      <c r="T713" t="inlineStr">
        <is>
          <t>30-07-2026 09:42 IST</t>
        </is>
      </c>
    </row>
    <row r="714">
      <c r="A714" t="n">
        <v>95</v>
      </c>
      <c r="B714" t="n">
        <v>504258</v>
      </c>
      <c r="C714" t="inlineStr">
        <is>
          <t>Lakshmi Electrical Control Systems Ltd</t>
        </is>
      </c>
      <c r="D714" t="n">
        <v>2015</v>
      </c>
      <c r="E714" t="n">
        <v>780.7999877929688</v>
      </c>
      <c r="F714" t="n">
        <v>33.52</v>
      </c>
      <c r="G714" t="inlineStr">
        <is>
          <t>Consolidated first (v4) – needs verification for flagged rows</t>
        </is>
      </c>
      <c r="H714" t="n">
        <v>541</v>
      </c>
      <c r="I714" t="n">
        <v>283.5</v>
      </c>
      <c r="L714" t="inlineStr">
        <is>
          <t>OK</t>
        </is>
      </c>
      <c r="M714" t="n">
        <v>16.14</v>
      </c>
      <c r="N714" t="n">
        <v>8.460000000000001</v>
      </c>
      <c r="O714" t="n">
        <v>1512.45</v>
      </c>
      <c r="P714" t="n">
        <v>1934</v>
      </c>
      <c r="Q714" t="n">
        <v>1165.55</v>
      </c>
      <c r="R714" s="3" t="inlineStr">
        <is>
          <t>MISMATCH_NEEDS_CORRECTION</t>
        </is>
      </c>
      <c r="S714" t="n">
        <v>1512.45</v>
      </c>
      <c r="T714" t="inlineStr">
        <is>
          <t>30-07-2026 09:42 IST</t>
        </is>
      </c>
    </row>
    <row r="715">
      <c r="A715" t="n">
        <v>95</v>
      </c>
      <c r="B715" t="n">
        <v>504258</v>
      </c>
      <c r="C715" t="inlineStr">
        <is>
          <t>Lakshmi Electrical Control Systems Ltd</t>
        </is>
      </c>
      <c r="D715" t="n">
        <v>2016</v>
      </c>
      <c r="E715" t="n">
        <v>780.7999877929688</v>
      </c>
      <c r="F715" t="n">
        <v>34.99</v>
      </c>
      <c r="G715" t="inlineStr">
        <is>
          <t>Consolidated first (v4) – needs verification for flagged rows</t>
        </is>
      </c>
      <c r="H715" t="n">
        <v>569.4500122070312</v>
      </c>
      <c r="I715" t="n">
        <v>305</v>
      </c>
      <c r="L715" t="inlineStr">
        <is>
          <t>OK</t>
        </is>
      </c>
      <c r="M715" t="n">
        <v>16.27</v>
      </c>
      <c r="N715" t="n">
        <v>8.720000000000001</v>
      </c>
      <c r="O715" t="n">
        <v>1512.45</v>
      </c>
      <c r="P715" t="n">
        <v>1934</v>
      </c>
      <c r="Q715" t="n">
        <v>1165.55</v>
      </c>
      <c r="R715" s="3" t="inlineStr">
        <is>
          <t>MISMATCH_NEEDS_CORRECTION</t>
        </is>
      </c>
      <c r="S715" t="n">
        <v>1512.45</v>
      </c>
      <c r="T715" t="inlineStr">
        <is>
          <t>30-07-2026 09:42 IST</t>
        </is>
      </c>
    </row>
    <row r="716">
      <c r="A716" t="n">
        <v>95</v>
      </c>
      <c r="B716" t="n">
        <v>504258</v>
      </c>
      <c r="C716" t="inlineStr">
        <is>
          <t>Lakshmi Electrical Control Systems Ltd</t>
        </is>
      </c>
      <c r="D716" t="n">
        <v>2017</v>
      </c>
      <c r="E716" t="n">
        <v>780.7999877929688</v>
      </c>
      <c r="F716" t="n">
        <v>35.8</v>
      </c>
      <c r="G716" t="inlineStr">
        <is>
          <t>Consolidated first (v4) – needs verification for flagged rows</t>
        </is>
      </c>
      <c r="H716" t="n">
        <v>827</v>
      </c>
      <c r="I716" t="n">
        <v>436.1000061035156</v>
      </c>
      <c r="L716" t="inlineStr">
        <is>
          <t>OK</t>
        </is>
      </c>
      <c r="M716" t="n">
        <v>23.1</v>
      </c>
      <c r="N716" t="n">
        <v>12.18</v>
      </c>
      <c r="O716" t="n">
        <v>1512.45</v>
      </c>
      <c r="P716" t="n">
        <v>1934</v>
      </c>
      <c r="Q716" t="n">
        <v>1165.55</v>
      </c>
      <c r="R716" s="3" t="inlineStr">
        <is>
          <t>MISMATCH_NEEDS_CORRECTION</t>
        </is>
      </c>
      <c r="S716" t="n">
        <v>1512.45</v>
      </c>
      <c r="T716" t="inlineStr">
        <is>
          <t>30-07-2026 09:42 IST</t>
        </is>
      </c>
    </row>
    <row r="717">
      <c r="A717" t="n">
        <v>95</v>
      </c>
      <c r="B717" t="n">
        <v>504258</v>
      </c>
      <c r="C717" t="inlineStr">
        <is>
          <t>Lakshmi Electrical Control Systems Ltd</t>
        </is>
      </c>
      <c r="D717" t="n">
        <v>2018</v>
      </c>
      <c r="E717" t="n">
        <v>780.7999877929688</v>
      </c>
      <c r="F717" t="n">
        <v>47.76</v>
      </c>
      <c r="G717" t="inlineStr">
        <is>
          <t>Consolidated first (v4) – needs verification for flagged rows</t>
        </is>
      </c>
      <c r="H717" t="n">
        <v>865</v>
      </c>
      <c r="I717" t="n">
        <v>475</v>
      </c>
      <c r="L717" t="inlineStr">
        <is>
          <t>OK</t>
        </is>
      </c>
      <c r="M717" t="n">
        <v>18.11</v>
      </c>
      <c r="N717" t="n">
        <v>9.949999999999999</v>
      </c>
      <c r="O717" t="n">
        <v>1512.45</v>
      </c>
      <c r="P717" t="n">
        <v>1934</v>
      </c>
      <c r="Q717" t="n">
        <v>1165.55</v>
      </c>
      <c r="R717" s="3" t="inlineStr">
        <is>
          <t>MISMATCH_NEEDS_CORRECTION</t>
        </is>
      </c>
      <c r="S717" t="n">
        <v>1512.45</v>
      </c>
      <c r="T717" t="inlineStr">
        <is>
          <t>30-07-2026 09:42 IST</t>
        </is>
      </c>
    </row>
    <row r="718">
      <c r="A718" t="n">
        <v>95</v>
      </c>
      <c r="B718" t="n">
        <v>504258</v>
      </c>
      <c r="C718" t="inlineStr">
        <is>
          <t>Lakshmi Electrical Control Systems Ltd</t>
        </is>
      </c>
      <c r="D718" t="n">
        <v>2019</v>
      </c>
      <c r="E718" t="n">
        <v>780.7999877929688</v>
      </c>
      <c r="F718" t="n">
        <v>41.54</v>
      </c>
      <c r="G718" t="inlineStr">
        <is>
          <t>Consolidated first (v4) – needs verification for flagged rows</t>
        </is>
      </c>
      <c r="H718" t="n">
        <v>580</v>
      </c>
      <c r="I718" t="n">
        <v>285</v>
      </c>
      <c r="L718" t="inlineStr">
        <is>
          <t>OK</t>
        </is>
      </c>
      <c r="M718" t="n">
        <v>13.96</v>
      </c>
      <c r="N718" t="n">
        <v>6.86</v>
      </c>
      <c r="O718" t="n">
        <v>1512.45</v>
      </c>
      <c r="P718" t="n">
        <v>1934</v>
      </c>
      <c r="Q718" t="n">
        <v>1165.55</v>
      </c>
      <c r="R718" s="3" t="inlineStr">
        <is>
          <t>MISMATCH_NEEDS_CORRECTION</t>
        </is>
      </c>
      <c r="S718" t="n">
        <v>1512.45</v>
      </c>
      <c r="T718" t="inlineStr">
        <is>
          <t>30-07-2026 09:42 IST</t>
        </is>
      </c>
    </row>
    <row r="719">
      <c r="A719" t="n">
        <v>95</v>
      </c>
      <c r="B719" t="n">
        <v>504258</v>
      </c>
      <c r="C719" t="inlineStr">
        <is>
          <t>Lakshmi Electrical Control Systems Ltd</t>
        </is>
      </c>
      <c r="D719" t="n">
        <v>2020</v>
      </c>
      <c r="E719" t="n">
        <v>780.7999877929688</v>
      </c>
      <c r="F719" t="n">
        <v>1.75</v>
      </c>
      <c r="G719" t="inlineStr">
        <is>
          <t>Consolidated first (v4) – needs verification for flagged rows</t>
        </is>
      </c>
      <c r="H719" t="n">
        <v>361.8999938964844</v>
      </c>
      <c r="I719" t="n">
        <v>185.1499938964844</v>
      </c>
      <c r="L719" t="inlineStr">
        <is>
          <t>OK</t>
        </is>
      </c>
      <c r="M719" t="n">
        <v>206.8</v>
      </c>
      <c r="N719" t="n">
        <v>105.8</v>
      </c>
      <c r="O719" t="n">
        <v>1512.45</v>
      </c>
      <c r="P719" t="n">
        <v>1934</v>
      </c>
      <c r="Q719" t="n">
        <v>1165.55</v>
      </c>
      <c r="R719" s="3" t="inlineStr">
        <is>
          <t>MISMATCH_NEEDS_CORRECTION</t>
        </is>
      </c>
      <c r="S719" t="n">
        <v>1512.45</v>
      </c>
      <c r="T719" t="inlineStr">
        <is>
          <t>30-07-2026 09:42 IST</t>
        </is>
      </c>
    </row>
    <row r="720">
      <c r="A720" t="n">
        <v>95</v>
      </c>
      <c r="B720" t="n">
        <v>504258</v>
      </c>
      <c r="C720" t="inlineStr">
        <is>
          <t>Lakshmi Electrical Control Systems Ltd</t>
        </is>
      </c>
      <c r="D720" t="n">
        <v>2021</v>
      </c>
      <c r="E720" t="n">
        <v>780.7999877929688</v>
      </c>
      <c r="F720" t="n">
        <v>12.45</v>
      </c>
      <c r="G720" t="inlineStr">
        <is>
          <t>Consolidated first (v4) – needs verification for flagged rows</t>
        </is>
      </c>
      <c r="H720" t="n">
        <v>722.25</v>
      </c>
      <c r="I720" t="n">
        <v>276.0499877929688</v>
      </c>
      <c r="L720" t="inlineStr">
        <is>
          <t>OK</t>
        </is>
      </c>
      <c r="M720" t="n">
        <v>58.01</v>
      </c>
      <c r="N720" t="n">
        <v>22.17</v>
      </c>
      <c r="O720" t="n">
        <v>1512.45</v>
      </c>
      <c r="P720" t="n">
        <v>1934</v>
      </c>
      <c r="Q720" t="n">
        <v>1165.55</v>
      </c>
      <c r="R720" s="3" t="inlineStr">
        <is>
          <t>MISMATCH_NEEDS_CORRECTION</t>
        </is>
      </c>
      <c r="S720" t="n">
        <v>1512.45</v>
      </c>
      <c r="T720" t="inlineStr">
        <is>
          <t>30-07-2026 09:42 IST</t>
        </is>
      </c>
    </row>
    <row r="721">
      <c r="A721" t="n">
        <v>95</v>
      </c>
      <c r="B721" t="n">
        <v>504258</v>
      </c>
      <c r="C721" t="inlineStr">
        <is>
          <t>Lakshmi Electrical Control Systems Ltd</t>
        </is>
      </c>
      <c r="D721" t="n">
        <v>2022</v>
      </c>
      <c r="E721" t="n">
        <v>780.7999877929688</v>
      </c>
      <c r="F721" t="n">
        <v>63.02</v>
      </c>
      <c r="G721" t="inlineStr">
        <is>
          <t>Consolidated first (v4) – needs verification for flagged rows</t>
        </is>
      </c>
      <c r="H721" t="n">
        <v>1070</v>
      </c>
      <c r="I721" t="n">
        <v>501</v>
      </c>
      <c r="L721" t="inlineStr">
        <is>
          <t>OK</t>
        </is>
      </c>
      <c r="M721" t="n">
        <v>16.98</v>
      </c>
      <c r="N721" t="n">
        <v>7.95</v>
      </c>
      <c r="O721" t="n">
        <v>1512.45</v>
      </c>
      <c r="P721" t="n">
        <v>1934</v>
      </c>
      <c r="Q721" t="n">
        <v>1165.55</v>
      </c>
      <c r="R721" s="3" t="inlineStr">
        <is>
          <t>MISMATCH_NEEDS_CORRECTION</t>
        </is>
      </c>
      <c r="S721" t="n">
        <v>1512.45</v>
      </c>
      <c r="T721" t="inlineStr">
        <is>
          <t>30-07-2026 09:42 IST</t>
        </is>
      </c>
    </row>
    <row r="722">
      <c r="A722" t="n">
        <v>95</v>
      </c>
      <c r="B722" t="n">
        <v>504258</v>
      </c>
      <c r="C722" t="inlineStr">
        <is>
          <t>Lakshmi Electrical Control Systems Ltd</t>
        </is>
      </c>
      <c r="D722" t="n">
        <v>2023</v>
      </c>
      <c r="E722" t="n">
        <v>780.7999877929688</v>
      </c>
      <c r="F722" t="n">
        <v>81.08</v>
      </c>
      <c r="G722" t="inlineStr">
        <is>
          <t>Consolidated first (v4) – needs verification for flagged rows</t>
        </is>
      </c>
      <c r="H722" t="n">
        <v>2175</v>
      </c>
      <c r="I722" t="n">
        <v>720</v>
      </c>
      <c r="L722" t="inlineStr">
        <is>
          <t>OK</t>
        </is>
      </c>
      <c r="M722" t="n">
        <v>26.83</v>
      </c>
      <c r="N722" t="n">
        <v>8.880000000000001</v>
      </c>
      <c r="O722" t="n">
        <v>1512.45</v>
      </c>
      <c r="P722" t="n">
        <v>1934</v>
      </c>
      <c r="Q722" t="n">
        <v>1165.55</v>
      </c>
      <c r="R722" s="3" t="inlineStr">
        <is>
          <t>MISMATCH_NEEDS_CORRECTION</t>
        </is>
      </c>
      <c r="S722" t="n">
        <v>1512.45</v>
      </c>
      <c r="T722" t="inlineStr">
        <is>
          <t>30-07-2026 09:42 IST</t>
        </is>
      </c>
    </row>
    <row r="723">
      <c r="A723" t="n">
        <v>95</v>
      </c>
      <c r="B723" t="n">
        <v>504258</v>
      </c>
      <c r="C723" t="inlineStr">
        <is>
          <t>Lakshmi Electrical Control Systems Ltd</t>
        </is>
      </c>
      <c r="D723" t="n">
        <v>2024</v>
      </c>
      <c r="E723" t="n">
        <v>780.7999877929688</v>
      </c>
      <c r="F723" t="n">
        <v>56.79</v>
      </c>
      <c r="G723" t="inlineStr">
        <is>
          <t>Consolidated first (v4) – needs verification for flagged rows</t>
        </is>
      </c>
      <c r="H723" t="n">
        <v>1934</v>
      </c>
      <c r="I723" t="n">
        <v>1165.550048828125</v>
      </c>
      <c r="L723" t="inlineStr">
        <is>
          <t>OK</t>
        </is>
      </c>
      <c r="M723" t="n">
        <v>34.06</v>
      </c>
      <c r="N723" t="n">
        <v>20.52</v>
      </c>
      <c r="O723" t="n">
        <v>1512.45</v>
      </c>
      <c r="P723" t="n">
        <v>1934</v>
      </c>
      <c r="Q723" t="n">
        <v>1165.55</v>
      </c>
      <c r="R723" s="3" t="inlineStr">
        <is>
          <t>MISMATCH_NEEDS_CORRECTION</t>
        </is>
      </c>
      <c r="S723" t="n">
        <v>1512.45</v>
      </c>
      <c r="T723" t="inlineStr">
        <is>
          <t>30-07-2026 09:42 IST</t>
        </is>
      </c>
    </row>
    <row r="724">
      <c r="A724" t="n">
        <v>95</v>
      </c>
      <c r="B724" t="n">
        <v>504258</v>
      </c>
      <c r="C724" t="inlineStr">
        <is>
          <t>Lakshmi Electrical Control Systems Ltd</t>
        </is>
      </c>
      <c r="D724" t="n">
        <v>2025</v>
      </c>
      <c r="E724" t="n">
        <v>780.7999877929688</v>
      </c>
      <c r="F724" t="n">
        <v>14.12</v>
      </c>
      <c r="G724" t="inlineStr">
        <is>
          <t>Consolidated first (v4) – needs verification for flagged rows</t>
        </is>
      </c>
      <c r="H724" t="n">
        <v>1266</v>
      </c>
      <c r="I724" t="n">
        <v>646.0999755859375</v>
      </c>
      <c r="L724" t="inlineStr">
        <is>
          <t>OK</t>
        </is>
      </c>
      <c r="M724" t="n">
        <v>89.66</v>
      </c>
      <c r="N724" t="n">
        <v>45.76</v>
      </c>
      <c r="O724" t="n">
        <v>1512.45</v>
      </c>
      <c r="P724" t="n">
        <v>1934</v>
      </c>
      <c r="Q724" t="n">
        <v>1165.55</v>
      </c>
      <c r="R724" s="3" t="inlineStr">
        <is>
          <t>MISMATCH_NEEDS_CORRECTION</t>
        </is>
      </c>
      <c r="S724" t="n">
        <v>1512.45</v>
      </c>
      <c r="T724" t="inlineStr">
        <is>
          <t>30-07-2026 09:42 IST</t>
        </is>
      </c>
    </row>
    <row r="725">
      <c r="A725" t="n">
        <v>95</v>
      </c>
      <c r="B725" t="n">
        <v>504258</v>
      </c>
      <c r="C725" t="inlineStr">
        <is>
          <t>Lakshmi Electrical Control Systems Ltd</t>
        </is>
      </c>
      <c r="D725" t="n">
        <v>2026</v>
      </c>
      <c r="E725" t="n">
        <v>780.7999877929688</v>
      </c>
      <c r="F725" t="n">
        <v>4.84</v>
      </c>
      <c r="G725" t="inlineStr">
        <is>
          <t>Consolidated first (v4) – needs verification for flagged rows</t>
        </is>
      </c>
      <c r="H725" t="n">
        <v>919</v>
      </c>
      <c r="I725" t="n">
        <v>690</v>
      </c>
      <c r="L725" t="inlineStr">
        <is>
          <t>OK</t>
        </is>
      </c>
      <c r="M725" t="n">
        <v>189.88</v>
      </c>
      <c r="N725" t="n">
        <v>142.56</v>
      </c>
      <c r="O725" t="n">
        <v>1512.45</v>
      </c>
      <c r="P725" t="n">
        <v>1934</v>
      </c>
      <c r="Q725" t="n">
        <v>1165.55</v>
      </c>
      <c r="R725" s="3" t="inlineStr">
        <is>
          <t>MISMATCH_NEEDS_CORRECTION</t>
        </is>
      </c>
      <c r="S725" t="n">
        <v>1512.45</v>
      </c>
      <c r="T725" t="inlineStr">
        <is>
          <t>30-07-2026 09:42 IST</t>
        </is>
      </c>
    </row>
    <row r="726">
      <c r="A726" t="n">
        <v>96</v>
      </c>
      <c r="B726" t="n">
        <v>504286</v>
      </c>
      <c r="C726" t="inlineStr">
        <is>
          <t>Disa India Ltd</t>
        </is>
      </c>
      <c r="D726" t="n">
        <v>2015</v>
      </c>
      <c r="E726" t="n">
        <v>58.54999923706055</v>
      </c>
      <c r="F726" t="n">
        <v>1.9</v>
      </c>
      <c r="G726" t="inlineStr">
        <is>
          <t>Consolidated first (v4) – needs verification for flagged rows</t>
        </is>
      </c>
      <c r="H726" t="n">
        <v>49</v>
      </c>
      <c r="I726" t="n">
        <v>27.35000038146973</v>
      </c>
      <c r="L726" t="inlineStr">
        <is>
          <t>OK</t>
        </is>
      </c>
      <c r="M726" t="n">
        <v>25.79</v>
      </c>
      <c r="N726" t="n">
        <v>14.39</v>
      </c>
      <c r="O726" t="n">
        <v>12250</v>
      </c>
      <c r="P726" t="n">
        <v>14693</v>
      </c>
      <c r="Q726" t="n">
        <v>10414</v>
      </c>
      <c r="R726" s="3" t="inlineStr">
        <is>
          <t>MISMATCH_NEEDS_CORRECTION</t>
        </is>
      </c>
      <c r="S726" t="n">
        <v>12250</v>
      </c>
      <c r="T726" t="inlineStr">
        <is>
          <t>30-07-2026 09:42 IST</t>
        </is>
      </c>
    </row>
    <row r="727">
      <c r="A727" t="n">
        <v>96</v>
      </c>
      <c r="B727" t="n">
        <v>504286</v>
      </c>
      <c r="C727" t="inlineStr">
        <is>
          <t>Disa India Ltd</t>
        </is>
      </c>
      <c r="D727" t="n">
        <v>2016</v>
      </c>
      <c r="E727" t="n">
        <v>58.54999923706055</v>
      </c>
      <c r="F727" t="n">
        <v>-10.54</v>
      </c>
      <c r="G727" t="inlineStr">
        <is>
          <t>Consolidated first (v4) – needs verification for flagged rows</t>
        </is>
      </c>
      <c r="H727" t="n">
        <v>44.59999847412109</v>
      </c>
      <c r="I727" t="n">
        <v>23.5</v>
      </c>
      <c r="L727" t="inlineStr">
        <is>
          <t>UNVERIFIED – negative EPS</t>
        </is>
      </c>
      <c r="M727" t="n">
        <v>-4.23</v>
      </c>
      <c r="N727" t="n">
        <v>-2.23</v>
      </c>
      <c r="O727" t="n">
        <v>12250</v>
      </c>
      <c r="P727" t="n">
        <v>14693</v>
      </c>
      <c r="Q727" t="n">
        <v>10414</v>
      </c>
      <c r="R727" s="3" t="inlineStr">
        <is>
          <t>MISMATCH_NEEDS_CORRECTION</t>
        </is>
      </c>
      <c r="S727" t="n">
        <v>12250</v>
      </c>
      <c r="T727" t="inlineStr">
        <is>
          <t>30-07-2026 09:42 IST</t>
        </is>
      </c>
    </row>
    <row r="728">
      <c r="A728" t="n">
        <v>96</v>
      </c>
      <c r="B728" t="n">
        <v>504286</v>
      </c>
      <c r="C728" t="inlineStr">
        <is>
          <t>Disa India Ltd</t>
        </is>
      </c>
      <c r="D728" t="n">
        <v>2017</v>
      </c>
      <c r="E728" t="n">
        <v>58.54999923706055</v>
      </c>
      <c r="F728" t="n">
        <v>-6.74</v>
      </c>
      <c r="G728" t="inlineStr">
        <is>
          <t>Consolidated first (v4) – needs verification for flagged rows</t>
        </is>
      </c>
      <c r="H728" t="n">
        <v>56.20000076293945</v>
      </c>
      <c r="I728" t="n">
        <v>34.5</v>
      </c>
      <c r="L728" t="inlineStr">
        <is>
          <t>UNVERIFIED – negative EPS</t>
        </is>
      </c>
      <c r="M728" t="n">
        <v>-8.34</v>
      </c>
      <c r="N728" t="n">
        <v>-5.12</v>
      </c>
      <c r="O728" t="n">
        <v>12250</v>
      </c>
      <c r="P728" t="n">
        <v>14693</v>
      </c>
      <c r="Q728" t="n">
        <v>10414</v>
      </c>
      <c r="R728" s="3" t="inlineStr">
        <is>
          <t>MISMATCH_NEEDS_CORRECTION</t>
        </is>
      </c>
      <c r="S728" t="n">
        <v>12250</v>
      </c>
      <c r="T728" t="inlineStr">
        <is>
          <t>30-07-2026 09:42 IST</t>
        </is>
      </c>
    </row>
    <row r="729">
      <c r="A729" t="n">
        <v>96</v>
      </c>
      <c r="B729" t="n">
        <v>504286</v>
      </c>
      <c r="C729" t="inlineStr">
        <is>
          <t>Disa India Ltd</t>
        </is>
      </c>
      <c r="D729" t="n">
        <v>2018</v>
      </c>
      <c r="E729" t="n">
        <v>58.54999923706055</v>
      </c>
      <c r="F729" t="n">
        <v>-5.04</v>
      </c>
      <c r="G729" t="inlineStr">
        <is>
          <t>Consolidated first (v4) – needs verification for flagged rows</t>
        </is>
      </c>
      <c r="H729" t="n">
        <v>140</v>
      </c>
      <c r="I729" t="n">
        <v>46.54999923706055</v>
      </c>
      <c r="L729" t="inlineStr">
        <is>
          <t>UNVERIFIED – negative EPS</t>
        </is>
      </c>
      <c r="M729" t="n">
        <v>-27.78</v>
      </c>
      <c r="N729" t="n">
        <v>-9.24</v>
      </c>
      <c r="O729" t="n">
        <v>12250</v>
      </c>
      <c r="P729" t="n">
        <v>14693</v>
      </c>
      <c r="Q729" t="n">
        <v>10414</v>
      </c>
      <c r="R729" s="3" t="inlineStr">
        <is>
          <t>MISMATCH_NEEDS_CORRECTION</t>
        </is>
      </c>
      <c r="S729" t="n">
        <v>12250</v>
      </c>
      <c r="T729" t="inlineStr">
        <is>
          <t>30-07-2026 09:42 IST</t>
        </is>
      </c>
    </row>
    <row r="730">
      <c r="A730" t="n">
        <v>96</v>
      </c>
      <c r="B730" t="n">
        <v>504286</v>
      </c>
      <c r="C730" t="inlineStr">
        <is>
          <t>Disa India Ltd</t>
        </is>
      </c>
      <c r="D730" t="n">
        <v>2019</v>
      </c>
      <c r="E730" t="n">
        <v>58.54999923706055</v>
      </c>
      <c r="F730" t="n">
        <v>-5.15</v>
      </c>
      <c r="G730" t="inlineStr">
        <is>
          <t>Consolidated first (v4) – needs verification for flagged rows</t>
        </is>
      </c>
      <c r="H730" t="n">
        <v>85.94999694824219</v>
      </c>
      <c r="I730" t="n">
        <v>31.5</v>
      </c>
      <c r="L730" t="inlineStr">
        <is>
          <t>UNVERIFIED – negative EPS</t>
        </is>
      </c>
      <c r="M730" t="n">
        <v>-16.69</v>
      </c>
      <c r="N730" t="n">
        <v>-6.12</v>
      </c>
      <c r="O730" t="n">
        <v>12250</v>
      </c>
      <c r="P730" t="n">
        <v>14693</v>
      </c>
      <c r="Q730" t="n">
        <v>10414</v>
      </c>
      <c r="R730" s="3" t="inlineStr">
        <is>
          <t>MISMATCH_NEEDS_CORRECTION</t>
        </is>
      </c>
      <c r="S730" t="n">
        <v>12250</v>
      </c>
      <c r="T730" t="inlineStr">
        <is>
          <t>30-07-2026 09:42 IST</t>
        </is>
      </c>
    </row>
    <row r="731">
      <c r="A731" t="n">
        <v>96</v>
      </c>
      <c r="B731" t="n">
        <v>504286</v>
      </c>
      <c r="C731" t="inlineStr">
        <is>
          <t>Disa India Ltd</t>
        </is>
      </c>
      <c r="D731" t="n">
        <v>2020</v>
      </c>
      <c r="E731" t="n">
        <v>58.54999923706055</v>
      </c>
      <c r="F731" t="n">
        <v>-11.34</v>
      </c>
      <c r="G731" t="inlineStr">
        <is>
          <t>Consolidated first (v4) – needs verification for flagged rows</t>
        </is>
      </c>
      <c r="H731" t="n">
        <v>45</v>
      </c>
      <c r="I731" t="n">
        <v>17</v>
      </c>
      <c r="L731" t="inlineStr">
        <is>
          <t>UNVERIFIED – negative EPS</t>
        </is>
      </c>
      <c r="M731" t="n">
        <v>-3.97</v>
      </c>
      <c r="N731" t="n">
        <v>-1.5</v>
      </c>
      <c r="O731" t="n">
        <v>12250</v>
      </c>
      <c r="P731" t="n">
        <v>14693</v>
      </c>
      <c r="Q731" t="n">
        <v>10414</v>
      </c>
      <c r="R731" s="3" t="inlineStr">
        <is>
          <t>MISMATCH_NEEDS_CORRECTION</t>
        </is>
      </c>
      <c r="S731" t="n">
        <v>12250</v>
      </c>
      <c r="T731" t="inlineStr">
        <is>
          <t>30-07-2026 09:42 IST</t>
        </is>
      </c>
    </row>
    <row r="732">
      <c r="A732" t="n">
        <v>96</v>
      </c>
      <c r="B732" t="n">
        <v>504286</v>
      </c>
      <c r="C732" t="inlineStr">
        <is>
          <t>Disa India Ltd</t>
        </is>
      </c>
      <c r="D732" t="n">
        <v>2021</v>
      </c>
      <c r="E732" t="n">
        <v>58.54999923706055</v>
      </c>
      <c r="F732" t="n">
        <v>-6.18</v>
      </c>
      <c r="G732" t="inlineStr">
        <is>
          <t>Consolidated first (v4) – needs verification for flagged rows</t>
        </is>
      </c>
      <c r="H732" t="n">
        <v>76.15000152587891</v>
      </c>
      <c r="I732" t="n">
        <v>23.04999923706055</v>
      </c>
      <c r="L732" t="inlineStr">
        <is>
          <t>UNVERIFIED – negative EPS</t>
        </is>
      </c>
      <c r="M732" t="n">
        <v>-12.32</v>
      </c>
      <c r="N732" t="n">
        <v>-3.73</v>
      </c>
      <c r="O732" t="n">
        <v>12250</v>
      </c>
      <c r="P732" t="n">
        <v>14693</v>
      </c>
      <c r="Q732" t="n">
        <v>10414</v>
      </c>
      <c r="R732" s="3" t="inlineStr">
        <is>
          <t>MISMATCH_NEEDS_CORRECTION</t>
        </is>
      </c>
      <c r="S732" t="n">
        <v>12250</v>
      </c>
      <c r="T732" t="inlineStr">
        <is>
          <t>30-07-2026 09:42 IST</t>
        </is>
      </c>
    </row>
    <row r="733">
      <c r="A733" t="n">
        <v>96</v>
      </c>
      <c r="B733" t="n">
        <v>504286</v>
      </c>
      <c r="C733" t="inlineStr">
        <is>
          <t>Disa India Ltd</t>
        </is>
      </c>
      <c r="D733" t="n">
        <v>2022</v>
      </c>
      <c r="E733" t="n">
        <v>58.54999923706055</v>
      </c>
      <c r="F733" t="n">
        <v>17.76</v>
      </c>
      <c r="G733" t="inlineStr">
        <is>
          <t>Consolidated first (v4) – needs verification for flagged rows</t>
        </is>
      </c>
      <c r="H733" t="n">
        <v>125.5</v>
      </c>
      <c r="I733" t="n">
        <v>57.70000076293945</v>
      </c>
      <c r="L733" t="inlineStr">
        <is>
          <t>OK</t>
        </is>
      </c>
      <c r="M733" t="n">
        <v>7.07</v>
      </c>
      <c r="N733" t="n">
        <v>3.25</v>
      </c>
      <c r="O733" t="n">
        <v>12250</v>
      </c>
      <c r="P733" t="n">
        <v>14693</v>
      </c>
      <c r="Q733" t="n">
        <v>10414</v>
      </c>
      <c r="R733" s="3" t="inlineStr">
        <is>
          <t>MISMATCH_NEEDS_CORRECTION</t>
        </is>
      </c>
      <c r="S733" t="n">
        <v>12250</v>
      </c>
      <c r="T733" t="inlineStr">
        <is>
          <t>30-07-2026 09:42 IST</t>
        </is>
      </c>
    </row>
    <row r="734">
      <c r="A734" t="n">
        <v>96</v>
      </c>
      <c r="B734" t="n">
        <v>504286</v>
      </c>
      <c r="C734" t="inlineStr">
        <is>
          <t>Disa India Ltd</t>
        </is>
      </c>
      <c r="D734" t="n">
        <v>2023</v>
      </c>
      <c r="E734" t="n">
        <v>58.54999923706055</v>
      </c>
      <c r="F734" t="n">
        <v>-15.43</v>
      </c>
      <c r="G734" t="inlineStr">
        <is>
          <t>Consolidated first (v4) – needs verification for flagged rows</t>
        </is>
      </c>
      <c r="H734" t="n">
        <v>122.1999969482422</v>
      </c>
      <c r="I734" t="n">
        <v>61.20000076293945</v>
      </c>
      <c r="L734" t="inlineStr">
        <is>
          <t>UNVERIFIED – negative EPS</t>
        </is>
      </c>
      <c r="M734" t="n">
        <v>-7.92</v>
      </c>
      <c r="N734" t="n">
        <v>-3.97</v>
      </c>
      <c r="O734" t="n">
        <v>12250</v>
      </c>
      <c r="P734" t="n">
        <v>14693</v>
      </c>
      <c r="Q734" t="n">
        <v>10414</v>
      </c>
      <c r="R734" s="3" t="inlineStr">
        <is>
          <t>MISMATCH_NEEDS_CORRECTION</t>
        </is>
      </c>
      <c r="S734" t="n">
        <v>12250</v>
      </c>
      <c r="T734" t="inlineStr">
        <is>
          <t>30-07-2026 09:42 IST</t>
        </is>
      </c>
    </row>
    <row r="735">
      <c r="A735" t="n">
        <v>96</v>
      </c>
      <c r="B735" t="n">
        <v>504286</v>
      </c>
      <c r="C735" t="inlineStr">
        <is>
          <t>Disa India Ltd</t>
        </is>
      </c>
      <c r="D735" t="n">
        <v>2024</v>
      </c>
      <c r="E735" t="n">
        <v>58.54999923706055</v>
      </c>
      <c r="F735" t="n">
        <v>-9.58</v>
      </c>
      <c r="G735" t="inlineStr">
        <is>
          <t>Consolidated first (v4) – needs verification for flagged rows</t>
        </is>
      </c>
      <c r="H735" t="n">
        <v>136.8500061035156</v>
      </c>
      <c r="I735" t="n">
        <v>82.59999847412109</v>
      </c>
      <c r="L735" t="inlineStr">
        <is>
          <t>UNVERIFIED – negative EPS</t>
        </is>
      </c>
      <c r="M735" t="n">
        <v>-14.28</v>
      </c>
      <c r="N735" t="n">
        <v>-8.619999999999999</v>
      </c>
      <c r="O735" t="n">
        <v>12250</v>
      </c>
      <c r="P735" t="n">
        <v>14693</v>
      </c>
      <c r="Q735" t="n">
        <v>10414</v>
      </c>
      <c r="R735" s="3" t="inlineStr">
        <is>
          <t>MISMATCH_NEEDS_CORRECTION</t>
        </is>
      </c>
      <c r="S735" t="n">
        <v>12250</v>
      </c>
      <c r="T735" t="inlineStr">
        <is>
          <t>30-07-2026 09:42 IST</t>
        </is>
      </c>
    </row>
    <row r="736">
      <c r="A736" t="n">
        <v>96</v>
      </c>
      <c r="B736" t="n">
        <v>504286</v>
      </c>
      <c r="C736" t="inlineStr">
        <is>
          <t>Disa India Ltd</t>
        </is>
      </c>
      <c r="D736" t="n">
        <v>2025</v>
      </c>
      <c r="E736" t="n">
        <v>58.54999923706055</v>
      </c>
      <c r="F736" t="n">
        <v>-11.14</v>
      </c>
      <c r="G736" t="inlineStr">
        <is>
          <t>Consolidated first (v4) – needs verification for flagged rows</t>
        </is>
      </c>
      <c r="H736" t="n">
        <v>119.4499969482422</v>
      </c>
      <c r="I736" t="n">
        <v>55.15999984741211</v>
      </c>
      <c r="L736" t="inlineStr">
        <is>
          <t>UNVERIFIED – negative EPS</t>
        </is>
      </c>
      <c r="M736" t="n">
        <v>-10.72</v>
      </c>
      <c r="N736" t="n">
        <v>-4.95</v>
      </c>
      <c r="O736" t="n">
        <v>12250</v>
      </c>
      <c r="P736" t="n">
        <v>14693</v>
      </c>
      <c r="Q736" t="n">
        <v>10414</v>
      </c>
      <c r="R736" s="3" t="inlineStr">
        <is>
          <t>MISMATCH_NEEDS_CORRECTION</t>
        </is>
      </c>
      <c r="S736" t="n">
        <v>12250</v>
      </c>
      <c r="T736" t="inlineStr">
        <is>
          <t>30-07-2026 09:42 IST</t>
        </is>
      </c>
    </row>
    <row r="737">
      <c r="A737" t="n">
        <v>96</v>
      </c>
      <c r="B737" t="n">
        <v>504286</v>
      </c>
      <c r="C737" t="inlineStr">
        <is>
          <t>Disa India Ltd</t>
        </is>
      </c>
      <c r="D737" t="n">
        <v>2026</v>
      </c>
      <c r="E737" t="n">
        <v>58.54999923706055</v>
      </c>
      <c r="F737" t="n">
        <v>-11.44</v>
      </c>
      <c r="G737" t="inlineStr">
        <is>
          <t>Consolidated first (v4) – needs verification for flagged rows</t>
        </is>
      </c>
      <c r="H737" t="n">
        <v>72.80000305175781</v>
      </c>
      <c r="I737" t="n">
        <v>41.02999877929688</v>
      </c>
      <c r="L737" t="inlineStr">
        <is>
          <t>UNVERIFIED – negative EPS</t>
        </is>
      </c>
      <c r="M737" t="n">
        <v>-6.36</v>
      </c>
      <c r="N737" t="n">
        <v>-3.59</v>
      </c>
      <c r="O737" t="n">
        <v>12250</v>
      </c>
      <c r="P737" t="n">
        <v>14693</v>
      </c>
      <c r="Q737" t="n">
        <v>10414</v>
      </c>
      <c r="R737" s="3" t="inlineStr">
        <is>
          <t>MISMATCH_NEEDS_CORRECTION</t>
        </is>
      </c>
      <c r="S737" t="n">
        <v>12250</v>
      </c>
      <c r="T737" t="inlineStr">
        <is>
          <t>30-07-2026 09:42 IST</t>
        </is>
      </c>
    </row>
    <row r="738">
      <c r="A738" t="n">
        <v>97</v>
      </c>
      <c r="B738" t="n">
        <v>504356</v>
      </c>
      <c r="C738" t="inlineStr">
        <is>
          <t>Elpro International Ltd</t>
        </is>
      </c>
      <c r="D738" t="n">
        <v>2015</v>
      </c>
      <c r="E738" t="n">
        <v>10.39999961853027</v>
      </c>
      <c r="F738" t="n">
        <v>2.81</v>
      </c>
      <c r="G738" t="inlineStr">
        <is>
          <t>Consolidated first (v4) – needs verification for flagged rows</t>
        </is>
      </c>
      <c r="H738" t="n">
        <v>10</v>
      </c>
      <c r="I738" t="n">
        <v>10</v>
      </c>
      <c r="L738" t="inlineStr">
        <is>
          <t>UNVERIFIED – negative EPS</t>
        </is>
      </c>
      <c r="M738" t="n">
        <v>3.56</v>
      </c>
      <c r="N738" t="n">
        <v>3.56</v>
      </c>
      <c r="O738" t="n">
        <v>9.949999999999999</v>
      </c>
      <c r="P738" t="n">
        <v>13.26</v>
      </c>
      <c r="Q738" t="n">
        <v>7.81</v>
      </c>
      <c r="R738" s="2" t="inlineStr">
        <is>
          <t>VERIFIED_OK</t>
        </is>
      </c>
      <c r="S738" t="n">
        <v>9.949999999999999</v>
      </c>
      <c r="T738" t="inlineStr">
        <is>
          <t>30-07-2026 09:42 IST</t>
        </is>
      </c>
    </row>
    <row r="739">
      <c r="A739" t="n">
        <v>97</v>
      </c>
      <c r="B739" t="n">
        <v>504356</v>
      </c>
      <c r="C739" t="inlineStr">
        <is>
          <t>Elpro International Ltd</t>
        </is>
      </c>
      <c r="D739" t="n">
        <v>2016</v>
      </c>
      <c r="E739" t="n">
        <v>10.39999961853027</v>
      </c>
      <c r="F739" t="n">
        <v>1.9</v>
      </c>
      <c r="G739" t="inlineStr">
        <is>
          <t>Consolidated first (v4) – needs verification for flagged rows</t>
        </is>
      </c>
      <c r="H739" t="n">
        <v>20.29999923706055</v>
      </c>
      <c r="I739" t="n">
        <v>10</v>
      </c>
      <c r="L739" t="inlineStr">
        <is>
          <t>UNVERIFIED – tiny EPS &lt;0.5</t>
        </is>
      </c>
      <c r="M739" t="n">
        <v>10.68</v>
      </c>
      <c r="N739" t="n">
        <v>5.26</v>
      </c>
      <c r="O739" t="n">
        <v>9.949999999999999</v>
      </c>
      <c r="P739" t="n">
        <v>13.26</v>
      </c>
      <c r="Q739" t="n">
        <v>7.81</v>
      </c>
      <c r="R739" s="2" t="inlineStr">
        <is>
          <t>VERIFIED_OK</t>
        </is>
      </c>
      <c r="S739" t="n">
        <v>9.949999999999999</v>
      </c>
      <c r="T739" t="inlineStr">
        <is>
          <t>30-07-2026 09:42 IST</t>
        </is>
      </c>
    </row>
    <row r="740">
      <c r="A740" t="n">
        <v>97</v>
      </c>
      <c r="B740" t="n">
        <v>504356</v>
      </c>
      <c r="C740" t="inlineStr">
        <is>
          <t>Elpro International Ltd</t>
        </is>
      </c>
      <c r="D740" t="n">
        <v>2017</v>
      </c>
      <c r="E740" t="n">
        <v>10.39999961853027</v>
      </c>
      <c r="F740" t="n">
        <v>-1.24</v>
      </c>
      <c r="G740" t="inlineStr">
        <is>
          <t>Consolidated first (v4) – needs verification for flagged rows</t>
        </is>
      </c>
      <c r="H740" t="n">
        <v>22.39999961853027</v>
      </c>
      <c r="I740" t="n">
        <v>20.29999923706055</v>
      </c>
      <c r="L740" t="inlineStr">
        <is>
          <t>UNVERIFIED – tiny EPS &lt;0.5</t>
        </is>
      </c>
      <c r="M740" t="n">
        <v>-18.06</v>
      </c>
      <c r="N740" t="n">
        <v>-16.37</v>
      </c>
      <c r="O740" t="n">
        <v>9.949999999999999</v>
      </c>
      <c r="P740" t="n">
        <v>13.26</v>
      </c>
      <c r="Q740" t="n">
        <v>7.81</v>
      </c>
      <c r="R740" s="2" t="inlineStr">
        <is>
          <t>VERIFIED_OK</t>
        </is>
      </c>
      <c r="S740" t="n">
        <v>9.949999999999999</v>
      </c>
      <c r="T740" t="inlineStr">
        <is>
          <t>30-07-2026 09:42 IST</t>
        </is>
      </c>
    </row>
    <row r="741">
      <c r="A741" t="n">
        <v>97</v>
      </c>
      <c r="B741" t="n">
        <v>504356</v>
      </c>
      <c r="C741" t="inlineStr">
        <is>
          <t>Elpro International Ltd</t>
        </is>
      </c>
      <c r="D741" t="n">
        <v>2018</v>
      </c>
      <c r="E741" t="n">
        <v>10.39999961853027</v>
      </c>
      <c r="F741" t="n">
        <v>0.43</v>
      </c>
      <c r="G741" t="inlineStr">
        <is>
          <t>Consolidated first (v4) – needs verification for flagged rows</t>
        </is>
      </c>
      <c r="H741" t="n">
        <v>22.39999961853027</v>
      </c>
      <c r="I741" t="n">
        <v>10</v>
      </c>
      <c r="L741" t="inlineStr">
        <is>
          <t>UNVERIFIED – tiny EPS &lt;0.5</t>
        </is>
      </c>
      <c r="M741" t="n">
        <v>52.09</v>
      </c>
      <c r="N741" t="n">
        <v>23.26</v>
      </c>
      <c r="O741" t="n">
        <v>9.949999999999999</v>
      </c>
      <c r="P741" t="n">
        <v>13.26</v>
      </c>
      <c r="Q741" t="n">
        <v>7.81</v>
      </c>
      <c r="R741" s="2" t="inlineStr">
        <is>
          <t>VERIFIED_OK</t>
        </is>
      </c>
      <c r="S741" t="n">
        <v>9.949999999999999</v>
      </c>
      <c r="T741" t="inlineStr">
        <is>
          <t>30-07-2026 09:42 IST</t>
        </is>
      </c>
    </row>
    <row r="742">
      <c r="A742" t="n">
        <v>97</v>
      </c>
      <c r="B742" t="n">
        <v>504356</v>
      </c>
      <c r="C742" t="inlineStr">
        <is>
          <t>Elpro International Ltd</t>
        </is>
      </c>
      <c r="D742" t="n">
        <v>2019</v>
      </c>
      <c r="E742" t="n">
        <v>10.39999961853027</v>
      </c>
      <c r="F742" t="n">
        <v>4.39</v>
      </c>
      <c r="G742" t="inlineStr">
        <is>
          <t>Consolidated first (v4) – needs verification for flagged rows</t>
        </is>
      </c>
      <c r="H742" t="n">
        <v>10</v>
      </c>
      <c r="I742" t="n">
        <v>10</v>
      </c>
      <c r="L742" t="inlineStr">
        <is>
          <t>UNVERIFIED – tiny EPS &lt;0.5</t>
        </is>
      </c>
      <c r="M742" t="n">
        <v>2.28</v>
      </c>
      <c r="N742" t="n">
        <v>2.28</v>
      </c>
      <c r="O742" t="n">
        <v>9.949999999999999</v>
      </c>
      <c r="P742" t="n">
        <v>13.26</v>
      </c>
      <c r="Q742" t="n">
        <v>7.81</v>
      </c>
      <c r="R742" s="2" t="inlineStr">
        <is>
          <t>VERIFIED_OK</t>
        </is>
      </c>
      <c r="S742" t="n">
        <v>9.949999999999999</v>
      </c>
      <c r="T742" t="inlineStr">
        <is>
          <t>30-07-2026 09:42 IST</t>
        </is>
      </c>
    </row>
    <row r="743">
      <c r="A743" t="n">
        <v>97</v>
      </c>
      <c r="B743" t="n">
        <v>504356</v>
      </c>
      <c r="C743" t="inlineStr">
        <is>
          <t>Elpro International Ltd</t>
        </is>
      </c>
      <c r="D743" t="n">
        <v>2020</v>
      </c>
      <c r="E743" t="n">
        <v>10.39999961853027</v>
      </c>
      <c r="F743" t="n">
        <v>0.66</v>
      </c>
      <c r="G743" t="inlineStr">
        <is>
          <t>Consolidated first (v4) – needs verification for flagged rows</t>
        </is>
      </c>
      <c r="H743" t="n">
        <v>10.35000038146973</v>
      </c>
      <c r="I743" t="n">
        <v>9.899999618530273</v>
      </c>
      <c r="L743" t="inlineStr">
        <is>
          <t>UNVERIFIED – tiny EPS &lt;0.5</t>
        </is>
      </c>
      <c r="M743" t="n">
        <v>15.68</v>
      </c>
      <c r="N743" t="n">
        <v>15</v>
      </c>
      <c r="O743" t="n">
        <v>9.949999999999999</v>
      </c>
      <c r="P743" t="n">
        <v>13.26</v>
      </c>
      <c r="Q743" t="n">
        <v>7.81</v>
      </c>
      <c r="R743" s="2" t="inlineStr">
        <is>
          <t>VERIFIED_OK</t>
        </is>
      </c>
      <c r="S743" t="n">
        <v>9.949999999999999</v>
      </c>
      <c r="T743" t="inlineStr">
        <is>
          <t>30-07-2026 09:42 IST</t>
        </is>
      </c>
    </row>
    <row r="744">
      <c r="A744" t="n">
        <v>97</v>
      </c>
      <c r="B744" t="n">
        <v>504356</v>
      </c>
      <c r="C744" t="inlineStr">
        <is>
          <t>Elpro International Ltd</t>
        </is>
      </c>
      <c r="D744" t="n">
        <v>2021</v>
      </c>
      <c r="E744" t="n">
        <v>10.39999961853027</v>
      </c>
      <c r="F744" t="n">
        <v>-0.95</v>
      </c>
      <c r="G744" t="inlineStr">
        <is>
          <t>Consolidated first (v4) – needs verification for flagged rows</t>
        </is>
      </c>
      <c r="H744" t="n">
        <v>11.02000045776367</v>
      </c>
      <c r="I744" t="n">
        <v>7.599999904632568</v>
      </c>
      <c r="L744" t="inlineStr">
        <is>
          <t>UNVERIFIED – negative EPS</t>
        </is>
      </c>
      <c r="M744" t="n">
        <v>-11.6</v>
      </c>
      <c r="N744" t="n">
        <v>-8</v>
      </c>
      <c r="O744" t="n">
        <v>9.949999999999999</v>
      </c>
      <c r="P744" t="n">
        <v>13.26</v>
      </c>
      <c r="Q744" t="n">
        <v>7.81</v>
      </c>
      <c r="R744" s="2" t="inlineStr">
        <is>
          <t>VERIFIED_OK</t>
        </is>
      </c>
      <c r="S744" t="n">
        <v>9.949999999999999</v>
      </c>
      <c r="T744" t="inlineStr">
        <is>
          <t>30-07-2026 09:42 IST</t>
        </is>
      </c>
    </row>
    <row r="745">
      <c r="A745" t="n">
        <v>97</v>
      </c>
      <c r="B745" t="n">
        <v>504356</v>
      </c>
      <c r="C745" t="inlineStr">
        <is>
          <t>Elpro International Ltd</t>
        </is>
      </c>
      <c r="D745" t="n">
        <v>2022</v>
      </c>
      <c r="E745" t="n">
        <v>10.39999961853027</v>
      </c>
      <c r="F745" t="n">
        <v>-5.43</v>
      </c>
      <c r="G745" t="inlineStr">
        <is>
          <t>Consolidated first (v4) – needs verification for flagged rows</t>
        </is>
      </c>
      <c r="H745" t="n">
        <v>14.57999992370605</v>
      </c>
      <c r="I745" t="n">
        <v>7.21999979019165</v>
      </c>
      <c r="L745" t="inlineStr">
        <is>
          <t>UNVERIFIED – tiny EPS &lt;0.5</t>
        </is>
      </c>
      <c r="M745" t="n">
        <v>-2.69</v>
      </c>
      <c r="N745" t="n">
        <v>-1.33</v>
      </c>
      <c r="O745" t="n">
        <v>9.949999999999999</v>
      </c>
      <c r="P745" t="n">
        <v>13.26</v>
      </c>
      <c r="Q745" t="n">
        <v>7.81</v>
      </c>
      <c r="R745" s="2" t="inlineStr">
        <is>
          <t>VERIFIED_OK</t>
        </is>
      </c>
      <c r="S745" t="n">
        <v>9.949999999999999</v>
      </c>
      <c r="T745" t="inlineStr">
        <is>
          <t>30-07-2026 09:42 IST</t>
        </is>
      </c>
    </row>
    <row r="746">
      <c r="A746" t="n">
        <v>97</v>
      </c>
      <c r="B746" t="n">
        <v>504356</v>
      </c>
      <c r="C746" t="inlineStr">
        <is>
          <t>Elpro International Ltd</t>
        </is>
      </c>
      <c r="D746" t="n">
        <v>2023</v>
      </c>
      <c r="E746" t="n">
        <v>10.39999961853027</v>
      </c>
      <c r="F746" t="n">
        <v>1.15</v>
      </c>
      <c r="G746" t="inlineStr">
        <is>
          <t>Consolidated first (v4) – needs verification for flagged rows</t>
        </is>
      </c>
      <c r="H746" t="n">
        <v>15.98999977111816</v>
      </c>
      <c r="I746" t="n">
        <v>6.610000133514404</v>
      </c>
      <c r="L746" t="inlineStr">
        <is>
          <t>UNVERIFIED – tiny EPS &lt;0.5</t>
        </is>
      </c>
      <c r="M746" t="n">
        <v>13.9</v>
      </c>
      <c r="N746" t="n">
        <v>5.75</v>
      </c>
      <c r="O746" t="n">
        <v>9.949999999999999</v>
      </c>
      <c r="P746" t="n">
        <v>13.26</v>
      </c>
      <c r="Q746" t="n">
        <v>7.81</v>
      </c>
      <c r="R746" s="2" t="inlineStr">
        <is>
          <t>VERIFIED_OK</t>
        </is>
      </c>
      <c r="S746" t="n">
        <v>9.949999999999999</v>
      </c>
      <c r="T746" t="inlineStr">
        <is>
          <t>30-07-2026 09:42 IST</t>
        </is>
      </c>
    </row>
    <row r="747">
      <c r="A747" t="n">
        <v>97</v>
      </c>
      <c r="B747" t="n">
        <v>504356</v>
      </c>
      <c r="C747" t="inlineStr">
        <is>
          <t>Elpro International Ltd</t>
        </is>
      </c>
      <c r="D747" t="n">
        <v>2024</v>
      </c>
      <c r="E747" t="n">
        <v>10.39999961853027</v>
      </c>
      <c r="F747" t="n">
        <v>1.08</v>
      </c>
      <c r="G747" t="inlineStr">
        <is>
          <t>Consolidated first (v4) – needs verification for flagged rows</t>
        </is>
      </c>
      <c r="H747" t="n">
        <v>13.26000022888184</v>
      </c>
      <c r="I747" t="n">
        <v>7.809999942779541</v>
      </c>
      <c r="L747" t="inlineStr">
        <is>
          <t>UNVERIFIED – tiny EPS &lt;0.5</t>
        </is>
      </c>
      <c r="M747" t="n">
        <v>12.28</v>
      </c>
      <c r="N747" t="n">
        <v>7.23</v>
      </c>
      <c r="O747" t="n">
        <v>9.949999999999999</v>
      </c>
      <c r="P747" t="n">
        <v>13.26</v>
      </c>
      <c r="Q747" t="n">
        <v>7.81</v>
      </c>
      <c r="R747" s="2" t="inlineStr">
        <is>
          <t>VERIFIED_OK</t>
        </is>
      </c>
      <c r="S747" t="n">
        <v>9.949999999999999</v>
      </c>
      <c r="T747" t="inlineStr">
        <is>
          <t>30-07-2026 09:42 IST</t>
        </is>
      </c>
    </row>
    <row r="748">
      <c r="A748" t="n">
        <v>97</v>
      </c>
      <c r="B748" t="n">
        <v>504356</v>
      </c>
      <c r="C748" t="inlineStr">
        <is>
          <t>Elpro International Ltd</t>
        </is>
      </c>
      <c r="D748" t="n">
        <v>2025</v>
      </c>
      <c r="E748" t="n">
        <v>10.39999961853027</v>
      </c>
      <c r="F748" t="n">
        <v>1.4</v>
      </c>
      <c r="G748" t="inlineStr">
        <is>
          <t>Consolidated first (v4) – needs verification for flagged rows</t>
        </is>
      </c>
      <c r="H748" t="n">
        <v>11.75</v>
      </c>
      <c r="I748" t="n">
        <v>8.25</v>
      </c>
      <c r="L748" t="inlineStr">
        <is>
          <t>UNVERIFIED – tiny EPS &lt;0.5</t>
        </is>
      </c>
      <c r="M748" t="n">
        <v>8.390000000000001</v>
      </c>
      <c r="N748" t="n">
        <v>5.89</v>
      </c>
      <c r="O748" t="n">
        <v>9.949999999999999</v>
      </c>
      <c r="P748" t="n">
        <v>13.26</v>
      </c>
      <c r="Q748" t="n">
        <v>7.81</v>
      </c>
      <c r="R748" s="2" t="inlineStr">
        <is>
          <t>VERIFIED_OK</t>
        </is>
      </c>
      <c r="S748" t="n">
        <v>9.949999999999999</v>
      </c>
      <c r="T748" t="inlineStr">
        <is>
          <t>30-07-2026 09:42 IST</t>
        </is>
      </c>
    </row>
    <row r="749">
      <c r="A749" t="n">
        <v>97</v>
      </c>
      <c r="B749" t="n">
        <v>504356</v>
      </c>
      <c r="C749" t="inlineStr">
        <is>
          <t>Elpro International Ltd</t>
        </is>
      </c>
      <c r="D749" t="n">
        <v>2026</v>
      </c>
      <c r="E749" t="n">
        <v>10.39999961853027</v>
      </c>
      <c r="F749" t="n">
        <v>-0.95</v>
      </c>
      <c r="G749" t="inlineStr">
        <is>
          <t>Consolidated first (v4) – needs verification for flagged rows</t>
        </is>
      </c>
      <c r="H749" t="n">
        <v>14.6899995803833</v>
      </c>
      <c r="I749" t="n">
        <v>7.579999923706055</v>
      </c>
      <c r="L749" t="inlineStr">
        <is>
          <t>UNVERIFIED – negative EPS</t>
        </is>
      </c>
      <c r="M749" t="n">
        <v>-15.46</v>
      </c>
      <c r="N749" t="n">
        <v>-7.98</v>
      </c>
      <c r="O749" t="n">
        <v>9.949999999999999</v>
      </c>
      <c r="P749" t="n">
        <v>13.26</v>
      </c>
      <c r="Q749" t="n">
        <v>7.81</v>
      </c>
      <c r="R749" s="2" t="inlineStr">
        <is>
          <t>VERIFIED_OK</t>
        </is>
      </c>
      <c r="S749" t="n">
        <v>9.949999999999999</v>
      </c>
      <c r="T749" t="inlineStr">
        <is>
          <t>30-07-2026 09:42 IST</t>
        </is>
      </c>
    </row>
    <row r="750">
      <c r="A750" t="n">
        <v>98</v>
      </c>
      <c r="B750" t="n">
        <v>504392</v>
      </c>
      <c r="C750" t="inlineStr">
        <is>
          <t>Krishna Ventures Ltd</t>
        </is>
      </c>
      <c r="D750" t="n">
        <v>2015</v>
      </c>
      <c r="E750" t="n">
        <v>44.02999877929688</v>
      </c>
      <c r="F750" t="n">
        <v>0.67</v>
      </c>
      <c r="G750" t="inlineStr">
        <is>
          <t>Consolidated first (v4) – needs verification for flagged rows</t>
        </is>
      </c>
      <c r="H750" t="n">
        <v>569</v>
      </c>
      <c r="I750" t="n">
        <v>557.75</v>
      </c>
      <c r="L750" t="inlineStr">
        <is>
          <t>OK</t>
        </is>
      </c>
      <c r="M750" t="n">
        <v>849.25</v>
      </c>
      <c r="N750" t="n">
        <v>832.46</v>
      </c>
      <c r="O750" t="n">
        <v>86.87</v>
      </c>
      <c r="P750" t="n">
        <v>109.15</v>
      </c>
      <c r="Q750" t="n">
        <v>58.99</v>
      </c>
      <c r="R750" s="3" t="inlineStr">
        <is>
          <t>MISMATCH_NEEDS_CORRECTION</t>
        </is>
      </c>
      <c r="S750" t="n">
        <v>86.87</v>
      </c>
      <c r="T750" t="inlineStr">
        <is>
          <t>30-07-2026 09:42 IST</t>
        </is>
      </c>
    </row>
    <row r="751">
      <c r="A751" t="n">
        <v>98</v>
      </c>
      <c r="B751" t="n">
        <v>504392</v>
      </c>
      <c r="C751" t="inlineStr">
        <is>
          <t>Krishna Ventures Ltd</t>
        </is>
      </c>
      <c r="D751" t="n">
        <v>2016</v>
      </c>
      <c r="E751" t="n">
        <v>44.02999877929688</v>
      </c>
      <c r="F751" t="n">
        <v>-0.25</v>
      </c>
      <c r="G751" t="inlineStr">
        <is>
          <t>Consolidated first (v4) – needs verification for flagged rows</t>
        </is>
      </c>
      <c r="H751" t="n">
        <v>591.7000122070312</v>
      </c>
      <c r="I751" t="n">
        <v>568.75</v>
      </c>
      <c r="L751" t="inlineStr">
        <is>
          <t>UNVERIFIED – tiny EPS &lt;0.5</t>
        </is>
      </c>
      <c r="M751" t="n">
        <v>-2366.8</v>
      </c>
      <c r="N751" t="n">
        <v>-2275</v>
      </c>
      <c r="O751" t="n">
        <v>86.87</v>
      </c>
      <c r="P751" t="n">
        <v>109.15</v>
      </c>
      <c r="Q751" t="n">
        <v>58.99</v>
      </c>
      <c r="R751" s="3" t="inlineStr">
        <is>
          <t>MISMATCH_NEEDS_CORRECTION</t>
        </is>
      </c>
      <c r="S751" t="n">
        <v>86.87</v>
      </c>
      <c r="T751" t="inlineStr">
        <is>
          <t>30-07-2026 09:42 IST</t>
        </is>
      </c>
    </row>
    <row r="752">
      <c r="A752" t="n">
        <v>98</v>
      </c>
      <c r="B752" t="n">
        <v>504392</v>
      </c>
      <c r="C752" t="inlineStr">
        <is>
          <t>Krishna Ventures Ltd</t>
        </is>
      </c>
      <c r="D752" t="n">
        <v>2017</v>
      </c>
      <c r="E752" t="n">
        <v>44.02999877929688</v>
      </c>
      <c r="F752" t="n">
        <v>0.06</v>
      </c>
      <c r="G752" t="inlineStr">
        <is>
          <t>Consolidated first (v4) – needs verification for flagged rows</t>
        </is>
      </c>
      <c r="H752" t="n">
        <v>591.7000122070312</v>
      </c>
      <c r="I752" t="n">
        <v>169</v>
      </c>
      <c r="L752" t="inlineStr">
        <is>
          <t>UNVERIFIED – tiny EPS &lt;0.5</t>
        </is>
      </c>
      <c r="M752" t="n">
        <v>9861.67</v>
      </c>
      <c r="N752" t="n">
        <v>2816.67</v>
      </c>
      <c r="O752" t="n">
        <v>86.87</v>
      </c>
      <c r="P752" t="n">
        <v>109.15</v>
      </c>
      <c r="Q752" t="n">
        <v>58.99</v>
      </c>
      <c r="R752" s="3" t="inlineStr">
        <is>
          <t>MISMATCH_NEEDS_CORRECTION</t>
        </is>
      </c>
      <c r="S752" t="n">
        <v>86.87</v>
      </c>
      <c r="T752" t="inlineStr">
        <is>
          <t>30-07-2026 09:42 IST</t>
        </is>
      </c>
    </row>
    <row r="753">
      <c r="A753" t="n">
        <v>98</v>
      </c>
      <c r="B753" t="n">
        <v>504392</v>
      </c>
      <c r="C753" t="inlineStr">
        <is>
          <t>Krishna Ventures Ltd</t>
        </is>
      </c>
      <c r="D753" t="n">
        <v>2018</v>
      </c>
      <c r="E753" t="n">
        <v>44.02999877929688</v>
      </c>
      <c r="F753" t="n">
        <v>-0.39</v>
      </c>
      <c r="G753" t="inlineStr">
        <is>
          <t>Consolidated first (v4) – needs verification for flagged rows</t>
        </is>
      </c>
      <c r="H753" t="n">
        <v>175</v>
      </c>
      <c r="I753" t="n">
        <v>4.079999923706055</v>
      </c>
      <c r="L753" t="inlineStr">
        <is>
          <t>UNVERIFIED – negative EPS</t>
        </is>
      </c>
      <c r="M753" t="n">
        <v>-448.72</v>
      </c>
      <c r="N753" t="n">
        <v>-10.46</v>
      </c>
      <c r="O753" t="n">
        <v>86.87</v>
      </c>
      <c r="P753" t="n">
        <v>109.15</v>
      </c>
      <c r="Q753" t="n">
        <v>58.99</v>
      </c>
      <c r="R753" s="3" t="inlineStr">
        <is>
          <t>MISMATCH_NEEDS_CORRECTION</t>
        </is>
      </c>
      <c r="S753" t="n">
        <v>86.87</v>
      </c>
      <c r="T753" t="inlineStr">
        <is>
          <t>30-07-2026 09:42 IST</t>
        </is>
      </c>
    </row>
    <row r="754">
      <c r="A754" t="n">
        <v>98</v>
      </c>
      <c r="B754" t="n">
        <v>504392</v>
      </c>
      <c r="C754" t="inlineStr">
        <is>
          <t>Krishna Ventures Ltd</t>
        </is>
      </c>
      <c r="D754" t="n">
        <v>2019</v>
      </c>
      <c r="E754" t="n">
        <v>44.02999877929688</v>
      </c>
      <c r="F754" t="n">
        <v>-0.17</v>
      </c>
      <c r="G754" t="inlineStr">
        <is>
          <t>Consolidated first (v4) – needs verification for flagged rows</t>
        </is>
      </c>
      <c r="H754" t="n">
        <v>18.02000045776367</v>
      </c>
      <c r="I754" t="n">
        <v>3.849999904632568</v>
      </c>
      <c r="L754" t="inlineStr">
        <is>
          <t>UNVERIFIED – negative EPS</t>
        </is>
      </c>
      <c r="M754" t="n">
        <v>-106</v>
      </c>
      <c r="N754" t="n">
        <v>-22.65</v>
      </c>
      <c r="O754" t="n">
        <v>86.87</v>
      </c>
      <c r="P754" t="n">
        <v>109.15</v>
      </c>
      <c r="Q754" t="n">
        <v>58.99</v>
      </c>
      <c r="R754" s="3" t="inlineStr">
        <is>
          <t>MISMATCH_NEEDS_CORRECTION</t>
        </is>
      </c>
      <c r="S754" t="n">
        <v>86.87</v>
      </c>
      <c r="T754" t="inlineStr">
        <is>
          <t>30-07-2026 09:42 IST</t>
        </is>
      </c>
    </row>
    <row r="755">
      <c r="A755" t="n">
        <v>98</v>
      </c>
      <c r="B755" t="n">
        <v>504392</v>
      </c>
      <c r="C755" t="inlineStr">
        <is>
          <t>Krishna Ventures Ltd</t>
        </is>
      </c>
      <c r="D755" t="n">
        <v>2020</v>
      </c>
      <c r="E755" t="n">
        <v>44.02999877929688</v>
      </c>
      <c r="F755" t="n">
        <v>-0.26</v>
      </c>
      <c r="G755" t="inlineStr">
        <is>
          <t>Consolidated first (v4) – needs verification for flagged rows</t>
        </is>
      </c>
      <c r="H755" t="n">
        <v>19.39999961853027</v>
      </c>
      <c r="I755" t="n">
        <v>9.75</v>
      </c>
      <c r="L755" t="inlineStr">
        <is>
          <t>UNVERIFIED – negative EPS</t>
        </is>
      </c>
      <c r="M755" t="n">
        <v>-74.62</v>
      </c>
      <c r="N755" t="n">
        <v>-37.5</v>
      </c>
      <c r="O755" t="n">
        <v>86.87</v>
      </c>
      <c r="P755" t="n">
        <v>109.15</v>
      </c>
      <c r="Q755" t="n">
        <v>58.99</v>
      </c>
      <c r="R755" s="3" t="inlineStr">
        <is>
          <t>MISMATCH_NEEDS_CORRECTION</t>
        </is>
      </c>
      <c r="S755" t="n">
        <v>86.87</v>
      </c>
      <c r="T755" t="inlineStr">
        <is>
          <t>30-07-2026 09:42 IST</t>
        </is>
      </c>
    </row>
    <row r="756">
      <c r="A756" t="n">
        <v>98</v>
      </c>
      <c r="B756" t="n">
        <v>504392</v>
      </c>
      <c r="C756" t="inlineStr">
        <is>
          <t>Krishna Ventures Ltd</t>
        </is>
      </c>
      <c r="D756" t="n">
        <v>2021</v>
      </c>
      <c r="E756" t="n">
        <v>44.02999877929688</v>
      </c>
      <c r="F756" t="n">
        <v>0.03</v>
      </c>
      <c r="G756" t="inlineStr">
        <is>
          <t>Consolidated first (v4) – needs verification for flagged rows</t>
        </is>
      </c>
      <c r="H756" t="n">
        <v>38.5</v>
      </c>
      <c r="I756" t="n">
        <v>8.800000190734863</v>
      </c>
      <c r="L756" t="inlineStr">
        <is>
          <t>UNVERIFIED – negative EPS</t>
        </is>
      </c>
      <c r="M756" t="n">
        <v>1283.33</v>
      </c>
      <c r="N756" t="n">
        <v>293.33</v>
      </c>
      <c r="O756" t="n">
        <v>86.87</v>
      </c>
      <c r="P756" t="n">
        <v>109.15</v>
      </c>
      <c r="Q756" t="n">
        <v>58.99</v>
      </c>
      <c r="R756" s="3" t="inlineStr">
        <is>
          <t>MISMATCH_NEEDS_CORRECTION</t>
        </is>
      </c>
      <c r="S756" t="n">
        <v>86.87</v>
      </c>
      <c r="T756" t="inlineStr">
        <is>
          <t>30-07-2026 09:42 IST</t>
        </is>
      </c>
    </row>
    <row r="757">
      <c r="A757" t="n">
        <v>98</v>
      </c>
      <c r="B757" t="n">
        <v>504392</v>
      </c>
      <c r="C757" t="inlineStr">
        <is>
          <t>Krishna Ventures Ltd</t>
        </is>
      </c>
      <c r="D757" t="n">
        <v>2022</v>
      </c>
      <c r="E757" t="n">
        <v>44.02999877929688</v>
      </c>
      <c r="F757" t="n">
        <v>0.57</v>
      </c>
      <c r="G757" t="inlineStr">
        <is>
          <t>Consolidated first (v4) – needs verification for flagged rows</t>
        </is>
      </c>
      <c r="H757" t="n">
        <v>131.8999938964844</v>
      </c>
      <c r="I757" t="n">
        <v>25.5</v>
      </c>
      <c r="L757" t="inlineStr">
        <is>
          <t>UNVERIFIED – negative EPS</t>
        </is>
      </c>
      <c r="M757" t="n">
        <v>231.4</v>
      </c>
      <c r="N757" t="n">
        <v>44.74</v>
      </c>
      <c r="O757" t="n">
        <v>86.87</v>
      </c>
      <c r="P757" t="n">
        <v>109.15</v>
      </c>
      <c r="Q757" t="n">
        <v>58.99</v>
      </c>
      <c r="R757" s="3" t="inlineStr">
        <is>
          <t>MISMATCH_NEEDS_CORRECTION</t>
        </is>
      </c>
      <c r="S757" t="n">
        <v>86.87</v>
      </c>
      <c r="T757" t="inlineStr">
        <is>
          <t>30-07-2026 09:42 IST</t>
        </is>
      </c>
    </row>
    <row r="758">
      <c r="A758" t="n">
        <v>98</v>
      </c>
      <c r="B758" t="n">
        <v>504392</v>
      </c>
      <c r="C758" t="inlineStr">
        <is>
          <t>Krishna Ventures Ltd</t>
        </is>
      </c>
      <c r="D758" t="n">
        <v>2023</v>
      </c>
      <c r="E758" t="n">
        <v>44.02999877929688</v>
      </c>
      <c r="F758" t="n">
        <v>0.06</v>
      </c>
      <c r="G758" t="inlineStr">
        <is>
          <t>Consolidated first (v4) – needs verification for flagged rows</t>
        </is>
      </c>
      <c r="H758" t="n">
        <v>135.9499969482422</v>
      </c>
      <c r="I758" t="n">
        <v>50.65999984741211</v>
      </c>
      <c r="L758" t="inlineStr">
        <is>
          <t>UNVERIFIED – negative EPS</t>
        </is>
      </c>
      <c r="M758" t="n">
        <v>2265.83</v>
      </c>
      <c r="N758" t="n">
        <v>844.33</v>
      </c>
      <c r="O758" t="n">
        <v>86.87</v>
      </c>
      <c r="P758" t="n">
        <v>109.15</v>
      </c>
      <c r="Q758" t="n">
        <v>58.99</v>
      </c>
      <c r="R758" s="3" t="inlineStr">
        <is>
          <t>MISMATCH_NEEDS_CORRECTION</t>
        </is>
      </c>
      <c r="S758" t="n">
        <v>86.87</v>
      </c>
      <c r="T758" t="inlineStr">
        <is>
          <t>30-07-2026 09:42 IST</t>
        </is>
      </c>
    </row>
    <row r="759">
      <c r="A759" t="n">
        <v>98</v>
      </c>
      <c r="B759" t="n">
        <v>504392</v>
      </c>
      <c r="C759" t="inlineStr">
        <is>
          <t>Krishna Ventures Ltd</t>
        </is>
      </c>
      <c r="D759" t="n">
        <v>2024</v>
      </c>
      <c r="E759" t="n">
        <v>44.02999877929688</v>
      </c>
      <c r="F759" t="n">
        <v>-0.25</v>
      </c>
      <c r="G759" t="inlineStr">
        <is>
          <t>Consolidated first (v4) – needs verification for flagged rows</t>
        </is>
      </c>
      <c r="H759" t="n">
        <v>109.1500015258789</v>
      </c>
      <c r="I759" t="n">
        <v>59.25</v>
      </c>
      <c r="L759" t="inlineStr">
        <is>
          <t>UNVERIFIED – negative EPS</t>
        </is>
      </c>
      <c r="M759" t="n">
        <v>-436.6</v>
      </c>
      <c r="N759" t="n">
        <v>-237</v>
      </c>
      <c r="O759" t="n">
        <v>86.87</v>
      </c>
      <c r="P759" t="n">
        <v>109.15</v>
      </c>
      <c r="Q759" t="n">
        <v>58.99</v>
      </c>
      <c r="R759" s="3" t="inlineStr">
        <is>
          <t>MISMATCH_NEEDS_CORRECTION</t>
        </is>
      </c>
      <c r="S759" t="n">
        <v>86.87</v>
      </c>
      <c r="T759" t="inlineStr">
        <is>
          <t>30-07-2026 09:42 IST</t>
        </is>
      </c>
    </row>
    <row r="760">
      <c r="A760" t="n">
        <v>98</v>
      </c>
      <c r="B760" t="n">
        <v>504392</v>
      </c>
      <c r="C760" t="inlineStr">
        <is>
          <t>Krishna Ventures Ltd</t>
        </is>
      </c>
      <c r="D760" t="n">
        <v>2025</v>
      </c>
      <c r="E760" t="n">
        <v>44.02999877929688</v>
      </c>
      <c r="F760" t="n">
        <v>-0.8100000000000001</v>
      </c>
      <c r="G760" t="inlineStr">
        <is>
          <t>Consolidated first (v4) – needs verification for flagged rows</t>
        </is>
      </c>
      <c r="H760" t="n">
        <v>73.44999694824219</v>
      </c>
      <c r="I760" t="n">
        <v>12.4399995803833</v>
      </c>
      <c r="L760" t="inlineStr">
        <is>
          <t>UNVERIFIED – negative EPS</t>
        </is>
      </c>
      <c r="M760" t="n">
        <v>-90.68000000000001</v>
      </c>
      <c r="N760" t="n">
        <v>-15.36</v>
      </c>
      <c r="O760" t="n">
        <v>86.87</v>
      </c>
      <c r="P760" t="n">
        <v>109.15</v>
      </c>
      <c r="Q760" t="n">
        <v>58.99</v>
      </c>
      <c r="R760" s="3" t="inlineStr">
        <is>
          <t>MISMATCH_NEEDS_CORRECTION</t>
        </is>
      </c>
      <c r="S760" t="n">
        <v>86.87</v>
      </c>
      <c r="T760" t="inlineStr">
        <is>
          <t>30-07-2026 09:42 IST</t>
        </is>
      </c>
    </row>
    <row r="761">
      <c r="A761" t="n">
        <v>98</v>
      </c>
      <c r="B761" t="n">
        <v>504392</v>
      </c>
      <c r="C761" t="inlineStr">
        <is>
          <t>Krishna Ventures Ltd</t>
        </is>
      </c>
      <c r="D761" t="n">
        <v>2026</v>
      </c>
      <c r="E761" t="n">
        <v>44.02999877929688</v>
      </c>
      <c r="F761" t="n">
        <v>-0.06</v>
      </c>
      <c r="G761" t="inlineStr">
        <is>
          <t>Consolidated first (v4) – needs verification for flagged rows</t>
        </is>
      </c>
      <c r="H761" t="n">
        <v>51.72000122070312</v>
      </c>
      <c r="I761" t="n">
        <v>17.10000038146973</v>
      </c>
      <c r="L761" t="inlineStr">
        <is>
          <t>UNVERIFIED – tiny EPS &lt;0.5</t>
        </is>
      </c>
      <c r="M761" t="n">
        <v>-862</v>
      </c>
      <c r="N761" t="n">
        <v>-285</v>
      </c>
      <c r="O761" t="n">
        <v>86.87</v>
      </c>
      <c r="P761" t="n">
        <v>109.15</v>
      </c>
      <c r="Q761" t="n">
        <v>58.99</v>
      </c>
      <c r="R761" s="3" t="inlineStr">
        <is>
          <t>MISMATCH_NEEDS_CORRECTION</t>
        </is>
      </c>
      <c r="S761" t="n">
        <v>86.87</v>
      </c>
      <c r="T761" t="inlineStr">
        <is>
          <t>30-07-2026 09:42 IST</t>
        </is>
      </c>
    </row>
    <row r="762">
      <c r="A762" t="n">
        <v>99</v>
      </c>
      <c r="B762" t="n">
        <v>504605</v>
      </c>
      <c r="C762" t="inlineStr">
        <is>
          <t>Uni Abex Alloy Products Ltd</t>
        </is>
      </c>
      <c r="D762" t="n">
        <v>2015</v>
      </c>
      <c r="E762" t="n">
        <v>4787.60009765625</v>
      </c>
      <c r="F762" t="n">
        <v>-39.09</v>
      </c>
      <c r="G762" t="inlineStr">
        <is>
          <t>Consolidated first (v4) – needs verification for flagged rows</t>
        </is>
      </c>
      <c r="H762" t="n">
        <v>665</v>
      </c>
      <c r="I762" t="n">
        <v>450</v>
      </c>
      <c r="L762" t="inlineStr">
        <is>
          <t>UNVERIFIED – negative EPS</t>
        </is>
      </c>
      <c r="M762" t="n">
        <v>-17.01</v>
      </c>
      <c r="N762" t="n">
        <v>-11.51</v>
      </c>
      <c r="O762" t="n">
        <v>2739.9</v>
      </c>
      <c r="P762" t="n">
        <v>3998.9</v>
      </c>
      <c r="Q762" t="n">
        <v>2132</v>
      </c>
      <c r="R762" s="3" t="inlineStr">
        <is>
          <t>MISMATCH_NEEDS_CORRECTION</t>
        </is>
      </c>
      <c r="S762" t="n">
        <v>2739.9</v>
      </c>
      <c r="T762" t="inlineStr">
        <is>
          <t>30-07-2026 09:42 IST</t>
        </is>
      </c>
    </row>
    <row r="763">
      <c r="A763" t="n">
        <v>99</v>
      </c>
      <c r="B763" t="n">
        <v>504605</v>
      </c>
      <c r="C763" t="inlineStr">
        <is>
          <t>Uni Abex Alloy Products Ltd</t>
        </is>
      </c>
      <c r="D763" t="n">
        <v>2016</v>
      </c>
      <c r="E763" t="n">
        <v>4787.60009765625</v>
      </c>
      <c r="F763" t="n">
        <v>-15.8</v>
      </c>
      <c r="G763" t="inlineStr">
        <is>
          <t>Consolidated first (v4) – needs verification for flagged rows</t>
        </is>
      </c>
      <c r="H763" t="n">
        <v>600</v>
      </c>
      <c r="I763" t="n">
        <v>287</v>
      </c>
      <c r="L763" t="inlineStr">
        <is>
          <t>UNVERIFIED – negative EPS</t>
        </is>
      </c>
      <c r="M763" t="n">
        <v>-37.97</v>
      </c>
      <c r="N763" t="n">
        <v>-18.16</v>
      </c>
      <c r="O763" t="n">
        <v>2739.9</v>
      </c>
      <c r="P763" t="n">
        <v>3998.9</v>
      </c>
      <c r="Q763" t="n">
        <v>2132</v>
      </c>
      <c r="R763" s="3" t="inlineStr">
        <is>
          <t>MISMATCH_NEEDS_CORRECTION</t>
        </is>
      </c>
      <c r="S763" t="n">
        <v>2739.9</v>
      </c>
      <c r="T763" t="inlineStr">
        <is>
          <t>30-07-2026 09:42 IST</t>
        </is>
      </c>
    </row>
    <row r="764">
      <c r="A764" t="n">
        <v>99</v>
      </c>
      <c r="B764" t="n">
        <v>504605</v>
      </c>
      <c r="C764" t="inlineStr">
        <is>
          <t>Uni Abex Alloy Products Ltd</t>
        </is>
      </c>
      <c r="D764" t="n">
        <v>2017</v>
      </c>
      <c r="E764" t="n">
        <v>4787.60009765625</v>
      </c>
      <c r="F764" t="n">
        <v>-42.58</v>
      </c>
      <c r="G764" t="inlineStr">
        <is>
          <t>Consolidated first (v4) – needs verification for flagged rows</t>
        </is>
      </c>
      <c r="H764" t="n">
        <v>539</v>
      </c>
      <c r="I764" t="n">
        <v>270</v>
      </c>
      <c r="L764" t="inlineStr">
        <is>
          <t>UNVERIFIED – negative EPS</t>
        </is>
      </c>
      <c r="M764" t="n">
        <v>-12.66</v>
      </c>
      <c r="N764" t="n">
        <v>-6.34</v>
      </c>
      <c r="O764" t="n">
        <v>2739.9</v>
      </c>
      <c r="P764" t="n">
        <v>3998.9</v>
      </c>
      <c r="Q764" t="n">
        <v>2132</v>
      </c>
      <c r="R764" s="3" t="inlineStr">
        <is>
          <t>MISMATCH_NEEDS_CORRECTION</t>
        </is>
      </c>
      <c r="S764" t="n">
        <v>2739.9</v>
      </c>
      <c r="T764" t="inlineStr">
        <is>
          <t>30-07-2026 09:42 IST</t>
        </is>
      </c>
    </row>
    <row r="765">
      <c r="A765" t="n">
        <v>99</v>
      </c>
      <c r="B765" t="n">
        <v>504605</v>
      </c>
      <c r="C765" t="inlineStr">
        <is>
          <t>Uni Abex Alloy Products Ltd</t>
        </is>
      </c>
      <c r="D765" t="n">
        <v>2018</v>
      </c>
      <c r="E765" t="n">
        <v>4787.60009765625</v>
      </c>
      <c r="F765" t="n">
        <v>6.89</v>
      </c>
      <c r="G765" t="inlineStr">
        <is>
          <t>Consolidated first (v4) – needs verification for flagged rows</t>
        </is>
      </c>
      <c r="H765" t="n">
        <v>680</v>
      </c>
      <c r="I765" t="n">
        <v>400</v>
      </c>
      <c r="L765" t="inlineStr">
        <is>
          <t>OK</t>
        </is>
      </c>
      <c r="M765" t="n">
        <v>98.69</v>
      </c>
      <c r="N765" t="n">
        <v>58.06</v>
      </c>
      <c r="O765" t="n">
        <v>2739.9</v>
      </c>
      <c r="P765" t="n">
        <v>3998.9</v>
      </c>
      <c r="Q765" t="n">
        <v>2132</v>
      </c>
      <c r="R765" s="3" t="inlineStr">
        <is>
          <t>MISMATCH_NEEDS_CORRECTION</t>
        </is>
      </c>
      <c r="S765" t="n">
        <v>2739.9</v>
      </c>
      <c r="T765" t="inlineStr">
        <is>
          <t>30-07-2026 09:42 IST</t>
        </is>
      </c>
    </row>
    <row r="766">
      <c r="A766" t="n">
        <v>99</v>
      </c>
      <c r="B766" t="n">
        <v>504605</v>
      </c>
      <c r="C766" t="inlineStr">
        <is>
          <t>Uni Abex Alloy Products Ltd</t>
        </is>
      </c>
      <c r="D766" t="n">
        <v>2019</v>
      </c>
      <c r="E766" t="n">
        <v>4787.60009765625</v>
      </c>
      <c r="F766" t="n">
        <v>47.65</v>
      </c>
      <c r="G766" t="inlineStr">
        <is>
          <t>Consolidated first (v4) – needs verification for flagged rows</t>
        </is>
      </c>
      <c r="H766" t="n">
        <v>544.0499877929688</v>
      </c>
      <c r="I766" t="n">
        <v>361</v>
      </c>
      <c r="L766" t="inlineStr">
        <is>
          <t>OK</t>
        </is>
      </c>
      <c r="M766" t="n">
        <v>11.42</v>
      </c>
      <c r="N766" t="n">
        <v>7.58</v>
      </c>
      <c r="O766" t="n">
        <v>2739.9</v>
      </c>
      <c r="P766" t="n">
        <v>3998.9</v>
      </c>
      <c r="Q766" t="n">
        <v>2132</v>
      </c>
      <c r="R766" s="3" t="inlineStr">
        <is>
          <t>MISMATCH_NEEDS_CORRECTION</t>
        </is>
      </c>
      <c r="S766" t="n">
        <v>2739.9</v>
      </c>
      <c r="T766" t="inlineStr">
        <is>
          <t>30-07-2026 09:42 IST</t>
        </is>
      </c>
    </row>
    <row r="767">
      <c r="A767" t="n">
        <v>99</v>
      </c>
      <c r="B767" t="n">
        <v>504605</v>
      </c>
      <c r="C767" t="inlineStr">
        <is>
          <t>Uni Abex Alloy Products Ltd</t>
        </is>
      </c>
      <c r="D767" t="n">
        <v>2020</v>
      </c>
      <c r="E767" t="n">
        <v>4787.60009765625</v>
      </c>
      <c r="F767" t="n">
        <v>27.14</v>
      </c>
      <c r="G767" t="inlineStr">
        <is>
          <t>Consolidated first (v4) – needs verification for flagged rows</t>
        </is>
      </c>
      <c r="H767" t="n">
        <v>582.8499755859375</v>
      </c>
      <c r="I767" t="n">
        <v>313.2000122070312</v>
      </c>
      <c r="L767" t="inlineStr">
        <is>
          <t>OK</t>
        </is>
      </c>
      <c r="M767" t="n">
        <v>21.48</v>
      </c>
      <c r="N767" t="n">
        <v>11.54</v>
      </c>
      <c r="O767" t="n">
        <v>2739.9</v>
      </c>
      <c r="P767" t="n">
        <v>3998.9</v>
      </c>
      <c r="Q767" t="n">
        <v>2132</v>
      </c>
      <c r="R767" s="3" t="inlineStr">
        <is>
          <t>MISMATCH_NEEDS_CORRECTION</t>
        </is>
      </c>
      <c r="S767" t="n">
        <v>2739.9</v>
      </c>
      <c r="T767" t="inlineStr">
        <is>
          <t>30-07-2026 09:42 IST</t>
        </is>
      </c>
    </row>
    <row r="768">
      <c r="A768" t="n">
        <v>99</v>
      </c>
      <c r="B768" t="n">
        <v>504605</v>
      </c>
      <c r="C768" t="inlineStr">
        <is>
          <t>Uni Abex Alloy Products Ltd</t>
        </is>
      </c>
      <c r="D768" t="n">
        <v>2021</v>
      </c>
      <c r="E768" t="n">
        <v>4787.60009765625</v>
      </c>
      <c r="F768" t="n">
        <v>54.13</v>
      </c>
      <c r="G768" t="inlineStr">
        <is>
          <t>Consolidated first (v4) – needs verification for flagged rows</t>
        </is>
      </c>
      <c r="H768" t="n">
        <v>807.5</v>
      </c>
      <c r="I768" t="n">
        <v>361.2000122070312</v>
      </c>
      <c r="L768" t="inlineStr">
        <is>
          <t>OK</t>
        </is>
      </c>
      <c r="M768" t="n">
        <v>14.92</v>
      </c>
      <c r="N768" t="n">
        <v>6.67</v>
      </c>
      <c r="O768" t="n">
        <v>2739.9</v>
      </c>
      <c r="P768" t="n">
        <v>3998.9</v>
      </c>
      <c r="Q768" t="n">
        <v>2132</v>
      </c>
      <c r="R768" s="3" t="inlineStr">
        <is>
          <t>MISMATCH_NEEDS_CORRECTION</t>
        </is>
      </c>
      <c r="S768" t="n">
        <v>2739.9</v>
      </c>
      <c r="T768" t="inlineStr">
        <is>
          <t>30-07-2026 09:42 IST</t>
        </is>
      </c>
    </row>
    <row r="769">
      <c r="A769" t="n">
        <v>99</v>
      </c>
      <c r="B769" t="n">
        <v>504605</v>
      </c>
      <c r="C769" t="inlineStr">
        <is>
          <t>Uni Abex Alloy Products Ltd</t>
        </is>
      </c>
      <c r="D769" t="n">
        <v>2022</v>
      </c>
      <c r="E769" t="n">
        <v>4787.60009765625</v>
      </c>
      <c r="F769" t="n">
        <v>62.28</v>
      </c>
      <c r="G769" t="inlineStr">
        <is>
          <t>Consolidated first (v4) – needs verification for flagged rows</t>
        </is>
      </c>
      <c r="H769" t="n">
        <v>840</v>
      </c>
      <c r="I769" t="n">
        <v>516.5</v>
      </c>
      <c r="L769" t="inlineStr">
        <is>
          <t>OK</t>
        </is>
      </c>
      <c r="M769" t="n">
        <v>13.49</v>
      </c>
      <c r="N769" t="n">
        <v>8.289999999999999</v>
      </c>
      <c r="O769" t="n">
        <v>2739.9</v>
      </c>
      <c r="P769" t="n">
        <v>3998.9</v>
      </c>
      <c r="Q769" t="n">
        <v>2132</v>
      </c>
      <c r="R769" s="3" t="inlineStr">
        <is>
          <t>MISMATCH_NEEDS_CORRECTION</t>
        </is>
      </c>
      <c r="S769" t="n">
        <v>2739.9</v>
      </c>
      <c r="T769" t="inlineStr">
        <is>
          <t>30-07-2026 09:42 IST</t>
        </is>
      </c>
    </row>
    <row r="770">
      <c r="A770" t="n">
        <v>99</v>
      </c>
      <c r="B770" t="n">
        <v>504605</v>
      </c>
      <c r="C770" t="inlineStr">
        <is>
          <t>Uni Abex Alloy Products Ltd</t>
        </is>
      </c>
      <c r="D770" t="n">
        <v>2023</v>
      </c>
      <c r="E770" t="n">
        <v>4787.60009765625</v>
      </c>
      <c r="F770" t="n">
        <v>93.81999999999999</v>
      </c>
      <c r="G770" t="inlineStr">
        <is>
          <t>Consolidated first (v4) – needs verification for flagged rows</t>
        </is>
      </c>
      <c r="H770" t="n">
        <v>3445</v>
      </c>
      <c r="I770" t="n">
        <v>601.5</v>
      </c>
      <c r="L770" t="inlineStr">
        <is>
          <t>OK</t>
        </is>
      </c>
      <c r="M770" t="n">
        <v>36.72</v>
      </c>
      <c r="N770" t="n">
        <v>6.41</v>
      </c>
      <c r="O770" t="n">
        <v>2739.9</v>
      </c>
      <c r="P770" t="n">
        <v>3998.9</v>
      </c>
      <c r="Q770" t="n">
        <v>2132</v>
      </c>
      <c r="R770" s="3" t="inlineStr">
        <is>
          <t>MISMATCH_NEEDS_CORRECTION</t>
        </is>
      </c>
      <c r="S770" t="n">
        <v>2739.9</v>
      </c>
      <c r="T770" t="inlineStr">
        <is>
          <t>30-07-2026 09:42 IST</t>
        </is>
      </c>
    </row>
    <row r="771">
      <c r="A771" t="n">
        <v>99</v>
      </c>
      <c r="B771" t="n">
        <v>504605</v>
      </c>
      <c r="C771" t="inlineStr">
        <is>
          <t>Uni Abex Alloy Products Ltd</t>
        </is>
      </c>
      <c r="D771" t="n">
        <v>2024</v>
      </c>
      <c r="E771" t="n">
        <v>4787.60009765625</v>
      </c>
      <c r="F771" t="n">
        <v>179.54</v>
      </c>
      <c r="G771" t="inlineStr">
        <is>
          <t>Consolidated first (v4) – needs verification for flagged rows</t>
        </is>
      </c>
      <c r="H771" t="n">
        <v>3998.89990234375</v>
      </c>
      <c r="I771" t="n">
        <v>2132</v>
      </c>
      <c r="L771" t="inlineStr">
        <is>
          <t>OK</t>
        </is>
      </c>
      <c r="M771" t="n">
        <v>22.27</v>
      </c>
      <c r="N771" t="n">
        <v>11.87</v>
      </c>
      <c r="O771" t="n">
        <v>2739.9</v>
      </c>
      <c r="P771" t="n">
        <v>3998.9</v>
      </c>
      <c r="Q771" t="n">
        <v>2132</v>
      </c>
      <c r="R771" s="3" t="inlineStr">
        <is>
          <t>MISMATCH_NEEDS_CORRECTION</t>
        </is>
      </c>
      <c r="S771" t="n">
        <v>2739.9</v>
      </c>
      <c r="T771" t="inlineStr">
        <is>
          <t>30-07-2026 09:42 IST</t>
        </is>
      </c>
    </row>
    <row r="772">
      <c r="A772" t="n">
        <v>99</v>
      </c>
      <c r="B772" t="n">
        <v>504605</v>
      </c>
      <c r="C772" t="inlineStr">
        <is>
          <t>Uni Abex Alloy Products Ltd</t>
        </is>
      </c>
      <c r="D772" t="n">
        <v>2025</v>
      </c>
      <c r="E772" t="n">
        <v>4787.60009765625</v>
      </c>
      <c r="F772" t="n">
        <v>169.97</v>
      </c>
      <c r="G772" t="inlineStr">
        <is>
          <t>Consolidated first (v4) – needs verification for flagged rows</t>
        </is>
      </c>
      <c r="H772" t="n">
        <v>3995</v>
      </c>
      <c r="I772" t="n">
        <v>1820.050048828125</v>
      </c>
      <c r="L772" t="inlineStr">
        <is>
          <t>OK</t>
        </is>
      </c>
      <c r="M772" t="n">
        <v>23.5</v>
      </c>
      <c r="N772" t="n">
        <v>10.71</v>
      </c>
      <c r="O772" t="n">
        <v>2739.9</v>
      </c>
      <c r="P772" t="n">
        <v>3998.9</v>
      </c>
      <c r="Q772" t="n">
        <v>2132</v>
      </c>
      <c r="R772" s="3" t="inlineStr">
        <is>
          <t>MISMATCH_NEEDS_CORRECTION</t>
        </is>
      </c>
      <c r="S772" t="n">
        <v>2739.9</v>
      </c>
      <c r="T772" t="inlineStr">
        <is>
          <t>30-07-2026 09:42 IST</t>
        </is>
      </c>
    </row>
    <row r="773">
      <c r="A773" t="n">
        <v>99</v>
      </c>
      <c r="B773" t="n">
        <v>504605</v>
      </c>
      <c r="C773" t="inlineStr">
        <is>
          <t>Uni Abex Alloy Products Ltd</t>
        </is>
      </c>
      <c r="D773" t="n">
        <v>2026</v>
      </c>
      <c r="E773" t="n">
        <v>4787.60009765625</v>
      </c>
      <c r="F773" t="n">
        <v>1417.01</v>
      </c>
      <c r="G773" t="inlineStr">
        <is>
          <t>Consolidated first (v4) – needs verification for flagged rows</t>
        </is>
      </c>
      <c r="H773" t="n">
        <v>5750</v>
      </c>
      <c r="I773" t="n">
        <v>2667</v>
      </c>
      <c r="L773" t="inlineStr">
        <is>
          <t>OK</t>
        </is>
      </c>
      <c r="M773" t="n">
        <v>4.06</v>
      </c>
      <c r="N773" t="n">
        <v>1.88</v>
      </c>
      <c r="O773" t="n">
        <v>2739.9</v>
      </c>
      <c r="P773" t="n">
        <v>3998.9</v>
      </c>
      <c r="Q773" t="n">
        <v>2132</v>
      </c>
      <c r="R773" s="3" t="inlineStr">
        <is>
          <t>MISMATCH_NEEDS_CORRECTION</t>
        </is>
      </c>
      <c r="S773" t="n">
        <v>2739.9</v>
      </c>
      <c r="T773" t="inlineStr">
        <is>
          <t>30-07-2026 09:42 IST</t>
        </is>
      </c>
    </row>
    <row r="774">
      <c r="A774" t="n">
        <v>101</v>
      </c>
      <c r="B774" t="n">
        <v>504648</v>
      </c>
      <c r="C774" t="inlineStr">
        <is>
          <t>Bombay Wire Ropes Ltd</t>
        </is>
      </c>
      <c r="D774" t="n">
        <v>2020</v>
      </c>
      <c r="E774" t="n">
        <v>49.47000122070312</v>
      </c>
      <c r="F774" t="n">
        <v>-0.02</v>
      </c>
      <c r="G774" t="inlineStr">
        <is>
          <t>Consolidated first (v4) – needs verification for flagged rows</t>
        </is>
      </c>
      <c r="H774" t="n">
        <v>1.889999985694885</v>
      </c>
      <c r="I774" t="n">
        <v>1.5</v>
      </c>
      <c r="L774" t="inlineStr">
        <is>
          <t>UNVERIFIED – negative EPS</t>
        </is>
      </c>
      <c r="M774" t="n">
        <v>-94.5</v>
      </c>
      <c r="N774" t="n">
        <v>-75</v>
      </c>
      <c r="O774" t="n">
        <v>75.86</v>
      </c>
      <c r="P774" t="n">
        <v>93.98999999999999</v>
      </c>
      <c r="Q774" t="n">
        <v>39.05</v>
      </c>
      <c r="R774" s="3" t="inlineStr">
        <is>
          <t>MISMATCH_NEEDS_CORRECTION</t>
        </is>
      </c>
      <c r="S774" t="n">
        <v>75.86</v>
      </c>
      <c r="T774" t="inlineStr">
        <is>
          <t>30-07-2026 09:42 IST</t>
        </is>
      </c>
    </row>
    <row r="775">
      <c r="A775" t="n">
        <v>101</v>
      </c>
      <c r="B775" t="n">
        <v>504648</v>
      </c>
      <c r="C775" t="inlineStr">
        <is>
          <t>Bombay Wire Ropes Ltd</t>
        </is>
      </c>
      <c r="D775" t="n">
        <v>2021</v>
      </c>
      <c r="E775" t="n">
        <v>49.47000122070312</v>
      </c>
      <c r="F775" t="n">
        <v>0.04</v>
      </c>
      <c r="G775" t="inlineStr">
        <is>
          <t>Consolidated first (v4) – needs verification for flagged rows</t>
        </is>
      </c>
      <c r="H775" t="n">
        <v>70.90000152587891</v>
      </c>
      <c r="I775" t="n">
        <v>1.889999985694885</v>
      </c>
      <c r="L775" t="inlineStr">
        <is>
          <t>UNVERIFIED – tiny EPS &lt;0.5</t>
        </is>
      </c>
      <c r="M775" t="n">
        <v>1772.5</v>
      </c>
      <c r="N775" t="n">
        <v>47.25</v>
      </c>
      <c r="O775" t="n">
        <v>75.86</v>
      </c>
      <c r="P775" t="n">
        <v>93.98999999999999</v>
      </c>
      <c r="Q775" t="n">
        <v>39.05</v>
      </c>
      <c r="R775" s="3" t="inlineStr">
        <is>
          <t>MISMATCH_NEEDS_CORRECTION</t>
        </is>
      </c>
      <c r="S775" t="n">
        <v>75.86</v>
      </c>
      <c r="T775" t="inlineStr">
        <is>
          <t>30-07-2026 09:42 IST</t>
        </is>
      </c>
    </row>
    <row r="776">
      <c r="A776" t="n">
        <v>101</v>
      </c>
      <c r="B776" t="n">
        <v>504648</v>
      </c>
      <c r="C776" t="inlineStr">
        <is>
          <t>Bombay Wire Ropes Ltd</t>
        </is>
      </c>
      <c r="D776" t="n">
        <v>2022</v>
      </c>
      <c r="E776" t="n">
        <v>49.47000122070312</v>
      </c>
      <c r="F776" t="n">
        <v>-4.23</v>
      </c>
      <c r="G776" t="inlineStr">
        <is>
          <t>Consolidated first (v4) – needs verification for flagged rows</t>
        </is>
      </c>
      <c r="H776" t="n">
        <v>105.1999969482422</v>
      </c>
      <c r="I776" t="n">
        <v>26.64999961853027</v>
      </c>
      <c r="L776" t="inlineStr">
        <is>
          <t>UNVERIFIED – negative EPS</t>
        </is>
      </c>
      <c r="M776" t="n">
        <v>-24.87</v>
      </c>
      <c r="N776" t="n">
        <v>-6.3</v>
      </c>
      <c r="O776" t="n">
        <v>75.86</v>
      </c>
      <c r="P776" t="n">
        <v>93.98999999999999</v>
      </c>
      <c r="Q776" t="n">
        <v>39.05</v>
      </c>
      <c r="R776" s="3" t="inlineStr">
        <is>
          <t>MISMATCH_NEEDS_CORRECTION</t>
        </is>
      </c>
      <c r="S776" t="n">
        <v>75.86</v>
      </c>
      <c r="T776" t="inlineStr">
        <is>
          <t>30-07-2026 09:42 IST</t>
        </is>
      </c>
    </row>
    <row r="777">
      <c r="A777" t="n">
        <v>101</v>
      </c>
      <c r="B777" t="n">
        <v>504648</v>
      </c>
      <c r="C777" t="inlineStr">
        <is>
          <t>Bombay Wire Ropes Ltd</t>
        </is>
      </c>
      <c r="D777" t="n">
        <v>2023</v>
      </c>
      <c r="E777" t="n">
        <v>49.47000122070312</v>
      </c>
      <c r="F777" t="n">
        <v>-0.62</v>
      </c>
      <c r="G777" t="inlineStr">
        <is>
          <t>Consolidated first (v4) – needs verification for flagged rows</t>
        </is>
      </c>
      <c r="H777" t="n">
        <v>38.84999847412109</v>
      </c>
      <c r="I777" t="n">
        <v>17.26000022888184</v>
      </c>
      <c r="L777" t="inlineStr">
        <is>
          <t>UNVERIFIED – negative EPS</t>
        </is>
      </c>
      <c r="M777" t="n">
        <v>-62.66</v>
      </c>
      <c r="N777" t="n">
        <v>-27.84</v>
      </c>
      <c r="O777" t="n">
        <v>75.86</v>
      </c>
      <c r="P777" t="n">
        <v>93.98999999999999</v>
      </c>
      <c r="Q777" t="n">
        <v>39.05</v>
      </c>
      <c r="R777" s="3" t="inlineStr">
        <is>
          <t>MISMATCH_NEEDS_CORRECTION</t>
        </is>
      </c>
      <c r="S777" t="n">
        <v>75.86</v>
      </c>
      <c r="T777" t="inlineStr">
        <is>
          <t>30-07-2026 09:42 IST</t>
        </is>
      </c>
    </row>
    <row r="778">
      <c r="A778" t="n">
        <v>101</v>
      </c>
      <c r="B778" t="n">
        <v>504648</v>
      </c>
      <c r="C778" t="inlineStr">
        <is>
          <t>Bombay Wire Ropes Ltd</t>
        </is>
      </c>
      <c r="D778" t="n">
        <v>2024</v>
      </c>
      <c r="E778" t="n">
        <v>49.47000122070312</v>
      </c>
      <c r="F778" t="n">
        <v>-0.58</v>
      </c>
      <c r="G778" t="inlineStr">
        <is>
          <t>Consolidated first (v4) – needs verification for flagged rows</t>
        </is>
      </c>
      <c r="H778" t="n">
        <v>93.98999786376953</v>
      </c>
      <c r="I778" t="n">
        <v>32.56999969482422</v>
      </c>
      <c r="L778" t="inlineStr">
        <is>
          <t>UNVERIFIED – negative EPS</t>
        </is>
      </c>
      <c r="M778" t="n">
        <v>-162.05</v>
      </c>
      <c r="N778" t="n">
        <v>-56.16</v>
      </c>
      <c r="O778" t="n">
        <v>75.86</v>
      </c>
      <c r="P778" t="n">
        <v>93.98999999999999</v>
      </c>
      <c r="Q778" t="n">
        <v>39.05</v>
      </c>
      <c r="R778" s="3" t="inlineStr">
        <is>
          <t>MISMATCH_NEEDS_CORRECTION</t>
        </is>
      </c>
      <c r="S778" t="n">
        <v>75.86</v>
      </c>
      <c r="T778" t="inlineStr">
        <is>
          <t>30-07-2026 09:42 IST</t>
        </is>
      </c>
    </row>
    <row r="779">
      <c r="A779" t="n">
        <v>101</v>
      </c>
      <c r="B779" t="n">
        <v>504648</v>
      </c>
      <c r="C779" t="inlineStr">
        <is>
          <t>Bombay Wire Ropes Ltd</t>
        </is>
      </c>
      <c r="D779" t="n">
        <v>2025</v>
      </c>
      <c r="E779" t="n">
        <v>49.47000122070312</v>
      </c>
      <c r="F779" t="n">
        <v>-2.45</v>
      </c>
      <c r="G779" t="inlineStr">
        <is>
          <t>Consolidated first (v4) – needs verification for flagged rows</t>
        </is>
      </c>
      <c r="H779" t="n">
        <v>74.5</v>
      </c>
      <c r="I779" t="n">
        <v>44.65000152587891</v>
      </c>
      <c r="L779" t="inlineStr">
        <is>
          <t>UNVERIFIED – negative EPS</t>
        </is>
      </c>
      <c r="M779" t="n">
        <v>-30.41</v>
      </c>
      <c r="N779" t="n">
        <v>-18.22</v>
      </c>
      <c r="O779" t="n">
        <v>75.86</v>
      </c>
      <c r="P779" t="n">
        <v>93.98999999999999</v>
      </c>
      <c r="Q779" t="n">
        <v>39.05</v>
      </c>
      <c r="R779" s="3" t="inlineStr">
        <is>
          <t>MISMATCH_NEEDS_CORRECTION</t>
        </is>
      </c>
      <c r="S779" t="n">
        <v>75.86</v>
      </c>
      <c r="T779" t="inlineStr">
        <is>
          <t>30-07-2026 09:42 IST</t>
        </is>
      </c>
    </row>
    <row r="780">
      <c r="A780" t="n">
        <v>101</v>
      </c>
      <c r="B780" t="n">
        <v>504648</v>
      </c>
      <c r="C780" t="inlineStr">
        <is>
          <t>Bombay Wire Ropes Ltd</t>
        </is>
      </c>
      <c r="D780" t="n">
        <v>2026</v>
      </c>
      <c r="E780" t="n">
        <v>49.47000122070312</v>
      </c>
      <c r="F780" t="n">
        <v>0.06</v>
      </c>
      <c r="G780" t="inlineStr">
        <is>
          <t>Consolidated first (v4) – needs verification for flagged rows</t>
        </is>
      </c>
      <c r="H780" t="n">
        <v>58.5</v>
      </c>
      <c r="I780" t="n">
        <v>35.56000137329102</v>
      </c>
      <c r="L780" t="inlineStr">
        <is>
          <t>UNVERIFIED – negative EPS</t>
        </is>
      </c>
      <c r="M780" t="n">
        <v>975</v>
      </c>
      <c r="N780" t="n">
        <v>592.67</v>
      </c>
      <c r="O780" t="n">
        <v>75.86</v>
      </c>
      <c r="P780" t="n">
        <v>93.98999999999999</v>
      </c>
      <c r="Q780" t="n">
        <v>39.05</v>
      </c>
      <c r="R780" s="3" t="inlineStr">
        <is>
          <t>MISMATCH_NEEDS_CORRECTION</t>
        </is>
      </c>
      <c r="S780" t="n">
        <v>75.86</v>
      </c>
      <c r="T780" t="inlineStr">
        <is>
          <t>30-07-2026 09:42 IST</t>
        </is>
      </c>
    </row>
    <row r="781">
      <c r="A781" t="n">
        <v>103</v>
      </c>
      <c r="B781" t="n">
        <v>505036</v>
      </c>
      <c r="C781" t="inlineStr">
        <is>
          <t>Automobile Corp Of Goa Ltd</t>
        </is>
      </c>
      <c r="D781" t="n">
        <v>2015</v>
      </c>
      <c r="E781" t="n">
        <v>2194.5</v>
      </c>
      <c r="F781" t="n">
        <v>23.76</v>
      </c>
      <c r="G781" t="inlineStr">
        <is>
          <t>Consolidated first (v4) – needs verification for flagged rows</t>
        </is>
      </c>
      <c r="H781" t="n">
        <v>590</v>
      </c>
      <c r="I781" t="n">
        <v>380</v>
      </c>
      <c r="L781" t="inlineStr">
        <is>
          <t>OK</t>
        </is>
      </c>
      <c r="M781" t="n">
        <v>24.83</v>
      </c>
      <c r="N781" t="n">
        <v>15.99</v>
      </c>
      <c r="O781" t="n">
        <v>2049.55</v>
      </c>
      <c r="P781" t="n">
        <v>3449</v>
      </c>
      <c r="Q781" t="n">
        <v>1394</v>
      </c>
      <c r="R781" s="3" t="inlineStr">
        <is>
          <t>MISMATCH_NEEDS_CORRECTION</t>
        </is>
      </c>
      <c r="S781" t="n">
        <v>2049.55</v>
      </c>
      <c r="T781" t="inlineStr">
        <is>
          <t>30-07-2026 09:42 IST</t>
        </is>
      </c>
    </row>
    <row r="782">
      <c r="A782" t="n">
        <v>103</v>
      </c>
      <c r="B782" t="n">
        <v>505036</v>
      </c>
      <c r="C782" t="inlineStr">
        <is>
          <t>Automobile Corp Of Goa Ltd</t>
        </is>
      </c>
      <c r="D782" t="n">
        <v>2016</v>
      </c>
      <c r="E782" t="n">
        <v>2194.5</v>
      </c>
      <c r="F782" t="n">
        <v>26.4</v>
      </c>
      <c r="G782" t="inlineStr">
        <is>
          <t>Consolidated first (v4) – needs verification for flagged rows</t>
        </is>
      </c>
      <c r="H782" t="n">
        <v>752</v>
      </c>
      <c r="I782" t="n">
        <v>388</v>
      </c>
      <c r="L782" t="inlineStr">
        <is>
          <t>OK</t>
        </is>
      </c>
      <c r="M782" t="n">
        <v>28.48</v>
      </c>
      <c r="N782" t="n">
        <v>14.7</v>
      </c>
      <c r="O782" t="n">
        <v>2049.55</v>
      </c>
      <c r="P782" t="n">
        <v>3449</v>
      </c>
      <c r="Q782" t="n">
        <v>1394</v>
      </c>
      <c r="R782" s="3" t="inlineStr">
        <is>
          <t>MISMATCH_NEEDS_CORRECTION</t>
        </is>
      </c>
      <c r="S782" t="n">
        <v>2049.55</v>
      </c>
      <c r="T782" t="inlineStr">
        <is>
          <t>30-07-2026 09:42 IST</t>
        </is>
      </c>
    </row>
    <row r="783">
      <c r="A783" t="n">
        <v>103</v>
      </c>
      <c r="B783" t="n">
        <v>505036</v>
      </c>
      <c r="C783" t="inlineStr">
        <is>
          <t>Automobile Corp Of Goa Ltd</t>
        </is>
      </c>
      <c r="D783" t="n">
        <v>2017</v>
      </c>
      <c r="E783" t="n">
        <v>2194.5</v>
      </c>
      <c r="F783" t="n">
        <v>32.67</v>
      </c>
      <c r="G783" t="inlineStr">
        <is>
          <t>Consolidated first (v4) – needs verification for flagged rows</t>
        </is>
      </c>
      <c r="H783" t="n">
        <v>1350</v>
      </c>
      <c r="I783" t="n">
        <v>557</v>
      </c>
      <c r="L783" t="inlineStr">
        <is>
          <t>OK</t>
        </is>
      </c>
      <c r="M783" t="n">
        <v>41.32</v>
      </c>
      <c r="N783" t="n">
        <v>17.05</v>
      </c>
      <c r="O783" t="n">
        <v>2049.55</v>
      </c>
      <c r="P783" t="n">
        <v>3449</v>
      </c>
      <c r="Q783" t="n">
        <v>1394</v>
      </c>
      <c r="R783" s="3" t="inlineStr">
        <is>
          <t>MISMATCH_NEEDS_CORRECTION</t>
        </is>
      </c>
      <c r="S783" t="n">
        <v>2049.55</v>
      </c>
      <c r="T783" t="inlineStr">
        <is>
          <t>30-07-2026 09:42 IST</t>
        </is>
      </c>
    </row>
    <row r="784">
      <c r="A784" t="n">
        <v>103</v>
      </c>
      <c r="B784" t="n">
        <v>505036</v>
      </c>
      <c r="C784" t="inlineStr">
        <is>
          <t>Automobile Corp Of Goa Ltd</t>
        </is>
      </c>
      <c r="D784" t="n">
        <v>2018</v>
      </c>
      <c r="E784" t="n">
        <v>2194.5</v>
      </c>
      <c r="F784" t="n">
        <v>31.39</v>
      </c>
      <c r="G784" t="inlineStr">
        <is>
          <t>Consolidated first (v4) – needs verification for flagged rows</t>
        </is>
      </c>
      <c r="H784" t="n">
        <v>1670</v>
      </c>
      <c r="I784" t="n">
        <v>650</v>
      </c>
      <c r="L784" t="inlineStr">
        <is>
          <t>OK</t>
        </is>
      </c>
      <c r="M784" t="n">
        <v>53.2</v>
      </c>
      <c r="N784" t="n">
        <v>20.71</v>
      </c>
      <c r="O784" t="n">
        <v>2049.55</v>
      </c>
      <c r="P784" t="n">
        <v>3449</v>
      </c>
      <c r="Q784" t="n">
        <v>1394</v>
      </c>
      <c r="R784" s="3" t="inlineStr">
        <is>
          <t>MISMATCH_NEEDS_CORRECTION</t>
        </is>
      </c>
      <c r="S784" t="n">
        <v>2049.55</v>
      </c>
      <c r="T784" t="inlineStr">
        <is>
          <t>30-07-2026 09:42 IST</t>
        </is>
      </c>
    </row>
    <row r="785">
      <c r="A785" t="n">
        <v>103</v>
      </c>
      <c r="B785" t="n">
        <v>505036</v>
      </c>
      <c r="C785" t="inlineStr">
        <is>
          <t>Automobile Corp Of Goa Ltd</t>
        </is>
      </c>
      <c r="D785" t="n">
        <v>2019</v>
      </c>
      <c r="E785" t="n">
        <v>2194.5</v>
      </c>
      <c r="F785" t="n">
        <v>32.48</v>
      </c>
      <c r="G785" t="inlineStr">
        <is>
          <t>Consolidated first (v4) – needs verification for flagged rows</t>
        </is>
      </c>
      <c r="H785" t="n">
        <v>704</v>
      </c>
      <c r="I785" t="n">
        <v>441</v>
      </c>
      <c r="L785" t="inlineStr">
        <is>
          <t>OK</t>
        </is>
      </c>
      <c r="M785" t="n">
        <v>21.67</v>
      </c>
      <c r="N785" t="n">
        <v>13.58</v>
      </c>
      <c r="O785" t="n">
        <v>2049.55</v>
      </c>
      <c r="P785" t="n">
        <v>3449</v>
      </c>
      <c r="Q785" t="n">
        <v>1394</v>
      </c>
      <c r="R785" s="3" t="inlineStr">
        <is>
          <t>MISMATCH_NEEDS_CORRECTION</t>
        </is>
      </c>
      <c r="S785" t="n">
        <v>2049.55</v>
      </c>
      <c r="T785" t="inlineStr">
        <is>
          <t>30-07-2026 09:42 IST</t>
        </is>
      </c>
    </row>
    <row r="786">
      <c r="A786" t="n">
        <v>103</v>
      </c>
      <c r="B786" t="n">
        <v>505036</v>
      </c>
      <c r="C786" t="inlineStr">
        <is>
          <t>Automobile Corp Of Goa Ltd</t>
        </is>
      </c>
      <c r="D786" t="n">
        <v>2020</v>
      </c>
      <c r="E786" t="n">
        <v>2194.5</v>
      </c>
      <c r="F786" t="n">
        <v>16.36</v>
      </c>
      <c r="G786" t="inlineStr">
        <is>
          <t>Consolidated first (v4) – needs verification for flagged rows</t>
        </is>
      </c>
      <c r="H786" t="n">
        <v>584.3499755859375</v>
      </c>
      <c r="I786" t="n">
        <v>227.3000030517578</v>
      </c>
      <c r="L786" t="inlineStr">
        <is>
          <t>OK</t>
        </is>
      </c>
      <c r="M786" t="n">
        <v>35.72</v>
      </c>
      <c r="N786" t="n">
        <v>13.89</v>
      </c>
      <c r="O786" t="n">
        <v>2049.55</v>
      </c>
      <c r="P786" t="n">
        <v>3449</v>
      </c>
      <c r="Q786" t="n">
        <v>1394</v>
      </c>
      <c r="R786" s="3" t="inlineStr">
        <is>
          <t>MISMATCH_NEEDS_CORRECTION</t>
        </is>
      </c>
      <c r="S786" t="n">
        <v>2049.55</v>
      </c>
      <c r="T786" t="inlineStr">
        <is>
          <t>30-07-2026 09:42 IST</t>
        </is>
      </c>
    </row>
    <row r="787">
      <c r="A787" t="n">
        <v>103</v>
      </c>
      <c r="B787" t="n">
        <v>505036</v>
      </c>
      <c r="C787" t="inlineStr">
        <is>
          <t>Automobile Corp Of Goa Ltd</t>
        </is>
      </c>
      <c r="D787" t="n">
        <v>2021</v>
      </c>
      <c r="E787" t="n">
        <v>2194.5</v>
      </c>
      <c r="F787" t="n">
        <v>-20.55</v>
      </c>
      <c r="G787" t="inlineStr">
        <is>
          <t>Consolidated first (v4) – needs verification for flagged rows</t>
        </is>
      </c>
      <c r="H787" t="n">
        <v>1197.949951171875</v>
      </c>
      <c r="I787" t="n">
        <v>360</v>
      </c>
      <c r="L787" t="inlineStr">
        <is>
          <t>UNVERIFIED – negative EPS</t>
        </is>
      </c>
      <c r="M787" t="n">
        <v>-58.29</v>
      </c>
      <c r="N787" t="n">
        <v>-17.52</v>
      </c>
      <c r="O787" t="n">
        <v>2049.55</v>
      </c>
      <c r="P787" t="n">
        <v>3449</v>
      </c>
      <c r="Q787" t="n">
        <v>1394</v>
      </c>
      <c r="R787" s="3" t="inlineStr">
        <is>
          <t>MISMATCH_NEEDS_CORRECTION</t>
        </is>
      </c>
      <c r="S787" t="n">
        <v>2049.55</v>
      </c>
      <c r="T787" t="inlineStr">
        <is>
          <t>30-07-2026 09:42 IST</t>
        </is>
      </c>
    </row>
    <row r="788">
      <c r="A788" t="n">
        <v>103</v>
      </c>
      <c r="B788" t="n">
        <v>505036</v>
      </c>
      <c r="C788" t="inlineStr">
        <is>
          <t>Automobile Corp Of Goa Ltd</t>
        </is>
      </c>
      <c r="D788" t="n">
        <v>2022</v>
      </c>
      <c r="E788" t="n">
        <v>2194.5</v>
      </c>
      <c r="F788" t="n">
        <v>5.65</v>
      </c>
      <c r="G788" t="inlineStr">
        <is>
          <t>Consolidated first (v4) – needs verification for flagged rows</t>
        </is>
      </c>
      <c r="H788" t="n">
        <v>1145</v>
      </c>
      <c r="I788" t="n">
        <v>705.0499877929688</v>
      </c>
      <c r="L788" t="inlineStr">
        <is>
          <t>OK</t>
        </is>
      </c>
      <c r="M788" t="n">
        <v>202.65</v>
      </c>
      <c r="N788" t="n">
        <v>124.79</v>
      </c>
      <c r="O788" t="n">
        <v>2049.55</v>
      </c>
      <c r="P788" t="n">
        <v>3449</v>
      </c>
      <c r="Q788" t="n">
        <v>1394</v>
      </c>
      <c r="R788" s="3" t="inlineStr">
        <is>
          <t>MISMATCH_NEEDS_CORRECTION</t>
        </is>
      </c>
      <c r="S788" t="n">
        <v>2049.55</v>
      </c>
      <c r="T788" t="inlineStr">
        <is>
          <t>30-07-2026 09:42 IST</t>
        </is>
      </c>
    </row>
    <row r="789">
      <c r="A789" t="n">
        <v>103</v>
      </c>
      <c r="B789" t="n">
        <v>505036</v>
      </c>
      <c r="C789" t="inlineStr">
        <is>
          <t>Automobile Corp Of Goa Ltd</t>
        </is>
      </c>
      <c r="D789" t="n">
        <v>2023</v>
      </c>
      <c r="E789" t="n">
        <v>2194.5</v>
      </c>
      <c r="F789" t="n">
        <v>45.74</v>
      </c>
      <c r="G789" t="inlineStr">
        <is>
          <t>Consolidated first (v4) – needs verification for flagged rows</t>
        </is>
      </c>
      <c r="H789" t="n">
        <v>1655</v>
      </c>
      <c r="I789" t="n">
        <v>661.2000122070312</v>
      </c>
      <c r="L789" t="inlineStr">
        <is>
          <t>OK</t>
        </is>
      </c>
      <c r="M789" t="n">
        <v>36.18</v>
      </c>
      <c r="N789" t="n">
        <v>14.46</v>
      </c>
      <c r="O789" t="n">
        <v>2049.55</v>
      </c>
      <c r="P789" t="n">
        <v>3449</v>
      </c>
      <c r="Q789" t="n">
        <v>1394</v>
      </c>
      <c r="R789" s="3" t="inlineStr">
        <is>
          <t>MISMATCH_NEEDS_CORRECTION</t>
        </is>
      </c>
      <c r="S789" t="n">
        <v>2049.55</v>
      </c>
      <c r="T789" t="inlineStr">
        <is>
          <t>30-07-2026 09:42 IST</t>
        </is>
      </c>
    </row>
    <row r="790">
      <c r="A790" t="n">
        <v>103</v>
      </c>
      <c r="B790" t="n">
        <v>505036</v>
      </c>
      <c r="C790" t="inlineStr">
        <is>
          <t>Automobile Corp Of Goa Ltd</t>
        </is>
      </c>
      <c r="D790" t="n">
        <v>2024</v>
      </c>
      <c r="E790" t="n">
        <v>2194.5</v>
      </c>
      <c r="F790" t="n">
        <v>63.02</v>
      </c>
      <c r="G790" t="inlineStr">
        <is>
          <t>Consolidated first (v4) – needs verification for flagged rows</t>
        </is>
      </c>
      <c r="H790" t="n">
        <v>3449</v>
      </c>
      <c r="I790" t="n">
        <v>1390</v>
      </c>
      <c r="L790" t="inlineStr">
        <is>
          <t>OK</t>
        </is>
      </c>
      <c r="M790" t="n">
        <v>54.73</v>
      </c>
      <c r="N790" t="n">
        <v>22.06</v>
      </c>
      <c r="O790" t="n">
        <v>2049.55</v>
      </c>
      <c r="P790" t="n">
        <v>3449</v>
      </c>
      <c r="Q790" t="n">
        <v>1394</v>
      </c>
      <c r="R790" s="3" t="inlineStr">
        <is>
          <t>MISMATCH_NEEDS_CORRECTION</t>
        </is>
      </c>
      <c r="S790" t="n">
        <v>2049.55</v>
      </c>
      <c r="T790" t="inlineStr">
        <is>
          <t>30-07-2026 09:42 IST</t>
        </is>
      </c>
    </row>
    <row r="791">
      <c r="A791" t="n">
        <v>103</v>
      </c>
      <c r="B791" t="n">
        <v>505036</v>
      </c>
      <c r="C791" t="inlineStr">
        <is>
          <t>Automobile Corp Of Goa Ltd</t>
        </is>
      </c>
      <c r="D791" t="n">
        <v>2025</v>
      </c>
      <c r="E791" t="n">
        <v>2194.5</v>
      </c>
      <c r="F791" t="n">
        <v>76.54000000000001</v>
      </c>
      <c r="G791" t="inlineStr">
        <is>
          <t>Consolidated first (v4) – needs verification for flagged rows</t>
        </is>
      </c>
      <c r="H791" t="n">
        <v>2349</v>
      </c>
      <c r="I791" t="n">
        <v>936</v>
      </c>
      <c r="L791" t="inlineStr">
        <is>
          <t>OK</t>
        </is>
      </c>
      <c r="M791" t="n">
        <v>30.69</v>
      </c>
      <c r="N791" t="n">
        <v>12.23</v>
      </c>
      <c r="O791" t="n">
        <v>2049.55</v>
      </c>
      <c r="P791" t="n">
        <v>3449</v>
      </c>
      <c r="Q791" t="n">
        <v>1394</v>
      </c>
      <c r="R791" s="3" t="inlineStr">
        <is>
          <t>MISMATCH_NEEDS_CORRECTION</t>
        </is>
      </c>
      <c r="S791" t="n">
        <v>2049.55</v>
      </c>
      <c r="T791" t="inlineStr">
        <is>
          <t>30-07-2026 09:42 IST</t>
        </is>
      </c>
    </row>
    <row r="792">
      <c r="A792" t="n">
        <v>103</v>
      </c>
      <c r="B792" t="n">
        <v>505036</v>
      </c>
      <c r="C792" t="inlineStr">
        <is>
          <t>Automobile Corp Of Goa Ltd</t>
        </is>
      </c>
      <c r="D792" t="n">
        <v>2026</v>
      </c>
      <c r="E792" t="n">
        <v>2194.5</v>
      </c>
      <c r="F792" t="n">
        <v>114.79</v>
      </c>
      <c r="G792" t="inlineStr">
        <is>
          <t>Consolidated first (v4) – needs verification for flagged rows</t>
        </is>
      </c>
      <c r="H792" t="n">
        <v>2403</v>
      </c>
      <c r="I792" t="n">
        <v>1410.5</v>
      </c>
      <c r="L792" t="inlineStr">
        <is>
          <t>OK</t>
        </is>
      </c>
      <c r="M792" t="n">
        <v>20.93</v>
      </c>
      <c r="N792" t="n">
        <v>12.29</v>
      </c>
      <c r="O792" t="n">
        <v>2049.55</v>
      </c>
      <c r="P792" t="n">
        <v>3449</v>
      </c>
      <c r="Q792" t="n">
        <v>1394</v>
      </c>
      <c r="R792" s="3" t="inlineStr">
        <is>
          <t>MISMATCH_NEEDS_CORRECTION</t>
        </is>
      </c>
      <c r="S792" t="n">
        <v>2049.55</v>
      </c>
      <c r="T792" t="inlineStr">
        <is>
          <t>30-07-2026 09:42 IST</t>
        </is>
      </c>
    </row>
    <row r="793">
      <c r="A793" t="n">
        <v>105</v>
      </c>
      <c r="B793" t="n">
        <v>505100</v>
      </c>
      <c r="C793" t="inlineStr">
        <is>
          <t>India Radiators Ltd</t>
        </is>
      </c>
      <c r="D793" t="n">
        <v>2021</v>
      </c>
      <c r="E793" t="n">
        <v>15.86999988555908</v>
      </c>
      <c r="F793" t="n">
        <v>-21.67</v>
      </c>
      <c r="G793" t="inlineStr">
        <is>
          <t>Consolidated first (v4) – needs verification for flagged rows</t>
        </is>
      </c>
      <c r="H793" t="n">
        <v>2.769999980926514</v>
      </c>
      <c r="I793" t="n">
        <v>2.400000095367432</v>
      </c>
      <c r="L793" t="inlineStr">
        <is>
          <t>UNVERIFIED – negative EPS</t>
        </is>
      </c>
      <c r="M793" t="n">
        <v>-0.13</v>
      </c>
      <c r="N793" t="n">
        <v>-0.11</v>
      </c>
      <c r="O793" t="n">
        <v>8.06</v>
      </c>
      <c r="P793" t="n">
        <v>9.32</v>
      </c>
      <c r="Q793" t="n">
        <v>5.14</v>
      </c>
      <c r="R793" s="3" t="inlineStr">
        <is>
          <t>MISMATCH_NEEDS_CORRECTION</t>
        </is>
      </c>
      <c r="S793" t="n">
        <v>8.06</v>
      </c>
      <c r="T793" t="inlineStr">
        <is>
          <t>30-07-2026 09:42 IST</t>
        </is>
      </c>
    </row>
    <row r="794">
      <c r="A794" t="n">
        <v>105</v>
      </c>
      <c r="B794" t="n">
        <v>505100</v>
      </c>
      <c r="C794" t="inlineStr">
        <is>
          <t>India Radiators Ltd</t>
        </is>
      </c>
      <c r="D794" t="n">
        <v>2022</v>
      </c>
      <c r="E794" t="n">
        <v>15.86999988555908</v>
      </c>
      <c r="F794" t="n">
        <v>54.44</v>
      </c>
      <c r="G794" t="inlineStr">
        <is>
          <t>Consolidated first (v4) – needs verification for flagged rows</t>
        </is>
      </c>
      <c r="H794" t="n">
        <v>3.5</v>
      </c>
      <c r="I794" t="n">
        <v>2.769999980926514</v>
      </c>
      <c r="L794" t="inlineStr">
        <is>
          <t>OK</t>
        </is>
      </c>
      <c r="M794" t="n">
        <v>0.06</v>
      </c>
      <c r="N794" t="n">
        <v>0.05</v>
      </c>
      <c r="O794" t="n">
        <v>8.06</v>
      </c>
      <c r="P794" t="n">
        <v>9.32</v>
      </c>
      <c r="Q794" t="n">
        <v>5.14</v>
      </c>
      <c r="R794" s="3" t="inlineStr">
        <is>
          <t>MISMATCH_NEEDS_CORRECTION</t>
        </is>
      </c>
      <c r="S794" t="n">
        <v>8.06</v>
      </c>
      <c r="T794" t="inlineStr">
        <is>
          <t>30-07-2026 09:42 IST</t>
        </is>
      </c>
    </row>
    <row r="795">
      <c r="A795" t="n">
        <v>105</v>
      </c>
      <c r="B795" t="n">
        <v>505100</v>
      </c>
      <c r="C795" t="inlineStr">
        <is>
          <t>India Radiators Ltd</t>
        </is>
      </c>
      <c r="D795" t="n">
        <v>2023</v>
      </c>
      <c r="E795" t="n">
        <v>15.86999988555908</v>
      </c>
      <c r="F795" t="n">
        <v>7.56</v>
      </c>
      <c r="G795" t="inlineStr">
        <is>
          <t>Consolidated first (v4) – needs verification for flagged rows</t>
        </is>
      </c>
      <c r="H795" t="n">
        <v>5.139999866485596</v>
      </c>
      <c r="I795" t="n">
        <v>3.5</v>
      </c>
      <c r="L795" t="inlineStr">
        <is>
          <t>OK</t>
        </is>
      </c>
      <c r="M795" t="n">
        <v>0.68</v>
      </c>
      <c r="N795" t="n">
        <v>0.46</v>
      </c>
      <c r="O795" t="n">
        <v>8.06</v>
      </c>
      <c r="P795" t="n">
        <v>9.32</v>
      </c>
      <c r="Q795" t="n">
        <v>5.14</v>
      </c>
      <c r="R795" s="3" t="inlineStr">
        <is>
          <t>MISMATCH_NEEDS_CORRECTION</t>
        </is>
      </c>
      <c r="S795" t="n">
        <v>8.06</v>
      </c>
      <c r="T795" t="inlineStr">
        <is>
          <t>30-07-2026 09:42 IST</t>
        </is>
      </c>
    </row>
    <row r="796">
      <c r="A796" t="n">
        <v>105</v>
      </c>
      <c r="B796" t="n">
        <v>505100</v>
      </c>
      <c r="C796" t="inlineStr">
        <is>
          <t>India Radiators Ltd</t>
        </is>
      </c>
      <c r="D796" t="n">
        <v>2024</v>
      </c>
      <c r="E796" t="n">
        <v>15.86999988555908</v>
      </c>
      <c r="F796" t="n">
        <v>-6.22</v>
      </c>
      <c r="G796" t="inlineStr">
        <is>
          <t>Consolidated first (v4) – needs verification for flagged rows</t>
        </is>
      </c>
      <c r="H796" t="n">
        <v>9.319999694824219</v>
      </c>
      <c r="I796" t="n">
        <v>5.139999866485596</v>
      </c>
      <c r="L796" t="inlineStr">
        <is>
          <t>UNVERIFIED – negative EPS</t>
        </is>
      </c>
      <c r="M796" t="n">
        <v>-1.5</v>
      </c>
      <c r="N796" t="n">
        <v>-0.83</v>
      </c>
      <c r="O796" t="n">
        <v>8.06</v>
      </c>
      <c r="P796" t="n">
        <v>9.32</v>
      </c>
      <c r="Q796" t="n">
        <v>5.14</v>
      </c>
      <c r="R796" s="3" t="inlineStr">
        <is>
          <t>MISMATCH_NEEDS_CORRECTION</t>
        </is>
      </c>
      <c r="S796" t="n">
        <v>8.06</v>
      </c>
      <c r="T796" t="inlineStr">
        <is>
          <t>30-07-2026 09:42 IST</t>
        </is>
      </c>
    </row>
    <row r="797">
      <c r="A797" t="n">
        <v>105</v>
      </c>
      <c r="B797" t="n">
        <v>505100</v>
      </c>
      <c r="C797" t="inlineStr">
        <is>
          <t>India Radiators Ltd</t>
        </is>
      </c>
      <c r="D797" t="n">
        <v>2025</v>
      </c>
      <c r="E797" t="n">
        <v>15.86999988555908</v>
      </c>
      <c r="F797" t="n">
        <v>-9.44</v>
      </c>
      <c r="G797" t="inlineStr">
        <is>
          <t>Consolidated first (v4) – needs verification for flagged rows</t>
        </is>
      </c>
      <c r="H797" t="n">
        <v>13.06999969482422</v>
      </c>
      <c r="I797" t="n">
        <v>9.319999694824219</v>
      </c>
      <c r="L797" t="inlineStr">
        <is>
          <t>UNVERIFIED – negative EPS</t>
        </is>
      </c>
      <c r="M797" t="n">
        <v>-1.38</v>
      </c>
      <c r="N797" t="n">
        <v>-0.99</v>
      </c>
      <c r="O797" t="n">
        <v>8.06</v>
      </c>
      <c r="P797" t="n">
        <v>9.32</v>
      </c>
      <c r="Q797" t="n">
        <v>5.14</v>
      </c>
      <c r="R797" s="3" t="inlineStr">
        <is>
          <t>MISMATCH_NEEDS_CORRECTION</t>
        </is>
      </c>
      <c r="S797" t="n">
        <v>8.06</v>
      </c>
      <c r="T797" t="inlineStr">
        <is>
          <t>30-07-2026 09:42 IST</t>
        </is>
      </c>
    </row>
    <row r="798">
      <c r="A798" t="n">
        <v>105</v>
      </c>
      <c r="B798" t="n">
        <v>505100</v>
      </c>
      <c r="C798" t="inlineStr">
        <is>
          <t>India Radiators Ltd</t>
        </is>
      </c>
      <c r="D798" t="n">
        <v>2026</v>
      </c>
      <c r="E798" t="n">
        <v>15.86999988555908</v>
      </c>
      <c r="F798" t="n">
        <v>-16.44</v>
      </c>
      <c r="G798" t="inlineStr">
        <is>
          <t>Consolidated first (v4) – needs verification for flagged rows</t>
        </is>
      </c>
      <c r="H798" t="n">
        <v>15.86999988555908</v>
      </c>
      <c r="I798" t="n">
        <v>13.06999969482422</v>
      </c>
      <c r="L798" t="inlineStr">
        <is>
          <t>UNVERIFIED – negative EPS</t>
        </is>
      </c>
      <c r="M798" t="n">
        <v>-0.97</v>
      </c>
      <c r="N798" t="n">
        <v>-0.8</v>
      </c>
      <c r="O798" t="n">
        <v>8.06</v>
      </c>
      <c r="P798" t="n">
        <v>9.32</v>
      </c>
      <c r="Q798" t="n">
        <v>5.14</v>
      </c>
      <c r="R798" s="3" t="inlineStr">
        <is>
          <t>MISMATCH_NEEDS_CORRECTION</t>
        </is>
      </c>
      <c r="S798" t="n">
        <v>8.06</v>
      </c>
      <c r="T798" t="inlineStr">
        <is>
          <t>30-07-2026 09:42 IST</t>
        </is>
      </c>
    </row>
    <row r="799">
      <c r="A799" t="n">
        <v>108</v>
      </c>
      <c r="B799" t="n">
        <v>505242</v>
      </c>
      <c r="C799" t="inlineStr">
        <is>
          <t>Escorts Kubota Ltd</t>
        </is>
      </c>
      <c r="D799" t="n">
        <v>2015</v>
      </c>
      <c r="E799" t="n">
        <v>10552.25</v>
      </c>
      <c r="F799" t="n">
        <v>45.18</v>
      </c>
      <c r="G799" t="inlineStr">
        <is>
          <t>Consolidated first (v4) – needs verification for flagged rows</t>
        </is>
      </c>
      <c r="H799" t="n">
        <v>4225</v>
      </c>
      <c r="I799" t="n">
        <v>1899.900024414062</v>
      </c>
      <c r="L799" t="inlineStr">
        <is>
          <t>OK</t>
        </is>
      </c>
      <c r="M799" t="n">
        <v>93.51000000000001</v>
      </c>
      <c r="N799" t="n">
        <v>42.05</v>
      </c>
      <c r="O799" t="n">
        <v>3002.9</v>
      </c>
      <c r="P799" t="n">
        <v>4180</v>
      </c>
      <c r="Q799" t="n">
        <v>2700</v>
      </c>
      <c r="R799" s="3" t="inlineStr">
        <is>
          <t>MISMATCH_NEEDS_CORRECTION</t>
        </is>
      </c>
      <c r="S799" t="n">
        <v>3002.9</v>
      </c>
      <c r="T799" t="inlineStr">
        <is>
          <t>30-07-2026 09:42 IST</t>
        </is>
      </c>
    </row>
    <row r="800">
      <c r="A800" t="n">
        <v>108</v>
      </c>
      <c r="B800" t="n">
        <v>505242</v>
      </c>
      <c r="C800" t="inlineStr">
        <is>
          <t>Escorts Kubota Ltd</t>
        </is>
      </c>
      <c r="D800" t="n">
        <v>2016</v>
      </c>
      <c r="E800" t="n">
        <v>10552.25</v>
      </c>
      <c r="F800" t="n">
        <v>19.36</v>
      </c>
      <c r="G800" t="inlineStr">
        <is>
          <t>Consolidated first (v4) – needs verification for flagged rows</t>
        </is>
      </c>
      <c r="H800" t="n">
        <v>3650</v>
      </c>
      <c r="I800" t="n">
        <v>1481.75</v>
      </c>
      <c r="L800" t="inlineStr">
        <is>
          <t>OK</t>
        </is>
      </c>
      <c r="M800" t="n">
        <v>188.53</v>
      </c>
      <c r="N800" t="n">
        <v>76.54000000000001</v>
      </c>
      <c r="O800" t="n">
        <v>3002.9</v>
      </c>
      <c r="P800" t="n">
        <v>4180</v>
      </c>
      <c r="Q800" t="n">
        <v>2700</v>
      </c>
      <c r="R800" s="3" t="inlineStr">
        <is>
          <t>MISMATCH_NEEDS_CORRECTION</t>
        </is>
      </c>
      <c r="S800" t="n">
        <v>3002.9</v>
      </c>
      <c r="T800" t="inlineStr">
        <is>
          <t>30-07-2026 09:42 IST</t>
        </is>
      </c>
    </row>
    <row r="801">
      <c r="A801" t="n">
        <v>108</v>
      </c>
      <c r="B801" t="n">
        <v>505242</v>
      </c>
      <c r="C801" t="inlineStr">
        <is>
          <t>Escorts Kubota Ltd</t>
        </is>
      </c>
      <c r="D801" t="n">
        <v>2017</v>
      </c>
      <c r="E801" t="n">
        <v>10552.25</v>
      </c>
      <c r="F801" t="n">
        <v>30.94</v>
      </c>
      <c r="G801" t="inlineStr">
        <is>
          <t>Consolidated first (v4) – needs verification for flagged rows</t>
        </is>
      </c>
      <c r="H801" t="n">
        <v>3220</v>
      </c>
      <c r="I801" t="n">
        <v>1943.25</v>
      </c>
      <c r="L801" t="inlineStr">
        <is>
          <t>OK</t>
        </is>
      </c>
      <c r="M801" t="n">
        <v>104.07</v>
      </c>
      <c r="N801" t="n">
        <v>62.81</v>
      </c>
      <c r="O801" t="n">
        <v>3002.9</v>
      </c>
      <c r="P801" t="n">
        <v>4180</v>
      </c>
      <c r="Q801" t="n">
        <v>2700</v>
      </c>
      <c r="R801" s="3" t="inlineStr">
        <is>
          <t>MISMATCH_NEEDS_CORRECTION</t>
        </is>
      </c>
      <c r="S801" t="n">
        <v>3002.9</v>
      </c>
      <c r="T801" t="inlineStr">
        <is>
          <t>30-07-2026 09:42 IST</t>
        </is>
      </c>
    </row>
    <row r="802">
      <c r="A802" t="n">
        <v>108</v>
      </c>
      <c r="B802" t="n">
        <v>505242</v>
      </c>
      <c r="C802" t="inlineStr">
        <is>
          <t>Escorts Kubota Ltd</t>
        </is>
      </c>
      <c r="D802" t="n">
        <v>2018</v>
      </c>
      <c r="E802" t="n">
        <v>10552.25</v>
      </c>
      <c r="F802" t="n">
        <v>1.14</v>
      </c>
      <c r="G802" t="inlineStr">
        <is>
          <t>Consolidated first (v4) – needs verification for flagged rows</t>
        </is>
      </c>
      <c r="H802" t="n">
        <v>2355</v>
      </c>
      <c r="I802" t="n">
        <v>1306</v>
      </c>
      <c r="L802" t="inlineStr">
        <is>
          <t>OK</t>
        </is>
      </c>
      <c r="M802" t="n">
        <v>2065.79</v>
      </c>
      <c r="N802" t="n">
        <v>1145.61</v>
      </c>
      <c r="O802" t="n">
        <v>3002.9</v>
      </c>
      <c r="P802" t="n">
        <v>4180</v>
      </c>
      <c r="Q802" t="n">
        <v>2700</v>
      </c>
      <c r="R802" s="3" t="inlineStr">
        <is>
          <t>MISMATCH_NEEDS_CORRECTION</t>
        </is>
      </c>
      <c r="S802" t="n">
        <v>3002.9</v>
      </c>
      <c r="T802" t="inlineStr">
        <is>
          <t>30-07-2026 09:42 IST</t>
        </is>
      </c>
    </row>
    <row r="803">
      <c r="A803" t="n">
        <v>108</v>
      </c>
      <c r="B803" t="n">
        <v>505242</v>
      </c>
      <c r="C803" t="inlineStr">
        <is>
          <t>Escorts Kubota Ltd</t>
        </is>
      </c>
      <c r="D803" t="n">
        <v>2019</v>
      </c>
      <c r="E803" t="n">
        <v>10552.25</v>
      </c>
      <c r="F803" t="n">
        <v>43.32</v>
      </c>
      <c r="G803" t="inlineStr">
        <is>
          <t>Consolidated first (v4) – needs verification for flagged rows</t>
        </is>
      </c>
      <c r="H803" t="n">
        <v>1665.699951171875</v>
      </c>
      <c r="I803" t="n">
        <v>889</v>
      </c>
      <c r="L803" t="inlineStr">
        <is>
          <t>OK</t>
        </is>
      </c>
      <c r="M803" t="n">
        <v>38.45</v>
      </c>
      <c r="N803" t="n">
        <v>20.52</v>
      </c>
      <c r="O803" t="n">
        <v>3002.9</v>
      </c>
      <c r="P803" t="n">
        <v>4180</v>
      </c>
      <c r="Q803" t="n">
        <v>2700</v>
      </c>
      <c r="R803" s="3" t="inlineStr">
        <is>
          <t>MISMATCH_NEEDS_CORRECTION</t>
        </is>
      </c>
      <c r="S803" t="n">
        <v>3002.9</v>
      </c>
      <c r="T803" t="inlineStr">
        <is>
          <t>30-07-2026 09:42 IST</t>
        </is>
      </c>
    </row>
    <row r="804">
      <c r="A804" t="n">
        <v>108</v>
      </c>
      <c r="B804" t="n">
        <v>505242</v>
      </c>
      <c r="C804" t="inlineStr">
        <is>
          <t>Escorts Kubota Ltd</t>
        </is>
      </c>
      <c r="D804" t="n">
        <v>2020</v>
      </c>
      <c r="E804" t="n">
        <v>10552.25</v>
      </c>
      <c r="F804" t="n">
        <v>61.6</v>
      </c>
      <c r="G804" t="inlineStr">
        <is>
          <t>Consolidated first (v4) – needs verification for flagged rows</t>
        </is>
      </c>
      <c r="H804" t="n">
        <v>1285.599975585938</v>
      </c>
      <c r="I804" t="n">
        <v>424.0499877929688</v>
      </c>
      <c r="L804" t="inlineStr">
        <is>
          <t>OK</t>
        </is>
      </c>
      <c r="M804" t="n">
        <v>20.87</v>
      </c>
      <c r="N804" t="n">
        <v>6.88</v>
      </c>
      <c r="O804" t="n">
        <v>3002.9</v>
      </c>
      <c r="P804" t="n">
        <v>4180</v>
      </c>
      <c r="Q804" t="n">
        <v>2700</v>
      </c>
      <c r="R804" s="3" t="inlineStr">
        <is>
          <t>MISMATCH_NEEDS_CORRECTION</t>
        </is>
      </c>
      <c r="S804" t="n">
        <v>3002.9</v>
      </c>
      <c r="T804" t="inlineStr">
        <is>
          <t>30-07-2026 09:42 IST</t>
        </is>
      </c>
    </row>
    <row r="805">
      <c r="A805" t="n">
        <v>108</v>
      </c>
      <c r="B805" t="n">
        <v>505242</v>
      </c>
      <c r="C805" t="inlineStr">
        <is>
          <t>Escorts Kubota Ltd</t>
        </is>
      </c>
      <c r="D805" t="n">
        <v>2021</v>
      </c>
      <c r="E805" t="n">
        <v>10552.25</v>
      </c>
      <c r="F805" t="n">
        <v>-34.49</v>
      </c>
      <c r="G805" t="inlineStr">
        <is>
          <t>Consolidated first (v4) – needs verification for flagged rows</t>
        </is>
      </c>
      <c r="H805" t="n">
        <v>3447.85009765625</v>
      </c>
      <c r="I805" t="n">
        <v>762.0999755859375</v>
      </c>
      <c r="L805" t="inlineStr">
        <is>
          <t>UNVERIFIED – negative EPS</t>
        </is>
      </c>
      <c r="M805" t="n">
        <v>-99.97</v>
      </c>
      <c r="N805" t="n">
        <v>-22.1</v>
      </c>
      <c r="O805" t="n">
        <v>3002.9</v>
      </c>
      <c r="P805" t="n">
        <v>4180</v>
      </c>
      <c r="Q805" t="n">
        <v>2700</v>
      </c>
      <c r="R805" s="3" t="inlineStr">
        <is>
          <t>MISMATCH_NEEDS_CORRECTION</t>
        </is>
      </c>
      <c r="S805" t="n">
        <v>3002.9</v>
      </c>
      <c r="T805" t="inlineStr">
        <is>
          <t>30-07-2026 09:42 IST</t>
        </is>
      </c>
    </row>
    <row r="806">
      <c r="A806" t="n">
        <v>108</v>
      </c>
      <c r="B806" t="n">
        <v>505242</v>
      </c>
      <c r="C806" t="inlineStr">
        <is>
          <t>Escorts Kubota Ltd</t>
        </is>
      </c>
      <c r="D806" t="n">
        <v>2022</v>
      </c>
      <c r="E806" t="n">
        <v>10552.25</v>
      </c>
      <c r="F806" t="n">
        <v>24.4</v>
      </c>
      <c r="G806" t="inlineStr">
        <is>
          <t>Consolidated first (v4) – needs verification for flagged rows</t>
        </is>
      </c>
      <c r="H806" t="n">
        <v>2814</v>
      </c>
      <c r="I806" t="n">
        <v>1676.650024414062</v>
      </c>
      <c r="L806" t="inlineStr">
        <is>
          <t>OK</t>
        </is>
      </c>
      <c r="M806" t="n">
        <v>115.33</v>
      </c>
      <c r="N806" t="n">
        <v>68.72</v>
      </c>
      <c r="O806" t="n">
        <v>3002.9</v>
      </c>
      <c r="P806" t="n">
        <v>4180</v>
      </c>
      <c r="Q806" t="n">
        <v>2700</v>
      </c>
      <c r="R806" s="3" t="inlineStr">
        <is>
          <t>MISMATCH_NEEDS_CORRECTION</t>
        </is>
      </c>
      <c r="S806" t="n">
        <v>3002.9</v>
      </c>
      <c r="T806" t="inlineStr">
        <is>
          <t>30-07-2026 09:42 IST</t>
        </is>
      </c>
    </row>
    <row r="807">
      <c r="A807" t="n">
        <v>108</v>
      </c>
      <c r="B807" t="n">
        <v>505242</v>
      </c>
      <c r="C807" t="inlineStr">
        <is>
          <t>Escorts Kubota Ltd</t>
        </is>
      </c>
      <c r="D807" t="n">
        <v>2023</v>
      </c>
      <c r="E807" t="n">
        <v>10552.25</v>
      </c>
      <c r="F807" t="n">
        <v>67.48</v>
      </c>
      <c r="G807" t="inlineStr">
        <is>
          <t>Consolidated first (v4) – needs verification for flagged rows</t>
        </is>
      </c>
      <c r="H807" t="n">
        <v>5299.9501953125</v>
      </c>
      <c r="I807" t="n">
        <v>2303.39990234375</v>
      </c>
      <c r="L807" t="inlineStr">
        <is>
          <t>OK</t>
        </is>
      </c>
      <c r="M807" t="n">
        <v>78.54000000000001</v>
      </c>
      <c r="N807" t="n">
        <v>34.13</v>
      </c>
      <c r="O807" t="n">
        <v>3002.9</v>
      </c>
      <c r="P807" t="n">
        <v>4180</v>
      </c>
      <c r="Q807" t="n">
        <v>2700</v>
      </c>
      <c r="R807" s="3" t="inlineStr">
        <is>
          <t>MISMATCH_NEEDS_CORRECTION</t>
        </is>
      </c>
      <c r="S807" t="n">
        <v>3002.9</v>
      </c>
      <c r="T807" t="inlineStr">
        <is>
          <t>30-07-2026 09:42 IST</t>
        </is>
      </c>
    </row>
    <row r="808">
      <c r="A808" t="n">
        <v>108</v>
      </c>
      <c r="B808" t="n">
        <v>505242</v>
      </c>
      <c r="C808" t="inlineStr">
        <is>
          <t>Escorts Kubota Ltd</t>
        </is>
      </c>
      <c r="D808" t="n">
        <v>2024</v>
      </c>
      <c r="E808" t="n">
        <v>10552.25</v>
      </c>
      <c r="F808" t="n">
        <v>192.09</v>
      </c>
      <c r="G808" t="inlineStr">
        <is>
          <t>Consolidated first (v4) – needs verification for flagged rows</t>
        </is>
      </c>
      <c r="H808" t="n">
        <v>9080.400390625</v>
      </c>
      <c r="I808" t="n">
        <v>5057.75</v>
      </c>
      <c r="L808" t="inlineStr">
        <is>
          <t>OK</t>
        </is>
      </c>
      <c r="M808" t="n">
        <v>47.27</v>
      </c>
      <c r="N808" t="n">
        <v>26.33</v>
      </c>
      <c r="O808" t="n">
        <v>3002.9</v>
      </c>
      <c r="P808" t="n">
        <v>4180</v>
      </c>
      <c r="Q808" t="n">
        <v>2700</v>
      </c>
      <c r="R808" s="3" t="inlineStr">
        <is>
          <t>MISMATCH_NEEDS_CORRECTION</t>
        </is>
      </c>
      <c r="S808" t="n">
        <v>3002.9</v>
      </c>
      <c r="T808" t="inlineStr">
        <is>
          <t>30-07-2026 09:42 IST</t>
        </is>
      </c>
    </row>
    <row r="809">
      <c r="A809" t="n">
        <v>108</v>
      </c>
      <c r="B809" t="n">
        <v>505242</v>
      </c>
      <c r="C809" t="inlineStr">
        <is>
          <t>Escorts Kubota Ltd</t>
        </is>
      </c>
      <c r="D809" t="n">
        <v>2025</v>
      </c>
      <c r="E809" t="n">
        <v>10552.25</v>
      </c>
      <c r="F809" t="n">
        <v>67.87</v>
      </c>
      <c r="G809" t="inlineStr">
        <is>
          <t>Consolidated first (v4) – needs verification for flagged rows</t>
        </is>
      </c>
      <c r="H809" t="n">
        <v>11500</v>
      </c>
      <c r="I809" t="n">
        <v>5437.39990234375</v>
      </c>
      <c r="L809" t="inlineStr">
        <is>
          <t>OK</t>
        </is>
      </c>
      <c r="M809" t="n">
        <v>169.44</v>
      </c>
      <c r="N809" t="n">
        <v>80.11</v>
      </c>
      <c r="O809" t="n">
        <v>3002.9</v>
      </c>
      <c r="P809" t="n">
        <v>4180</v>
      </c>
      <c r="Q809" t="n">
        <v>2700</v>
      </c>
      <c r="R809" s="3" t="inlineStr">
        <is>
          <t>MISMATCH_NEEDS_CORRECTION</t>
        </is>
      </c>
      <c r="S809" t="n">
        <v>3002.9</v>
      </c>
      <c r="T809" t="inlineStr">
        <is>
          <t>30-07-2026 09:42 IST</t>
        </is>
      </c>
    </row>
    <row r="810">
      <c r="A810" t="n">
        <v>108</v>
      </c>
      <c r="B810" t="n">
        <v>505242</v>
      </c>
      <c r="C810" t="inlineStr">
        <is>
          <t>Escorts Kubota Ltd</t>
        </is>
      </c>
      <c r="D810" t="n">
        <v>2026</v>
      </c>
      <c r="E810" t="n">
        <v>10552.25</v>
      </c>
      <c r="F810" t="n">
        <v>51.11</v>
      </c>
      <c r="G810" t="inlineStr">
        <is>
          <t>Consolidated first (v4) – needs verification for flagged rows</t>
        </is>
      </c>
      <c r="H810" t="n">
        <v>12870</v>
      </c>
      <c r="I810" t="n">
        <v>7700</v>
      </c>
      <c r="L810" t="inlineStr">
        <is>
          <t>OK</t>
        </is>
      </c>
      <c r="M810" t="n">
        <v>251.81</v>
      </c>
      <c r="N810" t="n">
        <v>150.66</v>
      </c>
      <c r="O810" t="n">
        <v>3002.9</v>
      </c>
      <c r="P810" t="n">
        <v>4180</v>
      </c>
      <c r="Q810" t="n">
        <v>2700</v>
      </c>
      <c r="R810" s="3" t="inlineStr">
        <is>
          <t>MISMATCH_NEEDS_CORRECTION</t>
        </is>
      </c>
      <c r="S810" t="n">
        <v>3002.9</v>
      </c>
      <c r="T810" t="inlineStr">
        <is>
          <t>30-07-2026 09:42 IST</t>
        </is>
      </c>
    </row>
    <row r="811">
      <c r="A811" t="n">
        <v>110</v>
      </c>
      <c r="B811" t="n">
        <v>505285</v>
      </c>
      <c r="C811" t="inlineStr">
        <is>
          <t>Tym Share</t>
        </is>
      </c>
      <c r="D811" t="n">
        <v>2015</v>
      </c>
      <c r="E811" t="n">
        <v>1170</v>
      </c>
      <c r="F811" t="n">
        <v>21.5</v>
      </c>
      <c r="G811" t="inlineStr">
        <is>
          <t>Consolidated first (v4) – needs verification for flagged rows</t>
        </is>
      </c>
      <c r="H811" t="n">
        <v>195.6999969482422</v>
      </c>
      <c r="I811" t="n">
        <v>101</v>
      </c>
      <c r="L811" t="inlineStr">
        <is>
          <t>OK</t>
        </is>
      </c>
      <c r="M811" t="n">
        <v>9.1</v>
      </c>
      <c r="N811" t="n">
        <v>4.7</v>
      </c>
      <c r="O811" t="n">
        <v>820.95</v>
      </c>
      <c r="P811" t="n">
        <v>1133.2</v>
      </c>
      <c r="Q811" t="n">
        <v>193.1</v>
      </c>
      <c r="R811" s="3" t="inlineStr">
        <is>
          <t>MISMATCH_NEEDS_CORRECTION</t>
        </is>
      </c>
      <c r="S811" t="n">
        <v>820.95</v>
      </c>
      <c r="T811" t="inlineStr">
        <is>
          <t>30-07-2026 09:42 IST</t>
        </is>
      </c>
    </row>
    <row r="812">
      <c r="A812" t="n">
        <v>110</v>
      </c>
      <c r="B812" t="n">
        <v>505285</v>
      </c>
      <c r="C812" t="inlineStr">
        <is>
          <t>Tym Share</t>
        </is>
      </c>
      <c r="D812" t="n">
        <v>2016</v>
      </c>
      <c r="E812" t="n">
        <v>1170</v>
      </c>
      <c r="F812" t="n">
        <v>11.48</v>
      </c>
      <c r="G812" t="inlineStr">
        <is>
          <t>Consolidated first (v4) – needs verification for flagged rows</t>
        </is>
      </c>
      <c r="H812" t="n">
        <v>196.4499969482422</v>
      </c>
      <c r="I812" t="n">
        <v>151.6499938964844</v>
      </c>
      <c r="L812" t="inlineStr">
        <is>
          <t>OK</t>
        </is>
      </c>
      <c r="M812" t="n">
        <v>17.11</v>
      </c>
      <c r="N812" t="n">
        <v>13.21</v>
      </c>
      <c r="O812" t="n">
        <v>820.95</v>
      </c>
      <c r="P812" t="n">
        <v>1133.2</v>
      </c>
      <c r="Q812" t="n">
        <v>193.1</v>
      </c>
      <c r="R812" s="3" t="inlineStr">
        <is>
          <t>MISMATCH_NEEDS_CORRECTION</t>
        </is>
      </c>
      <c r="S812" t="n">
        <v>820.95</v>
      </c>
      <c r="T812" t="inlineStr">
        <is>
          <t>30-07-2026 09:42 IST</t>
        </is>
      </c>
    </row>
    <row r="813">
      <c r="A813" t="n">
        <v>110</v>
      </c>
      <c r="B813" t="n">
        <v>505285</v>
      </c>
      <c r="C813" t="inlineStr">
        <is>
          <t>Tym Share</t>
        </is>
      </c>
      <c r="D813" t="n">
        <v>2017</v>
      </c>
      <c r="E813" t="n">
        <v>1170</v>
      </c>
      <c r="F813" t="n">
        <v>26.29</v>
      </c>
      <c r="G813" t="inlineStr">
        <is>
          <t>Consolidated first (v4) – needs verification for flagged rows</t>
        </is>
      </c>
      <c r="H813" t="n">
        <v>169.75</v>
      </c>
      <c r="I813" t="n">
        <v>157</v>
      </c>
      <c r="L813" t="inlineStr">
        <is>
          <t>OK</t>
        </is>
      </c>
      <c r="M813" t="n">
        <v>6.46</v>
      </c>
      <c r="N813" t="n">
        <v>5.97</v>
      </c>
      <c r="O813" t="n">
        <v>820.95</v>
      </c>
      <c r="P813" t="n">
        <v>1133.2</v>
      </c>
      <c r="Q813" t="n">
        <v>193.1</v>
      </c>
      <c r="R813" s="3" t="inlineStr">
        <is>
          <t>MISMATCH_NEEDS_CORRECTION</t>
        </is>
      </c>
      <c r="S813" t="n">
        <v>820.95</v>
      </c>
      <c r="T813" t="inlineStr">
        <is>
          <t>30-07-2026 09:42 IST</t>
        </is>
      </c>
    </row>
    <row r="814">
      <c r="A814" t="n">
        <v>110</v>
      </c>
      <c r="B814" t="n">
        <v>505285</v>
      </c>
      <c r="C814" t="inlineStr">
        <is>
          <t>Tym Share</t>
        </is>
      </c>
      <c r="D814" t="n">
        <v>2018</v>
      </c>
      <c r="E814" t="n">
        <v>1170</v>
      </c>
      <c r="F814" t="n">
        <v>4.4</v>
      </c>
      <c r="G814" t="inlineStr">
        <is>
          <t>Consolidated first (v4) – needs verification for flagged rows</t>
        </is>
      </c>
      <c r="H814" t="n">
        <v>202.3000030517578</v>
      </c>
      <c r="I814" t="n">
        <v>169.6999969482422</v>
      </c>
      <c r="L814" t="inlineStr">
        <is>
          <t>OK</t>
        </is>
      </c>
      <c r="M814" t="n">
        <v>45.98</v>
      </c>
      <c r="N814" t="n">
        <v>38.57</v>
      </c>
      <c r="O814" t="n">
        <v>820.95</v>
      </c>
      <c r="P814" t="n">
        <v>1133.2</v>
      </c>
      <c r="Q814" t="n">
        <v>193.1</v>
      </c>
      <c r="R814" s="3" t="inlineStr">
        <is>
          <t>MISMATCH_NEEDS_CORRECTION</t>
        </is>
      </c>
      <c r="S814" t="n">
        <v>820.95</v>
      </c>
      <c r="T814" t="inlineStr">
        <is>
          <t>30-07-2026 09:42 IST</t>
        </is>
      </c>
    </row>
    <row r="815">
      <c r="A815" t="n">
        <v>110</v>
      </c>
      <c r="B815" t="n">
        <v>505285</v>
      </c>
      <c r="C815" t="inlineStr">
        <is>
          <t>Tym Share</t>
        </is>
      </c>
      <c r="D815" t="n">
        <v>2019</v>
      </c>
      <c r="E815" t="n">
        <v>1170</v>
      </c>
      <c r="F815" t="n">
        <v>1.59</v>
      </c>
      <c r="G815" t="inlineStr">
        <is>
          <t>Consolidated first (v4) – needs verification for flagged rows</t>
        </is>
      </c>
      <c r="H815" t="n">
        <v>282</v>
      </c>
      <c r="I815" t="n">
        <v>202</v>
      </c>
      <c r="L815" t="inlineStr">
        <is>
          <t>OK</t>
        </is>
      </c>
      <c r="M815" t="n">
        <v>177.36</v>
      </c>
      <c r="N815" t="n">
        <v>127.04</v>
      </c>
      <c r="O815" t="n">
        <v>820.95</v>
      </c>
      <c r="P815" t="n">
        <v>1133.2</v>
      </c>
      <c r="Q815" t="n">
        <v>193.1</v>
      </c>
      <c r="R815" s="3" t="inlineStr">
        <is>
          <t>MISMATCH_NEEDS_CORRECTION</t>
        </is>
      </c>
      <c r="S815" t="n">
        <v>820.95</v>
      </c>
      <c r="T815" t="inlineStr">
        <is>
          <t>30-07-2026 09:42 IST</t>
        </is>
      </c>
    </row>
    <row r="816">
      <c r="A816" t="n">
        <v>110</v>
      </c>
      <c r="B816" t="n">
        <v>505285</v>
      </c>
      <c r="C816" t="inlineStr">
        <is>
          <t>Tym Share</t>
        </is>
      </c>
      <c r="D816" t="n">
        <v>2020</v>
      </c>
      <c r="E816" t="n">
        <v>1170</v>
      </c>
      <c r="F816" t="n">
        <v>-4.32</v>
      </c>
      <c r="G816" t="inlineStr">
        <is>
          <t>Consolidated first (v4) – needs verification for flagged rows</t>
        </is>
      </c>
      <c r="H816" t="n">
        <v>247</v>
      </c>
      <c r="I816" t="n">
        <v>196.8999938964844</v>
      </c>
      <c r="L816" t="inlineStr">
        <is>
          <t>UNVERIFIED – negative EPS</t>
        </is>
      </c>
      <c r="M816" t="n">
        <v>-57.18</v>
      </c>
      <c r="N816" t="n">
        <v>-45.58</v>
      </c>
      <c r="O816" t="n">
        <v>820.95</v>
      </c>
      <c r="P816" t="n">
        <v>1133.2</v>
      </c>
      <c r="Q816" t="n">
        <v>193.1</v>
      </c>
      <c r="R816" s="3" t="inlineStr">
        <is>
          <t>MISMATCH_NEEDS_CORRECTION</t>
        </is>
      </c>
      <c r="S816" t="n">
        <v>820.95</v>
      </c>
      <c r="T816" t="inlineStr">
        <is>
          <t>30-07-2026 09:42 IST</t>
        </is>
      </c>
    </row>
    <row r="817">
      <c r="A817" t="n">
        <v>110</v>
      </c>
      <c r="B817" t="n">
        <v>505285</v>
      </c>
      <c r="C817" t="inlineStr">
        <is>
          <t>Tym Share</t>
        </is>
      </c>
      <c r="D817" t="n">
        <v>2021</v>
      </c>
      <c r="E817" t="n">
        <v>1170</v>
      </c>
      <c r="F817" t="n">
        <v>-2.83</v>
      </c>
      <c r="G817" t="inlineStr">
        <is>
          <t>Consolidated first (v4) – needs verification for flagged rows</t>
        </is>
      </c>
      <c r="H817" t="n">
        <v>202.8500061035156</v>
      </c>
      <c r="I817" t="n">
        <v>166</v>
      </c>
      <c r="L817" t="inlineStr">
        <is>
          <t>UNVERIFIED – negative EPS</t>
        </is>
      </c>
      <c r="M817" t="n">
        <v>-71.68000000000001</v>
      </c>
      <c r="N817" t="n">
        <v>-58.66</v>
      </c>
      <c r="O817" t="n">
        <v>820.95</v>
      </c>
      <c r="P817" t="n">
        <v>1133.2</v>
      </c>
      <c r="Q817" t="n">
        <v>193.1</v>
      </c>
      <c r="R817" s="3" t="inlineStr">
        <is>
          <t>MISMATCH_NEEDS_CORRECTION</t>
        </is>
      </c>
      <c r="S817" t="n">
        <v>820.95</v>
      </c>
      <c r="T817" t="inlineStr">
        <is>
          <t>30-07-2026 09:42 IST</t>
        </is>
      </c>
    </row>
    <row r="818">
      <c r="A818" t="n">
        <v>110</v>
      </c>
      <c r="B818" t="n">
        <v>505285</v>
      </c>
      <c r="C818" t="inlineStr">
        <is>
          <t>Tym Share</t>
        </is>
      </c>
      <c r="D818" t="n">
        <v>2022</v>
      </c>
      <c r="E818" t="n">
        <v>1170</v>
      </c>
      <c r="F818" t="n">
        <v>-9.19</v>
      </c>
      <c r="G818" t="inlineStr">
        <is>
          <t>Consolidated first (v4) – needs verification for flagged rows</t>
        </is>
      </c>
      <c r="H818" t="n">
        <v>183.6000061035156</v>
      </c>
      <c r="I818" t="n">
        <v>173.5</v>
      </c>
      <c r="L818" t="inlineStr">
        <is>
          <t>UNVERIFIED – negative EPS</t>
        </is>
      </c>
      <c r="M818" t="n">
        <v>-19.98</v>
      </c>
      <c r="N818" t="n">
        <v>-18.88</v>
      </c>
      <c r="O818" t="n">
        <v>820.95</v>
      </c>
      <c r="P818" t="n">
        <v>1133.2</v>
      </c>
      <c r="Q818" t="n">
        <v>193.1</v>
      </c>
      <c r="R818" s="3" t="inlineStr">
        <is>
          <t>MISMATCH_NEEDS_CORRECTION</t>
        </is>
      </c>
      <c r="S818" t="n">
        <v>820.95</v>
      </c>
      <c r="T818" t="inlineStr">
        <is>
          <t>30-07-2026 09:42 IST</t>
        </is>
      </c>
    </row>
    <row r="819">
      <c r="A819" t="n">
        <v>110</v>
      </c>
      <c r="B819" t="n">
        <v>505285</v>
      </c>
      <c r="C819" t="inlineStr">
        <is>
          <t>Tym Share</t>
        </is>
      </c>
      <c r="D819" t="n">
        <v>2023</v>
      </c>
      <c r="E819" t="n">
        <v>1170</v>
      </c>
      <c r="F819" t="n">
        <v>5.85</v>
      </c>
      <c r="G819" t="inlineStr">
        <is>
          <t>Consolidated first (v4) – needs verification for flagged rows</t>
        </is>
      </c>
      <c r="H819" t="n">
        <v>180</v>
      </c>
      <c r="I819" t="n">
        <v>171.5</v>
      </c>
      <c r="L819" t="inlineStr">
        <is>
          <t>OK</t>
        </is>
      </c>
      <c r="M819" t="n">
        <v>30.77</v>
      </c>
      <c r="N819" t="n">
        <v>29.32</v>
      </c>
      <c r="O819" t="n">
        <v>820.95</v>
      </c>
      <c r="P819" t="n">
        <v>1133.2</v>
      </c>
      <c r="Q819" t="n">
        <v>193.1</v>
      </c>
      <c r="R819" s="3" t="inlineStr">
        <is>
          <t>MISMATCH_NEEDS_CORRECTION</t>
        </is>
      </c>
      <c r="S819" t="n">
        <v>820.95</v>
      </c>
      <c r="T819" t="inlineStr">
        <is>
          <t>30-07-2026 09:42 IST</t>
        </is>
      </c>
    </row>
    <row r="820">
      <c r="A820" t="n">
        <v>110</v>
      </c>
      <c r="B820" t="n">
        <v>505285</v>
      </c>
      <c r="C820" t="inlineStr">
        <is>
          <t>Tym Share</t>
        </is>
      </c>
      <c r="D820" t="n">
        <v>2024</v>
      </c>
      <c r="E820" t="n">
        <v>1170</v>
      </c>
      <c r="F820" t="n">
        <v>-4.32</v>
      </c>
      <c r="G820" t="inlineStr">
        <is>
          <t>Consolidated first (v4) – needs verification for flagged rows</t>
        </is>
      </c>
      <c r="H820" t="n">
        <v>1133.199951171875</v>
      </c>
      <c r="I820" t="n">
        <v>174</v>
      </c>
      <c r="L820" t="inlineStr">
        <is>
          <t>UNVERIFIED – negative EPS</t>
        </is>
      </c>
      <c r="M820" t="n">
        <v>-262.31</v>
      </c>
      <c r="N820" t="n">
        <v>-40.28</v>
      </c>
      <c r="O820" t="n">
        <v>820.95</v>
      </c>
      <c r="P820" t="n">
        <v>1133.2</v>
      </c>
      <c r="Q820" t="n">
        <v>193.1</v>
      </c>
      <c r="R820" s="3" t="inlineStr">
        <is>
          <t>MISMATCH_NEEDS_CORRECTION</t>
        </is>
      </c>
      <c r="S820" t="n">
        <v>820.95</v>
      </c>
      <c r="T820" t="inlineStr">
        <is>
          <t>30-07-2026 09:42 IST</t>
        </is>
      </c>
    </row>
    <row r="821">
      <c r="A821" t="n">
        <v>110</v>
      </c>
      <c r="B821" t="n">
        <v>505285</v>
      </c>
      <c r="C821" t="inlineStr">
        <is>
          <t>Tym Share</t>
        </is>
      </c>
      <c r="D821" t="n">
        <v>2025</v>
      </c>
      <c r="E821" t="n">
        <v>1170</v>
      </c>
      <c r="F821" t="n">
        <v>-5.89</v>
      </c>
      <c r="G821" t="inlineStr">
        <is>
          <t>Consolidated first (v4) – needs verification for flagged rows</t>
        </is>
      </c>
      <c r="H821" t="n">
        <v>1040.400024414062</v>
      </c>
      <c r="I821" t="n">
        <v>682.7000122070312</v>
      </c>
      <c r="L821" t="inlineStr">
        <is>
          <t>UNVERIFIED – negative EPS</t>
        </is>
      </c>
      <c r="M821" t="n">
        <v>-176.64</v>
      </c>
      <c r="N821" t="n">
        <v>-115.91</v>
      </c>
      <c r="O821" t="n">
        <v>820.95</v>
      </c>
      <c r="P821" t="n">
        <v>1133.2</v>
      </c>
      <c r="Q821" t="n">
        <v>193.1</v>
      </c>
      <c r="R821" s="3" t="inlineStr">
        <is>
          <t>MISMATCH_NEEDS_CORRECTION</t>
        </is>
      </c>
      <c r="S821" t="n">
        <v>820.95</v>
      </c>
      <c r="T821" t="inlineStr">
        <is>
          <t>30-07-2026 09:42 IST</t>
        </is>
      </c>
    </row>
    <row r="822">
      <c r="A822" t="n">
        <v>110</v>
      </c>
      <c r="B822" t="n">
        <v>505285</v>
      </c>
      <c r="C822" t="inlineStr">
        <is>
          <t>Tym Share</t>
        </is>
      </c>
      <c r="D822" t="n">
        <v>2026</v>
      </c>
      <c r="E822" t="n">
        <v>1170</v>
      </c>
      <c r="F822" t="n">
        <v>-5.34</v>
      </c>
      <c r="G822" t="inlineStr">
        <is>
          <t>Consolidated first (v4) – needs verification for flagged rows</t>
        </is>
      </c>
      <c r="H822" t="n">
        <v>1258.5</v>
      </c>
      <c r="I822" t="n">
        <v>707.5999755859375</v>
      </c>
      <c r="L822" t="inlineStr">
        <is>
          <t>UNVERIFIED – negative EPS</t>
        </is>
      </c>
      <c r="M822" t="n">
        <v>-235.67</v>
      </c>
      <c r="N822" t="n">
        <v>-132.51</v>
      </c>
      <c r="O822" t="n">
        <v>820.95</v>
      </c>
      <c r="P822" t="n">
        <v>1133.2</v>
      </c>
      <c r="Q822" t="n">
        <v>193.1</v>
      </c>
      <c r="R822" s="3" t="inlineStr">
        <is>
          <t>MISMATCH_NEEDS_CORRECTION</t>
        </is>
      </c>
      <c r="S822" t="n">
        <v>820.95</v>
      </c>
      <c r="T822" t="inlineStr">
        <is>
          <t>30-07-2026 09:42 IST</t>
        </is>
      </c>
    </row>
    <row r="823">
      <c r="A823" t="n">
        <v>111</v>
      </c>
      <c r="B823" t="n">
        <v>505324</v>
      </c>
      <c r="C823" t="inlineStr">
        <is>
          <t>Manugraph India Ltd</t>
        </is>
      </c>
      <c r="D823" t="n">
        <v>2015</v>
      </c>
      <c r="E823" t="n">
        <v>15.27999973297119</v>
      </c>
      <c r="F823" t="n">
        <v>-3.26</v>
      </c>
      <c r="G823" t="inlineStr">
        <is>
          <t>Consolidated first (v4) – needs verification for flagged rows</t>
        </is>
      </c>
      <c r="H823" t="n">
        <v>72.94999694824219</v>
      </c>
      <c r="I823" t="n">
        <v>29</v>
      </c>
      <c r="L823" t="inlineStr">
        <is>
          <t>UNVERIFIED – negative EPS</t>
        </is>
      </c>
      <c r="M823" t="n">
        <v>-22.38</v>
      </c>
      <c r="N823" t="n">
        <v>-8.9</v>
      </c>
      <c r="O823" t="n">
        <v>15.14</v>
      </c>
      <c r="P823" t="n">
        <v>24</v>
      </c>
      <c r="Q823" t="n">
        <v>9.65</v>
      </c>
      <c r="R823" s="2" t="inlineStr">
        <is>
          <t>VERIFIED_OK</t>
        </is>
      </c>
      <c r="S823" t="n">
        <v>15.14</v>
      </c>
      <c r="T823" t="inlineStr">
        <is>
          <t>30-07-2026 09:42 IST</t>
        </is>
      </c>
    </row>
    <row r="824">
      <c r="A824" t="n">
        <v>111</v>
      </c>
      <c r="B824" t="n">
        <v>505324</v>
      </c>
      <c r="C824" t="inlineStr">
        <is>
          <t>Manugraph India Ltd</t>
        </is>
      </c>
      <c r="D824" t="n">
        <v>2016</v>
      </c>
      <c r="E824" t="n">
        <v>15.27999973297119</v>
      </c>
      <c r="F824" t="n">
        <v>2.1</v>
      </c>
      <c r="G824" t="inlineStr">
        <is>
          <t>Consolidated first (v4) – needs verification for flagged rows</t>
        </is>
      </c>
      <c r="H824" t="n">
        <v>72.40000152587891</v>
      </c>
      <c r="I824" t="n">
        <v>38.5</v>
      </c>
      <c r="L824" t="inlineStr">
        <is>
          <t>OK</t>
        </is>
      </c>
      <c r="M824" t="n">
        <v>34.48</v>
      </c>
      <c r="N824" t="n">
        <v>18.33</v>
      </c>
      <c r="O824" t="n">
        <v>15.14</v>
      </c>
      <c r="P824" t="n">
        <v>24</v>
      </c>
      <c r="Q824" t="n">
        <v>9.65</v>
      </c>
      <c r="R824" s="2" t="inlineStr">
        <is>
          <t>VERIFIED_OK</t>
        </is>
      </c>
      <c r="S824" t="n">
        <v>15.14</v>
      </c>
      <c r="T824" t="inlineStr">
        <is>
          <t>30-07-2026 09:42 IST</t>
        </is>
      </c>
    </row>
    <row r="825">
      <c r="A825" t="n">
        <v>111</v>
      </c>
      <c r="B825" t="n">
        <v>505324</v>
      </c>
      <c r="C825" t="inlineStr">
        <is>
          <t>Manugraph India Ltd</t>
        </is>
      </c>
      <c r="D825" t="n">
        <v>2017</v>
      </c>
      <c r="E825" t="n">
        <v>15.27999973297119</v>
      </c>
      <c r="F825" t="n">
        <v>-11.63</v>
      </c>
      <c r="G825" t="inlineStr">
        <is>
          <t>Consolidated first (v4) – needs verification for flagged rows</t>
        </is>
      </c>
      <c r="H825" t="n">
        <v>70.5</v>
      </c>
      <c r="I825" t="n">
        <v>42.79999923706055</v>
      </c>
      <c r="L825" t="inlineStr">
        <is>
          <t>UNVERIFIED – negative EPS</t>
        </is>
      </c>
      <c r="M825" t="n">
        <v>-6.06</v>
      </c>
      <c r="N825" t="n">
        <v>-3.68</v>
      </c>
      <c r="O825" t="n">
        <v>15.14</v>
      </c>
      <c r="P825" t="n">
        <v>24</v>
      </c>
      <c r="Q825" t="n">
        <v>9.65</v>
      </c>
      <c r="R825" s="2" t="inlineStr">
        <is>
          <t>VERIFIED_OK</t>
        </is>
      </c>
      <c r="S825" t="n">
        <v>15.14</v>
      </c>
      <c r="T825" t="inlineStr">
        <is>
          <t>30-07-2026 09:42 IST</t>
        </is>
      </c>
    </row>
    <row r="826">
      <c r="A826" t="n">
        <v>111</v>
      </c>
      <c r="B826" t="n">
        <v>505324</v>
      </c>
      <c r="C826" t="inlineStr">
        <is>
          <t>Manugraph India Ltd</t>
        </is>
      </c>
      <c r="D826" t="n">
        <v>2018</v>
      </c>
      <c r="E826" t="n">
        <v>15.27999973297119</v>
      </c>
      <c r="F826" t="n">
        <v>-4.69</v>
      </c>
      <c r="G826" t="inlineStr">
        <is>
          <t>Consolidated first (v4) – needs verification for flagged rows</t>
        </is>
      </c>
      <c r="H826" t="n">
        <v>65</v>
      </c>
      <c r="I826" t="n">
        <v>29.45000076293945</v>
      </c>
      <c r="L826" t="inlineStr">
        <is>
          <t>UNVERIFIED – negative EPS</t>
        </is>
      </c>
      <c r="M826" t="n">
        <v>-13.86</v>
      </c>
      <c r="N826" t="n">
        <v>-6.28</v>
      </c>
      <c r="O826" t="n">
        <v>15.14</v>
      </c>
      <c r="P826" t="n">
        <v>24</v>
      </c>
      <c r="Q826" t="n">
        <v>9.65</v>
      </c>
      <c r="R826" s="2" t="inlineStr">
        <is>
          <t>VERIFIED_OK</t>
        </is>
      </c>
      <c r="S826" t="n">
        <v>15.14</v>
      </c>
      <c r="T826" t="inlineStr">
        <is>
          <t>30-07-2026 09:42 IST</t>
        </is>
      </c>
    </row>
    <row r="827">
      <c r="A827" t="n">
        <v>111</v>
      </c>
      <c r="B827" t="n">
        <v>505324</v>
      </c>
      <c r="C827" t="inlineStr">
        <is>
          <t>Manugraph India Ltd</t>
        </is>
      </c>
      <c r="D827" t="n">
        <v>2019</v>
      </c>
      <c r="E827" t="n">
        <v>15.27999973297119</v>
      </c>
      <c r="F827" t="n">
        <v>-5.37</v>
      </c>
      <c r="G827" t="inlineStr">
        <is>
          <t>Consolidated first (v4) – needs verification for flagged rows</t>
        </is>
      </c>
      <c r="H827" t="n">
        <v>33.65000152587891</v>
      </c>
      <c r="I827" t="n">
        <v>12.30000019073486</v>
      </c>
      <c r="L827" t="inlineStr">
        <is>
          <t>UNVERIFIED – negative EPS</t>
        </is>
      </c>
      <c r="M827" t="n">
        <v>-6.27</v>
      </c>
      <c r="N827" t="n">
        <v>-2.29</v>
      </c>
      <c r="O827" t="n">
        <v>15.14</v>
      </c>
      <c r="P827" t="n">
        <v>24</v>
      </c>
      <c r="Q827" t="n">
        <v>9.65</v>
      </c>
      <c r="R827" s="2" t="inlineStr">
        <is>
          <t>VERIFIED_OK</t>
        </is>
      </c>
      <c r="S827" t="n">
        <v>15.14</v>
      </c>
      <c r="T827" t="inlineStr">
        <is>
          <t>30-07-2026 09:42 IST</t>
        </is>
      </c>
    </row>
    <row r="828">
      <c r="A828" t="n">
        <v>111</v>
      </c>
      <c r="B828" t="n">
        <v>505324</v>
      </c>
      <c r="C828" t="inlineStr">
        <is>
          <t>Manugraph India Ltd</t>
        </is>
      </c>
      <c r="D828" t="n">
        <v>2020</v>
      </c>
      <c r="E828" t="n">
        <v>15.27999973297119</v>
      </c>
      <c r="F828" t="n">
        <v>-11.61</v>
      </c>
      <c r="G828" t="inlineStr">
        <is>
          <t>Consolidated first (v4) – needs verification for flagged rows</t>
        </is>
      </c>
      <c r="H828" t="n">
        <v>19.11000061035156</v>
      </c>
      <c r="I828" t="n">
        <v>6.5</v>
      </c>
      <c r="L828" t="inlineStr">
        <is>
          <t>UNVERIFIED – negative EPS</t>
        </is>
      </c>
      <c r="M828" t="n">
        <v>-1.65</v>
      </c>
      <c r="N828" t="n">
        <v>-0.5600000000000001</v>
      </c>
      <c r="O828" t="n">
        <v>15.14</v>
      </c>
      <c r="P828" t="n">
        <v>24</v>
      </c>
      <c r="Q828" t="n">
        <v>9.65</v>
      </c>
      <c r="R828" s="2" t="inlineStr">
        <is>
          <t>VERIFIED_OK</t>
        </is>
      </c>
      <c r="S828" t="n">
        <v>15.14</v>
      </c>
      <c r="T828" t="inlineStr">
        <is>
          <t>30-07-2026 09:42 IST</t>
        </is>
      </c>
    </row>
    <row r="829">
      <c r="A829" t="n">
        <v>111</v>
      </c>
      <c r="B829" t="n">
        <v>505324</v>
      </c>
      <c r="C829" t="inlineStr">
        <is>
          <t>Manugraph India Ltd</t>
        </is>
      </c>
      <c r="D829" t="n">
        <v>2021</v>
      </c>
      <c r="E829" t="n">
        <v>15.27999973297119</v>
      </c>
      <c r="F829" t="n">
        <v>-9.44</v>
      </c>
      <c r="G829" t="inlineStr">
        <is>
          <t>Consolidated first (v4) – needs verification for flagged rows</t>
        </is>
      </c>
      <c r="H829" t="n">
        <v>22.39999961853027</v>
      </c>
      <c r="I829" t="n">
        <v>10</v>
      </c>
      <c r="L829" t="inlineStr">
        <is>
          <t>UNVERIFIED – negative EPS</t>
        </is>
      </c>
      <c r="M829" t="n">
        <v>-2.37</v>
      </c>
      <c r="N829" t="n">
        <v>-1.06</v>
      </c>
      <c r="O829" t="n">
        <v>15.14</v>
      </c>
      <c r="P829" t="n">
        <v>24</v>
      </c>
      <c r="Q829" t="n">
        <v>9.65</v>
      </c>
      <c r="R829" s="2" t="inlineStr">
        <is>
          <t>VERIFIED_OK</t>
        </is>
      </c>
      <c r="S829" t="n">
        <v>15.14</v>
      </c>
      <c r="T829" t="inlineStr">
        <is>
          <t>30-07-2026 09:42 IST</t>
        </is>
      </c>
    </row>
    <row r="830">
      <c r="A830" t="n">
        <v>111</v>
      </c>
      <c r="B830" t="n">
        <v>505324</v>
      </c>
      <c r="C830" t="inlineStr">
        <is>
          <t>Manugraph India Ltd</t>
        </is>
      </c>
      <c r="D830" t="n">
        <v>2022</v>
      </c>
      <c r="E830" t="n">
        <v>15.27999973297119</v>
      </c>
      <c r="F830" t="n">
        <v>-4.59</v>
      </c>
      <c r="G830" t="inlineStr">
        <is>
          <t>Consolidated first (v4) – needs verification for flagged rows</t>
        </is>
      </c>
      <c r="H830" t="n">
        <v>22.95000076293945</v>
      </c>
      <c r="I830" t="n">
        <v>12.02000045776367</v>
      </c>
      <c r="L830" t="inlineStr">
        <is>
          <t>UNVERIFIED – negative EPS</t>
        </is>
      </c>
      <c r="M830" t="n">
        <v>-5</v>
      </c>
      <c r="N830" t="n">
        <v>-2.62</v>
      </c>
      <c r="O830" t="n">
        <v>15.14</v>
      </c>
      <c r="P830" t="n">
        <v>24</v>
      </c>
      <c r="Q830" t="n">
        <v>9.65</v>
      </c>
      <c r="R830" s="2" t="inlineStr">
        <is>
          <t>VERIFIED_OK</t>
        </is>
      </c>
      <c r="S830" t="n">
        <v>15.14</v>
      </c>
      <c r="T830" t="inlineStr">
        <is>
          <t>30-07-2026 09:42 IST</t>
        </is>
      </c>
    </row>
    <row r="831">
      <c r="A831" t="n">
        <v>111</v>
      </c>
      <c r="B831" t="n">
        <v>505324</v>
      </c>
      <c r="C831" t="inlineStr">
        <is>
          <t>Manugraph India Ltd</t>
        </is>
      </c>
      <c r="D831" t="n">
        <v>2023</v>
      </c>
      <c r="E831" t="n">
        <v>15.27999973297119</v>
      </c>
      <c r="F831" t="n">
        <v>-3.63</v>
      </c>
      <c r="G831" t="inlineStr">
        <is>
          <t>Consolidated first (v4) – needs verification for flagged rows</t>
        </is>
      </c>
      <c r="H831" t="n">
        <v>28.85000038146973</v>
      </c>
      <c r="I831" t="n">
        <v>14.25</v>
      </c>
      <c r="L831" t="inlineStr">
        <is>
          <t>UNVERIFIED – negative EPS</t>
        </is>
      </c>
      <c r="M831" t="n">
        <v>-7.95</v>
      </c>
      <c r="N831" t="n">
        <v>-3.93</v>
      </c>
      <c r="O831" t="n">
        <v>15.14</v>
      </c>
      <c r="P831" t="n">
        <v>24</v>
      </c>
      <c r="Q831" t="n">
        <v>9.65</v>
      </c>
      <c r="R831" s="2" t="inlineStr">
        <is>
          <t>VERIFIED_OK</t>
        </is>
      </c>
      <c r="S831" t="n">
        <v>15.14</v>
      </c>
      <c r="T831" t="inlineStr">
        <is>
          <t>30-07-2026 09:42 IST</t>
        </is>
      </c>
    </row>
    <row r="832">
      <c r="A832" t="n">
        <v>111</v>
      </c>
      <c r="B832" t="n">
        <v>505324</v>
      </c>
      <c r="C832" t="inlineStr">
        <is>
          <t>Manugraph India Ltd</t>
        </is>
      </c>
      <c r="D832" t="n">
        <v>2024</v>
      </c>
      <c r="E832" t="n">
        <v>15.27999973297119</v>
      </c>
      <c r="G832" t="inlineStr">
        <is>
          <t>Consolidated first (v4) – needs verification for flagged rows</t>
        </is>
      </c>
      <c r="H832" t="n">
        <v>34.88000106811523</v>
      </c>
      <c r="I832" t="n">
        <v>18.35000038146973</v>
      </c>
      <c r="L832" t="inlineStr">
        <is>
          <t>INCOMPLETE</t>
        </is>
      </c>
      <c r="O832" t="n">
        <v>15.14</v>
      </c>
      <c r="P832" t="n">
        <v>24</v>
      </c>
      <c r="Q832" t="n">
        <v>9.65</v>
      </c>
      <c r="R832" s="2" t="inlineStr">
        <is>
          <t>VERIFIED_OK</t>
        </is>
      </c>
      <c r="S832" t="n">
        <v>15.14</v>
      </c>
      <c r="T832" t="inlineStr">
        <is>
          <t>30-07-2026 09:42 IST</t>
        </is>
      </c>
    </row>
    <row r="833">
      <c r="A833" t="n">
        <v>111</v>
      </c>
      <c r="B833" t="n">
        <v>505324</v>
      </c>
      <c r="C833" t="inlineStr">
        <is>
          <t>Manugraph India Ltd</t>
        </is>
      </c>
      <c r="D833" t="n">
        <v>2025</v>
      </c>
      <c r="E833" t="n">
        <v>15.27999973297119</v>
      </c>
      <c r="G833" t="inlineStr">
        <is>
          <t>Consolidated first (v4) – needs verification for flagged rows</t>
        </is>
      </c>
      <c r="H833" t="n">
        <v>25.69000053405762</v>
      </c>
      <c r="I833" t="n">
        <v>14</v>
      </c>
      <c r="L833" t="inlineStr">
        <is>
          <t>INCOMPLETE</t>
        </is>
      </c>
      <c r="O833" t="n">
        <v>15.14</v>
      </c>
      <c r="P833" t="n">
        <v>24</v>
      </c>
      <c r="Q833" t="n">
        <v>9.65</v>
      </c>
      <c r="R833" s="2" t="inlineStr">
        <is>
          <t>VERIFIED_OK</t>
        </is>
      </c>
      <c r="S833" t="n">
        <v>15.14</v>
      </c>
      <c r="T833" t="inlineStr">
        <is>
          <t>30-07-2026 09:42 IST</t>
        </is>
      </c>
    </row>
    <row r="834">
      <c r="A834" t="n">
        <v>111</v>
      </c>
      <c r="B834" t="n">
        <v>505324</v>
      </c>
      <c r="C834" t="inlineStr">
        <is>
          <t>Manugraph India Ltd</t>
        </is>
      </c>
      <c r="D834" t="n">
        <v>2026</v>
      </c>
      <c r="E834" t="n">
        <v>15.27999973297119</v>
      </c>
      <c r="G834" t="inlineStr">
        <is>
          <t>Consolidated first (v4) – needs verification for flagged rows</t>
        </is>
      </c>
      <c r="H834" t="n">
        <v>18.75</v>
      </c>
      <c r="I834" t="n">
        <v>9.25</v>
      </c>
      <c r="L834" t="inlineStr">
        <is>
          <t>INCOMPLETE</t>
        </is>
      </c>
      <c r="O834" t="n">
        <v>15.14</v>
      </c>
      <c r="P834" t="n">
        <v>24</v>
      </c>
      <c r="Q834" t="n">
        <v>9.65</v>
      </c>
      <c r="R834" s="2" t="inlineStr">
        <is>
          <t>VERIFIED_OK</t>
        </is>
      </c>
      <c r="S834" t="n">
        <v>15.14</v>
      </c>
      <c r="T834" t="inlineStr">
        <is>
          <t>30-07-2026 09:42 IST</t>
        </is>
      </c>
    </row>
    <row r="835">
      <c r="A835" t="n">
        <v>112</v>
      </c>
      <c r="B835" t="n">
        <v>505355</v>
      </c>
      <c r="C835" t="inlineStr">
        <is>
          <t>Nesco Ltd</t>
        </is>
      </c>
      <c r="D835" t="n">
        <v>2015</v>
      </c>
      <c r="E835" t="n">
        <v>1008.150024414062</v>
      </c>
      <c r="F835" t="n">
        <v>15.82</v>
      </c>
      <c r="G835" t="inlineStr">
        <is>
          <t>Consolidated first (v4) – needs verification for flagged rows</t>
        </is>
      </c>
      <c r="H835" t="n">
        <v>360</v>
      </c>
      <c r="I835" t="n">
        <v>240</v>
      </c>
      <c r="L835" t="inlineStr">
        <is>
          <t>OK</t>
        </is>
      </c>
      <c r="M835" t="n">
        <v>22.76</v>
      </c>
      <c r="N835" t="n">
        <v>15.17</v>
      </c>
      <c r="O835" t="n">
        <v>1074.5</v>
      </c>
      <c r="P835" t="n">
        <v>1638.9</v>
      </c>
      <c r="Q835" t="n">
        <v>996</v>
      </c>
      <c r="R835" s="3" t="inlineStr">
        <is>
          <t>MISMATCH_NEEDS_CORRECTION</t>
        </is>
      </c>
      <c r="S835" t="n">
        <v>1074.5</v>
      </c>
      <c r="T835" t="inlineStr">
        <is>
          <t>30-07-2026 09:42 IST</t>
        </is>
      </c>
    </row>
    <row r="836">
      <c r="A836" t="n">
        <v>112</v>
      </c>
      <c r="B836" t="n">
        <v>505355</v>
      </c>
      <c r="C836" t="inlineStr">
        <is>
          <t>Nesco Ltd</t>
        </is>
      </c>
      <c r="D836" t="n">
        <v>2016</v>
      </c>
      <c r="E836" t="n">
        <v>1008.150024414062</v>
      </c>
      <c r="F836" t="n">
        <v>20.45</v>
      </c>
      <c r="G836" t="inlineStr">
        <is>
          <t>Consolidated first (v4) – needs verification for flagged rows</t>
        </is>
      </c>
      <c r="H836" t="n">
        <v>418</v>
      </c>
      <c r="I836" t="n">
        <v>280</v>
      </c>
      <c r="L836" t="inlineStr">
        <is>
          <t>OK</t>
        </is>
      </c>
      <c r="M836" t="n">
        <v>20.44</v>
      </c>
      <c r="N836" t="n">
        <v>13.69</v>
      </c>
      <c r="O836" t="n">
        <v>1074.5</v>
      </c>
      <c r="P836" t="n">
        <v>1638.9</v>
      </c>
      <c r="Q836" t="n">
        <v>996</v>
      </c>
      <c r="R836" s="3" t="inlineStr">
        <is>
          <t>MISMATCH_NEEDS_CORRECTION</t>
        </is>
      </c>
      <c r="S836" t="n">
        <v>1074.5</v>
      </c>
      <c r="T836" t="inlineStr">
        <is>
          <t>30-07-2026 09:42 IST</t>
        </is>
      </c>
    </row>
    <row r="837">
      <c r="A837" t="n">
        <v>112</v>
      </c>
      <c r="B837" t="n">
        <v>505355</v>
      </c>
      <c r="C837" t="inlineStr">
        <is>
          <t>Nesco Ltd</t>
        </is>
      </c>
      <c r="D837" t="n">
        <v>2017</v>
      </c>
      <c r="E837" t="n">
        <v>1008.150024414062</v>
      </c>
      <c r="F837" t="n">
        <v>24.11</v>
      </c>
      <c r="G837" t="inlineStr">
        <is>
          <t>Consolidated first (v4) – needs verification for flagged rows</t>
        </is>
      </c>
      <c r="H837" t="n">
        <v>590.8499755859375</v>
      </c>
      <c r="I837" t="n">
        <v>392</v>
      </c>
      <c r="L837" t="inlineStr">
        <is>
          <t>OK</t>
        </is>
      </c>
      <c r="M837" t="n">
        <v>24.51</v>
      </c>
      <c r="N837" t="n">
        <v>16.26</v>
      </c>
      <c r="O837" t="n">
        <v>1074.5</v>
      </c>
      <c r="P837" t="n">
        <v>1638.9</v>
      </c>
      <c r="Q837" t="n">
        <v>996</v>
      </c>
      <c r="R837" s="3" t="inlineStr">
        <is>
          <t>MISMATCH_NEEDS_CORRECTION</t>
        </is>
      </c>
      <c r="S837" t="n">
        <v>1074.5</v>
      </c>
      <c r="T837" t="inlineStr">
        <is>
          <t>30-07-2026 09:42 IST</t>
        </is>
      </c>
    </row>
    <row r="838">
      <c r="A838" t="n">
        <v>112</v>
      </c>
      <c r="B838" t="n">
        <v>505355</v>
      </c>
      <c r="C838" t="inlineStr">
        <is>
          <t>Nesco Ltd</t>
        </is>
      </c>
      <c r="D838" t="n">
        <v>2018</v>
      </c>
      <c r="E838" t="n">
        <v>1008.150024414062</v>
      </c>
      <c r="F838" t="n">
        <v>25.36</v>
      </c>
      <c r="G838" t="inlineStr">
        <is>
          <t>Consolidated first (v4) – needs verification for flagged rows</t>
        </is>
      </c>
      <c r="H838" t="n">
        <v>647.2000122070312</v>
      </c>
      <c r="I838" t="n">
        <v>405</v>
      </c>
      <c r="L838" t="inlineStr">
        <is>
          <t>OK</t>
        </is>
      </c>
      <c r="M838" t="n">
        <v>25.52</v>
      </c>
      <c r="N838" t="n">
        <v>15.97</v>
      </c>
      <c r="O838" t="n">
        <v>1074.5</v>
      </c>
      <c r="P838" t="n">
        <v>1638.9</v>
      </c>
      <c r="Q838" t="n">
        <v>996</v>
      </c>
      <c r="R838" s="3" t="inlineStr">
        <is>
          <t>MISMATCH_NEEDS_CORRECTION</t>
        </is>
      </c>
      <c r="S838" t="n">
        <v>1074.5</v>
      </c>
      <c r="T838" t="inlineStr">
        <is>
          <t>30-07-2026 09:42 IST</t>
        </is>
      </c>
    </row>
    <row r="839">
      <c r="A839" t="n">
        <v>112</v>
      </c>
      <c r="B839" t="n">
        <v>505355</v>
      </c>
      <c r="C839" t="inlineStr">
        <is>
          <t>Nesco Ltd</t>
        </is>
      </c>
      <c r="D839" t="n">
        <v>2019</v>
      </c>
      <c r="E839" t="n">
        <v>1008.150024414062</v>
      </c>
      <c r="F839" t="n">
        <v>25.61</v>
      </c>
      <c r="G839" t="inlineStr">
        <is>
          <t>Consolidated first (v4) – needs verification for flagged rows</t>
        </is>
      </c>
      <c r="H839" t="n">
        <v>712</v>
      </c>
      <c r="I839" t="n">
        <v>426</v>
      </c>
      <c r="L839" t="inlineStr">
        <is>
          <t>OK</t>
        </is>
      </c>
      <c r="M839" t="n">
        <v>27.8</v>
      </c>
      <c r="N839" t="n">
        <v>16.63</v>
      </c>
      <c r="O839" t="n">
        <v>1074.5</v>
      </c>
      <c r="P839" t="n">
        <v>1638.9</v>
      </c>
      <c r="Q839" t="n">
        <v>996</v>
      </c>
      <c r="R839" s="3" t="inlineStr">
        <is>
          <t>MISMATCH_NEEDS_CORRECTION</t>
        </is>
      </c>
      <c r="S839" t="n">
        <v>1074.5</v>
      </c>
      <c r="T839" t="inlineStr">
        <is>
          <t>30-07-2026 09:42 IST</t>
        </is>
      </c>
    </row>
    <row r="840">
      <c r="A840" t="n">
        <v>112</v>
      </c>
      <c r="B840" t="n">
        <v>505355</v>
      </c>
      <c r="C840" t="inlineStr">
        <is>
          <t>Nesco Ltd</t>
        </is>
      </c>
      <c r="D840" t="n">
        <v>2020</v>
      </c>
      <c r="E840" t="n">
        <v>1008.150024414062</v>
      </c>
      <c r="F840" t="n">
        <v>33.19</v>
      </c>
      <c r="G840" t="inlineStr">
        <is>
          <t>Consolidated first (v4) – needs verification for flagged rows</t>
        </is>
      </c>
      <c r="H840" t="n">
        <v>816.9000244140625</v>
      </c>
      <c r="I840" t="n">
        <v>381.1000061035156</v>
      </c>
      <c r="L840" t="inlineStr">
        <is>
          <t>OK</t>
        </is>
      </c>
      <c r="M840" t="n">
        <v>24.61</v>
      </c>
      <c r="N840" t="n">
        <v>11.48</v>
      </c>
      <c r="O840" t="n">
        <v>1074.5</v>
      </c>
      <c r="P840" t="n">
        <v>1638.9</v>
      </c>
      <c r="Q840" t="n">
        <v>996</v>
      </c>
      <c r="R840" s="3" t="inlineStr">
        <is>
          <t>MISMATCH_NEEDS_CORRECTION</t>
        </is>
      </c>
      <c r="S840" t="n">
        <v>1074.5</v>
      </c>
      <c r="T840" t="inlineStr">
        <is>
          <t>30-07-2026 09:42 IST</t>
        </is>
      </c>
    </row>
    <row r="841">
      <c r="A841" t="n">
        <v>112</v>
      </c>
      <c r="B841" t="n">
        <v>505355</v>
      </c>
      <c r="C841" t="inlineStr">
        <is>
          <t>Nesco Ltd</t>
        </is>
      </c>
      <c r="D841" t="n">
        <v>2021</v>
      </c>
      <c r="E841" t="n">
        <v>1008.150024414062</v>
      </c>
      <c r="F841" t="n">
        <v>24.48</v>
      </c>
      <c r="G841" t="inlineStr">
        <is>
          <t>Consolidated first (v4) – needs verification for flagged rows</t>
        </is>
      </c>
      <c r="H841" t="n">
        <v>697</v>
      </c>
      <c r="I841" t="n">
        <v>463.5</v>
      </c>
      <c r="L841" t="inlineStr">
        <is>
          <t>OK</t>
        </is>
      </c>
      <c r="M841" t="n">
        <v>28.47</v>
      </c>
      <c r="N841" t="n">
        <v>18.93</v>
      </c>
      <c r="O841" t="n">
        <v>1074.5</v>
      </c>
      <c r="P841" t="n">
        <v>1638.9</v>
      </c>
      <c r="Q841" t="n">
        <v>996</v>
      </c>
      <c r="R841" s="3" t="inlineStr">
        <is>
          <t>MISMATCH_NEEDS_CORRECTION</t>
        </is>
      </c>
      <c r="S841" t="n">
        <v>1074.5</v>
      </c>
      <c r="T841" t="inlineStr">
        <is>
          <t>30-07-2026 09:42 IST</t>
        </is>
      </c>
    </row>
    <row r="842">
      <c r="A842" t="n">
        <v>112</v>
      </c>
      <c r="B842" t="n">
        <v>505355</v>
      </c>
      <c r="C842" t="inlineStr">
        <is>
          <t>Nesco Ltd</t>
        </is>
      </c>
      <c r="D842" t="n">
        <v>2022</v>
      </c>
      <c r="E842" t="n">
        <v>1008.150024414062</v>
      </c>
      <c r="F842" t="n">
        <v>26.85</v>
      </c>
      <c r="G842" t="inlineStr">
        <is>
          <t>Consolidated first (v4) – needs verification for flagged rows</t>
        </is>
      </c>
      <c r="H842" t="n">
        <v>686.4000244140625</v>
      </c>
      <c r="I842" t="n">
        <v>505.2999877929688</v>
      </c>
      <c r="L842" t="inlineStr">
        <is>
          <t>OK</t>
        </is>
      </c>
      <c r="M842" t="n">
        <v>25.56</v>
      </c>
      <c r="N842" t="n">
        <v>18.82</v>
      </c>
      <c r="O842" t="n">
        <v>1074.5</v>
      </c>
      <c r="P842" t="n">
        <v>1638.9</v>
      </c>
      <c r="Q842" t="n">
        <v>996</v>
      </c>
      <c r="R842" s="3" t="inlineStr">
        <is>
          <t>MISMATCH_NEEDS_CORRECTION</t>
        </is>
      </c>
      <c r="S842" t="n">
        <v>1074.5</v>
      </c>
      <c r="T842" t="inlineStr">
        <is>
          <t>30-07-2026 09:42 IST</t>
        </is>
      </c>
    </row>
    <row r="843">
      <c r="A843" t="n">
        <v>112</v>
      </c>
      <c r="B843" t="n">
        <v>505355</v>
      </c>
      <c r="C843" t="inlineStr">
        <is>
          <t>Nesco Ltd</t>
        </is>
      </c>
      <c r="D843" t="n">
        <v>2023</v>
      </c>
      <c r="E843" t="n">
        <v>1008.150024414062</v>
      </c>
      <c r="F843" t="n">
        <v>41.25</v>
      </c>
      <c r="G843" t="inlineStr">
        <is>
          <t>Consolidated first (v4) – needs verification for flagged rows</t>
        </is>
      </c>
      <c r="H843" t="n">
        <v>923</v>
      </c>
      <c r="I843" t="n">
        <v>505.25</v>
      </c>
      <c r="L843" t="inlineStr">
        <is>
          <t>OK</t>
        </is>
      </c>
      <c r="M843" t="n">
        <v>22.38</v>
      </c>
      <c r="N843" t="n">
        <v>12.25</v>
      </c>
      <c r="O843" t="n">
        <v>1074.5</v>
      </c>
      <c r="P843" t="n">
        <v>1638.9</v>
      </c>
      <c r="Q843" t="n">
        <v>996</v>
      </c>
      <c r="R843" s="3" t="inlineStr">
        <is>
          <t>MISMATCH_NEEDS_CORRECTION</t>
        </is>
      </c>
      <c r="S843" t="n">
        <v>1074.5</v>
      </c>
      <c r="T843" t="inlineStr">
        <is>
          <t>30-07-2026 09:42 IST</t>
        </is>
      </c>
    </row>
    <row r="844">
      <c r="A844" t="n">
        <v>112</v>
      </c>
      <c r="B844" t="n">
        <v>505355</v>
      </c>
      <c r="C844" t="inlineStr">
        <is>
          <t>Nesco Ltd</t>
        </is>
      </c>
      <c r="D844" t="n">
        <v>2024</v>
      </c>
      <c r="E844" t="n">
        <v>1008.150024414062</v>
      </c>
      <c r="F844" t="n">
        <v>51.49</v>
      </c>
      <c r="G844" t="inlineStr">
        <is>
          <t>Consolidated first (v4) – needs verification for flagged rows</t>
        </is>
      </c>
      <c r="H844" t="n">
        <v>1081</v>
      </c>
      <c r="I844" t="n">
        <v>755.0999755859375</v>
      </c>
      <c r="L844" t="inlineStr">
        <is>
          <t>OK</t>
        </is>
      </c>
      <c r="M844" t="n">
        <v>20.99</v>
      </c>
      <c r="N844" t="n">
        <v>14.66</v>
      </c>
      <c r="O844" t="n">
        <v>1074.5</v>
      </c>
      <c r="P844" t="n">
        <v>1638.9</v>
      </c>
      <c r="Q844" t="n">
        <v>996</v>
      </c>
      <c r="R844" s="3" t="inlineStr">
        <is>
          <t>MISMATCH_NEEDS_CORRECTION</t>
        </is>
      </c>
      <c r="S844" t="n">
        <v>1074.5</v>
      </c>
      <c r="T844" t="inlineStr">
        <is>
          <t>30-07-2026 09:42 IST</t>
        </is>
      </c>
    </row>
    <row r="845">
      <c r="A845" t="n">
        <v>112</v>
      </c>
      <c r="B845" t="n">
        <v>505355</v>
      </c>
      <c r="C845" t="inlineStr">
        <is>
          <t>Nesco Ltd</t>
        </is>
      </c>
      <c r="D845" t="n">
        <v>2025</v>
      </c>
      <c r="E845" t="n">
        <v>1008.150024414062</v>
      </c>
      <c r="F845" t="n">
        <v>53.25</v>
      </c>
      <c r="G845" t="inlineStr">
        <is>
          <t>Consolidated first (v4) – needs verification for flagged rows</t>
        </is>
      </c>
      <c r="H845" t="n">
        <v>1638.849975585938</v>
      </c>
      <c r="I845" t="n">
        <v>841.9500122070312</v>
      </c>
      <c r="L845" t="inlineStr">
        <is>
          <t>OK</t>
        </is>
      </c>
      <c r="M845" t="n">
        <v>30.78</v>
      </c>
      <c r="N845" t="n">
        <v>15.81</v>
      </c>
      <c r="O845" t="n">
        <v>1074.5</v>
      </c>
      <c r="P845" t="n">
        <v>1638.9</v>
      </c>
      <c r="Q845" t="n">
        <v>996</v>
      </c>
      <c r="R845" s="3" t="inlineStr">
        <is>
          <t>MISMATCH_NEEDS_CORRECTION</t>
        </is>
      </c>
      <c r="S845" t="n">
        <v>1074.5</v>
      </c>
      <c r="T845" t="inlineStr">
        <is>
          <t>30-07-2026 09:42 IST</t>
        </is>
      </c>
    </row>
    <row r="846">
      <c r="A846" t="n">
        <v>112</v>
      </c>
      <c r="B846" t="n">
        <v>505355</v>
      </c>
      <c r="C846" t="inlineStr">
        <is>
          <t>Nesco Ltd</t>
        </is>
      </c>
      <c r="D846" t="n">
        <v>2026</v>
      </c>
      <c r="E846" t="n">
        <v>1008.150024414062</v>
      </c>
      <c r="F846" t="n">
        <v>58.58</v>
      </c>
      <c r="G846" t="inlineStr">
        <is>
          <t>Consolidated first (v4) – needs verification for flagged rows</t>
        </is>
      </c>
      <c r="H846" t="n">
        <v>1330.949951171875</v>
      </c>
      <c r="I846" t="n">
        <v>1000</v>
      </c>
      <c r="L846" t="inlineStr">
        <is>
          <t>OK</t>
        </is>
      </c>
      <c r="M846" t="n">
        <v>22.72</v>
      </c>
      <c r="N846" t="n">
        <v>17.07</v>
      </c>
      <c r="O846" t="n">
        <v>1074.5</v>
      </c>
      <c r="P846" t="n">
        <v>1638.9</v>
      </c>
      <c r="Q846" t="n">
        <v>996</v>
      </c>
      <c r="R846" s="3" t="inlineStr">
        <is>
          <t>MISMATCH_NEEDS_CORRECTION</t>
        </is>
      </c>
      <c r="S846" t="n">
        <v>1074.5</v>
      </c>
      <c r="T846" t="inlineStr">
        <is>
          <t>30-07-2026 09:42 IST</t>
        </is>
      </c>
    </row>
    <row r="847">
      <c r="A847" t="n">
        <v>115</v>
      </c>
      <c r="B847" t="n">
        <v>505520</v>
      </c>
      <c r="C847" t="inlineStr">
        <is>
          <t>Herbertsons Ltd</t>
        </is>
      </c>
      <c r="D847" t="n">
        <v>2023</v>
      </c>
      <c r="E847" t="n">
        <v>106.4000015258789</v>
      </c>
      <c r="F847" t="n">
        <v>-0.57</v>
      </c>
      <c r="G847" t="inlineStr">
        <is>
          <t>Consolidated first (v4) – needs verification for flagged rows</t>
        </is>
      </c>
      <c r="H847" t="n">
        <v>2.099999904632568</v>
      </c>
      <c r="I847" t="n">
        <v>2.099999904632568</v>
      </c>
      <c r="L847" t="inlineStr">
        <is>
          <t>UNVERIFIED – negative EPS</t>
        </is>
      </c>
      <c r="M847" t="n">
        <v>-3.68</v>
      </c>
      <c r="N847" t="n">
        <v>-3.68</v>
      </c>
      <c r="O847" t="n">
        <v>2.1</v>
      </c>
      <c r="P847" t="n">
        <v>6.38</v>
      </c>
      <c r="Q847" t="n">
        <v>2.1</v>
      </c>
      <c r="R847" s="3" t="inlineStr">
        <is>
          <t>MISMATCH_NEEDS_CORRECTION</t>
        </is>
      </c>
      <c r="S847" t="n">
        <v>2.1</v>
      </c>
      <c r="T847" t="inlineStr">
        <is>
          <t>30-07-2026 09:42 IST</t>
        </is>
      </c>
    </row>
    <row r="848">
      <c r="A848" t="n">
        <v>115</v>
      </c>
      <c r="B848" t="n">
        <v>505520</v>
      </c>
      <c r="C848" t="inlineStr">
        <is>
          <t>Herbertsons Ltd</t>
        </is>
      </c>
      <c r="D848" t="n">
        <v>2024</v>
      </c>
      <c r="E848" t="n">
        <v>106.4000015258789</v>
      </c>
      <c r="F848" t="n">
        <v>6.32</v>
      </c>
      <c r="G848" t="inlineStr">
        <is>
          <t>Consolidated first (v4) – needs verification for flagged rows</t>
        </is>
      </c>
      <c r="H848" t="n">
        <v>5.690000057220459</v>
      </c>
      <c r="I848" t="n">
        <v>2.099999904632568</v>
      </c>
      <c r="L848" t="inlineStr">
        <is>
          <t>OK</t>
        </is>
      </c>
      <c r="M848" t="n">
        <v>0.9</v>
      </c>
      <c r="N848" t="n">
        <v>0.33</v>
      </c>
      <c r="O848" t="n">
        <v>2.1</v>
      </c>
      <c r="P848" t="n">
        <v>6.38</v>
      </c>
      <c r="Q848" t="n">
        <v>2.1</v>
      </c>
      <c r="R848" s="3" t="inlineStr">
        <is>
          <t>MISMATCH_NEEDS_CORRECTION</t>
        </is>
      </c>
      <c r="S848" t="n">
        <v>2.1</v>
      </c>
      <c r="T848" t="inlineStr">
        <is>
          <t>30-07-2026 09:42 IST</t>
        </is>
      </c>
    </row>
    <row r="849">
      <c r="A849" t="n">
        <v>115</v>
      </c>
      <c r="B849" t="n">
        <v>505520</v>
      </c>
      <c r="C849" t="inlineStr">
        <is>
          <t>Herbertsons Ltd</t>
        </is>
      </c>
      <c r="D849" t="n">
        <v>2025</v>
      </c>
      <c r="E849" t="n">
        <v>106.4000015258789</v>
      </c>
      <c r="F849" t="n">
        <v>-50.13</v>
      </c>
      <c r="G849" t="inlineStr">
        <is>
          <t>Consolidated first (v4) – needs verification for flagged rows</t>
        </is>
      </c>
      <c r="H849" t="n">
        <v>101.3399963378906</v>
      </c>
      <c r="I849" t="n">
        <v>5.800000190734863</v>
      </c>
      <c r="L849" t="inlineStr">
        <is>
          <t>UNVERIFIED – negative EPS</t>
        </is>
      </c>
      <c r="M849" t="n">
        <v>-2.02</v>
      </c>
      <c r="N849" t="n">
        <v>-0.12</v>
      </c>
      <c r="O849" t="n">
        <v>2.1</v>
      </c>
      <c r="P849" t="n">
        <v>6.38</v>
      </c>
      <c r="Q849" t="n">
        <v>2.1</v>
      </c>
      <c r="R849" s="3" t="inlineStr">
        <is>
          <t>MISMATCH_NEEDS_CORRECTION</t>
        </is>
      </c>
      <c r="S849" t="n">
        <v>2.1</v>
      </c>
      <c r="T849" t="inlineStr">
        <is>
          <t>30-07-2026 09:42 IST</t>
        </is>
      </c>
    </row>
    <row r="850">
      <c r="A850" t="n">
        <v>115</v>
      </c>
      <c r="B850" t="n">
        <v>505520</v>
      </c>
      <c r="C850" t="inlineStr">
        <is>
          <t>Herbertsons Ltd</t>
        </is>
      </c>
      <c r="D850" t="n">
        <v>2026</v>
      </c>
      <c r="E850" t="n">
        <v>106.4000015258789</v>
      </c>
      <c r="G850" t="inlineStr">
        <is>
          <t>Consolidated first (v4) – needs verification for flagged rows</t>
        </is>
      </c>
      <c r="H850" t="n">
        <v>106.4000015258789</v>
      </c>
      <c r="I850" t="n">
        <v>101.3399963378906</v>
      </c>
      <c r="L850" t="inlineStr">
        <is>
          <t>INCOMPLETE</t>
        </is>
      </c>
      <c r="O850" t="n">
        <v>2.1</v>
      </c>
      <c r="P850" t="n">
        <v>6.38</v>
      </c>
      <c r="Q850" t="n">
        <v>2.1</v>
      </c>
      <c r="R850" s="3" t="inlineStr">
        <is>
          <t>MISMATCH_NEEDS_CORRECTION</t>
        </is>
      </c>
      <c r="S850" t="n">
        <v>2.1</v>
      </c>
      <c r="T850" t="inlineStr">
        <is>
          <t>30-07-2026 09:42 IST</t>
        </is>
      </c>
    </row>
    <row r="851">
      <c r="A851" t="n">
        <v>117</v>
      </c>
      <c r="B851" t="n">
        <v>505850</v>
      </c>
      <c r="C851" t="inlineStr">
        <is>
          <t>Mangalam Cement Ltd</t>
        </is>
      </c>
      <c r="D851" t="n">
        <v>2015</v>
      </c>
      <c r="E851" t="n">
        <v>221.5500030517578</v>
      </c>
      <c r="F851" t="n">
        <v>3.27</v>
      </c>
      <c r="G851" t="inlineStr">
        <is>
          <t>Consolidated first (v4) – needs verification for flagged rows</t>
        </is>
      </c>
      <c r="H851" t="n">
        <v>44</v>
      </c>
      <c r="I851" t="n">
        <v>23.1833324432373</v>
      </c>
      <c r="L851" t="inlineStr">
        <is>
          <t>OK</t>
        </is>
      </c>
      <c r="M851" t="n">
        <v>13.46</v>
      </c>
      <c r="N851" t="n">
        <v>7.09</v>
      </c>
      <c r="O851" t="n">
        <v>124.1</v>
      </c>
      <c r="P851" t="n">
        <v>169.15</v>
      </c>
      <c r="Q851" t="n">
        <v>90</v>
      </c>
      <c r="R851" s="3" t="inlineStr">
        <is>
          <t>MISMATCH_NEEDS_CORRECTION</t>
        </is>
      </c>
      <c r="S851" t="n">
        <v>124.1</v>
      </c>
      <c r="T851" t="inlineStr">
        <is>
          <t>30-07-2026 09:42 IST</t>
        </is>
      </c>
    </row>
    <row r="852">
      <c r="A852" t="n">
        <v>117</v>
      </c>
      <c r="B852" t="n">
        <v>505850</v>
      </c>
      <c r="C852" t="inlineStr">
        <is>
          <t>Mangalam Cement Ltd</t>
        </is>
      </c>
      <c r="D852" t="n">
        <v>2016</v>
      </c>
      <c r="E852" t="n">
        <v>221.5500030517578</v>
      </c>
      <c r="F852" t="n">
        <v>0.88</v>
      </c>
      <c r="G852" t="inlineStr">
        <is>
          <t>Consolidated first (v4) – needs verification for flagged rows</t>
        </is>
      </c>
      <c r="H852" t="n">
        <v>93.09999847412109</v>
      </c>
      <c r="I852" t="n">
        <v>40.09999847412109</v>
      </c>
      <c r="L852" t="inlineStr">
        <is>
          <t>OK</t>
        </is>
      </c>
      <c r="M852" t="n">
        <v>105.8</v>
      </c>
      <c r="N852" t="n">
        <v>45.57</v>
      </c>
      <c r="O852" t="n">
        <v>124.1</v>
      </c>
      <c r="P852" t="n">
        <v>169.15</v>
      </c>
      <c r="Q852" t="n">
        <v>90</v>
      </c>
      <c r="R852" s="3" t="inlineStr">
        <is>
          <t>MISMATCH_NEEDS_CORRECTION</t>
        </is>
      </c>
      <c r="S852" t="n">
        <v>124.1</v>
      </c>
      <c r="T852" t="inlineStr">
        <is>
          <t>30-07-2026 09:42 IST</t>
        </is>
      </c>
    </row>
    <row r="853">
      <c r="A853" t="n">
        <v>117</v>
      </c>
      <c r="B853" t="n">
        <v>505850</v>
      </c>
      <c r="C853" t="inlineStr">
        <is>
          <t>Mangalam Cement Ltd</t>
        </is>
      </c>
      <c r="D853" t="n">
        <v>2017</v>
      </c>
      <c r="E853" t="n">
        <v>221.5500030517578</v>
      </c>
      <c r="F853" t="n">
        <v>2.51</v>
      </c>
      <c r="G853" t="inlineStr">
        <is>
          <t>Consolidated first (v4) – needs verification for flagged rows</t>
        </is>
      </c>
      <c r="H853" t="n">
        <v>99.15000152587891</v>
      </c>
      <c r="I853" t="n">
        <v>15.69999980926514</v>
      </c>
      <c r="L853" t="inlineStr">
        <is>
          <t>OK</t>
        </is>
      </c>
      <c r="M853" t="n">
        <v>39.5</v>
      </c>
      <c r="N853" t="n">
        <v>6.25</v>
      </c>
      <c r="O853" t="n">
        <v>124.1</v>
      </c>
      <c r="P853" t="n">
        <v>169.15</v>
      </c>
      <c r="Q853" t="n">
        <v>90</v>
      </c>
      <c r="R853" s="3" t="inlineStr">
        <is>
          <t>MISMATCH_NEEDS_CORRECTION</t>
        </is>
      </c>
      <c r="S853" t="n">
        <v>124.1</v>
      </c>
      <c r="T853" t="inlineStr">
        <is>
          <t>30-07-2026 09:42 IST</t>
        </is>
      </c>
    </row>
    <row r="854">
      <c r="A854" t="n">
        <v>117</v>
      </c>
      <c r="B854" t="n">
        <v>505850</v>
      </c>
      <c r="C854" t="inlineStr">
        <is>
          <t>Mangalam Cement Ltd</t>
        </is>
      </c>
      <c r="D854" t="n">
        <v>2018</v>
      </c>
      <c r="E854" t="n">
        <v>221.5500030517578</v>
      </c>
      <c r="F854" t="n">
        <v>4.35</v>
      </c>
      <c r="G854" t="inlineStr">
        <is>
          <t>Consolidated first (v4) – needs verification for flagged rows</t>
        </is>
      </c>
      <c r="H854" t="n">
        <v>65</v>
      </c>
      <c r="I854" t="n">
        <v>33</v>
      </c>
      <c r="L854" t="inlineStr">
        <is>
          <t>OK</t>
        </is>
      </c>
      <c r="M854" t="n">
        <v>14.94</v>
      </c>
      <c r="N854" t="n">
        <v>7.59</v>
      </c>
      <c r="O854" t="n">
        <v>124.1</v>
      </c>
      <c r="P854" t="n">
        <v>169.15</v>
      </c>
      <c r="Q854" t="n">
        <v>90</v>
      </c>
      <c r="R854" s="3" t="inlineStr">
        <is>
          <t>MISMATCH_NEEDS_CORRECTION</t>
        </is>
      </c>
      <c r="S854" t="n">
        <v>124.1</v>
      </c>
      <c r="T854" t="inlineStr">
        <is>
          <t>30-07-2026 09:42 IST</t>
        </is>
      </c>
    </row>
    <row r="855">
      <c r="A855" t="n">
        <v>117</v>
      </c>
      <c r="B855" t="n">
        <v>505850</v>
      </c>
      <c r="C855" t="inlineStr">
        <is>
          <t>Mangalam Cement Ltd</t>
        </is>
      </c>
      <c r="D855" t="n">
        <v>2019</v>
      </c>
      <c r="E855" t="n">
        <v>221.5500030517578</v>
      </c>
      <c r="F855" t="n">
        <v>3.71</v>
      </c>
      <c r="G855" t="inlineStr">
        <is>
          <t>Consolidated first (v4) – needs verification for flagged rows</t>
        </is>
      </c>
      <c r="H855" t="n">
        <v>65</v>
      </c>
      <c r="I855" t="n">
        <v>32</v>
      </c>
      <c r="L855" t="inlineStr">
        <is>
          <t>OK</t>
        </is>
      </c>
      <c r="M855" t="n">
        <v>17.52</v>
      </c>
      <c r="N855" t="n">
        <v>8.630000000000001</v>
      </c>
      <c r="O855" t="n">
        <v>124.1</v>
      </c>
      <c r="P855" t="n">
        <v>169.15</v>
      </c>
      <c r="Q855" t="n">
        <v>90</v>
      </c>
      <c r="R855" s="3" t="inlineStr">
        <is>
          <t>MISMATCH_NEEDS_CORRECTION</t>
        </is>
      </c>
      <c r="S855" t="n">
        <v>124.1</v>
      </c>
      <c r="T855" t="inlineStr">
        <is>
          <t>30-07-2026 09:42 IST</t>
        </is>
      </c>
    </row>
    <row r="856">
      <c r="A856" t="n">
        <v>117</v>
      </c>
      <c r="B856" t="n">
        <v>505850</v>
      </c>
      <c r="C856" t="inlineStr">
        <is>
          <t>Mangalam Cement Ltd</t>
        </is>
      </c>
      <c r="D856" t="n">
        <v>2020</v>
      </c>
      <c r="E856" t="n">
        <v>221.5500030517578</v>
      </c>
      <c r="F856" t="n">
        <v>7.31</v>
      </c>
      <c r="G856" t="inlineStr">
        <is>
          <t>Consolidated first (v4) – needs verification for flagged rows</t>
        </is>
      </c>
      <c r="H856" t="n">
        <v>63</v>
      </c>
      <c r="I856" t="n">
        <v>25.70000076293945</v>
      </c>
      <c r="L856" t="inlineStr">
        <is>
          <t>INCOMPLETE</t>
        </is>
      </c>
      <c r="M856" t="n">
        <v>8.619999999999999</v>
      </c>
      <c r="N856" t="n">
        <v>3.52</v>
      </c>
      <c r="O856" t="n">
        <v>124.1</v>
      </c>
      <c r="P856" t="n">
        <v>169.15</v>
      </c>
      <c r="Q856" t="n">
        <v>90</v>
      </c>
      <c r="R856" s="3" t="inlineStr">
        <is>
          <t>MISMATCH_NEEDS_CORRECTION</t>
        </is>
      </c>
      <c r="S856" t="n">
        <v>124.1</v>
      </c>
      <c r="T856" t="inlineStr">
        <is>
          <t>30-07-2026 09:42 IST</t>
        </is>
      </c>
    </row>
    <row r="857">
      <c r="A857" t="n">
        <v>117</v>
      </c>
      <c r="B857" t="n">
        <v>505850</v>
      </c>
      <c r="C857" t="inlineStr">
        <is>
          <t>Mangalam Cement Ltd</t>
        </is>
      </c>
      <c r="D857" t="n">
        <v>2021</v>
      </c>
      <c r="E857" t="n">
        <v>221.5500030517578</v>
      </c>
      <c r="F857" t="n">
        <v>4.13</v>
      </c>
      <c r="G857" t="inlineStr">
        <is>
          <t>Consolidated first (v4) – needs verification for flagged rows</t>
        </is>
      </c>
      <c r="H857" t="n">
        <v>100</v>
      </c>
      <c r="I857" t="n">
        <v>55.04999923706055</v>
      </c>
      <c r="L857" t="inlineStr">
        <is>
          <t>INCOMPLETE</t>
        </is>
      </c>
      <c r="M857" t="n">
        <v>24.21</v>
      </c>
      <c r="N857" t="n">
        <v>13.33</v>
      </c>
      <c r="O857" t="n">
        <v>124.1</v>
      </c>
      <c r="P857" t="n">
        <v>169.15</v>
      </c>
      <c r="Q857" t="n">
        <v>90</v>
      </c>
      <c r="R857" s="3" t="inlineStr">
        <is>
          <t>MISMATCH_NEEDS_CORRECTION</t>
        </is>
      </c>
      <c r="S857" t="n">
        <v>124.1</v>
      </c>
      <c r="T857" t="inlineStr">
        <is>
          <t>30-07-2026 09:42 IST</t>
        </is>
      </c>
    </row>
    <row r="858">
      <c r="A858" t="n">
        <v>117</v>
      </c>
      <c r="B858" t="n">
        <v>505850</v>
      </c>
      <c r="C858" t="inlineStr">
        <is>
          <t>Mangalam Cement Ltd</t>
        </is>
      </c>
      <c r="D858" t="n">
        <v>2022</v>
      </c>
      <c r="E858" t="n">
        <v>221.5500030517578</v>
      </c>
      <c r="F858" t="n">
        <v>23.72</v>
      </c>
      <c r="G858" t="inlineStr">
        <is>
          <t>Consolidated first (v4) – needs verification for flagged rows</t>
        </is>
      </c>
      <c r="H858" t="n">
        <v>148.6999969482422</v>
      </c>
      <c r="I858" t="n">
        <v>82</v>
      </c>
      <c r="L858" t="inlineStr">
        <is>
          <t>INCOMPLETE</t>
        </is>
      </c>
      <c r="M858" t="n">
        <v>6.27</v>
      </c>
      <c r="N858" t="n">
        <v>3.46</v>
      </c>
      <c r="O858" t="n">
        <v>124.1</v>
      </c>
      <c r="P858" t="n">
        <v>169.15</v>
      </c>
      <c r="Q858" t="n">
        <v>90</v>
      </c>
      <c r="R858" s="3" t="inlineStr">
        <is>
          <t>MISMATCH_NEEDS_CORRECTION</t>
        </is>
      </c>
      <c r="S858" t="n">
        <v>124.1</v>
      </c>
      <c r="T858" t="inlineStr">
        <is>
          <t>30-07-2026 09:42 IST</t>
        </is>
      </c>
    </row>
    <row r="859">
      <c r="A859" t="n">
        <v>117</v>
      </c>
      <c r="B859" t="n">
        <v>505850</v>
      </c>
      <c r="C859" t="inlineStr">
        <is>
          <t>Mangalam Cement Ltd</t>
        </is>
      </c>
      <c r="D859" t="n">
        <v>2023</v>
      </c>
      <c r="E859" t="n">
        <v>221.5500030517578</v>
      </c>
      <c r="F859" t="n">
        <v>5.34</v>
      </c>
      <c r="G859" t="inlineStr">
        <is>
          <t>Consolidated first (v4) – needs verification for flagged rows</t>
        </is>
      </c>
      <c r="H859" t="n">
        <v>135.8500061035156</v>
      </c>
      <c r="I859" t="n">
        <v>90</v>
      </c>
      <c r="L859" t="inlineStr">
        <is>
          <t>INCOMPLETE</t>
        </is>
      </c>
      <c r="M859" t="n">
        <v>25.44</v>
      </c>
      <c r="N859" t="n">
        <v>16.85</v>
      </c>
      <c r="O859" t="n">
        <v>124.1</v>
      </c>
      <c r="P859" t="n">
        <v>169.15</v>
      </c>
      <c r="Q859" t="n">
        <v>90</v>
      </c>
      <c r="R859" s="3" t="inlineStr">
        <is>
          <t>MISMATCH_NEEDS_CORRECTION</t>
        </is>
      </c>
      <c r="S859" t="n">
        <v>124.1</v>
      </c>
      <c r="T859" t="inlineStr">
        <is>
          <t>30-07-2026 09:42 IST</t>
        </is>
      </c>
    </row>
    <row r="860">
      <c r="A860" t="n">
        <v>117</v>
      </c>
      <c r="B860" t="n">
        <v>505850</v>
      </c>
      <c r="C860" t="inlineStr">
        <is>
          <t>Mangalam Cement Ltd</t>
        </is>
      </c>
      <c r="D860" t="n">
        <v>2024</v>
      </c>
      <c r="E860" t="n">
        <v>221.5500030517578</v>
      </c>
      <c r="F860" t="n">
        <v>4.29</v>
      </c>
      <c r="G860" t="inlineStr">
        <is>
          <t>Consolidated first (v4) – needs verification for flagged rows</t>
        </is>
      </c>
      <c r="H860" t="n">
        <v>169.1499938964844</v>
      </c>
      <c r="I860" t="n">
        <v>99.80000305175781</v>
      </c>
      <c r="L860" t="inlineStr">
        <is>
          <t>INCOMPLETE</t>
        </is>
      </c>
      <c r="M860" t="n">
        <v>39.43</v>
      </c>
      <c r="N860" t="n">
        <v>23.26</v>
      </c>
      <c r="O860" t="n">
        <v>124.1</v>
      </c>
      <c r="P860" t="n">
        <v>169.15</v>
      </c>
      <c r="Q860" t="n">
        <v>90</v>
      </c>
      <c r="R860" s="3" t="inlineStr">
        <is>
          <t>MISMATCH_NEEDS_CORRECTION</t>
        </is>
      </c>
      <c r="S860" t="n">
        <v>124.1</v>
      </c>
      <c r="T860" t="inlineStr">
        <is>
          <t>30-07-2026 09:42 IST</t>
        </is>
      </c>
    </row>
    <row r="861">
      <c r="A861" t="n">
        <v>117</v>
      </c>
      <c r="B861" t="n">
        <v>505850</v>
      </c>
      <c r="C861" t="inlineStr">
        <is>
          <t>Mangalam Cement Ltd</t>
        </is>
      </c>
      <c r="D861" t="n">
        <v>2025</v>
      </c>
      <c r="E861" t="n">
        <v>221.5500030517578</v>
      </c>
      <c r="F861" t="n">
        <v>5.8</v>
      </c>
      <c r="G861" t="inlineStr">
        <is>
          <t>Consolidated first (v4) – needs verification for flagged rows</t>
        </is>
      </c>
      <c r="H861" t="n">
        <v>219.3000030517578</v>
      </c>
      <c r="I861" t="n">
        <v>147</v>
      </c>
      <c r="L861" t="inlineStr">
        <is>
          <t>INCOMPLETE</t>
        </is>
      </c>
      <c r="M861" t="n">
        <v>37.81</v>
      </c>
      <c r="N861" t="n">
        <v>25.34</v>
      </c>
      <c r="O861" t="n">
        <v>124.1</v>
      </c>
      <c r="P861" t="n">
        <v>169.15</v>
      </c>
      <c r="Q861" t="n">
        <v>90</v>
      </c>
      <c r="R861" s="3" t="inlineStr">
        <is>
          <t>MISMATCH_NEEDS_CORRECTION</t>
        </is>
      </c>
      <c r="S861" t="n">
        <v>124.1</v>
      </c>
      <c r="T861" t="inlineStr">
        <is>
          <t>30-07-2026 09:42 IST</t>
        </is>
      </c>
    </row>
    <row r="862">
      <c r="A862" t="n">
        <v>117</v>
      </c>
      <c r="B862" t="n">
        <v>505850</v>
      </c>
      <c r="C862" t="inlineStr">
        <is>
          <t>Mangalam Cement Ltd</t>
        </is>
      </c>
      <c r="D862" t="n">
        <v>2026</v>
      </c>
      <c r="E862" t="n">
        <v>221.5500030517578</v>
      </c>
      <c r="F862" t="n">
        <v>6.28</v>
      </c>
      <c r="G862" t="inlineStr">
        <is>
          <t>Consolidated first (v4) – needs verification for flagged rows</t>
        </is>
      </c>
      <c r="H862" t="n">
        <v>267.3500061035156</v>
      </c>
      <c r="I862" t="n">
        <v>152.9499969482422</v>
      </c>
      <c r="L862" t="inlineStr">
        <is>
          <t>INCOMPLETE</t>
        </is>
      </c>
      <c r="M862" t="n">
        <v>42.57</v>
      </c>
      <c r="N862" t="n">
        <v>24.36</v>
      </c>
      <c r="O862" t="n">
        <v>124.1</v>
      </c>
      <c r="P862" t="n">
        <v>169.15</v>
      </c>
      <c r="Q862" t="n">
        <v>90</v>
      </c>
      <c r="R862" s="3" t="inlineStr">
        <is>
          <t>MISMATCH_NEEDS_CORRECTION</t>
        </is>
      </c>
      <c r="S862" t="n">
        <v>124.1</v>
      </c>
      <c r="T862" t="inlineStr">
        <is>
          <t>30-07-2026 09:42 IST</t>
        </is>
      </c>
    </row>
    <row r="863">
      <c r="A863" t="n">
        <v>120</v>
      </c>
      <c r="B863" t="n">
        <v>506161</v>
      </c>
      <c r="C863" t="inlineStr">
        <is>
          <t>Ishwarshakti Holdings</t>
        </is>
      </c>
      <c r="D863" t="n">
        <v>2026</v>
      </c>
      <c r="E863" t="n">
        <v>4.78000020980835</v>
      </c>
      <c r="F863" t="n">
        <v>-2.17</v>
      </c>
      <c r="G863" t="inlineStr">
        <is>
          <t>Consolidated first (v4) – needs verification for flagged rows</t>
        </is>
      </c>
      <c r="H863" t="n">
        <v>4.78000020980835</v>
      </c>
      <c r="I863" t="n">
        <v>4.78000020980835</v>
      </c>
      <c r="L863" t="inlineStr">
        <is>
          <t>UNVERIFIED – negative EPS</t>
        </is>
      </c>
      <c r="M863" t="n">
        <v>-2.2</v>
      </c>
      <c r="N863" t="n">
        <v>-2.2</v>
      </c>
      <c r="O863" t="n">
        <v>3.19</v>
      </c>
      <c r="P863" t="n">
        <v>4.78</v>
      </c>
      <c r="Q863" t="n">
        <v>3.19</v>
      </c>
      <c r="R863" s="3" t="inlineStr">
        <is>
          <t>MISMATCH_NEEDS_CORRECTION</t>
        </is>
      </c>
      <c r="S863" t="n">
        <v>3.19</v>
      </c>
      <c r="T863" t="inlineStr">
        <is>
          <t>30-07-2026 09:42 IST</t>
        </is>
      </c>
    </row>
    <row r="864">
      <c r="A864" t="n">
        <v>121</v>
      </c>
      <c r="B864" t="n">
        <v>506196</v>
      </c>
      <c r="C864" t="inlineStr">
        <is>
          <t>Swaraj Engines Ltd</t>
        </is>
      </c>
      <c r="D864" t="n">
        <v>2026</v>
      </c>
      <c r="E864" t="n">
        <v>85</v>
      </c>
      <c r="F864" t="n">
        <v>4.4</v>
      </c>
      <c r="G864" t="inlineStr">
        <is>
          <t>Consolidated first (v4) – needs verification for flagged rows</t>
        </is>
      </c>
      <c r="H864" t="n">
        <v>85</v>
      </c>
      <c r="I864" t="n">
        <v>85</v>
      </c>
      <c r="L864" t="inlineStr">
        <is>
          <t>OK</t>
        </is>
      </c>
      <c r="M864" t="n">
        <v>19.32</v>
      </c>
      <c r="N864" t="n">
        <v>19.32</v>
      </c>
      <c r="O864" t="n">
        <v>4.25</v>
      </c>
      <c r="P864" t="n">
        <v>85</v>
      </c>
      <c r="Q864" t="n">
        <v>4.25</v>
      </c>
      <c r="R864" s="3" t="inlineStr">
        <is>
          <t>MISMATCH_NEEDS_CORRECTION</t>
        </is>
      </c>
      <c r="S864" t="n">
        <v>4.25</v>
      </c>
      <c r="T864" t="inlineStr">
        <is>
          <t>30-07-2026 09:42 IST</t>
        </is>
      </c>
    </row>
    <row r="865">
      <c r="A865" t="n">
        <v>122</v>
      </c>
      <c r="B865" t="n">
        <v>506222</v>
      </c>
      <c r="C865" t="inlineStr">
        <is>
          <t>Dhunseri Tea</t>
        </is>
      </c>
      <c r="D865" t="n">
        <v>2015</v>
      </c>
      <c r="E865" t="n">
        <v>2478.300048828125</v>
      </c>
      <c r="F865" t="n">
        <v>10.76</v>
      </c>
      <c r="G865" t="inlineStr">
        <is>
          <t>Consolidated first (v4) – needs verification for flagged rows</t>
        </is>
      </c>
      <c r="H865" t="n">
        <v>945</v>
      </c>
      <c r="I865" t="n">
        <v>548</v>
      </c>
      <c r="L865" t="inlineStr">
        <is>
          <t>OK</t>
        </is>
      </c>
      <c r="M865" t="n">
        <v>87.83</v>
      </c>
      <c r="N865" t="n">
        <v>50.93</v>
      </c>
      <c r="O865" t="n">
        <v>130</v>
      </c>
      <c r="P865" t="n">
        <v>212.8</v>
      </c>
      <c r="Q865" t="n">
        <v>102.55</v>
      </c>
      <c r="R865" s="3" t="inlineStr">
        <is>
          <t>MISMATCH_NEEDS_CORRECTION</t>
        </is>
      </c>
      <c r="S865" t="n">
        <v>130</v>
      </c>
      <c r="T865" t="inlineStr">
        <is>
          <t>30-07-2026 09:42 IST</t>
        </is>
      </c>
    </row>
    <row r="866">
      <c r="A866" t="n">
        <v>122</v>
      </c>
      <c r="B866" t="n">
        <v>506222</v>
      </c>
      <c r="C866" t="inlineStr">
        <is>
          <t>Dhunseri Tea</t>
        </is>
      </c>
      <c r="D866" t="n">
        <v>2016</v>
      </c>
      <c r="E866" t="n">
        <v>2478.300048828125</v>
      </c>
      <c r="F866" t="n">
        <v>24.73</v>
      </c>
      <c r="G866" t="inlineStr">
        <is>
          <t>Consolidated first (v4) – needs verification for flagged rows</t>
        </is>
      </c>
      <c r="H866" t="n">
        <v>773</v>
      </c>
      <c r="I866" t="n">
        <v>475</v>
      </c>
      <c r="L866" t="inlineStr">
        <is>
          <t>INCOMPLETE</t>
        </is>
      </c>
      <c r="M866" t="n">
        <v>31.26</v>
      </c>
      <c r="N866" t="n">
        <v>19.21</v>
      </c>
      <c r="O866" t="n">
        <v>130</v>
      </c>
      <c r="P866" t="n">
        <v>212.8</v>
      </c>
      <c r="Q866" t="n">
        <v>102.55</v>
      </c>
      <c r="R866" s="3" t="inlineStr">
        <is>
          <t>MISMATCH_NEEDS_CORRECTION</t>
        </is>
      </c>
      <c r="S866" t="n">
        <v>130</v>
      </c>
      <c r="T866" t="inlineStr">
        <is>
          <t>30-07-2026 09:42 IST</t>
        </is>
      </c>
    </row>
    <row r="867">
      <c r="A867" t="n">
        <v>122</v>
      </c>
      <c r="B867" t="n">
        <v>506222</v>
      </c>
      <c r="C867" t="inlineStr">
        <is>
          <t>Dhunseri Tea</t>
        </is>
      </c>
      <c r="D867" t="n">
        <v>2017</v>
      </c>
      <c r="E867" t="n">
        <v>2478.300048828125</v>
      </c>
      <c r="F867" t="n">
        <v>-0.91</v>
      </c>
      <c r="G867" t="inlineStr">
        <is>
          <t>Consolidated first (v4) – needs verification for flagged rows</t>
        </is>
      </c>
      <c r="H867" t="n">
        <v>1168.800048828125</v>
      </c>
      <c r="I867" t="n">
        <v>586.1500244140625</v>
      </c>
      <c r="L867" t="inlineStr">
        <is>
          <t>INCOMPLETE</t>
        </is>
      </c>
      <c r="M867" t="n">
        <v>-1284.4</v>
      </c>
      <c r="N867" t="n">
        <v>-644.12</v>
      </c>
      <c r="O867" t="n">
        <v>130</v>
      </c>
      <c r="P867" t="n">
        <v>212.8</v>
      </c>
      <c r="Q867" t="n">
        <v>102.55</v>
      </c>
      <c r="R867" s="3" t="inlineStr">
        <is>
          <t>MISMATCH_NEEDS_CORRECTION</t>
        </is>
      </c>
      <c r="S867" t="n">
        <v>130</v>
      </c>
      <c r="T867" t="inlineStr">
        <is>
          <t>30-07-2026 09:42 IST</t>
        </is>
      </c>
    </row>
    <row r="868">
      <c r="A868" t="n">
        <v>122</v>
      </c>
      <c r="B868" t="n">
        <v>506222</v>
      </c>
      <c r="C868" t="inlineStr">
        <is>
          <t>Dhunseri Tea</t>
        </is>
      </c>
      <c r="D868" t="n">
        <v>2018</v>
      </c>
      <c r="E868" t="n">
        <v>2478.300048828125</v>
      </c>
      <c r="F868" t="n">
        <v>-40.09</v>
      </c>
      <c r="G868" t="inlineStr">
        <is>
          <t>Consolidated first (v4) – needs verification for flagged rows</t>
        </is>
      </c>
      <c r="H868" t="n">
        <v>1150</v>
      </c>
      <c r="I868" t="n">
        <v>622.2000122070312</v>
      </c>
      <c r="L868" t="inlineStr">
        <is>
          <t>INCOMPLETE</t>
        </is>
      </c>
      <c r="M868" t="n">
        <v>-28.69</v>
      </c>
      <c r="N868" t="n">
        <v>-15.52</v>
      </c>
      <c r="O868" t="n">
        <v>130</v>
      </c>
      <c r="P868" t="n">
        <v>212.8</v>
      </c>
      <c r="Q868" t="n">
        <v>102.55</v>
      </c>
      <c r="R868" s="3" t="inlineStr">
        <is>
          <t>MISMATCH_NEEDS_CORRECTION</t>
        </is>
      </c>
      <c r="S868" t="n">
        <v>130</v>
      </c>
      <c r="T868" t="inlineStr">
        <is>
          <t>30-07-2026 09:42 IST</t>
        </is>
      </c>
    </row>
    <row r="869">
      <c r="A869" t="n">
        <v>122</v>
      </c>
      <c r="B869" t="n">
        <v>506222</v>
      </c>
      <c r="C869" t="inlineStr">
        <is>
          <t>Dhunseri Tea</t>
        </is>
      </c>
      <c r="D869" t="n">
        <v>2019</v>
      </c>
      <c r="E869" t="n">
        <v>2478.300048828125</v>
      </c>
      <c r="F869" t="n">
        <v>13.66</v>
      </c>
      <c r="G869" t="inlineStr">
        <is>
          <t>Consolidated first (v4) – needs verification for flagged rows</t>
        </is>
      </c>
      <c r="H869" t="n">
        <v>723.4500122070312</v>
      </c>
      <c r="I869" t="n">
        <v>365</v>
      </c>
      <c r="L869" t="inlineStr">
        <is>
          <t>INCOMPLETE</t>
        </is>
      </c>
      <c r="M869" t="n">
        <v>52.96</v>
      </c>
      <c r="N869" t="n">
        <v>26.72</v>
      </c>
      <c r="O869" t="n">
        <v>130</v>
      </c>
      <c r="P869" t="n">
        <v>212.8</v>
      </c>
      <c r="Q869" t="n">
        <v>102.55</v>
      </c>
      <c r="R869" s="3" t="inlineStr">
        <is>
          <t>MISMATCH_NEEDS_CORRECTION</t>
        </is>
      </c>
      <c r="S869" t="n">
        <v>130</v>
      </c>
      <c r="T869" t="inlineStr">
        <is>
          <t>30-07-2026 09:42 IST</t>
        </is>
      </c>
    </row>
    <row r="870">
      <c r="A870" t="n">
        <v>122</v>
      </c>
      <c r="B870" t="n">
        <v>506222</v>
      </c>
      <c r="C870" t="inlineStr">
        <is>
          <t>Dhunseri Tea</t>
        </is>
      </c>
      <c r="D870" t="n">
        <v>2020</v>
      </c>
      <c r="E870" t="n">
        <v>2478.300048828125</v>
      </c>
      <c r="F870" t="n">
        <v>20.14</v>
      </c>
      <c r="G870" t="inlineStr">
        <is>
          <t>Consolidated first (v4) – needs verification for flagged rows</t>
        </is>
      </c>
      <c r="H870" t="n">
        <v>920</v>
      </c>
      <c r="I870" t="n">
        <v>460.1000061035156</v>
      </c>
      <c r="L870" t="inlineStr">
        <is>
          <t>INCOMPLETE</t>
        </is>
      </c>
      <c r="M870" t="n">
        <v>45.68</v>
      </c>
      <c r="N870" t="n">
        <v>22.85</v>
      </c>
      <c r="O870" t="n">
        <v>130</v>
      </c>
      <c r="P870" t="n">
        <v>212.8</v>
      </c>
      <c r="Q870" t="n">
        <v>102.55</v>
      </c>
      <c r="R870" s="3" t="inlineStr">
        <is>
          <t>MISMATCH_NEEDS_CORRECTION</t>
        </is>
      </c>
      <c r="S870" t="n">
        <v>130</v>
      </c>
      <c r="T870" t="inlineStr">
        <is>
          <t>30-07-2026 09:42 IST</t>
        </is>
      </c>
    </row>
    <row r="871">
      <c r="A871" t="n">
        <v>122</v>
      </c>
      <c r="B871" t="n">
        <v>506222</v>
      </c>
      <c r="C871" t="inlineStr">
        <is>
          <t>Dhunseri Tea</t>
        </is>
      </c>
      <c r="D871" t="n">
        <v>2021</v>
      </c>
      <c r="E871" t="n">
        <v>2478.300048828125</v>
      </c>
      <c r="F871" t="n">
        <v>-6.78</v>
      </c>
      <c r="G871" t="inlineStr">
        <is>
          <t>Consolidated first (v4) – needs verification for flagged rows</t>
        </is>
      </c>
      <c r="H871" t="n">
        <v>1886.800048828125</v>
      </c>
      <c r="I871" t="n">
        <v>821.0999755859375</v>
      </c>
      <c r="L871" t="inlineStr">
        <is>
          <t>INCOMPLETE</t>
        </is>
      </c>
      <c r="M871" t="n">
        <v>-278.29</v>
      </c>
      <c r="N871" t="n">
        <v>-121.11</v>
      </c>
      <c r="O871" t="n">
        <v>130</v>
      </c>
      <c r="P871" t="n">
        <v>212.8</v>
      </c>
      <c r="Q871" t="n">
        <v>102.55</v>
      </c>
      <c r="R871" s="3" t="inlineStr">
        <is>
          <t>MISMATCH_NEEDS_CORRECTION</t>
        </is>
      </c>
      <c r="S871" t="n">
        <v>130</v>
      </c>
      <c r="T871" t="inlineStr">
        <is>
          <t>30-07-2026 09:42 IST</t>
        </is>
      </c>
    </row>
    <row r="872">
      <c r="A872" t="n">
        <v>122</v>
      </c>
      <c r="B872" t="n">
        <v>506222</v>
      </c>
      <c r="C872" t="inlineStr">
        <is>
          <t>Dhunseri Tea</t>
        </is>
      </c>
      <c r="D872" t="n">
        <v>2022</v>
      </c>
      <c r="E872" t="n">
        <v>2478.300048828125</v>
      </c>
      <c r="F872" t="n">
        <v>-29.41</v>
      </c>
      <c r="G872" t="inlineStr">
        <is>
          <t>Consolidated first (v4) – needs verification for flagged rows</t>
        </is>
      </c>
      <c r="H872" t="n">
        <v>1456</v>
      </c>
      <c r="I872" t="n">
        <v>706.7000122070312</v>
      </c>
      <c r="L872" t="inlineStr">
        <is>
          <t>INCOMPLETE</t>
        </is>
      </c>
      <c r="M872" t="n">
        <v>-49.51</v>
      </c>
      <c r="N872" t="n">
        <v>-24.03</v>
      </c>
      <c r="O872" t="n">
        <v>130</v>
      </c>
      <c r="P872" t="n">
        <v>212.8</v>
      </c>
      <c r="Q872" t="n">
        <v>102.55</v>
      </c>
      <c r="R872" s="3" t="inlineStr">
        <is>
          <t>MISMATCH_NEEDS_CORRECTION</t>
        </is>
      </c>
      <c r="S872" t="n">
        <v>130</v>
      </c>
      <c r="T872" t="inlineStr">
        <is>
          <t>30-07-2026 09:42 IST</t>
        </is>
      </c>
    </row>
    <row r="873">
      <c r="A873" t="n">
        <v>122</v>
      </c>
      <c r="B873" t="n">
        <v>506222</v>
      </c>
      <c r="C873" t="inlineStr">
        <is>
          <t>Dhunseri Tea</t>
        </is>
      </c>
      <c r="D873" t="n">
        <v>2023</v>
      </c>
      <c r="E873" t="n">
        <v>2478.300048828125</v>
      </c>
      <c r="F873" t="n">
        <v>-9.02</v>
      </c>
      <c r="G873" t="inlineStr">
        <is>
          <t>Consolidated first (v4) – needs verification for flagged rows</t>
        </is>
      </c>
      <c r="H873" t="n">
        <v>1565.050048828125</v>
      </c>
      <c r="I873" t="n">
        <v>692.0999755859375</v>
      </c>
      <c r="L873" t="inlineStr">
        <is>
          <t>INCOMPLETE</t>
        </is>
      </c>
      <c r="M873" t="n">
        <v>-173.51</v>
      </c>
      <c r="N873" t="n">
        <v>-76.73</v>
      </c>
      <c r="O873" t="n">
        <v>130</v>
      </c>
      <c r="P873" t="n">
        <v>212.8</v>
      </c>
      <c r="Q873" t="n">
        <v>102.55</v>
      </c>
      <c r="R873" s="3" t="inlineStr">
        <is>
          <t>MISMATCH_NEEDS_CORRECTION</t>
        </is>
      </c>
      <c r="S873" t="n">
        <v>130</v>
      </c>
      <c r="T873" t="inlineStr">
        <is>
          <t>30-07-2026 09:42 IST</t>
        </is>
      </c>
    </row>
    <row r="874">
      <c r="A874" t="n">
        <v>122</v>
      </c>
      <c r="B874" t="n">
        <v>506222</v>
      </c>
      <c r="C874" t="inlineStr">
        <is>
          <t>Dhunseri Tea</t>
        </is>
      </c>
      <c r="D874" t="n">
        <v>2024</v>
      </c>
      <c r="E874" t="n">
        <v>2478.300048828125</v>
      </c>
      <c r="F874" t="n">
        <v>98.47</v>
      </c>
      <c r="G874" t="inlineStr">
        <is>
          <t>Consolidated first (v4) – needs verification for flagged rows</t>
        </is>
      </c>
      <c r="H874" t="n">
        <v>3096.75</v>
      </c>
      <c r="I874" t="n">
        <v>1250.050048828125</v>
      </c>
      <c r="L874" t="inlineStr">
        <is>
          <t>OK</t>
        </is>
      </c>
      <c r="M874" t="n">
        <v>31.45</v>
      </c>
      <c r="N874" t="n">
        <v>12.69</v>
      </c>
      <c r="O874" t="n">
        <v>130</v>
      </c>
      <c r="P874" t="n">
        <v>212.8</v>
      </c>
      <c r="Q874" t="n">
        <v>102.55</v>
      </c>
      <c r="R874" s="3" t="inlineStr">
        <is>
          <t>MISMATCH_NEEDS_CORRECTION</t>
        </is>
      </c>
      <c r="S874" t="n">
        <v>130</v>
      </c>
      <c r="T874" t="inlineStr">
        <is>
          <t>30-07-2026 09:42 IST</t>
        </is>
      </c>
    </row>
    <row r="875">
      <c r="A875" t="n">
        <v>122</v>
      </c>
      <c r="B875" t="n">
        <v>506222</v>
      </c>
      <c r="C875" t="inlineStr">
        <is>
          <t>Dhunseri Tea</t>
        </is>
      </c>
      <c r="D875" t="n">
        <v>2025</v>
      </c>
      <c r="E875" t="n">
        <v>2478.300048828125</v>
      </c>
      <c r="F875" t="n">
        <v>133.72</v>
      </c>
      <c r="G875" t="inlineStr">
        <is>
          <t>Consolidated first (v4) – needs verification for flagged rows</t>
        </is>
      </c>
      <c r="H875" t="n">
        <v>3523.949951171875</v>
      </c>
      <c r="I875" t="n">
        <v>1960</v>
      </c>
      <c r="L875" t="inlineStr">
        <is>
          <t>OK</t>
        </is>
      </c>
      <c r="M875" t="n">
        <v>26.35</v>
      </c>
      <c r="N875" t="n">
        <v>14.66</v>
      </c>
      <c r="O875" t="n">
        <v>130</v>
      </c>
      <c r="P875" t="n">
        <v>212.8</v>
      </c>
      <c r="Q875" t="n">
        <v>102.55</v>
      </c>
      <c r="R875" s="3" t="inlineStr">
        <is>
          <t>MISMATCH_NEEDS_CORRECTION</t>
        </is>
      </c>
      <c r="S875" t="n">
        <v>130</v>
      </c>
      <c r="T875" t="inlineStr">
        <is>
          <t>30-07-2026 09:42 IST</t>
        </is>
      </c>
    </row>
    <row r="876">
      <c r="A876" t="n">
        <v>122</v>
      </c>
      <c r="B876" t="n">
        <v>506222</v>
      </c>
      <c r="C876" t="inlineStr">
        <is>
          <t>Dhunseri Tea</t>
        </is>
      </c>
      <c r="D876" t="n">
        <v>2026</v>
      </c>
      <c r="E876" t="n">
        <v>2478.300048828125</v>
      </c>
      <c r="F876" t="n">
        <v>103.98</v>
      </c>
      <c r="G876" t="inlineStr">
        <is>
          <t>Consolidated first (v4) – needs verification for flagged rows</t>
        </is>
      </c>
      <c r="H876" t="n">
        <v>2522</v>
      </c>
      <c r="I876" t="n">
        <v>1773</v>
      </c>
      <c r="L876" t="inlineStr">
        <is>
          <t>OK</t>
        </is>
      </c>
      <c r="M876" t="n">
        <v>24.25</v>
      </c>
      <c r="N876" t="n">
        <v>17.05</v>
      </c>
      <c r="O876" t="n">
        <v>130</v>
      </c>
      <c r="P876" t="n">
        <v>212.8</v>
      </c>
      <c r="Q876" t="n">
        <v>102.55</v>
      </c>
      <c r="R876" s="3" t="inlineStr">
        <is>
          <t>MISMATCH_NEEDS_CORRECTION</t>
        </is>
      </c>
      <c r="S876" t="n">
        <v>130</v>
      </c>
      <c r="T876" t="inlineStr">
        <is>
          <t>30-07-2026 09:42 IST</t>
        </is>
      </c>
    </row>
    <row r="877">
      <c r="A877" t="n">
        <v>125</v>
      </c>
      <c r="B877" t="n">
        <v>506260</v>
      </c>
      <c r="C877" t="inlineStr">
        <is>
          <t>Anuh Pharma Ltd</t>
        </is>
      </c>
      <c r="D877" t="n">
        <v>2015</v>
      </c>
      <c r="E877" t="n">
        <v>80.72000122070312</v>
      </c>
      <c r="F877" t="n">
        <v>2.19</v>
      </c>
      <c r="G877" t="inlineStr">
        <is>
          <t>Consolidated first (v4) – needs verification for flagged rows</t>
        </is>
      </c>
      <c r="H877" t="n">
        <v>103.6875</v>
      </c>
      <c r="L877" t="inlineStr">
        <is>
          <t>OK</t>
        </is>
      </c>
      <c r="M877" t="n">
        <v>47.35</v>
      </c>
      <c r="O877" t="n">
        <v>223.15</v>
      </c>
      <c r="P877" t="n">
        <v>265</v>
      </c>
      <c r="Q877" t="n">
        <v>155.1</v>
      </c>
      <c r="R877" s="3" t="inlineStr">
        <is>
          <t>MISMATCH_NEEDS_CORRECTION</t>
        </is>
      </c>
      <c r="S877" t="n">
        <v>223.15</v>
      </c>
      <c r="T877" t="inlineStr">
        <is>
          <t>30-07-2026 09:42 IST</t>
        </is>
      </c>
    </row>
    <row r="878">
      <c r="A878" t="n">
        <v>125</v>
      </c>
      <c r="B878" t="n">
        <v>506260</v>
      </c>
      <c r="C878" t="inlineStr">
        <is>
          <t>Anuh Pharma Ltd</t>
        </is>
      </c>
      <c r="D878" t="n">
        <v>2016</v>
      </c>
      <c r="E878" t="n">
        <v>80.72000122070312</v>
      </c>
      <c r="F878" t="n">
        <v>2.57</v>
      </c>
      <c r="G878" t="inlineStr">
        <is>
          <t>Consolidated first (v4) – needs verification for flagged rows</t>
        </is>
      </c>
      <c r="H878" t="n">
        <v>85.5</v>
      </c>
      <c r="I878" t="n">
        <v>39.75</v>
      </c>
      <c r="L878" t="inlineStr">
        <is>
          <t>OK</t>
        </is>
      </c>
      <c r="M878" t="n">
        <v>33.27</v>
      </c>
      <c r="N878" t="n">
        <v>15.47</v>
      </c>
      <c r="O878" t="n">
        <v>223.15</v>
      </c>
      <c r="P878" t="n">
        <v>265</v>
      </c>
      <c r="Q878" t="n">
        <v>155.1</v>
      </c>
      <c r="R878" s="3" t="inlineStr">
        <is>
          <t>MISMATCH_NEEDS_CORRECTION</t>
        </is>
      </c>
      <c r="S878" t="n">
        <v>223.15</v>
      </c>
      <c r="T878" t="inlineStr">
        <is>
          <t>30-07-2026 09:42 IST</t>
        </is>
      </c>
    </row>
    <row r="879">
      <c r="A879" t="n">
        <v>125</v>
      </c>
      <c r="B879" t="n">
        <v>506260</v>
      </c>
      <c r="C879" t="inlineStr">
        <is>
          <t>Anuh Pharma Ltd</t>
        </is>
      </c>
      <c r="D879" t="n">
        <v>2017</v>
      </c>
      <c r="E879" t="n">
        <v>80.72000122070312</v>
      </c>
      <c r="F879" t="n">
        <v>2</v>
      </c>
      <c r="G879" t="inlineStr">
        <is>
          <t>Consolidated first (v4) – needs verification for flagged rows</t>
        </is>
      </c>
      <c r="H879" t="n">
        <v>57.47499847412109</v>
      </c>
      <c r="I879" t="n">
        <v>40.25</v>
      </c>
      <c r="L879" t="inlineStr">
        <is>
          <t>OK</t>
        </is>
      </c>
      <c r="M879" t="n">
        <v>28.74</v>
      </c>
      <c r="N879" t="n">
        <v>20.12</v>
      </c>
      <c r="O879" t="n">
        <v>223.15</v>
      </c>
      <c r="P879" t="n">
        <v>265</v>
      </c>
      <c r="Q879" t="n">
        <v>155.1</v>
      </c>
      <c r="R879" s="3" t="inlineStr">
        <is>
          <t>MISMATCH_NEEDS_CORRECTION</t>
        </is>
      </c>
      <c r="S879" t="n">
        <v>223.15</v>
      </c>
      <c r="T879" t="inlineStr">
        <is>
          <t>30-07-2026 09:42 IST</t>
        </is>
      </c>
    </row>
    <row r="880">
      <c r="A880" t="n">
        <v>125</v>
      </c>
      <c r="B880" t="n">
        <v>506260</v>
      </c>
      <c r="C880" t="inlineStr">
        <is>
          <t>Anuh Pharma Ltd</t>
        </is>
      </c>
      <c r="D880" t="n">
        <v>2018</v>
      </c>
      <c r="E880" t="n">
        <v>80.72000122070312</v>
      </c>
      <c r="F880" t="n">
        <v>1.65</v>
      </c>
      <c r="G880" t="inlineStr">
        <is>
          <t>Consolidated first (v4) – needs verification for flagged rows</t>
        </is>
      </c>
      <c r="H880" t="n">
        <v>48.72499847412109</v>
      </c>
      <c r="I880" t="n">
        <v>31.67499923706055</v>
      </c>
      <c r="L880" t="inlineStr">
        <is>
          <t>OK</t>
        </is>
      </c>
      <c r="M880" t="n">
        <v>29.53</v>
      </c>
      <c r="N880" t="n">
        <v>19.2</v>
      </c>
      <c r="O880" t="n">
        <v>223.15</v>
      </c>
      <c r="P880" t="n">
        <v>265</v>
      </c>
      <c r="Q880" t="n">
        <v>155.1</v>
      </c>
      <c r="R880" s="3" t="inlineStr">
        <is>
          <t>MISMATCH_NEEDS_CORRECTION</t>
        </is>
      </c>
      <c r="S880" t="n">
        <v>223.15</v>
      </c>
      <c r="T880" t="inlineStr">
        <is>
          <t>30-07-2026 09:42 IST</t>
        </is>
      </c>
    </row>
    <row r="881">
      <c r="A881" t="n">
        <v>125</v>
      </c>
      <c r="B881" t="n">
        <v>506260</v>
      </c>
      <c r="C881" t="inlineStr">
        <is>
          <t>Anuh Pharma Ltd</t>
        </is>
      </c>
      <c r="D881" t="n">
        <v>2019</v>
      </c>
      <c r="E881" t="n">
        <v>80.72000122070312</v>
      </c>
      <c r="F881" t="n">
        <v>2.33</v>
      </c>
      <c r="G881" t="inlineStr">
        <is>
          <t>Consolidated first (v4) – needs verification for flagged rows</t>
        </is>
      </c>
      <c r="H881" t="n">
        <v>41.42499923706055</v>
      </c>
      <c r="I881" t="n">
        <v>25.3125</v>
      </c>
      <c r="L881" t="inlineStr">
        <is>
          <t>OK</t>
        </is>
      </c>
      <c r="M881" t="n">
        <v>17.78</v>
      </c>
      <c r="N881" t="n">
        <v>10.86</v>
      </c>
      <c r="O881" t="n">
        <v>223.15</v>
      </c>
      <c r="P881" t="n">
        <v>265</v>
      </c>
      <c r="Q881" t="n">
        <v>155.1</v>
      </c>
      <c r="R881" s="3" t="inlineStr">
        <is>
          <t>MISMATCH_NEEDS_CORRECTION</t>
        </is>
      </c>
      <c r="S881" t="n">
        <v>223.15</v>
      </c>
      <c r="T881" t="inlineStr">
        <is>
          <t>30-07-2026 09:42 IST</t>
        </is>
      </c>
    </row>
    <row r="882">
      <c r="A882" t="n">
        <v>125</v>
      </c>
      <c r="B882" t="n">
        <v>506260</v>
      </c>
      <c r="C882" t="inlineStr">
        <is>
          <t>Anuh Pharma Ltd</t>
        </is>
      </c>
      <c r="D882" t="n">
        <v>2020</v>
      </c>
      <c r="E882" t="n">
        <v>80.72000122070312</v>
      </c>
      <c r="F882" t="n">
        <v>1.43</v>
      </c>
      <c r="G882" t="inlineStr">
        <is>
          <t>Consolidated first (v4) – needs verification for flagged rows</t>
        </is>
      </c>
      <c r="H882" t="n">
        <v>109.3499984741211</v>
      </c>
      <c r="I882" t="n">
        <v>24.35000038146973</v>
      </c>
      <c r="L882" t="inlineStr">
        <is>
          <t>OK</t>
        </is>
      </c>
      <c r="M882" t="n">
        <v>76.47</v>
      </c>
      <c r="N882" t="n">
        <v>17.03</v>
      </c>
      <c r="O882" t="n">
        <v>223.15</v>
      </c>
      <c r="P882" t="n">
        <v>265</v>
      </c>
      <c r="Q882" t="n">
        <v>155.1</v>
      </c>
      <c r="R882" s="3" t="inlineStr">
        <is>
          <t>MISMATCH_NEEDS_CORRECTION</t>
        </is>
      </c>
      <c r="S882" t="n">
        <v>223.15</v>
      </c>
      <c r="T882" t="inlineStr">
        <is>
          <t>30-07-2026 09:42 IST</t>
        </is>
      </c>
    </row>
    <row r="883">
      <c r="A883" t="n">
        <v>125</v>
      </c>
      <c r="B883" t="n">
        <v>506260</v>
      </c>
      <c r="C883" t="inlineStr">
        <is>
          <t>Anuh Pharma Ltd</t>
        </is>
      </c>
      <c r="D883" t="n">
        <v>2021</v>
      </c>
      <c r="E883" t="n">
        <v>80.72000122070312</v>
      </c>
      <c r="F883" t="n">
        <v>2.84</v>
      </c>
      <c r="G883" t="inlineStr">
        <is>
          <t>Consolidated first (v4) – needs verification for flagged rows</t>
        </is>
      </c>
      <c r="H883" t="n">
        <v>83.22499847412109</v>
      </c>
      <c r="I883" t="n">
        <v>45</v>
      </c>
      <c r="L883" t="inlineStr">
        <is>
          <t>OK</t>
        </is>
      </c>
      <c r="M883" t="n">
        <v>29.3</v>
      </c>
      <c r="N883" t="n">
        <v>15.85</v>
      </c>
      <c r="O883" t="n">
        <v>223.15</v>
      </c>
      <c r="P883" t="n">
        <v>265</v>
      </c>
      <c r="Q883" t="n">
        <v>155.1</v>
      </c>
      <c r="R883" s="3" t="inlineStr">
        <is>
          <t>MISMATCH_NEEDS_CORRECTION</t>
        </is>
      </c>
      <c r="S883" t="n">
        <v>223.15</v>
      </c>
      <c r="T883" t="inlineStr">
        <is>
          <t>30-07-2026 09:42 IST</t>
        </is>
      </c>
    </row>
    <row r="884">
      <c r="A884" t="n">
        <v>125</v>
      </c>
      <c r="B884" t="n">
        <v>506260</v>
      </c>
      <c r="C884" t="inlineStr">
        <is>
          <t>Anuh Pharma Ltd</t>
        </is>
      </c>
      <c r="D884" t="n">
        <v>2022</v>
      </c>
      <c r="E884" t="n">
        <v>80.72000122070312</v>
      </c>
      <c r="F884" t="n">
        <v>3.05</v>
      </c>
      <c r="G884" t="inlineStr">
        <is>
          <t>Consolidated first (v4) – needs verification for flagged rows</t>
        </is>
      </c>
      <c r="H884" t="n">
        <v>64.72499847412109</v>
      </c>
      <c r="I884" t="n">
        <v>41.25</v>
      </c>
      <c r="L884" t="inlineStr">
        <is>
          <t>OK</t>
        </is>
      </c>
      <c r="M884" t="n">
        <v>21.22</v>
      </c>
      <c r="N884" t="n">
        <v>13.52</v>
      </c>
      <c r="O884" t="n">
        <v>223.15</v>
      </c>
      <c r="P884" t="n">
        <v>265</v>
      </c>
      <c r="Q884" t="n">
        <v>155.1</v>
      </c>
      <c r="R884" s="3" t="inlineStr">
        <is>
          <t>MISMATCH_NEEDS_CORRECTION</t>
        </is>
      </c>
      <c r="S884" t="n">
        <v>223.15</v>
      </c>
      <c r="T884" t="inlineStr">
        <is>
          <t>30-07-2026 09:42 IST</t>
        </is>
      </c>
    </row>
    <row r="885">
      <c r="A885" t="n">
        <v>125</v>
      </c>
      <c r="B885" t="n">
        <v>506260</v>
      </c>
      <c r="C885" t="inlineStr">
        <is>
          <t>Anuh Pharma Ltd</t>
        </is>
      </c>
      <c r="D885" t="n">
        <v>2023</v>
      </c>
      <c r="E885" t="n">
        <v>80.72000122070312</v>
      </c>
      <c r="F885" t="n">
        <v>3.61</v>
      </c>
      <c r="G885" t="inlineStr">
        <is>
          <t>Consolidated first (v4) – needs verification for flagged rows</t>
        </is>
      </c>
      <c r="H885" t="n">
        <v>86</v>
      </c>
      <c r="I885" t="n">
        <v>38.5</v>
      </c>
      <c r="L885" t="inlineStr">
        <is>
          <t>OK</t>
        </is>
      </c>
      <c r="M885" t="n">
        <v>23.82</v>
      </c>
      <c r="N885" t="n">
        <v>10.66</v>
      </c>
      <c r="O885" t="n">
        <v>223.15</v>
      </c>
      <c r="P885" t="n">
        <v>265</v>
      </c>
      <c r="Q885" t="n">
        <v>155.1</v>
      </c>
      <c r="R885" s="3" t="inlineStr">
        <is>
          <t>MISMATCH_NEEDS_CORRECTION</t>
        </is>
      </c>
      <c r="S885" t="n">
        <v>223.15</v>
      </c>
      <c r="T885" t="inlineStr">
        <is>
          <t>30-07-2026 09:42 IST</t>
        </is>
      </c>
    </row>
    <row r="886">
      <c r="A886" t="n">
        <v>125</v>
      </c>
      <c r="B886" t="n">
        <v>506260</v>
      </c>
      <c r="C886" t="inlineStr">
        <is>
          <t>Anuh Pharma Ltd</t>
        </is>
      </c>
      <c r="D886" t="n">
        <v>2024</v>
      </c>
      <c r="E886" t="n">
        <v>80.72000122070312</v>
      </c>
      <c r="F886" t="n">
        <v>5.99</v>
      </c>
      <c r="G886" t="inlineStr">
        <is>
          <t>Consolidated first (v4) – needs verification for flagged rows</t>
        </is>
      </c>
      <c r="H886" t="n">
        <v>132.5</v>
      </c>
      <c r="I886" t="n">
        <v>72.82499694824219</v>
      </c>
      <c r="L886" t="inlineStr">
        <is>
          <t>OK</t>
        </is>
      </c>
      <c r="M886" t="n">
        <v>22.12</v>
      </c>
      <c r="N886" t="n">
        <v>12.16</v>
      </c>
      <c r="O886" t="n">
        <v>223.15</v>
      </c>
      <c r="P886" t="n">
        <v>265</v>
      </c>
      <c r="Q886" t="n">
        <v>155.1</v>
      </c>
      <c r="R886" s="3" t="inlineStr">
        <is>
          <t>MISMATCH_NEEDS_CORRECTION</t>
        </is>
      </c>
      <c r="S886" t="n">
        <v>223.15</v>
      </c>
      <c r="T886" t="inlineStr">
        <is>
          <t>30-07-2026 09:42 IST</t>
        </is>
      </c>
    </row>
    <row r="887">
      <c r="A887" t="n">
        <v>125</v>
      </c>
      <c r="B887" t="n">
        <v>506260</v>
      </c>
      <c r="C887" t="inlineStr">
        <is>
          <t>Anuh Pharma Ltd</t>
        </is>
      </c>
      <c r="D887" t="n">
        <v>2025</v>
      </c>
      <c r="E887" t="n">
        <v>80.72000122070312</v>
      </c>
      <c r="F887" t="n">
        <v>4.73</v>
      </c>
      <c r="G887" t="inlineStr">
        <is>
          <t>Consolidated first (v4) – needs verification for flagged rows</t>
        </is>
      </c>
      <c r="H887" t="n">
        <v>116.5500030517578</v>
      </c>
      <c r="I887" t="n">
        <v>74.02500152587891</v>
      </c>
      <c r="L887" t="inlineStr">
        <is>
          <t>OK</t>
        </is>
      </c>
      <c r="M887" t="n">
        <v>24.64</v>
      </c>
      <c r="N887" t="n">
        <v>15.65</v>
      </c>
      <c r="O887" t="n">
        <v>223.15</v>
      </c>
      <c r="P887" t="n">
        <v>265</v>
      </c>
      <c r="Q887" t="n">
        <v>155.1</v>
      </c>
      <c r="R887" s="3" t="inlineStr">
        <is>
          <t>MISMATCH_NEEDS_CORRECTION</t>
        </is>
      </c>
      <c r="S887" t="n">
        <v>223.15</v>
      </c>
      <c r="T887" t="inlineStr">
        <is>
          <t>30-07-2026 09:42 IST</t>
        </is>
      </c>
    </row>
    <row r="888">
      <c r="A888" t="n">
        <v>125</v>
      </c>
      <c r="B888" t="n">
        <v>506260</v>
      </c>
      <c r="C888" t="inlineStr">
        <is>
          <t>Anuh Pharma Ltd</t>
        </is>
      </c>
      <c r="D888" t="n">
        <v>2026</v>
      </c>
      <c r="E888" t="n">
        <v>80.72000122070312</v>
      </c>
      <c r="F888" t="n">
        <v>4.1</v>
      </c>
      <c r="G888" t="inlineStr">
        <is>
          <t>Consolidated first (v4) – needs verification for flagged rows</t>
        </is>
      </c>
      <c r="H888" t="n">
        <v>89.66000366210938</v>
      </c>
      <c r="I888" t="n">
        <v>66.72000122070312</v>
      </c>
      <c r="L888" t="inlineStr">
        <is>
          <t>OK</t>
        </is>
      </c>
      <c r="M888" t="n">
        <v>21.87</v>
      </c>
      <c r="N888" t="n">
        <v>16.27</v>
      </c>
      <c r="O888" t="n">
        <v>223.15</v>
      </c>
      <c r="P888" t="n">
        <v>265</v>
      </c>
      <c r="Q888" t="n">
        <v>155.1</v>
      </c>
      <c r="R888" s="3" t="inlineStr">
        <is>
          <t>MISMATCH_NEEDS_CORRECTION</t>
        </is>
      </c>
      <c r="S888" t="n">
        <v>223.15</v>
      </c>
      <c r="T888" t="inlineStr">
        <is>
          <t>30-07-2026 09:42 IST</t>
        </is>
      </c>
    </row>
    <row r="889">
      <c r="A889" t="n">
        <v>126</v>
      </c>
      <c r="B889" t="n">
        <v>506285</v>
      </c>
      <c r="C889" t="inlineStr">
        <is>
          <t>Bayer Cropscience Ltd</t>
        </is>
      </c>
      <c r="D889" t="n">
        <v>2015</v>
      </c>
      <c r="E889" t="n">
        <v>4233.5498046875</v>
      </c>
      <c r="F889" t="n">
        <v>104.59</v>
      </c>
      <c r="G889" t="inlineStr">
        <is>
          <t>Consolidated first (v4) – needs verification for flagged rows</t>
        </is>
      </c>
      <c r="H889" t="n">
        <v>4234</v>
      </c>
      <c r="I889" t="n">
        <v>3192.800048828125</v>
      </c>
      <c r="L889" t="inlineStr">
        <is>
          <t>OK</t>
        </is>
      </c>
      <c r="M889" t="n">
        <v>40.48</v>
      </c>
      <c r="N889" t="n">
        <v>30.53</v>
      </c>
      <c r="O889" t="n">
        <v>4239.2</v>
      </c>
      <c r="P889" t="n">
        <v>6509.5</v>
      </c>
      <c r="Q889" t="n">
        <v>4030</v>
      </c>
      <c r="R889" s="2" t="inlineStr">
        <is>
          <t>VERIFIED_OK</t>
        </is>
      </c>
      <c r="S889" t="n">
        <v>4239.2</v>
      </c>
      <c r="T889" t="inlineStr">
        <is>
          <t>30-07-2026 09:42 IST</t>
        </is>
      </c>
    </row>
    <row r="890">
      <c r="A890" t="n">
        <v>126</v>
      </c>
      <c r="B890" t="n">
        <v>506285</v>
      </c>
      <c r="C890" t="inlineStr">
        <is>
          <t>Bayer Cropscience Ltd</t>
        </is>
      </c>
      <c r="D890" t="n">
        <v>2016</v>
      </c>
      <c r="E890" t="n">
        <v>4233.5498046875</v>
      </c>
      <c r="F890" t="n">
        <v>89.13</v>
      </c>
      <c r="G890" t="inlineStr">
        <is>
          <t>Consolidated first (v4) – needs verification for flagged rows</t>
        </is>
      </c>
      <c r="H890" t="n">
        <v>4627</v>
      </c>
      <c r="I890" t="n">
        <v>3115</v>
      </c>
      <c r="L890" t="inlineStr">
        <is>
          <t>OK</t>
        </is>
      </c>
      <c r="M890" t="n">
        <v>51.91</v>
      </c>
      <c r="N890" t="n">
        <v>34.95</v>
      </c>
      <c r="O890" t="n">
        <v>4239.2</v>
      </c>
      <c r="P890" t="n">
        <v>6509.5</v>
      </c>
      <c r="Q890" t="n">
        <v>4030</v>
      </c>
      <c r="R890" s="2" t="inlineStr">
        <is>
          <t>VERIFIED_OK</t>
        </is>
      </c>
      <c r="S890" t="n">
        <v>4239.2</v>
      </c>
      <c r="T890" t="inlineStr">
        <is>
          <t>30-07-2026 09:42 IST</t>
        </is>
      </c>
    </row>
    <row r="891">
      <c r="A891" t="n">
        <v>126</v>
      </c>
      <c r="B891" t="n">
        <v>506285</v>
      </c>
      <c r="C891" t="inlineStr">
        <is>
          <t>Bayer Cropscience Ltd</t>
        </is>
      </c>
      <c r="D891" t="n">
        <v>2017</v>
      </c>
      <c r="E891" t="n">
        <v>4233.5498046875</v>
      </c>
      <c r="F891" t="n">
        <v>82.31</v>
      </c>
      <c r="G891" t="inlineStr">
        <is>
          <t>Consolidated first (v4) – needs verification for flagged rows</t>
        </is>
      </c>
      <c r="H891" t="n">
        <v>5050</v>
      </c>
      <c r="I891" t="n">
        <v>3685</v>
      </c>
      <c r="L891" t="inlineStr">
        <is>
          <t>OK</t>
        </is>
      </c>
      <c r="M891" t="n">
        <v>61.35</v>
      </c>
      <c r="N891" t="n">
        <v>44.77</v>
      </c>
      <c r="O891" t="n">
        <v>4239.2</v>
      </c>
      <c r="P891" t="n">
        <v>6509.5</v>
      </c>
      <c r="Q891" t="n">
        <v>4030</v>
      </c>
      <c r="R891" s="2" t="inlineStr">
        <is>
          <t>VERIFIED_OK</t>
        </is>
      </c>
      <c r="S891" t="n">
        <v>4239.2</v>
      </c>
      <c r="T891" t="inlineStr">
        <is>
          <t>30-07-2026 09:42 IST</t>
        </is>
      </c>
    </row>
    <row r="892">
      <c r="A892" t="n">
        <v>126</v>
      </c>
      <c r="B892" t="n">
        <v>506285</v>
      </c>
      <c r="C892" t="inlineStr">
        <is>
          <t>Bayer Cropscience Ltd</t>
        </is>
      </c>
      <c r="D892" t="n">
        <v>2018</v>
      </c>
      <c r="E892" t="n">
        <v>4233.5498046875</v>
      </c>
      <c r="F892" t="n">
        <v>87.41</v>
      </c>
      <c r="G892" t="inlineStr">
        <is>
          <t>Consolidated first (v4) – needs verification for flagged rows</t>
        </is>
      </c>
      <c r="H892" t="n">
        <v>4879.89990234375</v>
      </c>
      <c r="I892" t="n">
        <v>3700</v>
      </c>
      <c r="L892" t="inlineStr">
        <is>
          <t>OK</t>
        </is>
      </c>
      <c r="M892" t="n">
        <v>55.83</v>
      </c>
      <c r="N892" t="n">
        <v>42.33</v>
      </c>
      <c r="O892" t="n">
        <v>4239.2</v>
      </c>
      <c r="P892" t="n">
        <v>6509.5</v>
      </c>
      <c r="Q892" t="n">
        <v>4030</v>
      </c>
      <c r="R892" s="2" t="inlineStr">
        <is>
          <t>VERIFIED_OK</t>
        </is>
      </c>
      <c r="S892" t="n">
        <v>4239.2</v>
      </c>
      <c r="T892" t="inlineStr">
        <is>
          <t>30-07-2026 09:42 IST</t>
        </is>
      </c>
    </row>
    <row r="893">
      <c r="A893" t="n">
        <v>126</v>
      </c>
      <c r="B893" t="n">
        <v>506285</v>
      </c>
      <c r="C893" t="inlineStr">
        <is>
          <t>Bayer Cropscience Ltd</t>
        </is>
      </c>
      <c r="D893" t="n">
        <v>2019</v>
      </c>
      <c r="E893" t="n">
        <v>4233.5498046875</v>
      </c>
      <c r="F893" t="n">
        <v>98.18000000000001</v>
      </c>
      <c r="G893" t="inlineStr">
        <is>
          <t>Consolidated first (v4) – needs verification for flagged rows</t>
        </is>
      </c>
      <c r="H893" t="n">
        <v>4440</v>
      </c>
      <c r="I893" t="n">
        <v>2952</v>
      </c>
      <c r="L893" t="inlineStr">
        <is>
          <t>OK</t>
        </is>
      </c>
      <c r="M893" t="n">
        <v>45.22</v>
      </c>
      <c r="N893" t="n">
        <v>30.07</v>
      </c>
      <c r="O893" t="n">
        <v>4239.2</v>
      </c>
      <c r="P893" t="n">
        <v>6509.5</v>
      </c>
      <c r="Q893" t="n">
        <v>4030</v>
      </c>
      <c r="R893" s="2" t="inlineStr">
        <is>
          <t>VERIFIED_OK</t>
        </is>
      </c>
      <c r="S893" t="n">
        <v>4239.2</v>
      </c>
      <c r="T893" t="inlineStr">
        <is>
          <t>30-07-2026 09:42 IST</t>
        </is>
      </c>
    </row>
    <row r="894">
      <c r="A894" t="n">
        <v>126</v>
      </c>
      <c r="B894" t="n">
        <v>506285</v>
      </c>
      <c r="C894" t="inlineStr">
        <is>
          <t>Bayer Cropscience Ltd</t>
        </is>
      </c>
      <c r="D894" t="n">
        <v>2020</v>
      </c>
      <c r="E894" t="n">
        <v>4233.5498046875</v>
      </c>
      <c r="F894" t="n">
        <v>105.58</v>
      </c>
      <c r="G894" t="inlineStr">
        <is>
          <t>Consolidated first (v4) – needs verification for flagged rows</t>
        </is>
      </c>
      <c r="H894" t="n">
        <v>6550</v>
      </c>
      <c r="I894" t="n">
        <v>2980.800048828125</v>
      </c>
      <c r="L894" t="inlineStr">
        <is>
          <t>OK</t>
        </is>
      </c>
      <c r="M894" t="n">
        <v>62.04</v>
      </c>
      <c r="N894" t="n">
        <v>28.23</v>
      </c>
      <c r="O894" t="n">
        <v>4239.2</v>
      </c>
      <c r="P894" t="n">
        <v>6509.5</v>
      </c>
      <c r="Q894" t="n">
        <v>4030</v>
      </c>
      <c r="R894" s="2" t="inlineStr">
        <is>
          <t>VERIFIED_OK</t>
        </is>
      </c>
      <c r="S894" t="n">
        <v>4239.2</v>
      </c>
      <c r="T894" t="inlineStr">
        <is>
          <t>30-07-2026 09:42 IST</t>
        </is>
      </c>
    </row>
    <row r="895">
      <c r="A895" t="n">
        <v>126</v>
      </c>
      <c r="B895" t="n">
        <v>506285</v>
      </c>
      <c r="C895" t="inlineStr">
        <is>
          <t>Bayer Cropscience Ltd</t>
        </is>
      </c>
      <c r="D895" t="n">
        <v>2021</v>
      </c>
      <c r="E895" t="n">
        <v>4233.5498046875</v>
      </c>
      <c r="F895" t="n">
        <v>109.72</v>
      </c>
      <c r="G895" t="inlineStr">
        <is>
          <t>Consolidated first (v4) – needs verification for flagged rows</t>
        </is>
      </c>
      <c r="H895" t="n">
        <v>6127.4501953125</v>
      </c>
      <c r="I895" t="n">
        <v>4519.89990234375</v>
      </c>
      <c r="L895" t="inlineStr">
        <is>
          <t>OK</t>
        </is>
      </c>
      <c r="M895" t="n">
        <v>55.85</v>
      </c>
      <c r="N895" t="n">
        <v>41.19</v>
      </c>
      <c r="O895" t="n">
        <v>4239.2</v>
      </c>
      <c r="P895" t="n">
        <v>6509.5</v>
      </c>
      <c r="Q895" t="n">
        <v>4030</v>
      </c>
      <c r="R895" s="2" t="inlineStr">
        <is>
          <t>VERIFIED_OK</t>
        </is>
      </c>
      <c r="S895" t="n">
        <v>4239.2</v>
      </c>
      <c r="T895" t="inlineStr">
        <is>
          <t>30-07-2026 09:42 IST</t>
        </is>
      </c>
    </row>
    <row r="896">
      <c r="A896" t="n">
        <v>126</v>
      </c>
      <c r="B896" t="n">
        <v>506285</v>
      </c>
      <c r="C896" t="inlineStr">
        <is>
          <t>Bayer Cropscience Ltd</t>
        </is>
      </c>
      <c r="D896" t="n">
        <v>2022</v>
      </c>
      <c r="E896" t="n">
        <v>4233.5498046875</v>
      </c>
      <c r="F896" t="n">
        <v>143.58</v>
      </c>
      <c r="G896" t="inlineStr">
        <is>
          <t>Consolidated first (v4) – needs verification for flagged rows</t>
        </is>
      </c>
      <c r="H896" t="n">
        <v>5661.7001953125</v>
      </c>
      <c r="I896" t="n">
        <v>4101.2001953125</v>
      </c>
      <c r="L896" t="inlineStr">
        <is>
          <t>OK</t>
        </is>
      </c>
      <c r="M896" t="n">
        <v>39.43</v>
      </c>
      <c r="N896" t="n">
        <v>28.56</v>
      </c>
      <c r="O896" t="n">
        <v>4239.2</v>
      </c>
      <c r="P896" t="n">
        <v>6509.5</v>
      </c>
      <c r="Q896" t="n">
        <v>4030</v>
      </c>
      <c r="R896" s="2" t="inlineStr">
        <is>
          <t>VERIFIED_OK</t>
        </is>
      </c>
      <c r="S896" t="n">
        <v>4239.2</v>
      </c>
      <c r="T896" t="inlineStr">
        <is>
          <t>30-07-2026 09:42 IST</t>
        </is>
      </c>
    </row>
    <row r="897">
      <c r="A897" t="n">
        <v>126</v>
      </c>
      <c r="B897" t="n">
        <v>506285</v>
      </c>
      <c r="C897" t="inlineStr">
        <is>
          <t>Bayer Cropscience Ltd</t>
        </is>
      </c>
      <c r="D897" t="n">
        <v>2023</v>
      </c>
      <c r="E897" t="n">
        <v>4233.5498046875</v>
      </c>
      <c r="F897" t="n">
        <v>168.71</v>
      </c>
      <c r="G897" t="inlineStr">
        <is>
          <t>Consolidated first (v4) – needs verification for flagged rows</t>
        </is>
      </c>
      <c r="H897" t="n">
        <v>5771.5498046875</v>
      </c>
      <c r="I897" t="n">
        <v>3922.449951171875</v>
      </c>
      <c r="L897" t="inlineStr">
        <is>
          <t>OK</t>
        </is>
      </c>
      <c r="M897" t="n">
        <v>34.21</v>
      </c>
      <c r="N897" t="n">
        <v>23.25</v>
      </c>
      <c r="O897" t="n">
        <v>4239.2</v>
      </c>
      <c r="P897" t="n">
        <v>6509.5</v>
      </c>
      <c r="Q897" t="n">
        <v>4030</v>
      </c>
      <c r="R897" s="2" t="inlineStr">
        <is>
          <t>VERIFIED_OK</t>
        </is>
      </c>
      <c r="S897" t="n">
        <v>4239.2</v>
      </c>
      <c r="T897" t="inlineStr">
        <is>
          <t>30-07-2026 09:42 IST</t>
        </is>
      </c>
    </row>
    <row r="898">
      <c r="A898" t="n">
        <v>126</v>
      </c>
      <c r="B898" t="n">
        <v>506285</v>
      </c>
      <c r="C898" t="inlineStr">
        <is>
          <t>Bayer Cropscience Ltd</t>
        </is>
      </c>
      <c r="D898" t="n">
        <v>2024</v>
      </c>
      <c r="E898" t="n">
        <v>4233.5498046875</v>
      </c>
      <c r="F898" t="n">
        <v>164.77</v>
      </c>
      <c r="G898" t="inlineStr">
        <is>
          <t>Consolidated first (v4) – needs verification for flagged rows</t>
        </is>
      </c>
      <c r="H898" t="n">
        <v>7189.89990234375</v>
      </c>
      <c r="I898" t="n">
        <v>4925.5</v>
      </c>
      <c r="L898" t="inlineStr">
        <is>
          <t>OK</t>
        </is>
      </c>
      <c r="M898" t="n">
        <v>43.64</v>
      </c>
      <c r="N898" t="n">
        <v>29.89</v>
      </c>
      <c r="O898" t="n">
        <v>4239.2</v>
      </c>
      <c r="P898" t="n">
        <v>6509.5</v>
      </c>
      <c r="Q898" t="n">
        <v>4030</v>
      </c>
      <c r="R898" s="2" t="inlineStr">
        <is>
          <t>VERIFIED_OK</t>
        </is>
      </c>
      <c r="S898" t="n">
        <v>4239.2</v>
      </c>
      <c r="T898" t="inlineStr">
        <is>
          <t>30-07-2026 09:42 IST</t>
        </is>
      </c>
    </row>
    <row r="899">
      <c r="A899" t="n">
        <v>126</v>
      </c>
      <c r="B899" t="n">
        <v>506285</v>
      </c>
      <c r="C899" t="inlineStr">
        <is>
          <t>Bayer Cropscience Ltd</t>
        </is>
      </c>
      <c r="D899" t="n">
        <v>2025</v>
      </c>
      <c r="E899" t="n">
        <v>4233.5498046875</v>
      </c>
      <c r="F899" t="n">
        <v>126.38</v>
      </c>
      <c r="G899" t="inlineStr">
        <is>
          <t>Consolidated first (v4) – needs verification for flagged rows</t>
        </is>
      </c>
      <c r="H899" t="n">
        <v>6539.9501953125</v>
      </c>
      <c r="I899" t="n">
        <v>4220.0498046875</v>
      </c>
      <c r="L899" t="inlineStr">
        <is>
          <t>OK</t>
        </is>
      </c>
      <c r="M899" t="n">
        <v>51.75</v>
      </c>
      <c r="N899" t="n">
        <v>33.39</v>
      </c>
      <c r="O899" t="n">
        <v>4239.2</v>
      </c>
      <c r="P899" t="n">
        <v>6509.5</v>
      </c>
      <c r="Q899" t="n">
        <v>4030</v>
      </c>
      <c r="R899" s="2" t="inlineStr">
        <is>
          <t>VERIFIED_OK</t>
        </is>
      </c>
      <c r="S899" t="n">
        <v>4239.2</v>
      </c>
      <c r="T899" t="inlineStr">
        <is>
          <t>30-07-2026 09:42 IST</t>
        </is>
      </c>
    </row>
    <row r="900">
      <c r="A900" t="n">
        <v>126</v>
      </c>
      <c r="B900" t="n">
        <v>506285</v>
      </c>
      <c r="C900" t="inlineStr">
        <is>
          <t>Bayer Cropscience Ltd</t>
        </is>
      </c>
      <c r="D900" t="n">
        <v>2026</v>
      </c>
      <c r="E900" t="n">
        <v>4233.5498046875</v>
      </c>
      <c r="F900" t="n">
        <v>153.35</v>
      </c>
      <c r="G900" t="inlineStr">
        <is>
          <t>Consolidated first (v4) – needs verification for flagged rows</t>
        </is>
      </c>
      <c r="H900" t="n">
        <v>5055</v>
      </c>
      <c r="I900" t="n">
        <v>4030</v>
      </c>
      <c r="L900" t="inlineStr">
        <is>
          <t>OK</t>
        </is>
      </c>
      <c r="M900" t="n">
        <v>32.96</v>
      </c>
      <c r="N900" t="n">
        <v>26.28</v>
      </c>
      <c r="O900" t="n">
        <v>4239.2</v>
      </c>
      <c r="P900" t="n">
        <v>6509.5</v>
      </c>
      <c r="Q900" t="n">
        <v>4030</v>
      </c>
      <c r="R900" s="2" t="inlineStr">
        <is>
          <t>VERIFIED_OK</t>
        </is>
      </c>
      <c r="S900" t="n">
        <v>4239.2</v>
      </c>
      <c r="T900" t="inlineStr">
        <is>
          <t>30-07-2026 09:42 IST</t>
        </is>
      </c>
    </row>
    <row r="901">
      <c r="A901" t="n">
        <v>127</v>
      </c>
      <c r="B901" t="n">
        <v>506390</v>
      </c>
      <c r="C901" t="inlineStr">
        <is>
          <t>Clariant Chemicals India Ltd</t>
        </is>
      </c>
      <c r="D901" t="n">
        <v>2015</v>
      </c>
      <c r="E901" t="n">
        <v>359.5</v>
      </c>
      <c r="G901" t="inlineStr">
        <is>
          <t>Consolidated first (v4) – needs verification for flagged rows</t>
        </is>
      </c>
      <c r="H901" t="n">
        <v>1185</v>
      </c>
      <c r="I901" t="n">
        <v>714</v>
      </c>
      <c r="L901" t="inlineStr">
        <is>
          <t>INCOMPLETE</t>
        </is>
      </c>
      <c r="O901">
        <f>IFERROR(VLOOKUP(B901,BSE_500_LIVE!A:E,3,FALSE),"")</f>
        <v/>
      </c>
      <c r="P901">
        <f>IFERROR(VLOOKUP(B901,BSE_500_LIVE!A:E,4,FALSE),"")</f>
        <v/>
      </c>
      <c r="Q901">
        <f>IFERROR(VLOOKUP(B901,BSE_500_LIVE!A:E,5,FALSE),"")</f>
        <v/>
      </c>
      <c r="R901">
        <f>IF(OR(E901="",O901=""),"PENDING_FETCH",IF(ABS(E901-O901)/E901&gt;0.005,"MISMATCH_NEEDS_CORRECTION","VERIFIED_OK"))</f>
        <v/>
      </c>
      <c r="S901">
        <f>IF(O901&lt;&gt;"",O901,E901)</f>
        <v/>
      </c>
      <c r="T901">
        <f>IFERROR(VLOOKUP(B901,BSE_500_LIVE!A:F,6,FALSE),"")</f>
        <v/>
      </c>
    </row>
    <row r="902">
      <c r="A902" t="n">
        <v>127</v>
      </c>
      <c r="B902" t="n">
        <v>506390</v>
      </c>
      <c r="C902" t="inlineStr">
        <is>
          <t>Clariant Chemicals India Ltd</t>
        </is>
      </c>
      <c r="D902" t="n">
        <v>2016</v>
      </c>
      <c r="E902" t="n">
        <v>359.5</v>
      </c>
      <c r="G902" t="inlineStr">
        <is>
          <t>Consolidated first (v4) – needs verification for flagged rows</t>
        </is>
      </c>
      <c r="H902" t="n">
        <v>838</v>
      </c>
      <c r="I902" t="n">
        <v>587.25</v>
      </c>
      <c r="L902" t="inlineStr">
        <is>
          <t>INCOMPLETE</t>
        </is>
      </c>
      <c r="O902">
        <f>IFERROR(VLOOKUP(B902,BSE_500_LIVE!A:E,3,FALSE),"")</f>
        <v/>
      </c>
      <c r="P902">
        <f>IFERROR(VLOOKUP(B902,BSE_500_LIVE!A:E,4,FALSE),"")</f>
        <v/>
      </c>
      <c r="Q902">
        <f>IFERROR(VLOOKUP(B902,BSE_500_LIVE!A:E,5,FALSE),"")</f>
        <v/>
      </c>
      <c r="R902">
        <f>IF(OR(E902="",O902=""),"PENDING_FETCH",IF(ABS(E902-O902)/E902&gt;0.005,"MISMATCH_NEEDS_CORRECTION","VERIFIED_OK"))</f>
        <v/>
      </c>
      <c r="S902">
        <f>IF(O902&lt;&gt;"",O902,E902)</f>
        <v/>
      </c>
      <c r="T902">
        <f>IFERROR(VLOOKUP(B902,BSE_500_LIVE!A:F,6,FALSE),"")</f>
        <v/>
      </c>
    </row>
    <row r="903">
      <c r="A903" t="n">
        <v>127</v>
      </c>
      <c r="B903" t="n">
        <v>506390</v>
      </c>
      <c r="C903" t="inlineStr">
        <is>
          <t>Clariant Chemicals India Ltd</t>
        </is>
      </c>
      <c r="D903" t="n">
        <v>2017</v>
      </c>
      <c r="E903" t="n">
        <v>359.5</v>
      </c>
      <c r="G903" t="inlineStr">
        <is>
          <t>Consolidated first (v4) – needs verification for flagged rows</t>
        </is>
      </c>
      <c r="H903" t="n">
        <v>751</v>
      </c>
      <c r="I903" t="n">
        <v>553.5</v>
      </c>
      <c r="L903" t="inlineStr">
        <is>
          <t>INCOMPLETE</t>
        </is>
      </c>
      <c r="O903">
        <f>IFERROR(VLOOKUP(B903,BSE_500_LIVE!A:E,3,FALSE),"")</f>
        <v/>
      </c>
      <c r="P903">
        <f>IFERROR(VLOOKUP(B903,BSE_500_LIVE!A:E,4,FALSE),"")</f>
        <v/>
      </c>
      <c r="Q903">
        <f>IFERROR(VLOOKUP(B903,BSE_500_LIVE!A:E,5,FALSE),"")</f>
        <v/>
      </c>
      <c r="R903">
        <f>IF(OR(E903="",O903=""),"PENDING_FETCH",IF(ABS(E903-O903)/E903&gt;0.005,"MISMATCH_NEEDS_CORRECTION","VERIFIED_OK"))</f>
        <v/>
      </c>
      <c r="S903">
        <f>IF(O903&lt;&gt;"",O903,E903)</f>
        <v/>
      </c>
      <c r="T903">
        <f>IFERROR(VLOOKUP(B903,BSE_500_LIVE!A:F,6,FALSE),"")</f>
        <v/>
      </c>
    </row>
    <row r="904">
      <c r="A904" t="n">
        <v>127</v>
      </c>
      <c r="B904" t="n">
        <v>506390</v>
      </c>
      <c r="C904" t="inlineStr">
        <is>
          <t>Clariant Chemicals India Ltd</t>
        </is>
      </c>
      <c r="D904" t="n">
        <v>2018</v>
      </c>
      <c r="E904" t="n">
        <v>359.5</v>
      </c>
      <c r="G904" t="inlineStr">
        <is>
          <t>Consolidated first (v4) – needs verification for flagged rows</t>
        </is>
      </c>
      <c r="H904" t="n">
        <v>667</v>
      </c>
      <c r="I904" t="n">
        <v>375</v>
      </c>
      <c r="L904" t="inlineStr">
        <is>
          <t>INCOMPLETE</t>
        </is>
      </c>
      <c r="O904">
        <f>IFERROR(VLOOKUP(B904,BSE_500_LIVE!A:E,3,FALSE),"")</f>
        <v/>
      </c>
      <c r="P904">
        <f>IFERROR(VLOOKUP(B904,BSE_500_LIVE!A:E,4,FALSE),"")</f>
        <v/>
      </c>
      <c r="Q904">
        <f>IFERROR(VLOOKUP(B904,BSE_500_LIVE!A:E,5,FALSE),"")</f>
        <v/>
      </c>
      <c r="R904">
        <f>IF(OR(E904="",O904=""),"PENDING_FETCH",IF(ABS(E904-O904)/E904&gt;0.005,"MISMATCH_NEEDS_CORRECTION","VERIFIED_OK"))</f>
        <v/>
      </c>
      <c r="S904">
        <f>IF(O904&lt;&gt;"",O904,E904)</f>
        <v/>
      </c>
      <c r="T904">
        <f>IFERROR(VLOOKUP(B904,BSE_500_LIVE!A:F,6,FALSE),"")</f>
        <v/>
      </c>
    </row>
    <row r="905">
      <c r="A905" t="n">
        <v>127</v>
      </c>
      <c r="B905" t="n">
        <v>506390</v>
      </c>
      <c r="C905" t="inlineStr">
        <is>
          <t>Clariant Chemicals India Ltd</t>
        </is>
      </c>
      <c r="D905" t="n">
        <v>2019</v>
      </c>
      <c r="E905" t="n">
        <v>359.5</v>
      </c>
      <c r="G905" t="inlineStr">
        <is>
          <t>Consolidated first (v4) – needs verification for flagged rows</t>
        </is>
      </c>
      <c r="H905" t="n">
        <v>420</v>
      </c>
      <c r="I905" t="n">
        <v>265.1000061035156</v>
      </c>
      <c r="L905" t="inlineStr">
        <is>
          <t>INCOMPLETE</t>
        </is>
      </c>
      <c r="O905">
        <f>IFERROR(VLOOKUP(B905,BSE_500_LIVE!A:E,3,FALSE),"")</f>
        <v/>
      </c>
      <c r="P905">
        <f>IFERROR(VLOOKUP(B905,BSE_500_LIVE!A:E,4,FALSE),"")</f>
        <v/>
      </c>
      <c r="Q905">
        <f>IFERROR(VLOOKUP(B905,BSE_500_LIVE!A:E,5,FALSE),"")</f>
        <v/>
      </c>
      <c r="R905">
        <f>IF(OR(E905="",O905=""),"PENDING_FETCH",IF(ABS(E905-O905)/E905&gt;0.005,"MISMATCH_NEEDS_CORRECTION","VERIFIED_OK"))</f>
        <v/>
      </c>
      <c r="S905">
        <f>IF(O905&lt;&gt;"",O905,E905)</f>
        <v/>
      </c>
      <c r="T905">
        <f>IFERROR(VLOOKUP(B905,BSE_500_LIVE!A:F,6,FALSE),"")</f>
        <v/>
      </c>
    </row>
    <row r="906">
      <c r="A906" t="n">
        <v>127</v>
      </c>
      <c r="B906" t="n">
        <v>506390</v>
      </c>
      <c r="C906" t="inlineStr">
        <is>
          <t>Clariant Chemicals India Ltd</t>
        </is>
      </c>
      <c r="D906" t="n">
        <v>2020</v>
      </c>
      <c r="E906" t="n">
        <v>359.5</v>
      </c>
      <c r="G906" t="inlineStr">
        <is>
          <t>Consolidated first (v4) – needs verification for flagged rows</t>
        </is>
      </c>
      <c r="H906" t="n">
        <v>608</v>
      </c>
      <c r="I906" t="n">
        <v>192</v>
      </c>
      <c r="L906" t="inlineStr">
        <is>
          <t>INCOMPLETE</t>
        </is>
      </c>
      <c r="O906">
        <f>IFERROR(VLOOKUP(B906,BSE_500_LIVE!A:E,3,FALSE),"")</f>
        <v/>
      </c>
      <c r="P906">
        <f>IFERROR(VLOOKUP(B906,BSE_500_LIVE!A:E,4,FALSE),"")</f>
        <v/>
      </c>
      <c r="Q906">
        <f>IFERROR(VLOOKUP(B906,BSE_500_LIVE!A:E,5,FALSE),"")</f>
        <v/>
      </c>
      <c r="R906">
        <f>IF(OR(E906="",O906=""),"PENDING_FETCH",IF(ABS(E906-O906)/E906&gt;0.005,"MISMATCH_NEEDS_CORRECTION","VERIFIED_OK"))</f>
        <v/>
      </c>
      <c r="S906">
        <f>IF(O906&lt;&gt;"",O906,E906)</f>
        <v/>
      </c>
      <c r="T906">
        <f>IFERROR(VLOOKUP(B906,BSE_500_LIVE!A:F,6,FALSE),"")</f>
        <v/>
      </c>
    </row>
    <row r="907">
      <c r="A907" t="n">
        <v>127</v>
      </c>
      <c r="B907" t="n">
        <v>506390</v>
      </c>
      <c r="C907" t="inlineStr">
        <is>
          <t>Clariant Chemicals India Ltd</t>
        </is>
      </c>
      <c r="D907" t="n">
        <v>2021</v>
      </c>
      <c r="E907" t="n">
        <v>359.5</v>
      </c>
      <c r="G907" t="inlineStr">
        <is>
          <t>Consolidated first (v4) – needs verification for flagged rows</t>
        </is>
      </c>
      <c r="H907" t="n">
        <v>642.2000122070312</v>
      </c>
      <c r="I907" t="n">
        <v>340.75</v>
      </c>
      <c r="L907" t="inlineStr">
        <is>
          <t>INCOMPLETE</t>
        </is>
      </c>
      <c r="O907">
        <f>IFERROR(VLOOKUP(B907,BSE_500_LIVE!A:E,3,FALSE),"")</f>
        <v/>
      </c>
      <c r="P907">
        <f>IFERROR(VLOOKUP(B907,BSE_500_LIVE!A:E,4,FALSE),"")</f>
        <v/>
      </c>
      <c r="Q907">
        <f>IFERROR(VLOOKUP(B907,BSE_500_LIVE!A:E,5,FALSE),"")</f>
        <v/>
      </c>
      <c r="R907">
        <f>IF(OR(E907="",O907=""),"PENDING_FETCH",IF(ABS(E907-O907)/E907&gt;0.005,"MISMATCH_NEEDS_CORRECTION","VERIFIED_OK"))</f>
        <v/>
      </c>
      <c r="S907">
        <f>IF(O907&lt;&gt;"",O907,E907)</f>
        <v/>
      </c>
      <c r="T907">
        <f>IFERROR(VLOOKUP(B907,BSE_500_LIVE!A:F,6,FALSE),"")</f>
        <v/>
      </c>
    </row>
    <row r="908">
      <c r="A908" t="n">
        <v>127</v>
      </c>
      <c r="B908" t="n">
        <v>506390</v>
      </c>
      <c r="C908" t="inlineStr">
        <is>
          <t>Clariant Chemicals India Ltd</t>
        </is>
      </c>
      <c r="D908" t="n">
        <v>2022</v>
      </c>
      <c r="E908" t="n">
        <v>359.5</v>
      </c>
      <c r="G908" t="inlineStr">
        <is>
          <t>Consolidated first (v4) – needs verification for flagged rows</t>
        </is>
      </c>
      <c r="H908" t="n">
        <v>529.2999877929688</v>
      </c>
      <c r="I908" t="n">
        <v>355.75</v>
      </c>
      <c r="L908" t="inlineStr">
        <is>
          <t>INCOMPLETE</t>
        </is>
      </c>
      <c r="O908">
        <f>IFERROR(VLOOKUP(B908,BSE_500_LIVE!A:E,3,FALSE),"")</f>
        <v/>
      </c>
      <c r="P908">
        <f>IFERROR(VLOOKUP(B908,BSE_500_LIVE!A:E,4,FALSE),"")</f>
        <v/>
      </c>
      <c r="Q908">
        <f>IFERROR(VLOOKUP(B908,BSE_500_LIVE!A:E,5,FALSE),"")</f>
        <v/>
      </c>
      <c r="R908">
        <f>IF(OR(E908="",O908=""),"PENDING_FETCH",IF(ABS(E908-O908)/E908&gt;0.005,"MISMATCH_NEEDS_CORRECTION","VERIFIED_OK"))</f>
        <v/>
      </c>
      <c r="S908">
        <f>IF(O908&lt;&gt;"",O908,E908)</f>
        <v/>
      </c>
      <c r="T908">
        <f>IFERROR(VLOOKUP(B908,BSE_500_LIVE!A:F,6,FALSE),"")</f>
        <v/>
      </c>
    </row>
    <row r="909">
      <c r="A909" t="n">
        <v>127</v>
      </c>
      <c r="B909" t="n">
        <v>506390</v>
      </c>
      <c r="C909" t="inlineStr">
        <is>
          <t>Clariant Chemicals India Ltd</t>
        </is>
      </c>
      <c r="D909" t="n">
        <v>2023</v>
      </c>
      <c r="E909" t="n">
        <v>359.5</v>
      </c>
      <c r="G909" t="inlineStr">
        <is>
          <t>Consolidated first (v4) – needs verification for flagged rows</t>
        </is>
      </c>
      <c r="H909" t="n">
        <v>653.9500122070312</v>
      </c>
      <c r="I909" t="n">
        <v>258</v>
      </c>
      <c r="L909" t="inlineStr">
        <is>
          <t>INCOMPLETE</t>
        </is>
      </c>
      <c r="O909">
        <f>IFERROR(VLOOKUP(B909,BSE_500_LIVE!A:E,3,FALSE),"")</f>
        <v/>
      </c>
      <c r="P909">
        <f>IFERROR(VLOOKUP(B909,BSE_500_LIVE!A:E,4,FALSE),"")</f>
        <v/>
      </c>
      <c r="Q909">
        <f>IFERROR(VLOOKUP(B909,BSE_500_LIVE!A:E,5,FALSE),"")</f>
        <v/>
      </c>
      <c r="R909">
        <f>IF(OR(E909="",O909=""),"PENDING_FETCH",IF(ABS(E909-O909)/E909&gt;0.005,"MISMATCH_NEEDS_CORRECTION","VERIFIED_OK"))</f>
        <v/>
      </c>
      <c r="S909">
        <f>IF(O909&lt;&gt;"",O909,E909)</f>
        <v/>
      </c>
      <c r="T909">
        <f>IFERROR(VLOOKUP(B909,BSE_500_LIVE!A:F,6,FALSE),"")</f>
        <v/>
      </c>
    </row>
    <row r="910">
      <c r="A910" t="n">
        <v>127</v>
      </c>
      <c r="B910" t="n">
        <v>506390</v>
      </c>
      <c r="C910" t="inlineStr">
        <is>
          <t>Clariant Chemicals India Ltd</t>
        </is>
      </c>
      <c r="D910" t="n">
        <v>2024</v>
      </c>
      <c r="E910" t="n">
        <v>359.5</v>
      </c>
      <c r="G910" t="inlineStr">
        <is>
          <t>Consolidated first (v4) – needs verification for flagged rows</t>
        </is>
      </c>
      <c r="H910" t="n">
        <v>733.25</v>
      </c>
      <c r="I910" t="n">
        <v>355.1499938964844</v>
      </c>
      <c r="L910" t="inlineStr">
        <is>
          <t>INCOMPLETE</t>
        </is>
      </c>
      <c r="O910">
        <f>IFERROR(VLOOKUP(B910,BSE_500_LIVE!A:E,3,FALSE),"")</f>
        <v/>
      </c>
      <c r="P910">
        <f>IFERROR(VLOOKUP(B910,BSE_500_LIVE!A:E,4,FALSE),"")</f>
        <v/>
      </c>
      <c r="Q910">
        <f>IFERROR(VLOOKUP(B910,BSE_500_LIVE!A:E,5,FALSE),"")</f>
        <v/>
      </c>
      <c r="R910">
        <f>IF(OR(E910="",O910=""),"PENDING_FETCH",IF(ABS(E910-O910)/E910&gt;0.005,"MISMATCH_NEEDS_CORRECTION","VERIFIED_OK"))</f>
        <v/>
      </c>
      <c r="S910">
        <f>IF(O910&lt;&gt;"",O910,E910)</f>
        <v/>
      </c>
      <c r="T910">
        <f>IFERROR(VLOOKUP(B910,BSE_500_LIVE!A:F,6,FALSE),"")</f>
        <v/>
      </c>
    </row>
    <row r="911">
      <c r="A911" t="n">
        <v>127</v>
      </c>
      <c r="B911" t="n">
        <v>506390</v>
      </c>
      <c r="C911" t="inlineStr">
        <is>
          <t>Clariant Chemicals India Ltd</t>
        </is>
      </c>
      <c r="D911" t="n">
        <v>2025</v>
      </c>
      <c r="E911" t="n">
        <v>359.5</v>
      </c>
      <c r="G911" t="inlineStr">
        <is>
          <t>Consolidated first (v4) – needs verification for flagged rows</t>
        </is>
      </c>
      <c r="H911" t="n">
        <v>619.7999877929688</v>
      </c>
      <c r="I911" t="n">
        <v>427.8999938964844</v>
      </c>
      <c r="L911" t="inlineStr">
        <is>
          <t>INCOMPLETE</t>
        </is>
      </c>
      <c r="O911">
        <f>IFERROR(VLOOKUP(B911,BSE_500_LIVE!A:E,3,FALSE),"")</f>
        <v/>
      </c>
      <c r="P911">
        <f>IFERROR(VLOOKUP(B911,BSE_500_LIVE!A:E,4,FALSE),"")</f>
        <v/>
      </c>
      <c r="Q911">
        <f>IFERROR(VLOOKUP(B911,BSE_500_LIVE!A:E,5,FALSE),"")</f>
        <v/>
      </c>
      <c r="R911">
        <f>IF(OR(E911="",O911=""),"PENDING_FETCH",IF(ABS(E911-O911)/E911&gt;0.005,"MISMATCH_NEEDS_CORRECTION","VERIFIED_OK"))</f>
        <v/>
      </c>
      <c r="S911">
        <f>IF(O911&lt;&gt;"",O911,E911)</f>
        <v/>
      </c>
      <c r="T911">
        <f>IFERROR(VLOOKUP(B911,BSE_500_LIVE!A:F,6,FALSE),"")</f>
        <v/>
      </c>
    </row>
    <row r="912">
      <c r="A912" t="n">
        <v>127</v>
      </c>
      <c r="B912" t="n">
        <v>506390</v>
      </c>
      <c r="C912" t="inlineStr">
        <is>
          <t>Clariant Chemicals India Ltd</t>
        </is>
      </c>
      <c r="D912" t="n">
        <v>2026</v>
      </c>
      <c r="E912" t="n">
        <v>359.5</v>
      </c>
      <c r="G912" t="inlineStr">
        <is>
          <t>Consolidated first (v4) – needs verification for flagged rows</t>
        </is>
      </c>
      <c r="H912" t="n">
        <v>477.6000061035156</v>
      </c>
      <c r="I912" t="n">
        <v>269.5</v>
      </c>
      <c r="L912" t="inlineStr">
        <is>
          <t>INCOMPLETE</t>
        </is>
      </c>
      <c r="O912">
        <f>IFERROR(VLOOKUP(B912,BSE_500_LIVE!A:E,3,FALSE),"")</f>
        <v/>
      </c>
      <c r="P912">
        <f>IFERROR(VLOOKUP(B912,BSE_500_LIVE!A:E,4,FALSE),"")</f>
        <v/>
      </c>
      <c r="Q912">
        <f>IFERROR(VLOOKUP(B912,BSE_500_LIVE!A:E,5,FALSE),"")</f>
        <v/>
      </c>
      <c r="R912">
        <f>IF(OR(E912="",O912=""),"PENDING_FETCH",IF(ABS(E912-O912)/E912&gt;0.005,"MISMATCH_NEEDS_CORRECTION","VERIFIED_OK"))</f>
        <v/>
      </c>
      <c r="S912">
        <f>IF(O912&lt;&gt;"",O912,E912)</f>
        <v/>
      </c>
      <c r="T912">
        <f>IFERROR(VLOOKUP(B912,BSE_500_LIVE!A:F,6,FALSE),"")</f>
        <v/>
      </c>
    </row>
    <row r="913">
      <c r="A913" t="n">
        <v>128</v>
      </c>
      <c r="B913" t="n">
        <v>506395</v>
      </c>
      <c r="C913" t="inlineStr">
        <is>
          <t>Coromandel International Ltd</t>
        </is>
      </c>
      <c r="D913" t="n">
        <v>2015</v>
      </c>
      <c r="E913" t="n">
        <v>2003.949951171875</v>
      </c>
      <c r="F913" t="n">
        <v>13.8</v>
      </c>
      <c r="G913" t="inlineStr">
        <is>
          <t>Consolidated first (v4) – needs verification for flagged rows</t>
        </is>
      </c>
      <c r="H913" t="n">
        <v>309.7999877929688</v>
      </c>
      <c r="I913" t="n">
        <v>150.8000030517578</v>
      </c>
      <c r="L913" t="inlineStr">
        <is>
          <t>OK</t>
        </is>
      </c>
      <c r="M913" t="n">
        <v>22.45</v>
      </c>
      <c r="N913" t="n">
        <v>10.93</v>
      </c>
      <c r="O913" t="n">
        <v>2028</v>
      </c>
      <c r="P913" t="n">
        <v>2718.9</v>
      </c>
      <c r="Q913" t="n">
        <v>1706.5</v>
      </c>
      <c r="R913" s="2" t="inlineStr">
        <is>
          <t>VERIFIED_OK</t>
        </is>
      </c>
      <c r="S913" t="n">
        <v>2028</v>
      </c>
      <c r="T913" t="inlineStr">
        <is>
          <t>30-07-2026 09:42 IST</t>
        </is>
      </c>
    </row>
    <row r="914">
      <c r="A914" t="n">
        <v>128</v>
      </c>
      <c r="B914" t="n">
        <v>506395</v>
      </c>
      <c r="C914" t="inlineStr">
        <is>
          <t>Coromandel International Ltd</t>
        </is>
      </c>
      <c r="D914" t="n">
        <v>2016</v>
      </c>
      <c r="E914" t="n">
        <v>2003.949951171875</v>
      </c>
      <c r="F914" t="n">
        <v>12.27</v>
      </c>
      <c r="G914" t="inlineStr">
        <is>
          <t>Consolidated first (v4) – needs verification for flagged rows</t>
        </is>
      </c>
      <c r="H914" t="n">
        <v>299.25</v>
      </c>
      <c r="I914" t="n">
        <v>146.3500061035156</v>
      </c>
      <c r="L914" t="inlineStr">
        <is>
          <t>OK</t>
        </is>
      </c>
      <c r="M914" t="n">
        <v>24.39</v>
      </c>
      <c r="N914" t="n">
        <v>11.93</v>
      </c>
      <c r="O914" t="n">
        <v>2028</v>
      </c>
      <c r="P914" t="n">
        <v>2718.9</v>
      </c>
      <c r="Q914" t="n">
        <v>1706.5</v>
      </c>
      <c r="R914" s="2" t="inlineStr">
        <is>
          <t>VERIFIED_OK</t>
        </is>
      </c>
      <c r="S914" t="n">
        <v>2028</v>
      </c>
      <c r="T914" t="inlineStr">
        <is>
          <t>30-07-2026 09:42 IST</t>
        </is>
      </c>
    </row>
    <row r="915">
      <c r="A915" t="n">
        <v>128</v>
      </c>
      <c r="B915" t="n">
        <v>506395</v>
      </c>
      <c r="C915" t="inlineStr">
        <is>
          <t>Coromandel International Ltd</t>
        </is>
      </c>
      <c r="D915" t="n">
        <v>2017</v>
      </c>
      <c r="E915" t="n">
        <v>2003.949951171875</v>
      </c>
      <c r="F915" t="n">
        <v>16.35</v>
      </c>
      <c r="G915" t="inlineStr">
        <is>
          <t>Consolidated first (v4) – needs verification for flagged rows</t>
        </is>
      </c>
      <c r="H915" t="n">
        <v>580</v>
      </c>
      <c r="I915" t="n">
        <v>298</v>
      </c>
      <c r="L915" t="inlineStr">
        <is>
          <t>OK</t>
        </is>
      </c>
      <c r="M915" t="n">
        <v>35.47</v>
      </c>
      <c r="N915" t="n">
        <v>18.23</v>
      </c>
      <c r="O915" t="n">
        <v>2028</v>
      </c>
      <c r="P915" t="n">
        <v>2718.9</v>
      </c>
      <c r="Q915" t="n">
        <v>1706.5</v>
      </c>
      <c r="R915" s="2" t="inlineStr">
        <is>
          <t>VERIFIED_OK</t>
        </is>
      </c>
      <c r="S915" t="n">
        <v>2028</v>
      </c>
      <c r="T915" t="inlineStr">
        <is>
          <t>30-07-2026 09:42 IST</t>
        </is>
      </c>
    </row>
    <row r="916">
      <c r="A916" t="n">
        <v>128</v>
      </c>
      <c r="B916" t="n">
        <v>506395</v>
      </c>
      <c r="C916" t="inlineStr">
        <is>
          <t>Coromandel International Ltd</t>
        </is>
      </c>
      <c r="D916" t="n">
        <v>2018</v>
      </c>
      <c r="E916" t="n">
        <v>2003.949951171875</v>
      </c>
      <c r="F916" t="n">
        <v>23.64</v>
      </c>
      <c r="G916" t="inlineStr">
        <is>
          <t>Consolidated first (v4) – needs verification for flagged rows</t>
        </is>
      </c>
      <c r="H916" t="n">
        <v>585.9000244140625</v>
      </c>
      <c r="I916" t="n">
        <v>340</v>
      </c>
      <c r="L916" t="inlineStr">
        <is>
          <t>OK</t>
        </is>
      </c>
      <c r="M916" t="n">
        <v>24.78</v>
      </c>
      <c r="N916" t="n">
        <v>14.38</v>
      </c>
      <c r="O916" t="n">
        <v>2028</v>
      </c>
      <c r="P916" t="n">
        <v>2718.9</v>
      </c>
      <c r="Q916" t="n">
        <v>1706.5</v>
      </c>
      <c r="R916" s="2" t="inlineStr">
        <is>
          <t>VERIFIED_OK</t>
        </is>
      </c>
      <c r="S916" t="n">
        <v>2028</v>
      </c>
      <c r="T916" t="inlineStr">
        <is>
          <t>30-07-2026 09:42 IST</t>
        </is>
      </c>
    </row>
    <row r="917">
      <c r="A917" t="n">
        <v>128</v>
      </c>
      <c r="B917" t="n">
        <v>506395</v>
      </c>
      <c r="C917" t="inlineStr">
        <is>
          <t>Coromandel International Ltd</t>
        </is>
      </c>
      <c r="D917" t="n">
        <v>2019</v>
      </c>
      <c r="E917" t="n">
        <v>2003.949951171875</v>
      </c>
      <c r="F917" t="n">
        <v>24.63</v>
      </c>
      <c r="G917" t="inlineStr">
        <is>
          <t>Consolidated first (v4) – needs verification for flagged rows</t>
        </is>
      </c>
      <c r="H917" t="n">
        <v>534.4000244140625</v>
      </c>
      <c r="I917" t="n">
        <v>336.5</v>
      </c>
      <c r="L917" t="inlineStr">
        <is>
          <t>OK</t>
        </is>
      </c>
      <c r="M917" t="n">
        <v>21.7</v>
      </c>
      <c r="N917" t="n">
        <v>13.66</v>
      </c>
      <c r="O917" t="n">
        <v>2028</v>
      </c>
      <c r="P917" t="n">
        <v>2718.9</v>
      </c>
      <c r="Q917" t="n">
        <v>1706.5</v>
      </c>
      <c r="R917" s="2" t="inlineStr">
        <is>
          <t>VERIFIED_OK</t>
        </is>
      </c>
      <c r="S917" t="n">
        <v>2028</v>
      </c>
      <c r="T917" t="inlineStr">
        <is>
          <t>30-07-2026 09:42 IST</t>
        </is>
      </c>
    </row>
    <row r="918">
      <c r="A918" t="n">
        <v>128</v>
      </c>
      <c r="B918" t="n">
        <v>506395</v>
      </c>
      <c r="C918" t="inlineStr">
        <is>
          <t>Coromandel International Ltd</t>
        </is>
      </c>
      <c r="D918" t="n">
        <v>2020</v>
      </c>
      <c r="E918" t="n">
        <v>2003.949951171875</v>
      </c>
      <c r="F918" t="n">
        <v>36.36</v>
      </c>
      <c r="G918" t="inlineStr">
        <is>
          <t>Consolidated first (v4) – needs verification for flagged rows</t>
        </is>
      </c>
      <c r="H918" t="n">
        <v>880</v>
      </c>
      <c r="I918" t="n">
        <v>444.2000122070312</v>
      </c>
      <c r="L918" t="inlineStr">
        <is>
          <t>OK</t>
        </is>
      </c>
      <c r="M918" t="n">
        <v>24.2</v>
      </c>
      <c r="N918" t="n">
        <v>12.22</v>
      </c>
      <c r="O918" t="n">
        <v>2028</v>
      </c>
      <c r="P918" t="n">
        <v>2718.9</v>
      </c>
      <c r="Q918" t="n">
        <v>1706.5</v>
      </c>
      <c r="R918" s="2" t="inlineStr">
        <is>
          <t>VERIFIED_OK</t>
        </is>
      </c>
      <c r="S918" t="n">
        <v>2028</v>
      </c>
      <c r="T918" t="inlineStr">
        <is>
          <t>30-07-2026 09:42 IST</t>
        </is>
      </c>
    </row>
    <row r="919">
      <c r="A919" t="n">
        <v>128</v>
      </c>
      <c r="B919" t="n">
        <v>506395</v>
      </c>
      <c r="C919" t="inlineStr">
        <is>
          <t>Coromandel International Ltd</t>
        </is>
      </c>
      <c r="D919" t="n">
        <v>2021</v>
      </c>
      <c r="E919" t="n">
        <v>2003.949951171875</v>
      </c>
      <c r="F919" t="n">
        <v>45.3</v>
      </c>
      <c r="G919" t="inlineStr">
        <is>
          <t>Consolidated first (v4) – needs verification for flagged rows</t>
        </is>
      </c>
      <c r="H919" t="n">
        <v>955.9500122070312</v>
      </c>
      <c r="I919" t="n">
        <v>709.5499877929688</v>
      </c>
      <c r="L919" t="inlineStr">
        <is>
          <t>OK</t>
        </is>
      </c>
      <c r="M919" t="n">
        <v>21.1</v>
      </c>
      <c r="N919" t="n">
        <v>15.66</v>
      </c>
      <c r="O919" t="n">
        <v>2028</v>
      </c>
      <c r="P919" t="n">
        <v>2718.9</v>
      </c>
      <c r="Q919" t="n">
        <v>1706.5</v>
      </c>
      <c r="R919" s="2" t="inlineStr">
        <is>
          <t>VERIFIED_OK</t>
        </is>
      </c>
      <c r="S919" t="n">
        <v>2028</v>
      </c>
      <c r="T919" t="inlineStr">
        <is>
          <t>30-07-2026 09:42 IST</t>
        </is>
      </c>
    </row>
    <row r="920">
      <c r="A920" t="n">
        <v>128</v>
      </c>
      <c r="B920" t="n">
        <v>506395</v>
      </c>
      <c r="C920" t="inlineStr">
        <is>
          <t>Coromandel International Ltd</t>
        </is>
      </c>
      <c r="D920" t="n">
        <v>2022</v>
      </c>
      <c r="E920" t="n">
        <v>2003.949951171875</v>
      </c>
      <c r="F920" t="n">
        <v>52.08</v>
      </c>
      <c r="G920" t="inlineStr">
        <is>
          <t>Consolidated first (v4) – needs verification for flagged rows</t>
        </is>
      </c>
      <c r="H920" t="n">
        <v>1094.400024414062</v>
      </c>
      <c r="I920" t="n">
        <v>730</v>
      </c>
      <c r="L920" t="inlineStr">
        <is>
          <t>OK</t>
        </is>
      </c>
      <c r="M920" t="n">
        <v>21.01</v>
      </c>
      <c r="N920" t="n">
        <v>14.02</v>
      </c>
      <c r="O920" t="n">
        <v>2028</v>
      </c>
      <c r="P920" t="n">
        <v>2718.9</v>
      </c>
      <c r="Q920" t="n">
        <v>1706.5</v>
      </c>
      <c r="R920" s="2" t="inlineStr">
        <is>
          <t>VERIFIED_OK</t>
        </is>
      </c>
      <c r="S920" t="n">
        <v>2028</v>
      </c>
      <c r="T920" t="inlineStr">
        <is>
          <t>30-07-2026 09:42 IST</t>
        </is>
      </c>
    </row>
    <row r="921">
      <c r="A921" t="n">
        <v>128</v>
      </c>
      <c r="B921" t="n">
        <v>506395</v>
      </c>
      <c r="C921" t="inlineStr">
        <is>
          <t>Coromandel International Ltd</t>
        </is>
      </c>
      <c r="D921" t="n">
        <v>2023</v>
      </c>
      <c r="E921" t="n">
        <v>2003.949951171875</v>
      </c>
      <c r="F921" t="n">
        <v>68.45999999999999</v>
      </c>
      <c r="G921" t="inlineStr">
        <is>
          <t>Consolidated first (v4) – needs verification for flagged rows</t>
        </is>
      </c>
      <c r="H921" t="n">
        <v>1287.949951171875</v>
      </c>
      <c r="I921" t="n">
        <v>838.9500122070312</v>
      </c>
      <c r="L921" t="inlineStr">
        <is>
          <t>OK</t>
        </is>
      </c>
      <c r="M921" t="n">
        <v>18.81</v>
      </c>
      <c r="N921" t="n">
        <v>12.25</v>
      </c>
      <c r="O921" t="n">
        <v>2028</v>
      </c>
      <c r="P921" t="n">
        <v>2718.9</v>
      </c>
      <c r="Q921" t="n">
        <v>1706.5</v>
      </c>
      <c r="R921" s="2" t="inlineStr">
        <is>
          <t>VERIFIED_OK</t>
        </is>
      </c>
      <c r="S921" t="n">
        <v>2028</v>
      </c>
      <c r="T921" t="inlineStr">
        <is>
          <t>30-07-2026 09:42 IST</t>
        </is>
      </c>
    </row>
    <row r="922">
      <c r="A922" t="n">
        <v>128</v>
      </c>
      <c r="B922" t="n">
        <v>506395</v>
      </c>
      <c r="C922" t="inlineStr">
        <is>
          <t>Coromandel International Ltd</t>
        </is>
      </c>
      <c r="D922" t="n">
        <v>2024</v>
      </c>
      <c r="E922" t="n">
        <v>2003.949951171875</v>
      </c>
      <c r="F922" t="n">
        <v>55.78</v>
      </c>
      <c r="G922" t="inlineStr">
        <is>
          <t>Consolidated first (v4) – needs verification for flagged rows</t>
        </is>
      </c>
      <c r="H922" t="n">
        <v>1890</v>
      </c>
      <c r="I922" t="n">
        <v>1025.050048828125</v>
      </c>
      <c r="L922" t="inlineStr">
        <is>
          <t>OK</t>
        </is>
      </c>
      <c r="M922" t="n">
        <v>33.88</v>
      </c>
      <c r="N922" t="n">
        <v>18.38</v>
      </c>
      <c r="O922" t="n">
        <v>2028</v>
      </c>
      <c r="P922" t="n">
        <v>2718.9</v>
      </c>
      <c r="Q922" t="n">
        <v>1706.5</v>
      </c>
      <c r="R922" s="2" t="inlineStr">
        <is>
          <t>VERIFIED_OK</t>
        </is>
      </c>
      <c r="S922" t="n">
        <v>2028</v>
      </c>
      <c r="T922" t="inlineStr">
        <is>
          <t>30-07-2026 09:42 IST</t>
        </is>
      </c>
    </row>
    <row r="923">
      <c r="A923" t="n">
        <v>128</v>
      </c>
      <c r="B923" t="n">
        <v>506395</v>
      </c>
      <c r="C923" t="inlineStr">
        <is>
          <t>Coromandel International Ltd</t>
        </is>
      </c>
      <c r="D923" t="n">
        <v>2025</v>
      </c>
      <c r="E923" t="n">
        <v>2003.949951171875</v>
      </c>
      <c r="F923" t="n">
        <v>70.14</v>
      </c>
      <c r="G923" t="inlineStr">
        <is>
          <t>Consolidated first (v4) – needs verification for flagged rows</t>
        </is>
      </c>
      <c r="H923" t="n">
        <v>2720</v>
      </c>
      <c r="I923" t="n">
        <v>1590</v>
      </c>
      <c r="L923" t="inlineStr">
        <is>
          <t>OK</t>
        </is>
      </c>
      <c r="M923" t="n">
        <v>38.78</v>
      </c>
      <c r="N923" t="n">
        <v>22.67</v>
      </c>
      <c r="O923" t="n">
        <v>2028</v>
      </c>
      <c r="P923" t="n">
        <v>2718.9</v>
      </c>
      <c r="Q923" t="n">
        <v>1706.5</v>
      </c>
      <c r="R923" s="2" t="inlineStr">
        <is>
          <t>VERIFIED_OK</t>
        </is>
      </c>
      <c r="S923" t="n">
        <v>2028</v>
      </c>
      <c r="T923" t="inlineStr">
        <is>
          <t>30-07-2026 09:42 IST</t>
        </is>
      </c>
    </row>
    <row r="924">
      <c r="A924" t="n">
        <v>128</v>
      </c>
      <c r="B924" t="n">
        <v>506395</v>
      </c>
      <c r="C924" t="inlineStr">
        <is>
          <t>Coromandel International Ltd</t>
        </is>
      </c>
      <c r="D924" t="n">
        <v>2026</v>
      </c>
      <c r="E924" t="n">
        <v>2003.949951171875</v>
      </c>
      <c r="F924" t="n">
        <v>66.31</v>
      </c>
      <c r="G924" t="inlineStr">
        <is>
          <t>Consolidated first (v4) – needs verification for flagged rows</t>
        </is>
      </c>
      <c r="H924" t="n">
        <v>2398</v>
      </c>
      <c r="I924" t="n">
        <v>1709.5</v>
      </c>
      <c r="L924" t="inlineStr">
        <is>
          <t>OK</t>
        </is>
      </c>
      <c r="M924" t="n">
        <v>36.16</v>
      </c>
      <c r="N924" t="n">
        <v>25.78</v>
      </c>
      <c r="O924" t="n">
        <v>2028</v>
      </c>
      <c r="P924" t="n">
        <v>2718.9</v>
      </c>
      <c r="Q924" t="n">
        <v>1706.5</v>
      </c>
      <c r="R924" s="2" t="inlineStr">
        <is>
          <t>VERIFIED_OK</t>
        </is>
      </c>
      <c r="S924" t="n">
        <v>2028</v>
      </c>
      <c r="T924" t="inlineStr">
        <is>
          <t>30-07-2026 09:42 IST</t>
        </is>
      </c>
    </row>
    <row r="925">
      <c r="A925" t="n">
        <v>129</v>
      </c>
      <c r="B925" t="n">
        <v>506405</v>
      </c>
      <c r="C925" t="inlineStr">
        <is>
          <t>Dharamsi Morarji Chemical Co Ltd</t>
        </is>
      </c>
      <c r="D925" t="n">
        <v>2015</v>
      </c>
      <c r="E925" t="n">
        <v>272.1499938964844</v>
      </c>
      <c r="G925" t="inlineStr">
        <is>
          <t>Consolidated first (v4) – needs verification for flagged rows</t>
        </is>
      </c>
      <c r="H925" t="n">
        <v>85.65000152587891</v>
      </c>
      <c r="I925" t="n">
        <v>12.89999961853027</v>
      </c>
      <c r="L925" t="inlineStr">
        <is>
          <t>INCOMPLETE</t>
        </is>
      </c>
      <c r="O925">
        <f>IFERROR(VLOOKUP(B925,BSE_500_LIVE!A:E,3,FALSE),"")</f>
        <v/>
      </c>
      <c r="P925">
        <f>IFERROR(VLOOKUP(B925,BSE_500_LIVE!A:E,4,FALSE),"")</f>
        <v/>
      </c>
      <c r="Q925">
        <f>IFERROR(VLOOKUP(B925,BSE_500_LIVE!A:E,5,FALSE),"")</f>
        <v/>
      </c>
      <c r="R925">
        <f>IF(OR(E925="",O925=""),"PENDING_FETCH",IF(ABS(E925-O925)/E925&gt;0.005,"MISMATCH_NEEDS_CORRECTION","VERIFIED_OK"))</f>
        <v/>
      </c>
      <c r="S925">
        <f>IF(O925&lt;&gt;"",O925,E925)</f>
        <v/>
      </c>
      <c r="T925">
        <f>IFERROR(VLOOKUP(B925,BSE_500_LIVE!A:F,6,FALSE),"")</f>
        <v/>
      </c>
    </row>
    <row r="926">
      <c r="A926" t="n">
        <v>129</v>
      </c>
      <c r="B926" t="n">
        <v>506405</v>
      </c>
      <c r="C926" t="inlineStr">
        <is>
          <t>Dharamsi Morarji Chemical Co Ltd</t>
        </is>
      </c>
      <c r="D926" t="n">
        <v>2016</v>
      </c>
      <c r="E926" t="n">
        <v>272.1499938964844</v>
      </c>
      <c r="G926" t="inlineStr">
        <is>
          <t>Consolidated first (v4) – needs verification for flagged rows</t>
        </is>
      </c>
      <c r="H926" t="n">
        <v>124.8000030517578</v>
      </c>
      <c r="I926" t="n">
        <v>41.40000152587891</v>
      </c>
      <c r="L926" t="inlineStr">
        <is>
          <t>INCOMPLETE</t>
        </is>
      </c>
      <c r="O926">
        <f>IFERROR(VLOOKUP(B926,BSE_500_LIVE!A:E,3,FALSE),"")</f>
        <v/>
      </c>
      <c r="P926">
        <f>IFERROR(VLOOKUP(B926,BSE_500_LIVE!A:E,4,FALSE),"")</f>
        <v/>
      </c>
      <c r="Q926">
        <f>IFERROR(VLOOKUP(B926,BSE_500_LIVE!A:E,5,FALSE),"")</f>
        <v/>
      </c>
      <c r="R926">
        <f>IF(OR(E926="",O926=""),"PENDING_FETCH",IF(ABS(E926-O926)/E926&gt;0.005,"MISMATCH_NEEDS_CORRECTION","VERIFIED_OK"))</f>
        <v/>
      </c>
      <c r="S926">
        <f>IF(O926&lt;&gt;"",O926,E926)</f>
        <v/>
      </c>
      <c r="T926">
        <f>IFERROR(VLOOKUP(B926,BSE_500_LIVE!A:F,6,FALSE),"")</f>
        <v/>
      </c>
    </row>
    <row r="927">
      <c r="A927" t="n">
        <v>129</v>
      </c>
      <c r="B927" t="n">
        <v>506405</v>
      </c>
      <c r="C927" t="inlineStr">
        <is>
          <t>Dharamsi Morarji Chemical Co Ltd</t>
        </is>
      </c>
      <c r="D927" t="n">
        <v>2017</v>
      </c>
      <c r="E927" t="n">
        <v>272.1499938964844</v>
      </c>
      <c r="F927" t="n">
        <v>7.8</v>
      </c>
      <c r="G927" t="inlineStr">
        <is>
          <t>Consolidated first (v4) – needs verification for flagged rows</t>
        </is>
      </c>
      <c r="H927" t="n">
        <v>148</v>
      </c>
      <c r="I927" t="n">
        <v>90.55000305175781</v>
      </c>
      <c r="L927" t="inlineStr">
        <is>
          <t>OK</t>
        </is>
      </c>
      <c r="M927" t="n">
        <v>18.97</v>
      </c>
      <c r="N927" t="n">
        <v>11.61</v>
      </c>
      <c r="O927">
        <f>IFERROR(VLOOKUP(B927,BSE_500_LIVE!A:E,3,FALSE),"")</f>
        <v/>
      </c>
      <c r="P927">
        <f>IFERROR(VLOOKUP(B927,BSE_500_LIVE!A:E,4,FALSE),"")</f>
        <v/>
      </c>
      <c r="Q927">
        <f>IFERROR(VLOOKUP(B927,BSE_500_LIVE!A:E,5,FALSE),"")</f>
        <v/>
      </c>
      <c r="R927">
        <f>IF(OR(E927="",O927=""),"PENDING_FETCH",IF(ABS(E927-O927)/E927&gt;0.005,"MISMATCH_NEEDS_CORRECTION","VERIFIED_OK"))</f>
        <v/>
      </c>
      <c r="S927">
        <f>IF(O927&lt;&gt;"",O927,E927)</f>
        <v/>
      </c>
      <c r="T927">
        <f>IFERROR(VLOOKUP(B927,BSE_500_LIVE!A:F,6,FALSE),"")</f>
        <v/>
      </c>
    </row>
    <row r="928">
      <c r="A928" t="n">
        <v>129</v>
      </c>
      <c r="B928" t="n">
        <v>506405</v>
      </c>
      <c r="C928" t="inlineStr">
        <is>
          <t>Dharamsi Morarji Chemical Co Ltd</t>
        </is>
      </c>
      <c r="D928" t="n">
        <v>2018</v>
      </c>
      <c r="E928" t="n">
        <v>272.1499938964844</v>
      </c>
      <c r="F928" t="n">
        <v>4.93</v>
      </c>
      <c r="G928" t="inlineStr">
        <is>
          <t>Consolidated first (v4) – needs verification for flagged rows</t>
        </is>
      </c>
      <c r="H928" t="n">
        <v>209.8999938964844</v>
      </c>
      <c r="I928" t="n">
        <v>92.15000152587891</v>
      </c>
      <c r="L928" t="inlineStr">
        <is>
          <t>OK</t>
        </is>
      </c>
      <c r="M928" t="n">
        <v>42.58</v>
      </c>
      <c r="N928" t="n">
        <v>18.69</v>
      </c>
      <c r="O928">
        <f>IFERROR(VLOOKUP(B928,BSE_500_LIVE!A:E,3,FALSE),"")</f>
        <v/>
      </c>
      <c r="P928">
        <f>IFERROR(VLOOKUP(B928,BSE_500_LIVE!A:E,4,FALSE),"")</f>
        <v/>
      </c>
      <c r="Q928">
        <f>IFERROR(VLOOKUP(B928,BSE_500_LIVE!A:E,5,FALSE),"")</f>
        <v/>
      </c>
      <c r="R928">
        <f>IF(OR(E928="",O928=""),"PENDING_FETCH",IF(ABS(E928-O928)/E928&gt;0.005,"MISMATCH_NEEDS_CORRECTION","VERIFIED_OK"))</f>
        <v/>
      </c>
      <c r="S928">
        <f>IF(O928&lt;&gt;"",O928,E928)</f>
        <v/>
      </c>
      <c r="T928">
        <f>IFERROR(VLOOKUP(B928,BSE_500_LIVE!A:F,6,FALSE),"")</f>
        <v/>
      </c>
    </row>
    <row r="929">
      <c r="A929" t="n">
        <v>129</v>
      </c>
      <c r="B929" t="n">
        <v>506405</v>
      </c>
      <c r="C929" t="inlineStr">
        <is>
          <t>Dharamsi Morarji Chemical Co Ltd</t>
        </is>
      </c>
      <c r="D929" t="n">
        <v>2019</v>
      </c>
      <c r="E929" t="n">
        <v>272.1499938964844</v>
      </c>
      <c r="F929" t="n">
        <v>18.5</v>
      </c>
      <c r="G929" t="inlineStr">
        <is>
          <t>Consolidated first (v4) – needs verification for flagged rows</t>
        </is>
      </c>
      <c r="H929" t="n">
        <v>195.3999938964844</v>
      </c>
      <c r="I929" t="n">
        <v>90.09999847412109</v>
      </c>
      <c r="L929" t="inlineStr">
        <is>
          <t>OK</t>
        </is>
      </c>
      <c r="M929" t="n">
        <v>10.56</v>
      </c>
      <c r="N929" t="n">
        <v>4.87</v>
      </c>
      <c r="O929">
        <f>IFERROR(VLOOKUP(B929,BSE_500_LIVE!A:E,3,FALSE),"")</f>
        <v/>
      </c>
      <c r="P929">
        <f>IFERROR(VLOOKUP(B929,BSE_500_LIVE!A:E,4,FALSE),"")</f>
        <v/>
      </c>
      <c r="Q929">
        <f>IFERROR(VLOOKUP(B929,BSE_500_LIVE!A:E,5,FALSE),"")</f>
        <v/>
      </c>
      <c r="R929">
        <f>IF(OR(E929="",O929=""),"PENDING_FETCH",IF(ABS(E929-O929)/E929&gt;0.005,"MISMATCH_NEEDS_CORRECTION","VERIFIED_OK"))</f>
        <v/>
      </c>
      <c r="S929">
        <f>IF(O929&lt;&gt;"",O929,E929)</f>
        <v/>
      </c>
      <c r="T929">
        <f>IFERROR(VLOOKUP(B929,BSE_500_LIVE!A:F,6,FALSE),"")</f>
        <v/>
      </c>
    </row>
    <row r="930">
      <c r="A930" t="n">
        <v>129</v>
      </c>
      <c r="B930" t="n">
        <v>506405</v>
      </c>
      <c r="C930" t="inlineStr">
        <is>
          <t>Dharamsi Morarji Chemical Co Ltd</t>
        </is>
      </c>
      <c r="D930" t="n">
        <v>2020</v>
      </c>
      <c r="E930" t="n">
        <v>272.1499938964844</v>
      </c>
      <c r="F930" t="n">
        <v>12.61</v>
      </c>
      <c r="G930" t="inlineStr">
        <is>
          <t>Consolidated first (v4) – needs verification for flagged rows</t>
        </is>
      </c>
      <c r="H930" t="n">
        <v>224.6999969482422</v>
      </c>
      <c r="I930" t="n">
        <v>52.04999923706055</v>
      </c>
      <c r="L930" t="inlineStr">
        <is>
          <t>OK</t>
        </is>
      </c>
      <c r="M930" t="n">
        <v>17.82</v>
      </c>
      <c r="N930" t="n">
        <v>4.13</v>
      </c>
      <c r="O930">
        <f>IFERROR(VLOOKUP(B930,BSE_500_LIVE!A:E,3,FALSE),"")</f>
        <v/>
      </c>
      <c r="P930">
        <f>IFERROR(VLOOKUP(B930,BSE_500_LIVE!A:E,4,FALSE),"")</f>
        <v/>
      </c>
      <c r="Q930">
        <f>IFERROR(VLOOKUP(B930,BSE_500_LIVE!A:E,5,FALSE),"")</f>
        <v/>
      </c>
      <c r="R930">
        <f>IF(OR(E930="",O930=""),"PENDING_FETCH",IF(ABS(E930-O930)/E930&gt;0.005,"MISMATCH_NEEDS_CORRECTION","VERIFIED_OK"))</f>
        <v/>
      </c>
      <c r="S930">
        <f>IF(O930&lt;&gt;"",O930,E930)</f>
        <v/>
      </c>
      <c r="T930">
        <f>IFERROR(VLOOKUP(B930,BSE_500_LIVE!A:F,6,FALSE),"")</f>
        <v/>
      </c>
    </row>
    <row r="931">
      <c r="A931" t="n">
        <v>129</v>
      </c>
      <c r="B931" t="n">
        <v>506405</v>
      </c>
      <c r="C931" t="inlineStr">
        <is>
          <t>Dharamsi Morarji Chemical Co Ltd</t>
        </is>
      </c>
      <c r="D931" t="n">
        <v>2021</v>
      </c>
      <c r="E931" t="n">
        <v>272.1499938964844</v>
      </c>
      <c r="F931" t="n">
        <v>13.06</v>
      </c>
      <c r="G931" t="inlineStr">
        <is>
          <t>Consolidated first (v4) – needs verification for flagged rows</t>
        </is>
      </c>
      <c r="H931" t="n">
        <v>434.3500061035156</v>
      </c>
      <c r="I931" t="n">
        <v>176</v>
      </c>
      <c r="L931" t="inlineStr">
        <is>
          <t>OK</t>
        </is>
      </c>
      <c r="M931" t="n">
        <v>33.26</v>
      </c>
      <c r="N931" t="n">
        <v>13.48</v>
      </c>
      <c r="O931">
        <f>IFERROR(VLOOKUP(B931,BSE_500_LIVE!A:E,3,FALSE),"")</f>
        <v/>
      </c>
      <c r="P931">
        <f>IFERROR(VLOOKUP(B931,BSE_500_LIVE!A:E,4,FALSE),"")</f>
        <v/>
      </c>
      <c r="Q931">
        <f>IFERROR(VLOOKUP(B931,BSE_500_LIVE!A:E,5,FALSE),"")</f>
        <v/>
      </c>
      <c r="R931">
        <f>IF(OR(E931="",O931=""),"PENDING_FETCH",IF(ABS(E931-O931)/E931&gt;0.005,"MISMATCH_NEEDS_CORRECTION","VERIFIED_OK"))</f>
        <v/>
      </c>
      <c r="S931">
        <f>IF(O931&lt;&gt;"",O931,E931)</f>
        <v/>
      </c>
      <c r="T931">
        <f>IFERROR(VLOOKUP(B931,BSE_500_LIVE!A:F,6,FALSE),"")</f>
        <v/>
      </c>
    </row>
    <row r="932">
      <c r="A932" t="n">
        <v>129</v>
      </c>
      <c r="B932" t="n">
        <v>506405</v>
      </c>
      <c r="C932" t="inlineStr">
        <is>
          <t>Dharamsi Morarji Chemical Co Ltd</t>
        </is>
      </c>
      <c r="D932" t="n">
        <v>2022</v>
      </c>
      <c r="E932" t="n">
        <v>272.1499938964844</v>
      </c>
      <c r="F932" t="n">
        <v>8.56</v>
      </c>
      <c r="G932" t="inlineStr">
        <is>
          <t>Consolidated first (v4) – needs verification for flagged rows</t>
        </is>
      </c>
      <c r="H932" t="n">
        <v>478.8500061035156</v>
      </c>
      <c r="I932" t="n">
        <v>230.5500030517578</v>
      </c>
      <c r="L932" t="inlineStr">
        <is>
          <t>OK</t>
        </is>
      </c>
      <c r="M932" t="n">
        <v>55.94</v>
      </c>
      <c r="N932" t="n">
        <v>26.93</v>
      </c>
      <c r="O932">
        <f>IFERROR(VLOOKUP(B932,BSE_500_LIVE!A:E,3,FALSE),"")</f>
        <v/>
      </c>
      <c r="P932">
        <f>IFERROR(VLOOKUP(B932,BSE_500_LIVE!A:E,4,FALSE),"")</f>
        <v/>
      </c>
      <c r="Q932">
        <f>IFERROR(VLOOKUP(B932,BSE_500_LIVE!A:E,5,FALSE),"")</f>
        <v/>
      </c>
      <c r="R932">
        <f>IF(OR(E932="",O932=""),"PENDING_FETCH",IF(ABS(E932-O932)/E932&gt;0.005,"MISMATCH_NEEDS_CORRECTION","VERIFIED_OK"))</f>
        <v/>
      </c>
      <c r="S932">
        <f>IF(O932&lt;&gt;"",O932,E932)</f>
        <v/>
      </c>
      <c r="T932">
        <f>IFERROR(VLOOKUP(B932,BSE_500_LIVE!A:F,6,FALSE),"")</f>
        <v/>
      </c>
    </row>
    <row r="933">
      <c r="A933" t="n">
        <v>129</v>
      </c>
      <c r="B933" t="n">
        <v>506405</v>
      </c>
      <c r="C933" t="inlineStr">
        <is>
          <t>Dharamsi Morarji Chemical Co Ltd</t>
        </is>
      </c>
      <c r="D933" t="n">
        <v>2023</v>
      </c>
      <c r="E933" t="n">
        <v>272.1499938964844</v>
      </c>
      <c r="F933" t="n">
        <v>2.78</v>
      </c>
      <c r="G933" t="inlineStr">
        <is>
          <t>Consolidated first (v4) – needs verification for flagged rows</t>
        </is>
      </c>
      <c r="H933" t="n">
        <v>365.1000061035156</v>
      </c>
      <c r="I933" t="n">
        <v>228</v>
      </c>
      <c r="L933" t="inlineStr">
        <is>
          <t>OK</t>
        </is>
      </c>
      <c r="M933" t="n">
        <v>131.33</v>
      </c>
      <c r="N933" t="n">
        <v>82.01000000000001</v>
      </c>
      <c r="O933">
        <f>IFERROR(VLOOKUP(B933,BSE_500_LIVE!A:E,3,FALSE),"")</f>
        <v/>
      </c>
      <c r="P933">
        <f>IFERROR(VLOOKUP(B933,BSE_500_LIVE!A:E,4,FALSE),"")</f>
        <v/>
      </c>
      <c r="Q933">
        <f>IFERROR(VLOOKUP(B933,BSE_500_LIVE!A:E,5,FALSE),"")</f>
        <v/>
      </c>
      <c r="R933">
        <f>IF(OR(E933="",O933=""),"PENDING_FETCH",IF(ABS(E933-O933)/E933&gt;0.005,"MISMATCH_NEEDS_CORRECTION","VERIFIED_OK"))</f>
        <v/>
      </c>
      <c r="S933">
        <f>IF(O933&lt;&gt;"",O933,E933)</f>
        <v/>
      </c>
      <c r="T933">
        <f>IFERROR(VLOOKUP(B933,BSE_500_LIVE!A:F,6,FALSE),"")</f>
        <v/>
      </c>
    </row>
    <row r="934">
      <c r="A934" t="n">
        <v>129</v>
      </c>
      <c r="B934" t="n">
        <v>506405</v>
      </c>
      <c r="C934" t="inlineStr">
        <is>
          <t>Dharamsi Morarji Chemical Co Ltd</t>
        </is>
      </c>
      <c r="D934" t="n">
        <v>2024</v>
      </c>
      <c r="E934" t="n">
        <v>272.1499938964844</v>
      </c>
      <c r="F934" t="n">
        <v>4.65</v>
      </c>
      <c r="G934" t="inlineStr">
        <is>
          <t>Consolidated first (v4) – needs verification for flagged rows</t>
        </is>
      </c>
      <c r="H934" t="n">
        <v>452</v>
      </c>
      <c r="I934" t="n">
        <v>245</v>
      </c>
      <c r="L934" t="inlineStr">
        <is>
          <t>OK</t>
        </is>
      </c>
      <c r="M934" t="n">
        <v>97.2</v>
      </c>
      <c r="N934" t="n">
        <v>52.69</v>
      </c>
      <c r="O934">
        <f>IFERROR(VLOOKUP(B934,BSE_500_LIVE!A:E,3,FALSE),"")</f>
        <v/>
      </c>
      <c r="P934">
        <f>IFERROR(VLOOKUP(B934,BSE_500_LIVE!A:E,4,FALSE),"")</f>
        <v/>
      </c>
      <c r="Q934">
        <f>IFERROR(VLOOKUP(B934,BSE_500_LIVE!A:E,5,FALSE),"")</f>
        <v/>
      </c>
      <c r="R934">
        <f>IF(OR(E934="",O934=""),"PENDING_FETCH",IF(ABS(E934-O934)/E934&gt;0.005,"MISMATCH_NEEDS_CORRECTION","VERIFIED_OK"))</f>
        <v/>
      </c>
      <c r="S934">
        <f>IF(O934&lt;&gt;"",O934,E934)</f>
        <v/>
      </c>
      <c r="T934">
        <f>IFERROR(VLOOKUP(B934,BSE_500_LIVE!A:F,6,FALSE),"")</f>
        <v/>
      </c>
    </row>
    <row r="935">
      <c r="A935" t="n">
        <v>129</v>
      </c>
      <c r="B935" t="n">
        <v>506405</v>
      </c>
      <c r="C935" t="inlineStr">
        <is>
          <t>Dharamsi Morarji Chemical Co Ltd</t>
        </is>
      </c>
      <c r="D935" t="n">
        <v>2025</v>
      </c>
      <c r="E935" t="n">
        <v>272.1499938964844</v>
      </c>
      <c r="F935" t="n">
        <v>8.630000000000001</v>
      </c>
      <c r="G935" t="inlineStr">
        <is>
          <t>Consolidated first (v4) – needs verification for flagged rows</t>
        </is>
      </c>
      <c r="H935" t="n">
        <v>393</v>
      </c>
      <c r="I935" t="n">
        <v>230.1999969482422</v>
      </c>
      <c r="L935" t="inlineStr">
        <is>
          <t>OK</t>
        </is>
      </c>
      <c r="M935" t="n">
        <v>45.54</v>
      </c>
      <c r="N935" t="n">
        <v>26.67</v>
      </c>
      <c r="O935">
        <f>IFERROR(VLOOKUP(B935,BSE_500_LIVE!A:E,3,FALSE),"")</f>
        <v/>
      </c>
      <c r="P935">
        <f>IFERROR(VLOOKUP(B935,BSE_500_LIVE!A:E,4,FALSE),"")</f>
        <v/>
      </c>
      <c r="Q935">
        <f>IFERROR(VLOOKUP(B935,BSE_500_LIVE!A:E,5,FALSE),"")</f>
        <v/>
      </c>
      <c r="R935">
        <f>IF(OR(E935="",O935=""),"PENDING_FETCH",IF(ABS(E935-O935)/E935&gt;0.005,"MISMATCH_NEEDS_CORRECTION","VERIFIED_OK"))</f>
        <v/>
      </c>
      <c r="S935">
        <f>IF(O935&lt;&gt;"",O935,E935)</f>
        <v/>
      </c>
      <c r="T935">
        <f>IFERROR(VLOOKUP(B935,BSE_500_LIVE!A:F,6,FALSE),"")</f>
        <v/>
      </c>
    </row>
    <row r="936">
      <c r="A936" t="n">
        <v>129</v>
      </c>
      <c r="B936" t="n">
        <v>506405</v>
      </c>
      <c r="C936" t="inlineStr">
        <is>
          <t>Dharamsi Morarji Chemical Co Ltd</t>
        </is>
      </c>
      <c r="D936" t="n">
        <v>2026</v>
      </c>
      <c r="E936" t="n">
        <v>272.1499938964844</v>
      </c>
      <c r="F936" t="n">
        <v>10.96</v>
      </c>
      <c r="G936" t="inlineStr">
        <is>
          <t>Consolidated first (v4) – needs verification for flagged rows</t>
        </is>
      </c>
      <c r="H936" t="n">
        <v>332.8999938964844</v>
      </c>
      <c r="I936" t="n">
        <v>195</v>
      </c>
      <c r="L936" t="inlineStr">
        <is>
          <t>OK</t>
        </is>
      </c>
      <c r="M936" t="n">
        <v>30.37</v>
      </c>
      <c r="N936" t="n">
        <v>17.79</v>
      </c>
      <c r="O936">
        <f>IFERROR(VLOOKUP(B936,BSE_500_LIVE!A:E,3,FALSE),"")</f>
        <v/>
      </c>
      <c r="P936">
        <f>IFERROR(VLOOKUP(B936,BSE_500_LIVE!A:E,4,FALSE),"")</f>
        <v/>
      </c>
      <c r="Q936">
        <f>IFERROR(VLOOKUP(B936,BSE_500_LIVE!A:E,5,FALSE),"")</f>
        <v/>
      </c>
      <c r="R936">
        <f>IF(OR(E936="",O936=""),"PENDING_FETCH",IF(ABS(E936-O936)/E936&gt;0.005,"MISMATCH_NEEDS_CORRECTION","VERIFIED_OK"))</f>
        <v/>
      </c>
      <c r="S936">
        <f>IF(O936&lt;&gt;"",O936,E936)</f>
        <v/>
      </c>
      <c r="T936">
        <f>IFERROR(VLOOKUP(B936,BSE_500_LIVE!A:F,6,FALSE),"")</f>
        <v/>
      </c>
    </row>
    <row r="937">
      <c r="A937" t="n">
        <v>130</v>
      </c>
      <c r="B937" t="n">
        <v>506480</v>
      </c>
      <c r="C937" t="inlineStr">
        <is>
          <t>Goodyear India Ltd</t>
        </is>
      </c>
      <c r="D937" t="n">
        <v>2015</v>
      </c>
      <c r="E937" t="n">
        <v>395.2000122070312</v>
      </c>
      <c r="F937" t="n">
        <v>8.390000000000001</v>
      </c>
      <c r="G937" t="inlineStr">
        <is>
          <t>Consolidated first (v4) – needs verification for flagged rows</t>
        </is>
      </c>
      <c r="H937" t="n">
        <v>188.3000030517578</v>
      </c>
      <c r="I937" t="n">
        <v>120.9000015258789</v>
      </c>
      <c r="L937" t="inlineStr">
        <is>
          <t>OK</t>
        </is>
      </c>
      <c r="M937" t="n">
        <v>22.44</v>
      </c>
      <c r="N937" t="n">
        <v>14.41</v>
      </c>
      <c r="O937" t="n">
        <v>830</v>
      </c>
      <c r="P937" t="n">
        <v>1022.1</v>
      </c>
      <c r="Q937" t="n">
        <v>661.15</v>
      </c>
      <c r="R937" s="3" t="inlineStr">
        <is>
          <t>MISMATCH_NEEDS_CORRECTION</t>
        </is>
      </c>
      <c r="S937" t="n">
        <v>830</v>
      </c>
      <c r="T937" t="inlineStr">
        <is>
          <t>30-07-2026 09:42 IST</t>
        </is>
      </c>
    </row>
    <row r="938">
      <c r="A938" t="n">
        <v>130</v>
      </c>
      <c r="B938" t="n">
        <v>506480</v>
      </c>
      <c r="C938" t="inlineStr">
        <is>
          <t>Goodyear India Ltd</t>
        </is>
      </c>
      <c r="D938" t="n">
        <v>2016</v>
      </c>
      <c r="E938" t="n">
        <v>395.2000122070312</v>
      </c>
      <c r="F938" t="n">
        <v>5.43</v>
      </c>
      <c r="G938" t="inlineStr">
        <is>
          <t>Consolidated first (v4) – needs verification for flagged rows</t>
        </is>
      </c>
      <c r="H938" t="n">
        <v>375</v>
      </c>
      <c r="I938" t="n">
        <v>120</v>
      </c>
      <c r="L938" t="inlineStr">
        <is>
          <t>OK</t>
        </is>
      </c>
      <c r="M938" t="n">
        <v>69.06</v>
      </c>
      <c r="N938" t="n">
        <v>22.1</v>
      </c>
      <c r="O938" t="n">
        <v>830</v>
      </c>
      <c r="P938" t="n">
        <v>1022.1</v>
      </c>
      <c r="Q938" t="n">
        <v>661.15</v>
      </c>
      <c r="R938" s="3" t="inlineStr">
        <is>
          <t>MISMATCH_NEEDS_CORRECTION</t>
        </is>
      </c>
      <c r="S938" t="n">
        <v>830</v>
      </c>
      <c r="T938" t="inlineStr">
        <is>
          <t>30-07-2026 09:42 IST</t>
        </is>
      </c>
    </row>
    <row r="939">
      <c r="A939" t="n">
        <v>130</v>
      </c>
      <c r="B939" t="n">
        <v>506480</v>
      </c>
      <c r="C939" t="inlineStr">
        <is>
          <t>Goodyear India Ltd</t>
        </is>
      </c>
      <c r="D939" t="n">
        <v>2017</v>
      </c>
      <c r="E939" t="n">
        <v>395.2000122070312</v>
      </c>
      <c r="F939" t="n">
        <v>6.59</v>
      </c>
      <c r="G939" t="inlineStr">
        <is>
          <t>Consolidated first (v4) – needs verification for flagged rows</t>
        </is>
      </c>
      <c r="H939" t="n">
        <v>614</v>
      </c>
      <c r="I939" t="n">
        <v>264.5</v>
      </c>
      <c r="L939" t="inlineStr">
        <is>
          <t>OK</t>
        </is>
      </c>
      <c r="M939" t="n">
        <v>93.17</v>
      </c>
      <c r="N939" t="n">
        <v>40.14</v>
      </c>
      <c r="O939" t="n">
        <v>830</v>
      </c>
      <c r="P939" t="n">
        <v>1022.1</v>
      </c>
      <c r="Q939" t="n">
        <v>661.15</v>
      </c>
      <c r="R939" s="3" t="inlineStr">
        <is>
          <t>MISMATCH_NEEDS_CORRECTION</t>
        </is>
      </c>
      <c r="S939" t="n">
        <v>830</v>
      </c>
      <c r="T939" t="inlineStr">
        <is>
          <t>30-07-2026 09:42 IST</t>
        </is>
      </c>
    </row>
    <row r="940">
      <c r="A940" t="n">
        <v>130</v>
      </c>
      <c r="B940" t="n">
        <v>506480</v>
      </c>
      <c r="C940" t="inlineStr">
        <is>
          <t>Goodyear India Ltd</t>
        </is>
      </c>
      <c r="D940" t="n">
        <v>2018</v>
      </c>
      <c r="E940" t="n">
        <v>395.2000122070312</v>
      </c>
      <c r="F940" t="n">
        <v>6.88</v>
      </c>
      <c r="G940" t="inlineStr">
        <is>
          <t>Consolidated first (v4) – needs verification for flagged rows</t>
        </is>
      </c>
      <c r="H940" t="n">
        <v>700</v>
      </c>
      <c r="I940" t="n">
        <v>261.25</v>
      </c>
      <c r="L940" t="inlineStr">
        <is>
          <t>OK</t>
        </is>
      </c>
      <c r="M940" t="n">
        <v>101.74</v>
      </c>
      <c r="N940" t="n">
        <v>37.97</v>
      </c>
      <c r="O940" t="n">
        <v>830</v>
      </c>
      <c r="P940" t="n">
        <v>1022.1</v>
      </c>
      <c r="Q940" t="n">
        <v>661.15</v>
      </c>
      <c r="R940" s="3" t="inlineStr">
        <is>
          <t>MISMATCH_NEEDS_CORRECTION</t>
        </is>
      </c>
      <c r="S940" t="n">
        <v>830</v>
      </c>
      <c r="T940" t="inlineStr">
        <is>
          <t>30-07-2026 09:42 IST</t>
        </is>
      </c>
    </row>
    <row r="941">
      <c r="A941" t="n">
        <v>130</v>
      </c>
      <c r="B941" t="n">
        <v>506480</v>
      </c>
      <c r="C941" t="inlineStr">
        <is>
          <t>Goodyear India Ltd</t>
        </is>
      </c>
      <c r="D941" t="n">
        <v>2019</v>
      </c>
      <c r="E941" t="n">
        <v>395.2000122070312</v>
      </c>
      <c r="F941" t="n">
        <v>8.18</v>
      </c>
      <c r="G941" t="inlineStr">
        <is>
          <t>Consolidated first (v4) – needs verification for flagged rows</t>
        </is>
      </c>
      <c r="H941" t="n">
        <v>359.5499877929688</v>
      </c>
      <c r="I941" t="n">
        <v>219.0500030517578</v>
      </c>
      <c r="L941" t="inlineStr">
        <is>
          <t>OK</t>
        </is>
      </c>
      <c r="M941" t="n">
        <v>43.95</v>
      </c>
      <c r="N941" t="n">
        <v>26.78</v>
      </c>
      <c r="O941" t="n">
        <v>830</v>
      </c>
      <c r="P941" t="n">
        <v>1022.1</v>
      </c>
      <c r="Q941" t="n">
        <v>661.15</v>
      </c>
      <c r="R941" s="3" t="inlineStr">
        <is>
          <t>MISMATCH_NEEDS_CORRECTION</t>
        </is>
      </c>
      <c r="S941" t="n">
        <v>830</v>
      </c>
      <c r="T941" t="inlineStr">
        <is>
          <t>30-07-2026 09:42 IST</t>
        </is>
      </c>
    </row>
    <row r="942">
      <c r="A942" t="n">
        <v>130</v>
      </c>
      <c r="B942" t="n">
        <v>506480</v>
      </c>
      <c r="C942" t="inlineStr">
        <is>
          <t>Goodyear India Ltd</t>
        </is>
      </c>
      <c r="D942" t="n">
        <v>2020</v>
      </c>
      <c r="E942" t="n">
        <v>395.2000122070312</v>
      </c>
      <c r="F942" t="n">
        <v>10.01</v>
      </c>
      <c r="G942" t="inlineStr">
        <is>
          <t>Consolidated first (v4) – needs verification for flagged rows</t>
        </is>
      </c>
      <c r="H942" t="n">
        <v>297</v>
      </c>
      <c r="I942" t="n">
        <v>111</v>
      </c>
      <c r="L942" t="inlineStr">
        <is>
          <t>OK</t>
        </is>
      </c>
      <c r="M942" t="n">
        <v>29.67</v>
      </c>
      <c r="N942" t="n">
        <v>11.09</v>
      </c>
      <c r="O942" t="n">
        <v>830</v>
      </c>
      <c r="P942" t="n">
        <v>1022.1</v>
      </c>
      <c r="Q942" t="n">
        <v>661.15</v>
      </c>
      <c r="R942" s="3" t="inlineStr">
        <is>
          <t>MISMATCH_NEEDS_CORRECTION</t>
        </is>
      </c>
      <c r="S942" t="n">
        <v>830</v>
      </c>
      <c r="T942" t="inlineStr">
        <is>
          <t>30-07-2026 09:42 IST</t>
        </is>
      </c>
    </row>
    <row r="943">
      <c r="A943" t="n">
        <v>130</v>
      </c>
      <c r="B943" t="n">
        <v>506480</v>
      </c>
      <c r="C943" t="inlineStr">
        <is>
          <t>Goodyear India Ltd</t>
        </is>
      </c>
      <c r="D943" t="n">
        <v>2021</v>
      </c>
      <c r="E943" t="n">
        <v>395.2000122070312</v>
      </c>
      <c r="F943" t="n">
        <v>15.88</v>
      </c>
      <c r="G943" t="inlineStr">
        <is>
          <t>Consolidated first (v4) – needs verification for flagged rows</t>
        </is>
      </c>
      <c r="H943" t="n">
        <v>386</v>
      </c>
      <c r="I943" t="n">
        <v>190</v>
      </c>
      <c r="L943" t="inlineStr">
        <is>
          <t>OK</t>
        </is>
      </c>
      <c r="M943" t="n">
        <v>24.31</v>
      </c>
      <c r="N943" t="n">
        <v>11.96</v>
      </c>
      <c r="O943" t="n">
        <v>830</v>
      </c>
      <c r="P943" t="n">
        <v>1022.1</v>
      </c>
      <c r="Q943" t="n">
        <v>661.15</v>
      </c>
      <c r="R943" s="3" t="inlineStr">
        <is>
          <t>MISMATCH_NEEDS_CORRECTION</t>
        </is>
      </c>
      <c r="S943" t="n">
        <v>830</v>
      </c>
      <c r="T943" t="inlineStr">
        <is>
          <t>30-07-2026 09:42 IST</t>
        </is>
      </c>
    </row>
    <row r="944">
      <c r="A944" t="n">
        <v>130</v>
      </c>
      <c r="B944" t="n">
        <v>506480</v>
      </c>
      <c r="C944" t="inlineStr">
        <is>
          <t>Goodyear India Ltd</t>
        </is>
      </c>
      <c r="D944" t="n">
        <v>2022</v>
      </c>
      <c r="E944" t="n">
        <v>395.2000122070312</v>
      </c>
      <c r="F944" t="n">
        <v>35.52</v>
      </c>
      <c r="G944" t="inlineStr">
        <is>
          <t>Consolidated first (v4) – needs verification for flagged rows</t>
        </is>
      </c>
      <c r="H944" t="n">
        <v>419</v>
      </c>
      <c r="I944" t="n">
        <v>213</v>
      </c>
      <c r="L944" t="inlineStr">
        <is>
          <t>OK</t>
        </is>
      </c>
      <c r="M944" t="n">
        <v>11.8</v>
      </c>
      <c r="N944" t="n">
        <v>6</v>
      </c>
      <c r="O944" t="n">
        <v>830</v>
      </c>
      <c r="P944" t="n">
        <v>1022.1</v>
      </c>
      <c r="Q944" t="n">
        <v>661.15</v>
      </c>
      <c r="R944" s="3" t="inlineStr">
        <is>
          <t>MISMATCH_NEEDS_CORRECTION</t>
        </is>
      </c>
      <c r="S944" t="n">
        <v>830</v>
      </c>
      <c r="T944" t="inlineStr">
        <is>
          <t>30-07-2026 09:42 IST</t>
        </is>
      </c>
    </row>
    <row r="945">
      <c r="A945" t="n">
        <v>130</v>
      </c>
      <c r="B945" t="n">
        <v>506480</v>
      </c>
      <c r="C945" t="inlineStr">
        <is>
          <t>Goodyear India Ltd</t>
        </is>
      </c>
      <c r="D945" t="n">
        <v>2023</v>
      </c>
      <c r="E945" t="n">
        <v>395.2000122070312</v>
      </c>
      <c r="F945" t="n">
        <v>42.59</v>
      </c>
      <c r="G945" t="inlineStr">
        <is>
          <t>Consolidated first (v4) – needs verification for flagged rows</t>
        </is>
      </c>
      <c r="H945" t="n">
        <v>640</v>
      </c>
      <c r="I945" t="n">
        <v>278.25</v>
      </c>
      <c r="L945" t="inlineStr">
        <is>
          <t>OK</t>
        </is>
      </c>
      <c r="M945" t="n">
        <v>15.03</v>
      </c>
      <c r="N945" t="n">
        <v>6.53</v>
      </c>
      <c r="O945" t="n">
        <v>830</v>
      </c>
      <c r="P945" t="n">
        <v>1022.1</v>
      </c>
      <c r="Q945" t="n">
        <v>661.15</v>
      </c>
      <c r="R945" s="3" t="inlineStr">
        <is>
          <t>MISMATCH_NEEDS_CORRECTION</t>
        </is>
      </c>
      <c r="S945" t="n">
        <v>830</v>
      </c>
      <c r="T945" t="inlineStr">
        <is>
          <t>30-07-2026 09:42 IST</t>
        </is>
      </c>
    </row>
    <row r="946">
      <c r="A946" t="n">
        <v>130</v>
      </c>
      <c r="B946" t="n">
        <v>506480</v>
      </c>
      <c r="C946" t="inlineStr">
        <is>
          <t>Goodyear India Ltd</t>
        </is>
      </c>
      <c r="D946" t="n">
        <v>2024</v>
      </c>
      <c r="E946" t="n">
        <v>395.2000122070312</v>
      </c>
      <c r="F946" t="n">
        <v>9.73</v>
      </c>
      <c r="G946" t="inlineStr">
        <is>
          <t>Consolidated first (v4) – needs verification for flagged rows</t>
        </is>
      </c>
      <c r="H946" t="n">
        <v>548.5</v>
      </c>
      <c r="I946" t="n">
        <v>330</v>
      </c>
      <c r="L946" t="inlineStr">
        <is>
          <t>OK</t>
        </is>
      </c>
      <c r="M946" t="n">
        <v>56.37</v>
      </c>
      <c r="N946" t="n">
        <v>33.92</v>
      </c>
      <c r="O946" t="n">
        <v>830</v>
      </c>
      <c r="P946" t="n">
        <v>1022.1</v>
      </c>
      <c r="Q946" t="n">
        <v>661.15</v>
      </c>
      <c r="R946" s="3" t="inlineStr">
        <is>
          <t>MISMATCH_NEEDS_CORRECTION</t>
        </is>
      </c>
      <c r="S946" t="n">
        <v>830</v>
      </c>
      <c r="T946" t="inlineStr">
        <is>
          <t>30-07-2026 09:42 IST</t>
        </is>
      </c>
    </row>
    <row r="947">
      <c r="A947" t="n">
        <v>130</v>
      </c>
      <c r="B947" t="n">
        <v>506480</v>
      </c>
      <c r="C947" t="inlineStr">
        <is>
          <t>Goodyear India Ltd</t>
        </is>
      </c>
      <c r="D947" t="n">
        <v>2025</v>
      </c>
      <c r="E947" t="n">
        <v>395.2000122070312</v>
      </c>
      <c r="F947" t="n">
        <v>31.71</v>
      </c>
      <c r="G947" t="inlineStr">
        <is>
          <t>Consolidated first (v4) – needs verification for flagged rows</t>
        </is>
      </c>
      <c r="H947" t="n">
        <v>417</v>
      </c>
      <c r="I947" t="n">
        <v>245.25</v>
      </c>
      <c r="L947" t="inlineStr">
        <is>
          <t>OK</t>
        </is>
      </c>
      <c r="M947" t="n">
        <v>13.15</v>
      </c>
      <c r="N947" t="n">
        <v>7.73</v>
      </c>
      <c r="O947" t="n">
        <v>830</v>
      </c>
      <c r="P947" t="n">
        <v>1022.1</v>
      </c>
      <c r="Q947" t="n">
        <v>661.15</v>
      </c>
      <c r="R947" s="3" t="inlineStr">
        <is>
          <t>MISMATCH_NEEDS_CORRECTION</t>
        </is>
      </c>
      <c r="S947" t="n">
        <v>830</v>
      </c>
      <c r="T947" t="inlineStr">
        <is>
          <t>30-07-2026 09:42 IST</t>
        </is>
      </c>
    </row>
    <row r="948">
      <c r="A948" t="n">
        <v>130</v>
      </c>
      <c r="B948" t="n">
        <v>506480</v>
      </c>
      <c r="C948" t="inlineStr">
        <is>
          <t>Goodyear India Ltd</t>
        </is>
      </c>
      <c r="D948" t="n">
        <v>2026</v>
      </c>
      <c r="E948" t="n">
        <v>395.2000122070312</v>
      </c>
      <c r="F948" t="n">
        <v>307.01</v>
      </c>
      <c r="G948" t="inlineStr">
        <is>
          <t>Consolidated first (v4) – needs verification for flagged rows</t>
        </is>
      </c>
      <c r="H948" t="n">
        <v>460</v>
      </c>
      <c r="I948" t="n">
        <v>223.6000061035156</v>
      </c>
      <c r="L948" t="inlineStr">
        <is>
          <t>OK</t>
        </is>
      </c>
      <c r="M948" t="n">
        <v>1.5</v>
      </c>
      <c r="N948" t="n">
        <v>0.73</v>
      </c>
      <c r="O948" t="n">
        <v>830</v>
      </c>
      <c r="P948" t="n">
        <v>1022.1</v>
      </c>
      <c r="Q948" t="n">
        <v>661.15</v>
      </c>
      <c r="R948" s="3" t="inlineStr">
        <is>
          <t>MISMATCH_NEEDS_CORRECTION</t>
        </is>
      </c>
      <c r="S948" t="n">
        <v>830</v>
      </c>
      <c r="T948" t="inlineStr">
        <is>
          <t>30-07-2026 09:42 IST</t>
        </is>
      </c>
    </row>
    <row r="949">
      <c r="A949" t="n">
        <v>131</v>
      </c>
      <c r="B949" t="n">
        <v>506520</v>
      </c>
      <c r="C949" t="inlineStr">
        <is>
          <t>Jayshree Tea &amp; Industries Ltd</t>
        </is>
      </c>
      <c r="D949" t="n">
        <v>2015</v>
      </c>
      <c r="E949" t="n">
        <v>6</v>
      </c>
      <c r="F949" t="n">
        <v>-9.73</v>
      </c>
      <c r="G949" t="inlineStr">
        <is>
          <t>Consolidated first (v4) – needs verification for flagged rows</t>
        </is>
      </c>
      <c r="H949" t="n">
        <v>17.60000038146973</v>
      </c>
      <c r="I949" t="n">
        <v>5.210000038146973</v>
      </c>
      <c r="L949" t="inlineStr">
        <is>
          <t>UNVERIFIED – negative EPS</t>
        </is>
      </c>
      <c r="M949" t="n">
        <v>-1.81</v>
      </c>
      <c r="N949" t="n">
        <v>-0.54</v>
      </c>
      <c r="O949" t="n">
        <v>9.300000000000001</v>
      </c>
      <c r="P949" t="n">
        <v>13.4</v>
      </c>
      <c r="Q949" t="n">
        <v>7.79</v>
      </c>
      <c r="R949" s="3" t="inlineStr">
        <is>
          <t>MISMATCH_NEEDS_CORRECTION</t>
        </is>
      </c>
      <c r="S949" t="n">
        <v>9.300000000000001</v>
      </c>
      <c r="T949" t="inlineStr">
        <is>
          <t>30-07-2026 09:42 IST</t>
        </is>
      </c>
    </row>
    <row r="950">
      <c r="A950" t="n">
        <v>131</v>
      </c>
      <c r="B950" t="n">
        <v>506520</v>
      </c>
      <c r="C950" t="inlineStr">
        <is>
          <t>Jayshree Tea &amp; Industries Ltd</t>
        </is>
      </c>
      <c r="D950" t="n">
        <v>2016</v>
      </c>
      <c r="E950" t="n">
        <v>6</v>
      </c>
      <c r="F950" t="n">
        <v>6.64</v>
      </c>
      <c r="G950" t="inlineStr">
        <is>
          <t>Consolidated first (v4) – needs verification for flagged rows</t>
        </is>
      </c>
      <c r="H950" t="n">
        <v>17.79000091552734</v>
      </c>
      <c r="I950" t="n">
        <v>6.699999809265137</v>
      </c>
      <c r="L950" t="inlineStr">
        <is>
          <t>OK</t>
        </is>
      </c>
      <c r="M950" t="n">
        <v>2.68</v>
      </c>
      <c r="N950" t="n">
        <v>1.01</v>
      </c>
      <c r="O950" t="n">
        <v>9.300000000000001</v>
      </c>
      <c r="P950" t="n">
        <v>13.4</v>
      </c>
      <c r="Q950" t="n">
        <v>7.79</v>
      </c>
      <c r="R950" s="3" t="inlineStr">
        <is>
          <t>MISMATCH_NEEDS_CORRECTION</t>
        </is>
      </c>
      <c r="S950" t="n">
        <v>9.300000000000001</v>
      </c>
      <c r="T950" t="inlineStr">
        <is>
          <t>30-07-2026 09:42 IST</t>
        </is>
      </c>
    </row>
    <row r="951">
      <c r="A951" t="n">
        <v>131</v>
      </c>
      <c r="B951" t="n">
        <v>506520</v>
      </c>
      <c r="C951" t="inlineStr">
        <is>
          <t>Jayshree Tea &amp; Industries Ltd</t>
        </is>
      </c>
      <c r="D951" t="n">
        <v>2017</v>
      </c>
      <c r="E951" t="n">
        <v>6</v>
      </c>
      <c r="F951" t="n">
        <v>0.21</v>
      </c>
      <c r="G951" t="inlineStr">
        <is>
          <t>Consolidated first (v4) – needs verification for flagged rows</t>
        </is>
      </c>
      <c r="H951" t="n">
        <v>20.85000038146973</v>
      </c>
      <c r="I951" t="n">
        <v>9.090000152587891</v>
      </c>
      <c r="L951" t="inlineStr">
        <is>
          <t>UNVERIFIED – tiny EPS &lt;0.5</t>
        </is>
      </c>
      <c r="M951" t="n">
        <v>99.29000000000001</v>
      </c>
      <c r="N951" t="n">
        <v>43.29</v>
      </c>
      <c r="O951" t="n">
        <v>9.300000000000001</v>
      </c>
      <c r="P951" t="n">
        <v>13.4</v>
      </c>
      <c r="Q951" t="n">
        <v>7.79</v>
      </c>
      <c r="R951" s="3" t="inlineStr">
        <is>
          <t>MISMATCH_NEEDS_CORRECTION</t>
        </is>
      </c>
      <c r="S951" t="n">
        <v>9.300000000000001</v>
      </c>
      <c r="T951" t="inlineStr">
        <is>
          <t>30-07-2026 09:42 IST</t>
        </is>
      </c>
    </row>
    <row r="952">
      <c r="A952" t="n">
        <v>131</v>
      </c>
      <c r="B952" t="n">
        <v>506520</v>
      </c>
      <c r="C952" t="inlineStr">
        <is>
          <t>Jayshree Tea &amp; Industries Ltd</t>
        </is>
      </c>
      <c r="D952" t="n">
        <v>2018</v>
      </c>
      <c r="E952" t="n">
        <v>6</v>
      </c>
      <c r="F952" t="n">
        <v>-0.28</v>
      </c>
      <c r="G952" t="inlineStr">
        <is>
          <t>Consolidated first (v4) – needs verification for flagged rows</t>
        </is>
      </c>
      <c r="H952" t="n">
        <v>24.89999961853027</v>
      </c>
      <c r="I952" t="n">
        <v>9.220000267028809</v>
      </c>
      <c r="L952" t="inlineStr">
        <is>
          <t>UNVERIFIED – negative EPS</t>
        </is>
      </c>
      <c r="M952" t="n">
        <v>-88.93000000000001</v>
      </c>
      <c r="N952" t="n">
        <v>-32.93</v>
      </c>
      <c r="O952" t="n">
        <v>9.300000000000001</v>
      </c>
      <c r="P952" t="n">
        <v>13.4</v>
      </c>
      <c r="Q952" t="n">
        <v>7.79</v>
      </c>
      <c r="R952" s="3" t="inlineStr">
        <is>
          <t>MISMATCH_NEEDS_CORRECTION</t>
        </is>
      </c>
      <c r="S952" t="n">
        <v>9.300000000000001</v>
      </c>
      <c r="T952" t="inlineStr">
        <is>
          <t>30-07-2026 09:42 IST</t>
        </is>
      </c>
    </row>
    <row r="953">
      <c r="A953" t="n">
        <v>131</v>
      </c>
      <c r="B953" t="n">
        <v>506520</v>
      </c>
      <c r="C953" t="inlineStr">
        <is>
          <t>Jayshree Tea &amp; Industries Ltd</t>
        </is>
      </c>
      <c r="D953" t="n">
        <v>2019</v>
      </c>
      <c r="E953" t="n">
        <v>6</v>
      </c>
      <c r="F953" t="n">
        <v>-1.6</v>
      </c>
      <c r="G953" t="inlineStr">
        <is>
          <t>Consolidated first (v4) – needs verification for flagged rows</t>
        </is>
      </c>
      <c r="H953" t="n">
        <v>10.5</v>
      </c>
      <c r="I953" t="n">
        <v>3.150000095367432</v>
      </c>
      <c r="L953" t="inlineStr">
        <is>
          <t>UNVERIFIED – negative EPS</t>
        </is>
      </c>
      <c r="M953" t="n">
        <v>-6.56</v>
      </c>
      <c r="N953" t="n">
        <v>-1.97</v>
      </c>
      <c r="O953" t="n">
        <v>9.300000000000001</v>
      </c>
      <c r="P953" t="n">
        <v>13.4</v>
      </c>
      <c r="Q953" t="n">
        <v>7.79</v>
      </c>
      <c r="R953" s="3" t="inlineStr">
        <is>
          <t>MISMATCH_NEEDS_CORRECTION</t>
        </is>
      </c>
      <c r="S953" t="n">
        <v>9.300000000000001</v>
      </c>
      <c r="T953" t="inlineStr">
        <is>
          <t>30-07-2026 09:42 IST</t>
        </is>
      </c>
    </row>
    <row r="954">
      <c r="A954" t="n">
        <v>131</v>
      </c>
      <c r="B954" t="n">
        <v>506520</v>
      </c>
      <c r="C954" t="inlineStr">
        <is>
          <t>Jayshree Tea &amp; Industries Ltd</t>
        </is>
      </c>
      <c r="D954" t="n">
        <v>2020</v>
      </c>
      <c r="E954" t="n">
        <v>6</v>
      </c>
      <c r="F954" t="n">
        <v>-0.33</v>
      </c>
      <c r="G954" t="inlineStr">
        <is>
          <t>Consolidated first (v4) – needs verification for flagged rows</t>
        </is>
      </c>
      <c r="H954" t="n">
        <v>5.940000057220459</v>
      </c>
      <c r="I954" t="n">
        <v>2.210000038146973</v>
      </c>
      <c r="L954" t="inlineStr">
        <is>
          <t>UNVERIFIED – negative EPS</t>
        </is>
      </c>
      <c r="M954" t="n">
        <v>-18</v>
      </c>
      <c r="N954" t="n">
        <v>-6.7</v>
      </c>
      <c r="O954" t="n">
        <v>9.300000000000001</v>
      </c>
      <c r="P954" t="n">
        <v>13.4</v>
      </c>
      <c r="Q954" t="n">
        <v>7.79</v>
      </c>
      <c r="R954" s="3" t="inlineStr">
        <is>
          <t>MISMATCH_NEEDS_CORRECTION</t>
        </is>
      </c>
      <c r="S954" t="n">
        <v>9.300000000000001</v>
      </c>
      <c r="T954" t="inlineStr">
        <is>
          <t>30-07-2026 09:42 IST</t>
        </is>
      </c>
    </row>
    <row r="955">
      <c r="A955" t="n">
        <v>131</v>
      </c>
      <c r="B955" t="n">
        <v>506520</v>
      </c>
      <c r="C955" t="inlineStr">
        <is>
          <t>Jayshree Tea &amp; Industries Ltd</t>
        </is>
      </c>
      <c r="D955" t="n">
        <v>2021</v>
      </c>
      <c r="E955" t="n">
        <v>6</v>
      </c>
      <c r="F955" t="n">
        <v>-0.08</v>
      </c>
      <c r="G955" t="inlineStr">
        <is>
          <t>Consolidated first (v4) – needs verification for flagged rows</t>
        </is>
      </c>
      <c r="H955" t="n">
        <v>9.529999732971191</v>
      </c>
      <c r="I955" t="n">
        <v>3.140000104904175</v>
      </c>
      <c r="L955" t="inlineStr">
        <is>
          <t>UNVERIFIED – negative EPS</t>
        </is>
      </c>
      <c r="M955" t="n">
        <v>-119.12</v>
      </c>
      <c r="N955" t="n">
        <v>-39.25</v>
      </c>
      <c r="O955" t="n">
        <v>9.300000000000001</v>
      </c>
      <c r="P955" t="n">
        <v>13.4</v>
      </c>
      <c r="Q955" t="n">
        <v>7.79</v>
      </c>
      <c r="R955" s="3" t="inlineStr">
        <is>
          <t>MISMATCH_NEEDS_CORRECTION</t>
        </is>
      </c>
      <c r="S955" t="n">
        <v>9.300000000000001</v>
      </c>
      <c r="T955" t="inlineStr">
        <is>
          <t>30-07-2026 09:42 IST</t>
        </is>
      </c>
    </row>
    <row r="956">
      <c r="A956" t="n">
        <v>131</v>
      </c>
      <c r="B956" t="n">
        <v>506520</v>
      </c>
      <c r="C956" t="inlineStr">
        <is>
          <t>Jayshree Tea &amp; Industries Ltd</t>
        </is>
      </c>
      <c r="D956" t="n">
        <v>2022</v>
      </c>
      <c r="E956" t="n">
        <v>6</v>
      </c>
      <c r="F956" t="n">
        <v>-0.12</v>
      </c>
      <c r="G956" t="inlineStr">
        <is>
          <t>Consolidated first (v4) – needs verification for flagged rows</t>
        </is>
      </c>
      <c r="H956" t="n">
        <v>10.51000022888184</v>
      </c>
      <c r="I956" t="n">
        <v>4.610000133514404</v>
      </c>
      <c r="L956" t="inlineStr">
        <is>
          <t>UNVERIFIED – negative EPS</t>
        </is>
      </c>
      <c r="M956" t="n">
        <v>-87.58</v>
      </c>
      <c r="N956" t="n">
        <v>-38.42</v>
      </c>
      <c r="O956" t="n">
        <v>9.300000000000001</v>
      </c>
      <c r="P956" t="n">
        <v>13.4</v>
      </c>
      <c r="Q956" t="n">
        <v>7.79</v>
      </c>
      <c r="R956" s="3" t="inlineStr">
        <is>
          <t>MISMATCH_NEEDS_CORRECTION</t>
        </is>
      </c>
      <c r="S956" t="n">
        <v>9.300000000000001</v>
      </c>
      <c r="T956" t="inlineStr">
        <is>
          <t>30-07-2026 09:42 IST</t>
        </is>
      </c>
    </row>
    <row r="957">
      <c r="A957" t="n">
        <v>131</v>
      </c>
      <c r="B957" t="n">
        <v>506520</v>
      </c>
      <c r="C957" t="inlineStr">
        <is>
          <t>Jayshree Tea &amp; Industries Ltd</t>
        </is>
      </c>
      <c r="D957" t="n">
        <v>2023</v>
      </c>
      <c r="E957" t="n">
        <v>6</v>
      </c>
      <c r="F957" t="n">
        <v>-0.07000000000000001</v>
      </c>
      <c r="G957" t="inlineStr">
        <is>
          <t>Consolidated first (v4) – needs verification for flagged rows</t>
        </is>
      </c>
      <c r="H957" t="n">
        <v>12.86999988555908</v>
      </c>
      <c r="I957" t="n">
        <v>4.650000095367432</v>
      </c>
      <c r="L957" t="inlineStr">
        <is>
          <t>UNVERIFIED – negative EPS</t>
        </is>
      </c>
      <c r="M957" t="n">
        <v>-183.86</v>
      </c>
      <c r="N957" t="n">
        <v>-66.43000000000001</v>
      </c>
      <c r="O957" t="n">
        <v>9.300000000000001</v>
      </c>
      <c r="P957" t="n">
        <v>13.4</v>
      </c>
      <c r="Q957" t="n">
        <v>7.79</v>
      </c>
      <c r="R957" s="3" t="inlineStr">
        <is>
          <t>MISMATCH_NEEDS_CORRECTION</t>
        </is>
      </c>
      <c r="S957" t="n">
        <v>9.300000000000001</v>
      </c>
      <c r="T957" t="inlineStr">
        <is>
          <t>30-07-2026 09:42 IST</t>
        </is>
      </c>
    </row>
    <row r="958">
      <c r="A958" t="n">
        <v>131</v>
      </c>
      <c r="B958" t="n">
        <v>506520</v>
      </c>
      <c r="C958" t="inlineStr">
        <is>
          <t>Jayshree Tea &amp; Industries Ltd</t>
        </is>
      </c>
      <c r="D958" t="n">
        <v>2024</v>
      </c>
      <c r="E958" t="n">
        <v>6</v>
      </c>
      <c r="G958" t="inlineStr">
        <is>
          <t>Consolidated first (v4) – needs verification for flagged rows</t>
        </is>
      </c>
      <c r="H958" t="n">
        <v>13.75</v>
      </c>
      <c r="I958" t="n">
        <v>7.789999961853027</v>
      </c>
      <c r="L958" t="inlineStr">
        <is>
          <t>INCOMPLETE</t>
        </is>
      </c>
      <c r="O958" t="n">
        <v>9.300000000000001</v>
      </c>
      <c r="P958" t="n">
        <v>13.4</v>
      </c>
      <c r="Q958" t="n">
        <v>7.79</v>
      </c>
      <c r="R958" s="3" t="inlineStr">
        <is>
          <t>MISMATCH_NEEDS_CORRECTION</t>
        </is>
      </c>
      <c r="S958" t="n">
        <v>9.300000000000001</v>
      </c>
      <c r="T958" t="inlineStr">
        <is>
          <t>30-07-2026 09:42 IST</t>
        </is>
      </c>
    </row>
    <row r="959">
      <c r="A959" t="n">
        <v>131</v>
      </c>
      <c r="B959" t="n">
        <v>506520</v>
      </c>
      <c r="C959" t="inlineStr">
        <is>
          <t>Jayshree Tea &amp; Industries Ltd</t>
        </is>
      </c>
      <c r="D959" t="n">
        <v>2025</v>
      </c>
      <c r="E959" t="n">
        <v>6</v>
      </c>
      <c r="G959" t="inlineStr">
        <is>
          <t>Consolidated first (v4) – needs verification for flagged rows</t>
        </is>
      </c>
      <c r="H959" t="n">
        <v>10.59000015258789</v>
      </c>
      <c r="I959" t="n">
        <v>5.71999979019165</v>
      </c>
      <c r="L959" t="inlineStr">
        <is>
          <t>INCOMPLETE</t>
        </is>
      </c>
      <c r="O959" t="n">
        <v>9.300000000000001</v>
      </c>
      <c r="P959" t="n">
        <v>13.4</v>
      </c>
      <c r="Q959" t="n">
        <v>7.79</v>
      </c>
      <c r="R959" s="3" t="inlineStr">
        <is>
          <t>MISMATCH_NEEDS_CORRECTION</t>
        </is>
      </c>
      <c r="S959" t="n">
        <v>9.300000000000001</v>
      </c>
      <c r="T959" t="inlineStr">
        <is>
          <t>30-07-2026 09:42 IST</t>
        </is>
      </c>
    </row>
    <row r="960">
      <c r="A960" t="n">
        <v>131</v>
      </c>
      <c r="B960" t="n">
        <v>506520</v>
      </c>
      <c r="C960" t="inlineStr">
        <is>
          <t>Jayshree Tea &amp; Industries Ltd</t>
        </is>
      </c>
      <c r="D960" t="n">
        <v>2026</v>
      </c>
      <c r="E960" t="n">
        <v>6</v>
      </c>
      <c r="G960" t="inlineStr">
        <is>
          <t>Consolidated first (v4) – needs verification for flagged rows</t>
        </is>
      </c>
      <c r="H960" t="n">
        <v>8.149999618530273</v>
      </c>
      <c r="I960" t="n">
        <v>5.010000228881836</v>
      </c>
      <c r="L960" t="inlineStr">
        <is>
          <t>INCOMPLETE</t>
        </is>
      </c>
      <c r="O960" t="n">
        <v>9.300000000000001</v>
      </c>
      <c r="P960" t="n">
        <v>13.4</v>
      </c>
      <c r="Q960" t="n">
        <v>7.79</v>
      </c>
      <c r="R960" s="3" t="inlineStr">
        <is>
          <t>MISMATCH_NEEDS_CORRECTION</t>
        </is>
      </c>
      <c r="S960" t="n">
        <v>9.300000000000001</v>
      </c>
      <c r="T960" t="inlineStr">
        <is>
          <t>30-07-2026 09:42 IST</t>
        </is>
      </c>
    </row>
    <row r="961">
      <c r="A961" t="n">
        <v>132</v>
      </c>
      <c r="B961" t="n">
        <v>506532</v>
      </c>
      <c r="C961" t="inlineStr">
        <is>
          <t>Nitco Ltd</t>
        </is>
      </c>
      <c r="D961" t="n">
        <v>2015</v>
      </c>
      <c r="E961" t="n">
        <v>1908.550048828125</v>
      </c>
      <c r="F961" t="n">
        <v>-1.56</v>
      </c>
      <c r="G961" t="inlineStr">
        <is>
          <t>Consolidated first (v4) – needs verification for flagged rows</t>
        </is>
      </c>
      <c r="H961" t="n">
        <v>191.6000061035156</v>
      </c>
      <c r="I961" t="n">
        <v>118.0999984741211</v>
      </c>
      <c r="L961" t="inlineStr">
        <is>
          <t>UNVERIFIED – negative EPS</t>
        </is>
      </c>
      <c r="M961" t="n">
        <v>-122.82</v>
      </c>
      <c r="N961" t="n">
        <v>-75.70999999999999</v>
      </c>
      <c r="O961" t="n">
        <v>802</v>
      </c>
      <c r="P961" t="n">
        <v>1175</v>
      </c>
      <c r="Q961" t="n">
        <v>700</v>
      </c>
      <c r="R961" s="3" t="inlineStr">
        <is>
          <t>MISMATCH_NEEDS_CORRECTION</t>
        </is>
      </c>
      <c r="S961" t="n">
        <v>802</v>
      </c>
      <c r="T961" t="inlineStr">
        <is>
          <t>30-07-2026 09:42 IST</t>
        </is>
      </c>
    </row>
    <row r="962">
      <c r="A962" t="n">
        <v>132</v>
      </c>
      <c r="B962" t="n">
        <v>506532</v>
      </c>
      <c r="C962" t="inlineStr">
        <is>
          <t>Nitco Ltd</t>
        </is>
      </c>
      <c r="D962" t="n">
        <v>2016</v>
      </c>
      <c r="E962" t="n">
        <v>1908.550048828125</v>
      </c>
      <c r="F962" t="n">
        <v>11.82</v>
      </c>
      <c r="G962" t="inlineStr">
        <is>
          <t>Consolidated first (v4) – needs verification for flagged rows</t>
        </is>
      </c>
      <c r="H962" t="n">
        <v>245</v>
      </c>
      <c r="I962" t="n">
        <v>136.5</v>
      </c>
      <c r="L962" t="inlineStr">
        <is>
          <t>OK</t>
        </is>
      </c>
      <c r="M962" t="n">
        <v>20.73</v>
      </c>
      <c r="N962" t="n">
        <v>11.55</v>
      </c>
      <c r="O962" t="n">
        <v>802</v>
      </c>
      <c r="P962" t="n">
        <v>1175</v>
      </c>
      <c r="Q962" t="n">
        <v>700</v>
      </c>
      <c r="R962" s="3" t="inlineStr">
        <is>
          <t>MISMATCH_NEEDS_CORRECTION</t>
        </is>
      </c>
      <c r="S962" t="n">
        <v>802</v>
      </c>
      <c r="T962" t="inlineStr">
        <is>
          <t>30-07-2026 09:42 IST</t>
        </is>
      </c>
    </row>
    <row r="963">
      <c r="A963" t="n">
        <v>132</v>
      </c>
      <c r="B963" t="n">
        <v>506532</v>
      </c>
      <c r="C963" t="inlineStr">
        <is>
          <t>Nitco Ltd</t>
        </is>
      </c>
      <c r="D963" t="n">
        <v>2017</v>
      </c>
      <c r="E963" t="n">
        <v>1908.550048828125</v>
      </c>
      <c r="F963" t="n">
        <v>15.61</v>
      </c>
      <c r="G963" t="inlineStr">
        <is>
          <t>Consolidated first (v4) – needs verification for flagged rows</t>
        </is>
      </c>
      <c r="H963" t="n">
        <v>278.5</v>
      </c>
      <c r="I963" t="n">
        <v>170.8999938964844</v>
      </c>
      <c r="L963" t="inlineStr">
        <is>
          <t>OK</t>
        </is>
      </c>
      <c r="M963" t="n">
        <v>17.84</v>
      </c>
      <c r="N963" t="n">
        <v>10.95</v>
      </c>
      <c r="O963" t="n">
        <v>802</v>
      </c>
      <c r="P963" t="n">
        <v>1175</v>
      </c>
      <c r="Q963" t="n">
        <v>700</v>
      </c>
      <c r="R963" s="3" t="inlineStr">
        <is>
          <t>MISMATCH_NEEDS_CORRECTION</t>
        </is>
      </c>
      <c r="S963" t="n">
        <v>802</v>
      </c>
      <c r="T963" t="inlineStr">
        <is>
          <t>30-07-2026 09:42 IST</t>
        </is>
      </c>
    </row>
    <row r="964">
      <c r="A964" t="n">
        <v>132</v>
      </c>
      <c r="B964" t="n">
        <v>506532</v>
      </c>
      <c r="C964" t="inlineStr">
        <is>
          <t>Nitco Ltd</t>
        </is>
      </c>
      <c r="D964" t="n">
        <v>2018</v>
      </c>
      <c r="E964" t="n">
        <v>1908.550048828125</v>
      </c>
      <c r="F964" t="n">
        <v>4.9</v>
      </c>
      <c r="G964" t="inlineStr">
        <is>
          <t>Consolidated first (v4) – needs verification for flagged rows</t>
        </is>
      </c>
      <c r="H964" t="n">
        <v>284.8999938964844</v>
      </c>
      <c r="I964" t="n">
        <v>119.9499969482422</v>
      </c>
      <c r="L964" t="inlineStr">
        <is>
          <t>OK</t>
        </is>
      </c>
      <c r="M964" t="n">
        <v>58.14</v>
      </c>
      <c r="N964" t="n">
        <v>24.48</v>
      </c>
      <c r="O964" t="n">
        <v>802</v>
      </c>
      <c r="P964" t="n">
        <v>1175</v>
      </c>
      <c r="Q964" t="n">
        <v>700</v>
      </c>
      <c r="R964" s="3" t="inlineStr">
        <is>
          <t>MISMATCH_NEEDS_CORRECTION</t>
        </is>
      </c>
      <c r="S964" t="n">
        <v>802</v>
      </c>
      <c r="T964" t="inlineStr">
        <is>
          <t>30-07-2026 09:42 IST</t>
        </is>
      </c>
    </row>
    <row r="965">
      <c r="A965" t="n">
        <v>132</v>
      </c>
      <c r="B965" t="n">
        <v>506532</v>
      </c>
      <c r="C965" t="inlineStr">
        <is>
          <t>Nitco Ltd</t>
        </is>
      </c>
      <c r="D965" t="n">
        <v>2019</v>
      </c>
      <c r="E965" t="n">
        <v>1908.550048828125</v>
      </c>
      <c r="F965" t="n">
        <v>3.82</v>
      </c>
      <c r="G965" t="inlineStr">
        <is>
          <t>Consolidated first (v4) – needs verification for flagged rows</t>
        </is>
      </c>
      <c r="H965" t="n">
        <v>144.5</v>
      </c>
      <c r="I965" t="n">
        <v>88</v>
      </c>
      <c r="L965" t="inlineStr">
        <is>
          <t>OK</t>
        </is>
      </c>
      <c r="M965" t="n">
        <v>37.83</v>
      </c>
      <c r="N965" t="n">
        <v>23.04</v>
      </c>
      <c r="O965" t="n">
        <v>802</v>
      </c>
      <c r="P965" t="n">
        <v>1175</v>
      </c>
      <c r="Q965" t="n">
        <v>700</v>
      </c>
      <c r="R965" s="3" t="inlineStr">
        <is>
          <t>MISMATCH_NEEDS_CORRECTION</t>
        </is>
      </c>
      <c r="S965" t="n">
        <v>802</v>
      </c>
      <c r="T965" t="inlineStr">
        <is>
          <t>30-07-2026 09:42 IST</t>
        </is>
      </c>
    </row>
    <row r="966">
      <c r="A966" t="n">
        <v>132</v>
      </c>
      <c r="B966" t="n">
        <v>506532</v>
      </c>
      <c r="C966" t="inlineStr">
        <is>
          <t>Nitco Ltd</t>
        </is>
      </c>
      <c r="D966" t="n">
        <v>2020</v>
      </c>
      <c r="E966" t="n">
        <v>1908.550048828125</v>
      </c>
      <c r="F966" t="n">
        <v>12.38</v>
      </c>
      <c r="G966" t="inlineStr">
        <is>
          <t>Consolidated first (v4) – needs verification for flagged rows</t>
        </is>
      </c>
      <c r="H966" t="n">
        <v>195</v>
      </c>
      <c r="I966" t="n">
        <v>72.30000305175781</v>
      </c>
      <c r="L966" t="inlineStr">
        <is>
          <t>OK</t>
        </is>
      </c>
      <c r="M966" t="n">
        <v>15.75</v>
      </c>
      <c r="N966" t="n">
        <v>5.84</v>
      </c>
      <c r="O966" t="n">
        <v>802</v>
      </c>
      <c r="P966" t="n">
        <v>1175</v>
      </c>
      <c r="Q966" t="n">
        <v>700</v>
      </c>
      <c r="R966" s="3" t="inlineStr">
        <is>
          <t>MISMATCH_NEEDS_CORRECTION</t>
        </is>
      </c>
      <c r="S966" t="n">
        <v>802</v>
      </c>
      <c r="T966" t="inlineStr">
        <is>
          <t>30-07-2026 09:42 IST</t>
        </is>
      </c>
    </row>
    <row r="967">
      <c r="A967" t="n">
        <v>132</v>
      </c>
      <c r="B967" t="n">
        <v>506532</v>
      </c>
      <c r="C967" t="inlineStr">
        <is>
          <t>Nitco Ltd</t>
        </is>
      </c>
      <c r="D967" t="n">
        <v>2021</v>
      </c>
      <c r="E967" t="n">
        <v>1908.550048828125</v>
      </c>
      <c r="F967" t="n">
        <v>19.15</v>
      </c>
      <c r="G967" t="inlineStr">
        <is>
          <t>Consolidated first (v4) – needs verification for flagged rows</t>
        </is>
      </c>
      <c r="H967" t="n">
        <v>338</v>
      </c>
      <c r="I967" t="n">
        <v>155.6000061035156</v>
      </c>
      <c r="L967" t="inlineStr">
        <is>
          <t>OK</t>
        </is>
      </c>
      <c r="M967" t="n">
        <v>17.65</v>
      </c>
      <c r="N967" t="n">
        <v>8.130000000000001</v>
      </c>
      <c r="O967" t="n">
        <v>802</v>
      </c>
      <c r="P967" t="n">
        <v>1175</v>
      </c>
      <c r="Q967" t="n">
        <v>700</v>
      </c>
      <c r="R967" s="3" t="inlineStr">
        <is>
          <t>MISMATCH_NEEDS_CORRECTION</t>
        </is>
      </c>
      <c r="S967" t="n">
        <v>802</v>
      </c>
      <c r="T967" t="inlineStr">
        <is>
          <t>30-07-2026 09:42 IST</t>
        </is>
      </c>
    </row>
    <row r="968">
      <c r="A968" t="n">
        <v>132</v>
      </c>
      <c r="B968" t="n">
        <v>506532</v>
      </c>
      <c r="C968" t="inlineStr">
        <is>
          <t>Nitco Ltd</t>
        </is>
      </c>
      <c r="D968" t="n">
        <v>2022</v>
      </c>
      <c r="E968" t="n">
        <v>1908.550048828125</v>
      </c>
      <c r="F968" t="n">
        <v>36.26</v>
      </c>
      <c r="G968" t="inlineStr">
        <is>
          <t>Consolidated first (v4) – needs verification for flagged rows</t>
        </is>
      </c>
      <c r="H968" t="n">
        <v>785</v>
      </c>
      <c r="I968" t="n">
        <v>230.0500030517578</v>
      </c>
      <c r="L968" t="inlineStr">
        <is>
          <t>OK</t>
        </is>
      </c>
      <c r="M968" t="n">
        <v>21.65</v>
      </c>
      <c r="N968" t="n">
        <v>6.34</v>
      </c>
      <c r="O968" t="n">
        <v>802</v>
      </c>
      <c r="P968" t="n">
        <v>1175</v>
      </c>
      <c r="Q968" t="n">
        <v>700</v>
      </c>
      <c r="R968" s="3" t="inlineStr">
        <is>
          <t>MISMATCH_NEEDS_CORRECTION</t>
        </is>
      </c>
      <c r="S968" t="n">
        <v>802</v>
      </c>
      <c r="T968" t="inlineStr">
        <is>
          <t>30-07-2026 09:42 IST</t>
        </is>
      </c>
    </row>
    <row r="969">
      <c r="A969" t="n">
        <v>132</v>
      </c>
      <c r="B969" t="n">
        <v>506532</v>
      </c>
      <c r="C969" t="inlineStr">
        <is>
          <t>Nitco Ltd</t>
        </is>
      </c>
      <c r="D969" t="n">
        <v>2023</v>
      </c>
      <c r="E969" t="n">
        <v>1908.550048828125</v>
      </c>
      <c r="F969" t="n">
        <v>77.44</v>
      </c>
      <c r="G969" t="inlineStr">
        <is>
          <t>Consolidated first (v4) – needs verification for flagged rows</t>
        </is>
      </c>
      <c r="H969" t="n">
        <v>1000</v>
      </c>
      <c r="I969" t="n">
        <v>560</v>
      </c>
      <c r="L969" t="inlineStr">
        <is>
          <t>OK</t>
        </is>
      </c>
      <c r="M969" t="n">
        <v>12.91</v>
      </c>
      <c r="N969" t="n">
        <v>7.23</v>
      </c>
      <c r="O969" t="n">
        <v>802</v>
      </c>
      <c r="P969" t="n">
        <v>1175</v>
      </c>
      <c r="Q969" t="n">
        <v>700</v>
      </c>
      <c r="R969" s="3" t="inlineStr">
        <is>
          <t>MISMATCH_NEEDS_CORRECTION</t>
        </is>
      </c>
      <c r="S969" t="n">
        <v>802</v>
      </c>
      <c r="T969" t="inlineStr">
        <is>
          <t>30-07-2026 09:42 IST</t>
        </is>
      </c>
    </row>
    <row r="970">
      <c r="A970" t="n">
        <v>132</v>
      </c>
      <c r="B970" t="n">
        <v>506532</v>
      </c>
      <c r="C970" t="inlineStr">
        <is>
          <t>Nitco Ltd</t>
        </is>
      </c>
      <c r="D970" t="n">
        <v>2024</v>
      </c>
      <c r="E970" t="n">
        <v>1908.550048828125</v>
      </c>
      <c r="F970" t="n">
        <v>91.02</v>
      </c>
      <c r="G970" t="inlineStr">
        <is>
          <t>Consolidated first (v4) – needs verification for flagged rows</t>
        </is>
      </c>
      <c r="H970" t="n">
        <v>1184</v>
      </c>
      <c r="I970" t="n">
        <v>745</v>
      </c>
      <c r="L970" t="inlineStr">
        <is>
          <t>OK</t>
        </is>
      </c>
      <c r="M970" t="n">
        <v>13.01</v>
      </c>
      <c r="N970" t="n">
        <v>8.19</v>
      </c>
      <c r="O970" t="n">
        <v>802</v>
      </c>
      <c r="P970" t="n">
        <v>1175</v>
      </c>
      <c r="Q970" t="n">
        <v>700</v>
      </c>
      <c r="R970" s="3" t="inlineStr">
        <is>
          <t>MISMATCH_NEEDS_CORRECTION</t>
        </is>
      </c>
      <c r="S970" t="n">
        <v>802</v>
      </c>
      <c r="T970" t="inlineStr">
        <is>
          <t>30-07-2026 09:42 IST</t>
        </is>
      </c>
    </row>
    <row r="971">
      <c r="A971" t="n">
        <v>132</v>
      </c>
      <c r="B971" t="n">
        <v>506532</v>
      </c>
      <c r="C971" t="inlineStr">
        <is>
          <t>Nitco Ltd</t>
        </is>
      </c>
      <c r="D971" t="n">
        <v>2025</v>
      </c>
      <c r="E971" t="n">
        <v>1908.550048828125</v>
      </c>
      <c r="F971" t="n">
        <v>92.45</v>
      </c>
      <c r="G971" t="inlineStr">
        <is>
          <t>Consolidated first (v4) – needs verification for flagged rows</t>
        </is>
      </c>
      <c r="H971" t="n">
        <v>1005</v>
      </c>
      <c r="I971" t="n">
        <v>640</v>
      </c>
      <c r="L971" t="inlineStr">
        <is>
          <t>OK</t>
        </is>
      </c>
      <c r="M971" t="n">
        <v>10.87</v>
      </c>
      <c r="N971" t="n">
        <v>6.92</v>
      </c>
      <c r="O971" t="n">
        <v>802</v>
      </c>
      <c r="P971" t="n">
        <v>1175</v>
      </c>
      <c r="Q971" t="n">
        <v>700</v>
      </c>
      <c r="R971" s="3" t="inlineStr">
        <is>
          <t>MISMATCH_NEEDS_CORRECTION</t>
        </is>
      </c>
      <c r="S971" t="n">
        <v>802</v>
      </c>
      <c r="T971" t="inlineStr">
        <is>
          <t>30-07-2026 09:42 IST</t>
        </is>
      </c>
    </row>
    <row r="972">
      <c r="A972" t="n">
        <v>132</v>
      </c>
      <c r="B972" t="n">
        <v>506532</v>
      </c>
      <c r="C972" t="inlineStr">
        <is>
          <t>Nitco Ltd</t>
        </is>
      </c>
      <c r="D972" t="n">
        <v>2026</v>
      </c>
      <c r="E972" t="n">
        <v>1908.550048828125</v>
      </c>
      <c r="F972" t="n">
        <v>107.1</v>
      </c>
      <c r="G972" t="inlineStr">
        <is>
          <t>Consolidated first (v4) – needs verification for flagged rows</t>
        </is>
      </c>
      <c r="H972" t="n">
        <v>2088</v>
      </c>
      <c r="I972" t="n">
        <v>765.0499877929688</v>
      </c>
      <c r="L972" t="inlineStr">
        <is>
          <t>OK</t>
        </is>
      </c>
      <c r="M972" t="n">
        <v>19.5</v>
      </c>
      <c r="N972" t="n">
        <v>7.14</v>
      </c>
      <c r="O972" t="n">
        <v>802</v>
      </c>
      <c r="P972" t="n">
        <v>1175</v>
      </c>
      <c r="Q972" t="n">
        <v>700</v>
      </c>
      <c r="R972" s="3" t="inlineStr">
        <is>
          <t>MISMATCH_NEEDS_CORRECTION</t>
        </is>
      </c>
      <c r="S972" t="n">
        <v>802</v>
      </c>
      <c r="T972" t="inlineStr">
        <is>
          <t>30-07-2026 09:42 IST</t>
        </is>
      </c>
    </row>
    <row r="973">
      <c r="A973" t="n">
        <v>135</v>
      </c>
      <c r="B973" t="n">
        <v>506808</v>
      </c>
      <c r="C973" t="inlineStr">
        <is>
          <t>Duncans Industries Ltd</t>
        </is>
      </c>
      <c r="D973" t="n">
        <v>2015</v>
      </c>
      <c r="E973" t="n">
        <v>60.09999847412109</v>
      </c>
      <c r="F973" t="n">
        <v>-11.57</v>
      </c>
      <c r="G973" t="inlineStr">
        <is>
          <t>Consolidated first (v4) – needs verification for flagged rows</t>
        </is>
      </c>
      <c r="H973" t="n">
        <v>6.420000076293945</v>
      </c>
      <c r="I973" t="n">
        <v>3</v>
      </c>
      <c r="L973" t="inlineStr">
        <is>
          <t>UNVERIFIED – negative EPS</t>
        </is>
      </c>
      <c r="M973" t="n">
        <v>-0.55</v>
      </c>
      <c r="N973" t="n">
        <v>-0.26</v>
      </c>
      <c r="O973" t="n">
        <v>84.67</v>
      </c>
      <c r="P973" t="n">
        <v>114.9</v>
      </c>
      <c r="Q973" t="n">
        <v>68</v>
      </c>
      <c r="R973" s="3" t="inlineStr">
        <is>
          <t>MISMATCH_NEEDS_CORRECTION</t>
        </is>
      </c>
      <c r="S973" t="n">
        <v>84.67</v>
      </c>
      <c r="T973" t="inlineStr">
        <is>
          <t>30-07-2026 09:42 IST</t>
        </is>
      </c>
    </row>
    <row r="974">
      <c r="A974" t="n">
        <v>135</v>
      </c>
      <c r="B974" t="n">
        <v>506808</v>
      </c>
      <c r="C974" t="inlineStr">
        <is>
          <t>Duncans Industries Ltd</t>
        </is>
      </c>
      <c r="D974" t="n">
        <v>2016</v>
      </c>
      <c r="E974" t="n">
        <v>60.09999847412109</v>
      </c>
      <c r="F974" t="n">
        <v>22.74</v>
      </c>
      <c r="G974" t="inlineStr">
        <is>
          <t>Consolidated first (v4) – needs verification for flagged rows</t>
        </is>
      </c>
      <c r="H974" t="n">
        <v>14.27999973297119</v>
      </c>
      <c r="I974" t="n">
        <v>5.050000190734863</v>
      </c>
      <c r="L974" t="inlineStr">
        <is>
          <t>OK</t>
        </is>
      </c>
      <c r="M974" t="n">
        <v>0.63</v>
      </c>
      <c r="N974" t="n">
        <v>0.22</v>
      </c>
      <c r="O974" t="n">
        <v>84.67</v>
      </c>
      <c r="P974" t="n">
        <v>114.9</v>
      </c>
      <c r="Q974" t="n">
        <v>68</v>
      </c>
      <c r="R974" s="3" t="inlineStr">
        <is>
          <t>MISMATCH_NEEDS_CORRECTION</t>
        </is>
      </c>
      <c r="S974" t="n">
        <v>84.67</v>
      </c>
      <c r="T974" t="inlineStr">
        <is>
          <t>30-07-2026 09:42 IST</t>
        </is>
      </c>
    </row>
    <row r="975">
      <c r="A975" t="n">
        <v>135</v>
      </c>
      <c r="B975" t="n">
        <v>506808</v>
      </c>
      <c r="C975" t="inlineStr">
        <is>
          <t>Duncans Industries Ltd</t>
        </is>
      </c>
      <c r="D975" t="n">
        <v>2017</v>
      </c>
      <c r="E975" t="n">
        <v>60.09999847412109</v>
      </c>
      <c r="F975" t="n">
        <v>-23.82</v>
      </c>
      <c r="G975" t="inlineStr">
        <is>
          <t>Consolidated first (v4) – needs verification for flagged rows</t>
        </is>
      </c>
      <c r="H975" t="n">
        <v>18.55999946594238</v>
      </c>
      <c r="I975" t="n">
        <v>8.25</v>
      </c>
      <c r="L975" t="inlineStr">
        <is>
          <t>UNVERIFIED – negative EPS</t>
        </is>
      </c>
      <c r="M975" t="n">
        <v>-0.78</v>
      </c>
      <c r="N975" t="n">
        <v>-0.35</v>
      </c>
      <c r="O975" t="n">
        <v>84.67</v>
      </c>
      <c r="P975" t="n">
        <v>114.9</v>
      </c>
      <c r="Q975" t="n">
        <v>68</v>
      </c>
      <c r="R975" s="3" t="inlineStr">
        <is>
          <t>MISMATCH_NEEDS_CORRECTION</t>
        </is>
      </c>
      <c r="S975" t="n">
        <v>84.67</v>
      </c>
      <c r="T975" t="inlineStr">
        <is>
          <t>30-07-2026 09:42 IST</t>
        </is>
      </c>
    </row>
    <row r="976">
      <c r="A976" t="n">
        <v>135</v>
      </c>
      <c r="B976" t="n">
        <v>506808</v>
      </c>
      <c r="C976" t="inlineStr">
        <is>
          <t>Duncans Industries Ltd</t>
        </is>
      </c>
      <c r="D976" t="n">
        <v>2018</v>
      </c>
      <c r="E976" t="n">
        <v>60.09999847412109</v>
      </c>
      <c r="F976" t="n">
        <v>-30.25</v>
      </c>
      <c r="G976" t="inlineStr">
        <is>
          <t>Consolidated first (v4) – needs verification for flagged rows</t>
        </is>
      </c>
      <c r="H976" t="n">
        <v>18.11000061035156</v>
      </c>
      <c r="I976" t="n">
        <v>3.619999885559082</v>
      </c>
      <c r="L976" t="inlineStr">
        <is>
          <t>UNVERIFIED – negative EPS</t>
        </is>
      </c>
      <c r="M976" t="n">
        <v>-0.6</v>
      </c>
      <c r="N976" t="n">
        <v>-0.12</v>
      </c>
      <c r="O976" t="n">
        <v>84.67</v>
      </c>
      <c r="P976" t="n">
        <v>114.9</v>
      </c>
      <c r="Q976" t="n">
        <v>68</v>
      </c>
      <c r="R976" s="3" t="inlineStr">
        <is>
          <t>MISMATCH_NEEDS_CORRECTION</t>
        </is>
      </c>
      <c r="S976" t="n">
        <v>84.67</v>
      </c>
      <c r="T976" t="inlineStr">
        <is>
          <t>30-07-2026 09:42 IST</t>
        </is>
      </c>
    </row>
    <row r="977">
      <c r="A977" t="n">
        <v>135</v>
      </c>
      <c r="B977" t="n">
        <v>506808</v>
      </c>
      <c r="C977" t="inlineStr">
        <is>
          <t>Duncans Industries Ltd</t>
        </is>
      </c>
      <c r="D977" t="n">
        <v>2019</v>
      </c>
      <c r="E977" t="n">
        <v>60.09999847412109</v>
      </c>
      <c r="F977" t="n">
        <v>-25.62</v>
      </c>
      <c r="G977" t="inlineStr">
        <is>
          <t>Consolidated first (v4) – needs verification for flagged rows</t>
        </is>
      </c>
      <c r="H977" t="n">
        <v>5.829999923706055</v>
      </c>
      <c r="I977" t="n">
        <v>2.579999923706055</v>
      </c>
      <c r="L977" t="inlineStr">
        <is>
          <t>UNVERIFIED – negative EPS</t>
        </is>
      </c>
      <c r="M977" t="n">
        <v>-0.23</v>
      </c>
      <c r="N977" t="n">
        <v>-0.1</v>
      </c>
      <c r="O977" t="n">
        <v>84.67</v>
      </c>
      <c r="P977" t="n">
        <v>114.9</v>
      </c>
      <c r="Q977" t="n">
        <v>68</v>
      </c>
      <c r="R977" s="3" t="inlineStr">
        <is>
          <t>MISMATCH_NEEDS_CORRECTION</t>
        </is>
      </c>
      <c r="S977" t="n">
        <v>84.67</v>
      </c>
      <c r="T977" t="inlineStr">
        <is>
          <t>30-07-2026 09:42 IST</t>
        </is>
      </c>
    </row>
    <row r="978">
      <c r="A978" t="n">
        <v>135</v>
      </c>
      <c r="B978" t="n">
        <v>506808</v>
      </c>
      <c r="C978" t="inlineStr">
        <is>
          <t>Duncans Industries Ltd</t>
        </is>
      </c>
      <c r="D978" t="n">
        <v>2020</v>
      </c>
      <c r="E978" t="n">
        <v>60.09999847412109</v>
      </c>
      <c r="F978" t="n">
        <v>-1.94</v>
      </c>
      <c r="G978" t="inlineStr">
        <is>
          <t>Consolidated first (v4) – needs verification for flagged rows</t>
        </is>
      </c>
      <c r="H978" t="n">
        <v>9.090000152587891</v>
      </c>
      <c r="I978" t="n">
        <v>2.829999923706055</v>
      </c>
      <c r="L978" t="inlineStr">
        <is>
          <t>UNVERIFIED – negative EPS</t>
        </is>
      </c>
      <c r="M978" t="n">
        <v>-4.69</v>
      </c>
      <c r="N978" t="n">
        <v>-1.46</v>
      </c>
      <c r="O978" t="n">
        <v>84.67</v>
      </c>
      <c r="P978" t="n">
        <v>114.9</v>
      </c>
      <c r="Q978" t="n">
        <v>68</v>
      </c>
      <c r="R978" s="3" t="inlineStr">
        <is>
          <t>MISMATCH_NEEDS_CORRECTION</t>
        </is>
      </c>
      <c r="S978" t="n">
        <v>84.67</v>
      </c>
      <c r="T978" t="inlineStr">
        <is>
          <t>30-07-2026 09:42 IST</t>
        </is>
      </c>
    </row>
    <row r="979">
      <c r="A979" t="n">
        <v>135</v>
      </c>
      <c r="B979" t="n">
        <v>506808</v>
      </c>
      <c r="C979" t="inlineStr">
        <is>
          <t>Duncans Industries Ltd</t>
        </is>
      </c>
      <c r="D979" t="n">
        <v>2021</v>
      </c>
      <c r="E979" t="n">
        <v>60.09999847412109</v>
      </c>
      <c r="F979" t="n">
        <v>-4.76</v>
      </c>
      <c r="G979" t="inlineStr">
        <is>
          <t>Consolidated first (v4) – needs verification for flagged rows</t>
        </is>
      </c>
      <c r="H979" t="n">
        <v>42.09999847412109</v>
      </c>
      <c r="I979" t="n">
        <v>6.5</v>
      </c>
      <c r="L979" t="inlineStr">
        <is>
          <t>UNVERIFIED – negative EPS</t>
        </is>
      </c>
      <c r="M979" t="n">
        <v>-8.84</v>
      </c>
      <c r="N979" t="n">
        <v>-1.37</v>
      </c>
      <c r="O979" t="n">
        <v>84.67</v>
      </c>
      <c r="P979" t="n">
        <v>114.9</v>
      </c>
      <c r="Q979" t="n">
        <v>68</v>
      </c>
      <c r="R979" s="3" t="inlineStr">
        <is>
          <t>MISMATCH_NEEDS_CORRECTION</t>
        </is>
      </c>
      <c r="S979" t="n">
        <v>84.67</v>
      </c>
      <c r="T979" t="inlineStr">
        <is>
          <t>30-07-2026 09:42 IST</t>
        </is>
      </c>
    </row>
    <row r="980">
      <c r="A980" t="n">
        <v>135</v>
      </c>
      <c r="B980" t="n">
        <v>506808</v>
      </c>
      <c r="C980" t="inlineStr">
        <is>
          <t>Duncans Industries Ltd</t>
        </is>
      </c>
      <c r="D980" t="n">
        <v>2022</v>
      </c>
      <c r="E980" t="n">
        <v>60.09999847412109</v>
      </c>
      <c r="F980" t="n">
        <v>-2.79</v>
      </c>
      <c r="G980" t="inlineStr">
        <is>
          <t>Consolidated first (v4) – needs verification for flagged rows</t>
        </is>
      </c>
      <c r="H980" t="n">
        <v>78.90000152587891</v>
      </c>
      <c r="I980" t="n">
        <v>20.10000038146973</v>
      </c>
      <c r="L980" t="inlineStr">
        <is>
          <t>UNVERIFIED – negative EPS</t>
        </is>
      </c>
      <c r="M980" t="n">
        <v>-28.28</v>
      </c>
      <c r="N980" t="n">
        <v>-7.2</v>
      </c>
      <c r="O980" t="n">
        <v>84.67</v>
      </c>
      <c r="P980" t="n">
        <v>114.9</v>
      </c>
      <c r="Q980" t="n">
        <v>68</v>
      </c>
      <c r="R980" s="3" t="inlineStr">
        <is>
          <t>MISMATCH_NEEDS_CORRECTION</t>
        </is>
      </c>
      <c r="S980" t="n">
        <v>84.67</v>
      </c>
      <c r="T980" t="inlineStr">
        <is>
          <t>30-07-2026 09:42 IST</t>
        </is>
      </c>
    </row>
    <row r="981">
      <c r="A981" t="n">
        <v>135</v>
      </c>
      <c r="B981" t="n">
        <v>506808</v>
      </c>
      <c r="C981" t="inlineStr">
        <is>
          <t>Duncans Industries Ltd</t>
        </is>
      </c>
      <c r="D981" t="n">
        <v>2023</v>
      </c>
      <c r="E981" t="n">
        <v>60.09999847412109</v>
      </c>
      <c r="F981" t="n">
        <v>8.300000000000001</v>
      </c>
      <c r="G981" t="inlineStr">
        <is>
          <t>Consolidated first (v4) – needs verification for flagged rows</t>
        </is>
      </c>
      <c r="H981" t="n">
        <v>111.1900024414062</v>
      </c>
      <c r="I981" t="n">
        <v>46</v>
      </c>
      <c r="L981" t="inlineStr">
        <is>
          <t>OK</t>
        </is>
      </c>
      <c r="M981" t="n">
        <v>13.4</v>
      </c>
      <c r="N981" t="n">
        <v>5.54</v>
      </c>
      <c r="O981" t="n">
        <v>84.67</v>
      </c>
      <c r="P981" t="n">
        <v>114.9</v>
      </c>
      <c r="Q981" t="n">
        <v>68</v>
      </c>
      <c r="R981" s="3" t="inlineStr">
        <is>
          <t>MISMATCH_NEEDS_CORRECTION</t>
        </is>
      </c>
      <c r="S981" t="n">
        <v>84.67</v>
      </c>
      <c r="T981" t="inlineStr">
        <is>
          <t>30-07-2026 09:42 IST</t>
        </is>
      </c>
    </row>
    <row r="982">
      <c r="A982" t="n">
        <v>135</v>
      </c>
      <c r="B982" t="n">
        <v>506808</v>
      </c>
      <c r="C982" t="inlineStr">
        <is>
          <t>Duncans Industries Ltd</t>
        </is>
      </c>
      <c r="D982" t="n">
        <v>2024</v>
      </c>
      <c r="E982" t="n">
        <v>60.09999847412109</v>
      </c>
      <c r="F982" t="n">
        <v>5.71</v>
      </c>
      <c r="G982" t="inlineStr">
        <is>
          <t>Consolidated first (v4) – needs verification for flagged rows</t>
        </is>
      </c>
      <c r="H982" t="n">
        <v>117</v>
      </c>
      <c r="I982" t="n">
        <v>68</v>
      </c>
      <c r="L982" t="inlineStr">
        <is>
          <t>OK</t>
        </is>
      </c>
      <c r="M982" t="n">
        <v>20.49</v>
      </c>
      <c r="N982" t="n">
        <v>11.91</v>
      </c>
      <c r="O982" t="n">
        <v>84.67</v>
      </c>
      <c r="P982" t="n">
        <v>114.9</v>
      </c>
      <c r="Q982" t="n">
        <v>68</v>
      </c>
      <c r="R982" s="3" t="inlineStr">
        <is>
          <t>MISMATCH_NEEDS_CORRECTION</t>
        </is>
      </c>
      <c r="S982" t="n">
        <v>84.67</v>
      </c>
      <c r="T982" t="inlineStr">
        <is>
          <t>30-07-2026 09:42 IST</t>
        </is>
      </c>
    </row>
    <row r="983">
      <c r="A983" t="n">
        <v>135</v>
      </c>
      <c r="B983" t="n">
        <v>506808</v>
      </c>
      <c r="C983" t="inlineStr">
        <is>
          <t>Duncans Industries Ltd</t>
        </is>
      </c>
      <c r="D983" t="n">
        <v>2025</v>
      </c>
      <c r="E983" t="n">
        <v>60.09999847412109</v>
      </c>
      <c r="F983" t="n">
        <v>5.1</v>
      </c>
      <c r="G983" t="inlineStr">
        <is>
          <t>Consolidated first (v4) – needs verification for flagged rows</t>
        </is>
      </c>
      <c r="H983" t="n">
        <v>107.6999969482422</v>
      </c>
      <c r="I983" t="n">
        <v>46.5</v>
      </c>
      <c r="L983" t="inlineStr">
        <is>
          <t>OK</t>
        </is>
      </c>
      <c r="M983" t="n">
        <v>21.12</v>
      </c>
      <c r="N983" t="n">
        <v>9.119999999999999</v>
      </c>
      <c r="O983" t="n">
        <v>84.67</v>
      </c>
      <c r="P983" t="n">
        <v>114.9</v>
      </c>
      <c r="Q983" t="n">
        <v>68</v>
      </c>
      <c r="R983" s="3" t="inlineStr">
        <is>
          <t>MISMATCH_NEEDS_CORRECTION</t>
        </is>
      </c>
      <c r="S983" t="n">
        <v>84.67</v>
      </c>
      <c r="T983" t="inlineStr">
        <is>
          <t>30-07-2026 09:42 IST</t>
        </is>
      </c>
    </row>
    <row r="984">
      <c r="A984" t="n">
        <v>135</v>
      </c>
      <c r="B984" t="n">
        <v>506808</v>
      </c>
      <c r="C984" t="inlineStr">
        <is>
          <t>Duncans Industries Ltd</t>
        </is>
      </c>
      <c r="D984" t="n">
        <v>2026</v>
      </c>
      <c r="E984" t="n">
        <v>60.09999847412109</v>
      </c>
      <c r="F984" t="n">
        <v>3</v>
      </c>
      <c r="G984" t="inlineStr">
        <is>
          <t>Consolidated first (v4) – needs verification for flagged rows</t>
        </is>
      </c>
      <c r="H984" t="n">
        <v>68.25</v>
      </c>
      <c r="I984" t="n">
        <v>41.5</v>
      </c>
      <c r="L984" t="inlineStr">
        <is>
          <t>OK</t>
        </is>
      </c>
      <c r="M984" t="n">
        <v>22.75</v>
      </c>
      <c r="N984" t="n">
        <v>13.83</v>
      </c>
      <c r="O984" t="n">
        <v>84.67</v>
      </c>
      <c r="P984" t="n">
        <v>114.9</v>
      </c>
      <c r="Q984" t="n">
        <v>68</v>
      </c>
      <c r="R984" s="3" t="inlineStr">
        <is>
          <t>MISMATCH_NEEDS_CORRECTION</t>
        </is>
      </c>
      <c r="S984" t="n">
        <v>84.67</v>
      </c>
      <c r="T984" t="inlineStr">
        <is>
          <t>30-07-2026 09:42 IST</t>
        </is>
      </c>
    </row>
    <row r="985">
      <c r="A985" t="n">
        <v>137</v>
      </c>
      <c r="B985" t="n">
        <v>507265</v>
      </c>
      <c r="C985" t="inlineStr">
        <is>
          <t>Emami Ltd</t>
        </is>
      </c>
      <c r="D985" t="n">
        <v>2015</v>
      </c>
      <c r="E985" t="n">
        <v>180</v>
      </c>
      <c r="G985" t="inlineStr">
        <is>
          <t>Consolidated first (v4) – needs verification for flagged rows</t>
        </is>
      </c>
      <c r="H985" t="n">
        <v>102.25</v>
      </c>
      <c r="I985" t="n">
        <v>45.84999847412109</v>
      </c>
      <c r="L985" t="inlineStr">
        <is>
          <t>INCOMPLETE</t>
        </is>
      </c>
      <c r="O985" t="n">
        <v>247.35</v>
      </c>
      <c r="P985" t="n">
        <v>321.75</v>
      </c>
      <c r="Q985" t="n">
        <v>95.40000000000001</v>
      </c>
      <c r="R985" s="3" t="inlineStr">
        <is>
          <t>MISMATCH_NEEDS_CORRECTION</t>
        </is>
      </c>
      <c r="S985" t="n">
        <v>247.35</v>
      </c>
      <c r="T985" t="inlineStr">
        <is>
          <t>30-07-2026 09:42 IST</t>
        </is>
      </c>
    </row>
    <row r="986">
      <c r="A986" t="n">
        <v>137</v>
      </c>
      <c r="B986" t="n">
        <v>507265</v>
      </c>
      <c r="C986" t="inlineStr">
        <is>
          <t>Emami Ltd</t>
        </is>
      </c>
      <c r="D986" t="n">
        <v>2016</v>
      </c>
      <c r="E986" t="n">
        <v>180</v>
      </c>
      <c r="G986" t="inlineStr">
        <is>
          <t>Consolidated first (v4) – needs verification for flagged rows</t>
        </is>
      </c>
      <c r="H986" t="n">
        <v>50</v>
      </c>
      <c r="I986" t="n">
        <v>36.90000152587891</v>
      </c>
      <c r="L986" t="inlineStr">
        <is>
          <t>INCOMPLETE</t>
        </is>
      </c>
      <c r="O986" t="n">
        <v>247.35</v>
      </c>
      <c r="P986" t="n">
        <v>321.75</v>
      </c>
      <c r="Q986" t="n">
        <v>95.40000000000001</v>
      </c>
      <c r="R986" s="3" t="inlineStr">
        <is>
          <t>MISMATCH_NEEDS_CORRECTION</t>
        </is>
      </c>
      <c r="S986" t="n">
        <v>247.35</v>
      </c>
      <c r="T986" t="inlineStr">
        <is>
          <t>30-07-2026 09:42 IST</t>
        </is>
      </c>
    </row>
    <row r="987">
      <c r="A987" t="n">
        <v>137</v>
      </c>
      <c r="B987" t="n">
        <v>507265</v>
      </c>
      <c r="C987" t="inlineStr">
        <is>
          <t>Emami Ltd</t>
        </is>
      </c>
      <c r="D987" t="n">
        <v>2017</v>
      </c>
      <c r="E987" t="n">
        <v>180</v>
      </c>
      <c r="G987" t="inlineStr">
        <is>
          <t>Consolidated first (v4) – needs verification for flagged rows</t>
        </is>
      </c>
      <c r="H987" t="n">
        <v>53.5</v>
      </c>
      <c r="I987" t="n">
        <v>34.67499923706055</v>
      </c>
      <c r="L987" t="inlineStr">
        <is>
          <t>INCOMPLETE</t>
        </is>
      </c>
      <c r="O987" t="n">
        <v>247.35</v>
      </c>
      <c r="P987" t="n">
        <v>321.75</v>
      </c>
      <c r="Q987" t="n">
        <v>95.40000000000001</v>
      </c>
      <c r="R987" s="3" t="inlineStr">
        <is>
          <t>MISMATCH_NEEDS_CORRECTION</t>
        </is>
      </c>
      <c r="S987" t="n">
        <v>247.35</v>
      </c>
      <c r="T987" t="inlineStr">
        <is>
          <t>30-07-2026 09:42 IST</t>
        </is>
      </c>
    </row>
    <row r="988">
      <c r="A988" t="n">
        <v>137</v>
      </c>
      <c r="B988" t="n">
        <v>507265</v>
      </c>
      <c r="C988" t="inlineStr">
        <is>
          <t>Emami Ltd</t>
        </is>
      </c>
      <c r="D988" t="n">
        <v>2018</v>
      </c>
      <c r="E988" t="n">
        <v>180</v>
      </c>
      <c r="G988" t="inlineStr">
        <is>
          <t>Consolidated first (v4) – needs verification for flagged rows</t>
        </is>
      </c>
      <c r="H988" t="n">
        <v>62.95000076293945</v>
      </c>
      <c r="I988" t="n">
        <v>36.75</v>
      </c>
      <c r="L988" t="inlineStr">
        <is>
          <t>INCOMPLETE</t>
        </is>
      </c>
      <c r="O988" t="n">
        <v>247.35</v>
      </c>
      <c r="P988" t="n">
        <v>321.75</v>
      </c>
      <c r="Q988" t="n">
        <v>95.40000000000001</v>
      </c>
      <c r="R988" s="3" t="inlineStr">
        <is>
          <t>MISMATCH_NEEDS_CORRECTION</t>
        </is>
      </c>
      <c r="S988" t="n">
        <v>247.35</v>
      </c>
      <c r="T988" t="inlineStr">
        <is>
          <t>30-07-2026 09:42 IST</t>
        </is>
      </c>
    </row>
    <row r="989">
      <c r="A989" t="n">
        <v>137</v>
      </c>
      <c r="B989" t="n">
        <v>507265</v>
      </c>
      <c r="C989" t="inlineStr">
        <is>
          <t>Emami Ltd</t>
        </is>
      </c>
      <c r="D989" t="n">
        <v>2019</v>
      </c>
      <c r="E989" t="n">
        <v>180</v>
      </c>
      <c r="G989" t="inlineStr">
        <is>
          <t>Consolidated first (v4) – needs verification for flagged rows</t>
        </is>
      </c>
      <c r="H989" t="n">
        <v>61</v>
      </c>
      <c r="I989" t="n">
        <v>40.625</v>
      </c>
      <c r="L989" t="inlineStr">
        <is>
          <t>INCOMPLETE</t>
        </is>
      </c>
      <c r="O989" t="n">
        <v>247.35</v>
      </c>
      <c r="P989" t="n">
        <v>321.75</v>
      </c>
      <c r="Q989" t="n">
        <v>95.40000000000001</v>
      </c>
      <c r="R989" s="3" t="inlineStr">
        <is>
          <t>MISMATCH_NEEDS_CORRECTION</t>
        </is>
      </c>
      <c r="S989" t="n">
        <v>247.35</v>
      </c>
      <c r="T989" t="inlineStr">
        <is>
          <t>30-07-2026 09:42 IST</t>
        </is>
      </c>
    </row>
    <row r="990">
      <c r="A990" t="n">
        <v>137</v>
      </c>
      <c r="B990" t="n">
        <v>507265</v>
      </c>
      <c r="C990" t="inlineStr">
        <is>
          <t>Emami Ltd</t>
        </is>
      </c>
      <c r="D990" t="n">
        <v>2020</v>
      </c>
      <c r="E990" t="n">
        <v>180</v>
      </c>
      <c r="G990" t="inlineStr">
        <is>
          <t>Consolidated first (v4) – needs verification for flagged rows</t>
        </is>
      </c>
      <c r="H990" t="n">
        <v>53.70000076293945</v>
      </c>
      <c r="I990" t="n">
        <v>39.79999923706055</v>
      </c>
      <c r="L990" t="inlineStr">
        <is>
          <t>INCOMPLETE</t>
        </is>
      </c>
      <c r="O990" t="n">
        <v>247.35</v>
      </c>
      <c r="P990" t="n">
        <v>321.75</v>
      </c>
      <c r="Q990" t="n">
        <v>95.40000000000001</v>
      </c>
      <c r="R990" s="3" t="inlineStr">
        <is>
          <t>MISMATCH_NEEDS_CORRECTION</t>
        </is>
      </c>
      <c r="S990" t="n">
        <v>247.35</v>
      </c>
      <c r="T990" t="inlineStr">
        <is>
          <t>30-07-2026 09:42 IST</t>
        </is>
      </c>
    </row>
    <row r="991">
      <c r="A991" t="n">
        <v>137</v>
      </c>
      <c r="B991" t="n">
        <v>507265</v>
      </c>
      <c r="C991" t="inlineStr">
        <is>
          <t>Emami Ltd</t>
        </is>
      </c>
      <c r="D991" t="n">
        <v>2021</v>
      </c>
      <c r="E991" t="n">
        <v>180</v>
      </c>
      <c r="G991" t="inlineStr">
        <is>
          <t>Consolidated first (v4) – needs verification for flagged rows</t>
        </is>
      </c>
      <c r="H991" t="n">
        <v>114.3000030517578</v>
      </c>
      <c r="I991" t="n">
        <v>43.65000152587891</v>
      </c>
      <c r="L991" t="inlineStr">
        <is>
          <t>INCOMPLETE</t>
        </is>
      </c>
      <c r="O991" t="n">
        <v>247.35</v>
      </c>
      <c r="P991" t="n">
        <v>321.75</v>
      </c>
      <c r="Q991" t="n">
        <v>95.40000000000001</v>
      </c>
      <c r="R991" s="3" t="inlineStr">
        <is>
          <t>MISMATCH_NEEDS_CORRECTION</t>
        </is>
      </c>
      <c r="S991" t="n">
        <v>247.35</v>
      </c>
      <c r="T991" t="inlineStr">
        <is>
          <t>30-07-2026 09:42 IST</t>
        </is>
      </c>
    </row>
    <row r="992">
      <c r="A992" t="n">
        <v>137</v>
      </c>
      <c r="B992" t="n">
        <v>507265</v>
      </c>
      <c r="C992" t="inlineStr">
        <is>
          <t>Emami Ltd</t>
        </is>
      </c>
      <c r="D992" t="n">
        <v>2022</v>
      </c>
      <c r="E992" t="n">
        <v>180</v>
      </c>
      <c r="G992" t="inlineStr">
        <is>
          <t>Consolidated first (v4) – needs verification for flagged rows</t>
        </is>
      </c>
      <c r="H992" t="n">
        <v>118.3000030517578</v>
      </c>
      <c r="I992" t="n">
        <v>61.29999923706055</v>
      </c>
      <c r="L992" t="inlineStr">
        <is>
          <t>INCOMPLETE</t>
        </is>
      </c>
      <c r="O992" t="n">
        <v>247.35</v>
      </c>
      <c r="P992" t="n">
        <v>321.75</v>
      </c>
      <c r="Q992" t="n">
        <v>95.40000000000001</v>
      </c>
      <c r="R992" s="3" t="inlineStr">
        <is>
          <t>MISMATCH_NEEDS_CORRECTION</t>
        </is>
      </c>
      <c r="S992" t="n">
        <v>247.35</v>
      </c>
      <c r="T992" t="inlineStr">
        <is>
          <t>30-07-2026 09:42 IST</t>
        </is>
      </c>
    </row>
    <row r="993">
      <c r="A993" t="n">
        <v>137</v>
      </c>
      <c r="B993" t="n">
        <v>507265</v>
      </c>
      <c r="C993" t="inlineStr">
        <is>
          <t>Emami Ltd</t>
        </is>
      </c>
      <c r="D993" t="n">
        <v>2023</v>
      </c>
      <c r="E993" t="n">
        <v>180</v>
      </c>
      <c r="G993" t="inlineStr">
        <is>
          <t>Consolidated first (v4) – needs verification for flagged rows</t>
        </is>
      </c>
      <c r="H993" t="n">
        <v>192.5500030517578</v>
      </c>
      <c r="I993" t="n">
        <v>68.59999847412109</v>
      </c>
      <c r="L993" t="inlineStr">
        <is>
          <t>INCOMPLETE</t>
        </is>
      </c>
      <c r="O993" t="n">
        <v>247.35</v>
      </c>
      <c r="P993" t="n">
        <v>321.75</v>
      </c>
      <c r="Q993" t="n">
        <v>95.40000000000001</v>
      </c>
      <c r="R993" s="3" t="inlineStr">
        <is>
          <t>MISMATCH_NEEDS_CORRECTION</t>
        </is>
      </c>
      <c r="S993" t="n">
        <v>247.35</v>
      </c>
      <c r="T993" t="inlineStr">
        <is>
          <t>30-07-2026 09:42 IST</t>
        </is>
      </c>
    </row>
    <row r="994">
      <c r="A994" t="n">
        <v>137</v>
      </c>
      <c r="B994" t="n">
        <v>507265</v>
      </c>
      <c r="C994" t="inlineStr">
        <is>
          <t>Emami Ltd</t>
        </is>
      </c>
      <c r="D994" t="n">
        <v>2024</v>
      </c>
      <c r="E994" t="n">
        <v>180</v>
      </c>
      <c r="F994" t="n">
        <v>-6.49</v>
      </c>
      <c r="G994" t="inlineStr">
        <is>
          <t>Consolidated first (v4) – needs verification for flagged rows</t>
        </is>
      </c>
      <c r="H994" t="n">
        <v>321.75</v>
      </c>
      <c r="I994" t="n">
        <v>95.40000152587891</v>
      </c>
      <c r="L994" t="inlineStr">
        <is>
          <t>UNVERIFIED – negative EPS</t>
        </is>
      </c>
      <c r="M994" t="n">
        <v>-49.58</v>
      </c>
      <c r="N994" t="n">
        <v>-14.7</v>
      </c>
      <c r="O994" t="n">
        <v>247.35</v>
      </c>
      <c r="P994" t="n">
        <v>321.75</v>
      </c>
      <c r="Q994" t="n">
        <v>95.40000000000001</v>
      </c>
      <c r="R994" s="3" t="inlineStr">
        <is>
          <t>MISMATCH_NEEDS_CORRECTION</t>
        </is>
      </c>
      <c r="S994" t="n">
        <v>247.35</v>
      </c>
      <c r="T994" t="inlineStr">
        <is>
          <t>30-07-2026 09:42 IST</t>
        </is>
      </c>
    </row>
    <row r="995">
      <c r="A995" t="n">
        <v>137</v>
      </c>
      <c r="B995" t="n">
        <v>507265</v>
      </c>
      <c r="C995" t="inlineStr">
        <is>
          <t>Emami Ltd</t>
        </is>
      </c>
      <c r="D995" t="n">
        <v>2025</v>
      </c>
      <c r="E995" t="n">
        <v>180</v>
      </c>
      <c r="F995" t="n">
        <v>-7.19</v>
      </c>
      <c r="G995" t="inlineStr">
        <is>
          <t>Consolidated first (v4) – needs verification for flagged rows</t>
        </is>
      </c>
      <c r="H995" t="n">
        <v>292.5</v>
      </c>
      <c r="I995" t="n">
        <v>159</v>
      </c>
      <c r="L995" t="inlineStr">
        <is>
          <t>UNVERIFIED – negative EPS</t>
        </is>
      </c>
      <c r="M995" t="n">
        <v>-40.68</v>
      </c>
      <c r="N995" t="n">
        <v>-22.11</v>
      </c>
      <c r="O995" t="n">
        <v>247.35</v>
      </c>
      <c r="P995" t="n">
        <v>321.75</v>
      </c>
      <c r="Q995" t="n">
        <v>95.40000000000001</v>
      </c>
      <c r="R995" s="3" t="inlineStr">
        <is>
          <t>MISMATCH_NEEDS_CORRECTION</t>
        </is>
      </c>
      <c r="S995" t="n">
        <v>247.35</v>
      </c>
      <c r="T995" t="inlineStr">
        <is>
          <t>30-07-2026 09:42 IST</t>
        </is>
      </c>
    </row>
    <row r="996">
      <c r="A996" t="n">
        <v>137</v>
      </c>
      <c r="B996" t="n">
        <v>507265</v>
      </c>
      <c r="C996" t="inlineStr">
        <is>
          <t>Emami Ltd</t>
        </is>
      </c>
      <c r="D996" t="n">
        <v>2026</v>
      </c>
      <c r="E996" t="n">
        <v>180</v>
      </c>
      <c r="F996" t="n">
        <v>-5.7</v>
      </c>
      <c r="G996" t="inlineStr">
        <is>
          <t>Consolidated first (v4) – needs verification for flagged rows</t>
        </is>
      </c>
      <c r="H996" t="n">
        <v>233</v>
      </c>
      <c r="I996" t="n">
        <v>151</v>
      </c>
      <c r="L996" t="inlineStr">
        <is>
          <t>UNVERIFIED – negative EPS</t>
        </is>
      </c>
      <c r="M996" t="n">
        <v>-40.88</v>
      </c>
      <c r="N996" t="n">
        <v>-26.49</v>
      </c>
      <c r="O996" t="n">
        <v>247.35</v>
      </c>
      <c r="P996" t="n">
        <v>321.75</v>
      </c>
      <c r="Q996" t="n">
        <v>95.40000000000001</v>
      </c>
      <c r="R996" s="3" t="inlineStr">
        <is>
          <t>MISMATCH_NEEDS_CORRECTION</t>
        </is>
      </c>
      <c r="S996" t="n">
        <v>247.35</v>
      </c>
      <c r="T996" t="inlineStr">
        <is>
          <t>30-07-2026 09:42 IST</t>
        </is>
      </c>
    </row>
    <row r="997">
      <c r="A997" t="n">
        <v>138</v>
      </c>
      <c r="B997" t="n">
        <v>507300</v>
      </c>
      <c r="C997" t="inlineStr">
        <is>
          <t>Ravalgaon Sugar Farm Ltd</t>
        </is>
      </c>
      <c r="D997" t="n">
        <v>2015</v>
      </c>
      <c r="E997" t="n">
        <v>980</v>
      </c>
      <c r="F997" t="n">
        <v>-422</v>
      </c>
      <c r="G997" t="inlineStr">
        <is>
          <t>Consolidated first (v4) – needs verification for flagged rows</t>
        </is>
      </c>
      <c r="H997" t="n">
        <v>864</v>
      </c>
      <c r="I997" t="n">
        <v>561.7999877929688</v>
      </c>
      <c r="L997" t="inlineStr">
        <is>
          <t>UNVERIFIED – negative EPS</t>
        </is>
      </c>
      <c r="M997" t="n">
        <v>-2.05</v>
      </c>
      <c r="N997" t="n">
        <v>-1.33</v>
      </c>
      <c r="O997" t="n">
        <v>2215.6</v>
      </c>
      <c r="P997" t="n">
        <v>2450.95</v>
      </c>
      <c r="Q997" t="n">
        <v>729.55</v>
      </c>
      <c r="R997" s="3" t="inlineStr">
        <is>
          <t>MISMATCH_NEEDS_CORRECTION</t>
        </is>
      </c>
      <c r="S997" t="n">
        <v>2215.6</v>
      </c>
      <c r="T997" t="inlineStr">
        <is>
          <t>30-07-2026 09:42 IST</t>
        </is>
      </c>
    </row>
    <row r="998">
      <c r="A998" t="n">
        <v>138</v>
      </c>
      <c r="B998" t="n">
        <v>507300</v>
      </c>
      <c r="C998" t="inlineStr">
        <is>
          <t>Ravalgaon Sugar Farm Ltd</t>
        </is>
      </c>
      <c r="D998" t="n">
        <v>2016</v>
      </c>
      <c r="E998" t="n">
        <v>980</v>
      </c>
      <c r="F998" t="n">
        <v>164</v>
      </c>
      <c r="G998" t="inlineStr">
        <is>
          <t>Consolidated first (v4) – needs verification for flagged rows</t>
        </is>
      </c>
      <c r="H998" t="n">
        <v>1301.599975585938</v>
      </c>
      <c r="I998" t="n">
        <v>674</v>
      </c>
      <c r="L998" t="inlineStr">
        <is>
          <t>OK</t>
        </is>
      </c>
      <c r="M998" t="n">
        <v>7.94</v>
      </c>
      <c r="N998" t="n">
        <v>4.11</v>
      </c>
      <c r="O998" t="n">
        <v>2215.6</v>
      </c>
      <c r="P998" t="n">
        <v>2450.95</v>
      </c>
      <c r="Q998" t="n">
        <v>729.55</v>
      </c>
      <c r="R998" s="3" t="inlineStr">
        <is>
          <t>MISMATCH_NEEDS_CORRECTION</t>
        </is>
      </c>
      <c r="S998" t="n">
        <v>2215.6</v>
      </c>
      <c r="T998" t="inlineStr">
        <is>
          <t>30-07-2026 09:42 IST</t>
        </is>
      </c>
    </row>
    <row r="999">
      <c r="A999" t="n">
        <v>138</v>
      </c>
      <c r="B999" t="n">
        <v>507300</v>
      </c>
      <c r="C999" t="inlineStr">
        <is>
          <t>Ravalgaon Sugar Farm Ltd</t>
        </is>
      </c>
      <c r="D999" t="n">
        <v>2017</v>
      </c>
      <c r="E999" t="n">
        <v>980</v>
      </c>
      <c r="F999" t="n">
        <v>-253.67</v>
      </c>
      <c r="G999" t="inlineStr">
        <is>
          <t>Consolidated first (v4) – needs verification for flagged rows</t>
        </is>
      </c>
      <c r="H999" t="n">
        <v>1059.800048828125</v>
      </c>
      <c r="I999" t="n">
        <v>630</v>
      </c>
      <c r="L999" t="inlineStr">
        <is>
          <t>UNVERIFIED – negative EPS</t>
        </is>
      </c>
      <c r="M999" t="n">
        <v>-4.18</v>
      </c>
      <c r="N999" t="n">
        <v>-2.48</v>
      </c>
      <c r="O999" t="n">
        <v>2215.6</v>
      </c>
      <c r="P999" t="n">
        <v>2450.95</v>
      </c>
      <c r="Q999" t="n">
        <v>729.55</v>
      </c>
      <c r="R999" s="3" t="inlineStr">
        <is>
          <t>MISMATCH_NEEDS_CORRECTION</t>
        </is>
      </c>
      <c r="S999" t="n">
        <v>2215.6</v>
      </c>
      <c r="T999" t="inlineStr">
        <is>
          <t>30-07-2026 09:42 IST</t>
        </is>
      </c>
    </row>
    <row r="1000">
      <c r="A1000" t="n">
        <v>138</v>
      </c>
      <c r="B1000" t="n">
        <v>507300</v>
      </c>
      <c r="C1000" t="inlineStr">
        <is>
          <t>Ravalgaon Sugar Farm Ltd</t>
        </is>
      </c>
      <c r="D1000" t="n">
        <v>2018</v>
      </c>
      <c r="E1000" t="n">
        <v>980</v>
      </c>
      <c r="F1000" t="n">
        <v>-124</v>
      </c>
      <c r="G1000" t="inlineStr">
        <is>
          <t>Consolidated first (v4) – needs verification for flagged rows</t>
        </is>
      </c>
      <c r="H1000" t="n">
        <v>812.25</v>
      </c>
      <c r="I1000" t="n">
        <v>326.3999938964844</v>
      </c>
      <c r="L1000" t="inlineStr">
        <is>
          <t>UNVERIFIED – negative EPS</t>
        </is>
      </c>
      <c r="M1000" t="n">
        <v>-6.55</v>
      </c>
      <c r="N1000" t="n">
        <v>-2.63</v>
      </c>
      <c r="O1000" t="n">
        <v>2215.6</v>
      </c>
      <c r="P1000" t="n">
        <v>2450.95</v>
      </c>
      <c r="Q1000" t="n">
        <v>729.55</v>
      </c>
      <c r="R1000" s="3" t="inlineStr">
        <is>
          <t>MISMATCH_NEEDS_CORRECTION</t>
        </is>
      </c>
      <c r="S1000" t="n">
        <v>2215.6</v>
      </c>
      <c r="T1000" t="inlineStr">
        <is>
          <t>30-07-2026 09:42 IST</t>
        </is>
      </c>
    </row>
    <row r="1001">
      <c r="A1001" t="n">
        <v>138</v>
      </c>
      <c r="B1001" t="n">
        <v>507300</v>
      </c>
      <c r="C1001" t="inlineStr">
        <is>
          <t>Ravalgaon Sugar Farm Ltd</t>
        </is>
      </c>
      <c r="D1001" t="n">
        <v>2019</v>
      </c>
      <c r="E1001" t="n">
        <v>980</v>
      </c>
      <c r="F1001" t="n">
        <v>664.33</v>
      </c>
      <c r="G1001" t="inlineStr">
        <is>
          <t>Consolidated first (v4) – needs verification for flagged rows</t>
        </is>
      </c>
      <c r="H1001" t="n">
        <v>630</v>
      </c>
      <c r="I1001" t="n">
        <v>328.3999938964844</v>
      </c>
      <c r="L1001" t="inlineStr">
        <is>
          <t>OK</t>
        </is>
      </c>
      <c r="M1001" t="n">
        <v>0.95</v>
      </c>
      <c r="N1001" t="n">
        <v>0.49</v>
      </c>
      <c r="O1001" t="n">
        <v>2215.6</v>
      </c>
      <c r="P1001" t="n">
        <v>2450.95</v>
      </c>
      <c r="Q1001" t="n">
        <v>729.55</v>
      </c>
      <c r="R1001" s="3" t="inlineStr">
        <is>
          <t>MISMATCH_NEEDS_CORRECTION</t>
        </is>
      </c>
      <c r="S1001" t="n">
        <v>2215.6</v>
      </c>
      <c r="T1001" t="inlineStr">
        <is>
          <t>30-07-2026 09:42 IST</t>
        </is>
      </c>
    </row>
    <row r="1002">
      <c r="A1002" t="n">
        <v>138</v>
      </c>
      <c r="B1002" t="n">
        <v>507300</v>
      </c>
      <c r="C1002" t="inlineStr">
        <is>
          <t>Ravalgaon Sugar Farm Ltd</t>
        </is>
      </c>
      <c r="D1002" t="n">
        <v>2020</v>
      </c>
      <c r="E1002" t="n">
        <v>980</v>
      </c>
      <c r="F1002" t="n">
        <v>-152.33</v>
      </c>
      <c r="G1002" t="inlineStr">
        <is>
          <t>Consolidated first (v4) – needs verification for flagged rows</t>
        </is>
      </c>
      <c r="H1002" t="n">
        <v>449</v>
      </c>
      <c r="I1002" t="n">
        <v>233.4600067138672</v>
      </c>
      <c r="L1002" t="inlineStr">
        <is>
          <t>UNVERIFIED – negative EPS</t>
        </is>
      </c>
      <c r="M1002" t="n">
        <v>-2.95</v>
      </c>
      <c r="N1002" t="n">
        <v>-1.53</v>
      </c>
      <c r="O1002" t="n">
        <v>2215.6</v>
      </c>
      <c r="P1002" t="n">
        <v>2450.95</v>
      </c>
      <c r="Q1002" t="n">
        <v>729.55</v>
      </c>
      <c r="R1002" s="3" t="inlineStr">
        <is>
          <t>MISMATCH_NEEDS_CORRECTION</t>
        </is>
      </c>
      <c r="S1002" t="n">
        <v>2215.6</v>
      </c>
      <c r="T1002" t="inlineStr">
        <is>
          <t>30-07-2026 09:42 IST</t>
        </is>
      </c>
    </row>
    <row r="1003">
      <c r="A1003" t="n">
        <v>138</v>
      </c>
      <c r="B1003" t="n">
        <v>507300</v>
      </c>
      <c r="C1003" t="inlineStr">
        <is>
          <t>Ravalgaon Sugar Farm Ltd</t>
        </is>
      </c>
      <c r="D1003" t="n">
        <v>2021</v>
      </c>
      <c r="E1003" t="n">
        <v>980</v>
      </c>
      <c r="F1003" t="n">
        <v>-97.33</v>
      </c>
      <c r="G1003" t="inlineStr">
        <is>
          <t>Consolidated first (v4) – needs verification for flagged rows</t>
        </is>
      </c>
      <c r="H1003" t="n">
        <v>620</v>
      </c>
      <c r="I1003" t="n">
        <v>326</v>
      </c>
      <c r="L1003" t="inlineStr">
        <is>
          <t>UNVERIFIED – negative EPS</t>
        </is>
      </c>
      <c r="M1003" t="n">
        <v>-6.37</v>
      </c>
      <c r="N1003" t="n">
        <v>-3.35</v>
      </c>
      <c r="O1003" t="n">
        <v>2215.6</v>
      </c>
      <c r="P1003" t="n">
        <v>2450.95</v>
      </c>
      <c r="Q1003" t="n">
        <v>729.55</v>
      </c>
      <c r="R1003" s="3" t="inlineStr">
        <is>
          <t>MISMATCH_NEEDS_CORRECTION</t>
        </is>
      </c>
      <c r="S1003" t="n">
        <v>2215.6</v>
      </c>
      <c r="T1003" t="inlineStr">
        <is>
          <t>30-07-2026 09:42 IST</t>
        </is>
      </c>
    </row>
    <row r="1004">
      <c r="A1004" t="n">
        <v>138</v>
      </c>
      <c r="B1004" t="n">
        <v>507300</v>
      </c>
      <c r="C1004" t="inlineStr">
        <is>
          <t>Ravalgaon Sugar Farm Ltd</t>
        </is>
      </c>
      <c r="D1004" t="n">
        <v>2022</v>
      </c>
      <c r="E1004" t="n">
        <v>980</v>
      </c>
      <c r="F1004" t="n">
        <v>65</v>
      </c>
      <c r="G1004" t="inlineStr">
        <is>
          <t>Consolidated first (v4) – needs verification for flagged rows</t>
        </is>
      </c>
      <c r="H1004" t="n">
        <v>1230.75</v>
      </c>
      <c r="I1004" t="n">
        <v>414.25</v>
      </c>
      <c r="L1004" t="inlineStr">
        <is>
          <t>OK</t>
        </is>
      </c>
      <c r="M1004" t="n">
        <v>18.93</v>
      </c>
      <c r="N1004" t="n">
        <v>6.37</v>
      </c>
      <c r="O1004" t="n">
        <v>2215.6</v>
      </c>
      <c r="P1004" t="n">
        <v>2450.95</v>
      </c>
      <c r="Q1004" t="n">
        <v>729.55</v>
      </c>
      <c r="R1004" s="3" t="inlineStr">
        <is>
          <t>MISMATCH_NEEDS_CORRECTION</t>
        </is>
      </c>
      <c r="S1004" t="n">
        <v>2215.6</v>
      </c>
      <c r="T1004" t="inlineStr">
        <is>
          <t>30-07-2026 09:42 IST</t>
        </is>
      </c>
    </row>
    <row r="1005">
      <c r="A1005" t="n">
        <v>138</v>
      </c>
      <c r="B1005" t="n">
        <v>507300</v>
      </c>
      <c r="C1005" t="inlineStr">
        <is>
          <t>Ravalgaon Sugar Farm Ltd</t>
        </is>
      </c>
      <c r="D1005" t="n">
        <v>2023</v>
      </c>
      <c r="E1005" t="n">
        <v>980</v>
      </c>
      <c r="F1005" t="n">
        <v>-85.33</v>
      </c>
      <c r="G1005" t="inlineStr">
        <is>
          <t>Consolidated first (v4) – needs verification for flagged rows</t>
        </is>
      </c>
      <c r="H1005" t="n">
        <v>1157.25</v>
      </c>
      <c r="I1005" t="n">
        <v>596.2000122070312</v>
      </c>
      <c r="L1005" t="inlineStr">
        <is>
          <t>UNVERIFIED – negative EPS</t>
        </is>
      </c>
      <c r="M1005" t="n">
        <v>-13.56</v>
      </c>
      <c r="N1005" t="n">
        <v>-6.99</v>
      </c>
      <c r="O1005" t="n">
        <v>2215.6</v>
      </c>
      <c r="P1005" t="n">
        <v>2450.95</v>
      </c>
      <c r="Q1005" t="n">
        <v>729.55</v>
      </c>
      <c r="R1005" s="3" t="inlineStr">
        <is>
          <t>MISMATCH_NEEDS_CORRECTION</t>
        </is>
      </c>
      <c r="S1005" t="n">
        <v>2215.6</v>
      </c>
      <c r="T1005" t="inlineStr">
        <is>
          <t>30-07-2026 09:42 IST</t>
        </is>
      </c>
    </row>
    <row r="1006">
      <c r="A1006" t="n">
        <v>138</v>
      </c>
      <c r="B1006" t="n">
        <v>507300</v>
      </c>
      <c r="C1006" t="inlineStr">
        <is>
          <t>Ravalgaon Sugar Farm Ltd</t>
        </is>
      </c>
      <c r="D1006" t="n">
        <v>2024</v>
      </c>
      <c r="E1006" t="n">
        <v>980</v>
      </c>
      <c r="F1006" t="n">
        <v>509.12</v>
      </c>
      <c r="G1006" t="inlineStr">
        <is>
          <t>Consolidated first (v4) – needs verification for flagged rows</t>
        </is>
      </c>
      <c r="H1006" t="n">
        <v>2450.949951171875</v>
      </c>
      <c r="I1006" t="n">
        <v>729.5499877929688</v>
      </c>
      <c r="L1006" t="inlineStr">
        <is>
          <t>OK</t>
        </is>
      </c>
      <c r="M1006" t="n">
        <v>4.81</v>
      </c>
      <c r="N1006" t="n">
        <v>1.43</v>
      </c>
      <c r="O1006" t="n">
        <v>2215.6</v>
      </c>
      <c r="P1006" t="n">
        <v>2450.95</v>
      </c>
      <c r="Q1006" t="n">
        <v>729.55</v>
      </c>
      <c r="R1006" s="3" t="inlineStr">
        <is>
          <t>MISMATCH_NEEDS_CORRECTION</t>
        </is>
      </c>
      <c r="S1006" t="n">
        <v>2215.6</v>
      </c>
      <c r="T1006" t="inlineStr">
        <is>
          <t>30-07-2026 09:42 IST</t>
        </is>
      </c>
    </row>
    <row r="1007">
      <c r="A1007" t="n">
        <v>138</v>
      </c>
      <c r="B1007" t="n">
        <v>507300</v>
      </c>
      <c r="C1007" t="inlineStr">
        <is>
          <t>Ravalgaon Sugar Farm Ltd</t>
        </is>
      </c>
      <c r="D1007" t="n">
        <v>2025</v>
      </c>
      <c r="E1007" t="n">
        <v>980</v>
      </c>
      <c r="F1007" t="n">
        <v>-59.71</v>
      </c>
      <c r="G1007" t="inlineStr">
        <is>
          <t>Consolidated first (v4) – needs verification for flagged rows</t>
        </is>
      </c>
      <c r="H1007" t="n">
        <v>1470</v>
      </c>
      <c r="I1007" t="n">
        <v>900</v>
      </c>
      <c r="L1007" t="inlineStr">
        <is>
          <t>UNVERIFIED – negative EPS</t>
        </is>
      </c>
      <c r="M1007" t="n">
        <v>-24.62</v>
      </c>
      <c r="N1007" t="n">
        <v>-15.07</v>
      </c>
      <c r="O1007" t="n">
        <v>2215.6</v>
      </c>
      <c r="P1007" t="n">
        <v>2450.95</v>
      </c>
      <c r="Q1007" t="n">
        <v>729.55</v>
      </c>
      <c r="R1007" s="3" t="inlineStr">
        <is>
          <t>MISMATCH_NEEDS_CORRECTION</t>
        </is>
      </c>
      <c r="S1007" t="n">
        <v>2215.6</v>
      </c>
      <c r="T1007" t="inlineStr">
        <is>
          <t>30-07-2026 09:42 IST</t>
        </is>
      </c>
    </row>
    <row r="1008">
      <c r="A1008" t="n">
        <v>138</v>
      </c>
      <c r="B1008" t="n">
        <v>507300</v>
      </c>
      <c r="C1008" t="inlineStr">
        <is>
          <t>Ravalgaon Sugar Farm Ltd</t>
        </is>
      </c>
      <c r="D1008" t="n">
        <v>2026</v>
      </c>
      <c r="E1008" t="n">
        <v>980</v>
      </c>
      <c r="F1008" t="n">
        <v>-143.24</v>
      </c>
      <c r="G1008" t="inlineStr">
        <is>
          <t>Consolidated first (v4) – needs verification for flagged rows</t>
        </is>
      </c>
      <c r="H1008" t="n">
        <v>1144</v>
      </c>
      <c r="I1008" t="n">
        <v>812.0499877929688</v>
      </c>
      <c r="L1008" t="inlineStr">
        <is>
          <t>UNVERIFIED – negative EPS</t>
        </is>
      </c>
      <c r="M1008" t="n">
        <v>-7.99</v>
      </c>
      <c r="N1008" t="n">
        <v>-5.67</v>
      </c>
      <c r="O1008" t="n">
        <v>2215.6</v>
      </c>
      <c r="P1008" t="n">
        <v>2450.95</v>
      </c>
      <c r="Q1008" t="n">
        <v>729.55</v>
      </c>
      <c r="R1008" s="3" t="inlineStr">
        <is>
          <t>MISMATCH_NEEDS_CORRECTION</t>
        </is>
      </c>
      <c r="S1008" t="n">
        <v>2215.6</v>
      </c>
      <c r="T1008" t="inlineStr">
        <is>
          <t>30-07-2026 09:42 IST</t>
        </is>
      </c>
    </row>
    <row r="1009">
      <c r="A1009" t="n">
        <v>139</v>
      </c>
      <c r="B1009" t="n">
        <v>507438</v>
      </c>
      <c r="C1009" t="inlineStr">
        <is>
          <t>Ifb Industries Ltd</t>
        </is>
      </c>
      <c r="D1009" t="n">
        <v>2015</v>
      </c>
      <c r="E1009" t="n">
        <v>1031.849975585938</v>
      </c>
      <c r="G1009" t="inlineStr">
        <is>
          <t>Consolidated first (v4) – needs verification for flagged rows</t>
        </is>
      </c>
      <c r="H1009" t="n">
        <v>482.7999877929688</v>
      </c>
      <c r="I1009" t="n">
        <v>230</v>
      </c>
      <c r="L1009" t="inlineStr">
        <is>
          <t>INCOMPLETE</t>
        </is>
      </c>
      <c r="O1009" t="n">
        <v>1322.9</v>
      </c>
      <c r="P1009" t="n">
        <v>2019.8</v>
      </c>
      <c r="Q1009" t="n">
        <v>883.2</v>
      </c>
      <c r="R1009" s="3" t="inlineStr">
        <is>
          <t>MISMATCH_NEEDS_CORRECTION</t>
        </is>
      </c>
      <c r="S1009" t="n">
        <v>1322.9</v>
      </c>
      <c r="T1009" t="inlineStr">
        <is>
          <t>30-07-2026 09:42 IST</t>
        </is>
      </c>
    </row>
    <row r="1010">
      <c r="A1010" t="n">
        <v>139</v>
      </c>
      <c r="B1010" t="n">
        <v>507438</v>
      </c>
      <c r="C1010" t="inlineStr">
        <is>
          <t>Ifb Industries Ltd</t>
        </is>
      </c>
      <c r="D1010" t="n">
        <v>2016</v>
      </c>
      <c r="E1010" t="n">
        <v>1031.849975585938</v>
      </c>
      <c r="G1010" t="inlineStr">
        <is>
          <t>Consolidated first (v4) – needs verification for flagged rows</t>
        </is>
      </c>
      <c r="H1010" t="n">
        <v>518.9000244140625</v>
      </c>
      <c r="I1010" t="n">
        <v>327.2000122070312</v>
      </c>
      <c r="L1010" t="inlineStr">
        <is>
          <t>INCOMPLETE</t>
        </is>
      </c>
      <c r="O1010" t="n">
        <v>1322.9</v>
      </c>
      <c r="P1010" t="n">
        <v>2019.8</v>
      </c>
      <c r="Q1010" t="n">
        <v>883.2</v>
      </c>
      <c r="R1010" s="3" t="inlineStr">
        <is>
          <t>MISMATCH_NEEDS_CORRECTION</t>
        </is>
      </c>
      <c r="S1010" t="n">
        <v>1322.9</v>
      </c>
      <c r="T1010" t="inlineStr">
        <is>
          <t>30-07-2026 09:42 IST</t>
        </is>
      </c>
    </row>
    <row r="1011">
      <c r="A1011" t="n">
        <v>139</v>
      </c>
      <c r="B1011" t="n">
        <v>507438</v>
      </c>
      <c r="C1011" t="inlineStr">
        <is>
          <t>Ifb Industries Ltd</t>
        </is>
      </c>
      <c r="D1011" t="n">
        <v>2017</v>
      </c>
      <c r="E1011" t="n">
        <v>1031.849975585938</v>
      </c>
      <c r="G1011" t="inlineStr">
        <is>
          <t>Consolidated first (v4) – needs verification for flagged rows</t>
        </is>
      </c>
      <c r="H1011" t="n">
        <v>938.9000244140625</v>
      </c>
      <c r="I1011" t="n">
        <v>366</v>
      </c>
      <c r="L1011" t="inlineStr">
        <is>
          <t>INCOMPLETE</t>
        </is>
      </c>
      <c r="O1011" t="n">
        <v>1322.9</v>
      </c>
      <c r="P1011" t="n">
        <v>2019.8</v>
      </c>
      <c r="Q1011" t="n">
        <v>883.2</v>
      </c>
      <c r="R1011" s="3" t="inlineStr">
        <is>
          <t>MISMATCH_NEEDS_CORRECTION</t>
        </is>
      </c>
      <c r="S1011" t="n">
        <v>1322.9</v>
      </c>
      <c r="T1011" t="inlineStr">
        <is>
          <t>30-07-2026 09:42 IST</t>
        </is>
      </c>
    </row>
    <row r="1012">
      <c r="A1012" t="n">
        <v>139</v>
      </c>
      <c r="B1012" t="n">
        <v>507438</v>
      </c>
      <c r="C1012" t="inlineStr">
        <is>
          <t>Ifb Industries Ltd</t>
        </is>
      </c>
      <c r="D1012" t="n">
        <v>2018</v>
      </c>
      <c r="E1012" t="n">
        <v>1031.849975585938</v>
      </c>
      <c r="F1012" t="n">
        <v>30.56</v>
      </c>
      <c r="G1012" t="inlineStr">
        <is>
          <t>Consolidated first (v4) – needs verification for flagged rows</t>
        </is>
      </c>
      <c r="H1012" t="n">
        <v>885.5999755859375</v>
      </c>
      <c r="I1012" t="n">
        <v>452.5499877929688</v>
      </c>
      <c r="L1012" t="inlineStr">
        <is>
          <t>OK</t>
        </is>
      </c>
      <c r="M1012" t="n">
        <v>28.98</v>
      </c>
      <c r="N1012" t="n">
        <v>14.81</v>
      </c>
      <c r="O1012" t="n">
        <v>1322.9</v>
      </c>
      <c r="P1012" t="n">
        <v>2019.8</v>
      </c>
      <c r="Q1012" t="n">
        <v>883.2</v>
      </c>
      <c r="R1012" s="3" t="inlineStr">
        <is>
          <t>MISMATCH_NEEDS_CORRECTION</t>
        </is>
      </c>
      <c r="S1012" t="n">
        <v>1322.9</v>
      </c>
      <c r="T1012" t="inlineStr">
        <is>
          <t>30-07-2026 09:42 IST</t>
        </is>
      </c>
    </row>
    <row r="1013">
      <c r="A1013" t="n">
        <v>139</v>
      </c>
      <c r="B1013" t="n">
        <v>507438</v>
      </c>
      <c r="C1013" t="inlineStr">
        <is>
          <t>Ifb Industries Ltd</t>
        </is>
      </c>
      <c r="D1013" t="n">
        <v>2019</v>
      </c>
      <c r="E1013" t="n">
        <v>1031.849975585938</v>
      </c>
      <c r="F1013" t="n">
        <v>33.48</v>
      </c>
      <c r="G1013" t="inlineStr">
        <is>
          <t>Consolidated first (v4) – needs verification for flagged rows</t>
        </is>
      </c>
      <c r="H1013" t="n">
        <v>705</v>
      </c>
      <c r="I1013" t="n">
        <v>241.0500030517578</v>
      </c>
      <c r="L1013" t="inlineStr">
        <is>
          <t>OK</t>
        </is>
      </c>
      <c r="M1013" t="n">
        <v>21.06</v>
      </c>
      <c r="N1013" t="n">
        <v>7.2</v>
      </c>
      <c r="O1013" t="n">
        <v>1322.9</v>
      </c>
      <c r="P1013" t="n">
        <v>2019.8</v>
      </c>
      <c r="Q1013" t="n">
        <v>883.2</v>
      </c>
      <c r="R1013" s="3" t="inlineStr">
        <is>
          <t>MISMATCH_NEEDS_CORRECTION</t>
        </is>
      </c>
      <c r="S1013" t="n">
        <v>1322.9</v>
      </c>
      <c r="T1013" t="inlineStr">
        <is>
          <t>30-07-2026 09:42 IST</t>
        </is>
      </c>
    </row>
    <row r="1014">
      <c r="A1014" t="n">
        <v>139</v>
      </c>
      <c r="B1014" t="n">
        <v>507438</v>
      </c>
      <c r="C1014" t="inlineStr">
        <is>
          <t>Ifb Industries Ltd</t>
        </is>
      </c>
      <c r="D1014" t="n">
        <v>2020</v>
      </c>
      <c r="E1014" t="n">
        <v>1031.849975585938</v>
      </c>
      <c r="F1014" t="n">
        <v>23.69</v>
      </c>
      <c r="G1014" t="inlineStr">
        <is>
          <t>Consolidated first (v4) – needs verification for flagged rows</t>
        </is>
      </c>
      <c r="H1014" t="n">
        <v>625.2000122070312</v>
      </c>
      <c r="I1014" t="n">
        <v>147.3000030517578</v>
      </c>
      <c r="L1014" t="inlineStr">
        <is>
          <t>OK</t>
        </is>
      </c>
      <c r="M1014" t="n">
        <v>26.39</v>
      </c>
      <c r="N1014" t="n">
        <v>6.22</v>
      </c>
      <c r="O1014" t="n">
        <v>1322.9</v>
      </c>
      <c r="P1014" t="n">
        <v>2019.8</v>
      </c>
      <c r="Q1014" t="n">
        <v>883.2</v>
      </c>
      <c r="R1014" s="3" t="inlineStr">
        <is>
          <t>MISMATCH_NEEDS_CORRECTION</t>
        </is>
      </c>
      <c r="S1014" t="n">
        <v>1322.9</v>
      </c>
      <c r="T1014" t="inlineStr">
        <is>
          <t>30-07-2026 09:42 IST</t>
        </is>
      </c>
    </row>
    <row r="1015">
      <c r="A1015" t="n">
        <v>139</v>
      </c>
      <c r="B1015" t="n">
        <v>507438</v>
      </c>
      <c r="C1015" t="inlineStr">
        <is>
          <t>Ifb Industries Ltd</t>
        </is>
      </c>
      <c r="D1015" t="n">
        <v>2021</v>
      </c>
      <c r="E1015" t="n">
        <v>1031.849975585938</v>
      </c>
      <c r="F1015" t="n">
        <v>49.51</v>
      </c>
      <c r="G1015" t="inlineStr">
        <is>
          <t>Consolidated first (v4) – needs verification for flagged rows</t>
        </is>
      </c>
      <c r="H1015" t="n">
        <v>759</v>
      </c>
      <c r="I1015" t="n">
        <v>365.3999938964844</v>
      </c>
      <c r="L1015" t="inlineStr">
        <is>
          <t>OK</t>
        </is>
      </c>
      <c r="M1015" t="n">
        <v>15.33</v>
      </c>
      <c r="N1015" t="n">
        <v>7.38</v>
      </c>
      <c r="O1015" t="n">
        <v>1322.9</v>
      </c>
      <c r="P1015" t="n">
        <v>2019.8</v>
      </c>
      <c r="Q1015" t="n">
        <v>883.2</v>
      </c>
      <c r="R1015" s="3" t="inlineStr">
        <is>
          <t>MISMATCH_NEEDS_CORRECTION</t>
        </is>
      </c>
      <c r="S1015" t="n">
        <v>1322.9</v>
      </c>
      <c r="T1015" t="inlineStr">
        <is>
          <t>30-07-2026 09:42 IST</t>
        </is>
      </c>
    </row>
    <row r="1016">
      <c r="A1016" t="n">
        <v>139</v>
      </c>
      <c r="B1016" t="n">
        <v>507438</v>
      </c>
      <c r="C1016" t="inlineStr">
        <is>
          <t>Ifb Industries Ltd</t>
        </is>
      </c>
      <c r="D1016" t="n">
        <v>2022</v>
      </c>
      <c r="E1016" t="n">
        <v>1031.849975585938</v>
      </c>
      <c r="F1016" t="n">
        <v>62.5</v>
      </c>
      <c r="G1016" t="inlineStr">
        <is>
          <t>Consolidated first (v4) – needs verification for flagged rows</t>
        </is>
      </c>
      <c r="H1016" t="n">
        <v>866.25</v>
      </c>
      <c r="I1016" t="n">
        <v>506.3500061035156</v>
      </c>
      <c r="L1016" t="inlineStr">
        <is>
          <t>OK</t>
        </is>
      </c>
      <c r="M1016" t="n">
        <v>13.86</v>
      </c>
      <c r="N1016" t="n">
        <v>8.1</v>
      </c>
      <c r="O1016" t="n">
        <v>1322.9</v>
      </c>
      <c r="P1016" t="n">
        <v>2019.8</v>
      </c>
      <c r="Q1016" t="n">
        <v>883.2</v>
      </c>
      <c r="R1016" s="3" t="inlineStr">
        <is>
          <t>MISMATCH_NEEDS_CORRECTION</t>
        </is>
      </c>
      <c r="S1016" t="n">
        <v>1322.9</v>
      </c>
      <c r="T1016" t="inlineStr">
        <is>
          <t>30-07-2026 09:42 IST</t>
        </is>
      </c>
    </row>
    <row r="1017">
      <c r="A1017" t="n">
        <v>139</v>
      </c>
      <c r="B1017" t="n">
        <v>507438</v>
      </c>
      <c r="C1017" t="inlineStr">
        <is>
          <t>Ifb Industries Ltd</t>
        </is>
      </c>
      <c r="D1017" t="n">
        <v>2023</v>
      </c>
      <c r="E1017" t="n">
        <v>1031.849975585938</v>
      </c>
      <c r="F1017" t="n">
        <v>52.45</v>
      </c>
      <c r="G1017" t="inlineStr">
        <is>
          <t>Consolidated first (v4) – needs verification for flagged rows</t>
        </is>
      </c>
      <c r="H1017" t="n">
        <v>584.5499877929688</v>
      </c>
      <c r="I1017" t="n">
        <v>415</v>
      </c>
      <c r="L1017" t="inlineStr">
        <is>
          <t>OK</t>
        </is>
      </c>
      <c r="M1017" t="n">
        <v>11.14</v>
      </c>
      <c r="N1017" t="n">
        <v>7.91</v>
      </c>
      <c r="O1017" t="n">
        <v>1322.9</v>
      </c>
      <c r="P1017" t="n">
        <v>2019.8</v>
      </c>
      <c r="Q1017" t="n">
        <v>883.2</v>
      </c>
      <c r="R1017" s="3" t="inlineStr">
        <is>
          <t>MISMATCH_NEEDS_CORRECTION</t>
        </is>
      </c>
      <c r="S1017" t="n">
        <v>1322.9</v>
      </c>
      <c r="T1017" t="inlineStr">
        <is>
          <t>30-07-2026 09:42 IST</t>
        </is>
      </c>
    </row>
    <row r="1018">
      <c r="A1018" t="n">
        <v>139</v>
      </c>
      <c r="B1018" t="n">
        <v>507438</v>
      </c>
      <c r="C1018" t="inlineStr">
        <is>
          <t>Ifb Industries Ltd</t>
        </is>
      </c>
      <c r="D1018" t="n">
        <v>2024</v>
      </c>
      <c r="E1018" t="n">
        <v>1031.849975585938</v>
      </c>
      <c r="F1018" t="n">
        <v>-8.630000000000001</v>
      </c>
      <c r="G1018" t="inlineStr">
        <is>
          <t>Consolidated first (v4) – needs verification for flagged rows</t>
        </is>
      </c>
      <c r="H1018" t="n">
        <v>652.5</v>
      </c>
      <c r="I1018" t="n">
        <v>390.25</v>
      </c>
      <c r="L1018" t="inlineStr">
        <is>
          <t>UNVERIFIED – negative EPS</t>
        </is>
      </c>
      <c r="M1018" t="n">
        <v>-75.61</v>
      </c>
      <c r="N1018" t="n">
        <v>-45.22</v>
      </c>
      <c r="O1018" t="n">
        <v>1322.9</v>
      </c>
      <c r="P1018" t="n">
        <v>2019.8</v>
      </c>
      <c r="Q1018" t="n">
        <v>883.2</v>
      </c>
      <c r="R1018" s="3" t="inlineStr">
        <is>
          <t>MISMATCH_NEEDS_CORRECTION</t>
        </is>
      </c>
      <c r="S1018" t="n">
        <v>1322.9</v>
      </c>
      <c r="T1018" t="inlineStr">
        <is>
          <t>30-07-2026 09:42 IST</t>
        </is>
      </c>
    </row>
    <row r="1019">
      <c r="A1019" t="n">
        <v>139</v>
      </c>
      <c r="B1019" t="n">
        <v>507438</v>
      </c>
      <c r="C1019" t="inlineStr">
        <is>
          <t>Ifb Industries Ltd</t>
        </is>
      </c>
      <c r="D1019" t="n">
        <v>2025</v>
      </c>
      <c r="E1019" t="n">
        <v>1031.849975585938</v>
      </c>
      <c r="F1019" t="n">
        <v>23.85</v>
      </c>
      <c r="G1019" t="inlineStr">
        <is>
          <t>Consolidated first (v4) – needs verification for flagged rows</t>
        </is>
      </c>
      <c r="H1019" t="n">
        <v>1639.25</v>
      </c>
      <c r="I1019" t="n">
        <v>436.9500122070312</v>
      </c>
      <c r="L1019" t="inlineStr">
        <is>
          <t>OK</t>
        </is>
      </c>
      <c r="M1019" t="n">
        <v>68.73</v>
      </c>
      <c r="N1019" t="n">
        <v>18.32</v>
      </c>
      <c r="O1019" t="n">
        <v>1322.9</v>
      </c>
      <c r="P1019" t="n">
        <v>2019.8</v>
      </c>
      <c r="Q1019" t="n">
        <v>883.2</v>
      </c>
      <c r="R1019" s="3" t="inlineStr">
        <is>
          <t>MISMATCH_NEEDS_CORRECTION</t>
        </is>
      </c>
      <c r="S1019" t="n">
        <v>1322.9</v>
      </c>
      <c r="T1019" t="inlineStr">
        <is>
          <t>30-07-2026 09:42 IST</t>
        </is>
      </c>
    </row>
    <row r="1020">
      <c r="A1020" t="n">
        <v>139</v>
      </c>
      <c r="B1020" t="n">
        <v>507438</v>
      </c>
      <c r="C1020" t="inlineStr">
        <is>
          <t>Ifb Industries Ltd</t>
        </is>
      </c>
      <c r="D1020" t="n">
        <v>2026</v>
      </c>
      <c r="E1020" t="n">
        <v>1031.849975585938</v>
      </c>
      <c r="F1020" t="n">
        <v>60.3</v>
      </c>
      <c r="G1020" t="inlineStr">
        <is>
          <t>Consolidated first (v4) – needs verification for flagged rows</t>
        </is>
      </c>
      <c r="H1020" t="n">
        <v>1795</v>
      </c>
      <c r="I1020" t="n">
        <v>677.0499877929688</v>
      </c>
      <c r="L1020" t="inlineStr">
        <is>
          <t>OK</t>
        </is>
      </c>
      <c r="M1020" t="n">
        <v>29.77</v>
      </c>
      <c r="N1020" t="n">
        <v>11.23</v>
      </c>
      <c r="O1020" t="n">
        <v>1322.9</v>
      </c>
      <c r="P1020" t="n">
        <v>2019.8</v>
      </c>
      <c r="Q1020" t="n">
        <v>883.2</v>
      </c>
      <c r="R1020" s="3" t="inlineStr">
        <is>
          <t>MISMATCH_NEEDS_CORRECTION</t>
        </is>
      </c>
      <c r="S1020" t="n">
        <v>1322.9</v>
      </c>
      <c r="T1020" t="inlineStr">
        <is>
          <t>30-07-2026 09:42 IST</t>
        </is>
      </c>
    </row>
    <row r="1021">
      <c r="A1021" t="n">
        <v>146</v>
      </c>
      <c r="B1021" t="n">
        <v>507960</v>
      </c>
      <c r="C1021" t="inlineStr">
        <is>
          <t>Gujarat Hotels Ltd</t>
        </is>
      </c>
      <c r="D1021" t="n">
        <v>2015</v>
      </c>
      <c r="E1021" t="n">
        <v>189.8999938964844</v>
      </c>
      <c r="F1021" t="n">
        <v>7.21</v>
      </c>
      <c r="G1021" t="inlineStr">
        <is>
          <t>Consolidated first (v4) – needs verification for flagged rows</t>
        </is>
      </c>
      <c r="H1021" t="n">
        <v>158.8000030517578</v>
      </c>
      <c r="I1021" t="n">
        <v>106</v>
      </c>
      <c r="L1021" t="inlineStr">
        <is>
          <t>OK</t>
        </is>
      </c>
      <c r="M1021" t="n">
        <v>22.02</v>
      </c>
      <c r="N1021" t="n">
        <v>14.7</v>
      </c>
      <c r="O1021" t="n">
        <v>216.45</v>
      </c>
      <c r="P1021" t="n">
        <v>341.2</v>
      </c>
      <c r="Q1021" t="n">
        <v>158</v>
      </c>
      <c r="R1021" s="3" t="inlineStr">
        <is>
          <t>MISMATCH_NEEDS_CORRECTION</t>
        </is>
      </c>
      <c r="S1021" t="n">
        <v>216.45</v>
      </c>
      <c r="T1021" t="inlineStr">
        <is>
          <t>30-07-2026 09:42 IST</t>
        </is>
      </c>
    </row>
    <row r="1022">
      <c r="A1022" t="n">
        <v>146</v>
      </c>
      <c r="B1022" t="n">
        <v>507960</v>
      </c>
      <c r="C1022" t="inlineStr">
        <is>
          <t>Gujarat Hotels Ltd</t>
        </is>
      </c>
      <c r="D1022" t="n">
        <v>2016</v>
      </c>
      <c r="E1022" t="n">
        <v>189.8999938964844</v>
      </c>
      <c r="F1022" t="n">
        <v>8.58</v>
      </c>
      <c r="G1022" t="inlineStr">
        <is>
          <t>Consolidated first (v4) – needs verification for flagged rows</t>
        </is>
      </c>
      <c r="H1022" t="n">
        <v>144.6999969482422</v>
      </c>
      <c r="I1022" t="n">
        <v>101.9000015258789</v>
      </c>
      <c r="L1022" t="inlineStr">
        <is>
          <t>OK</t>
        </is>
      </c>
      <c r="M1022" t="n">
        <v>16.86</v>
      </c>
      <c r="N1022" t="n">
        <v>11.88</v>
      </c>
      <c r="O1022" t="n">
        <v>216.45</v>
      </c>
      <c r="P1022" t="n">
        <v>341.2</v>
      </c>
      <c r="Q1022" t="n">
        <v>158</v>
      </c>
      <c r="R1022" s="3" t="inlineStr">
        <is>
          <t>MISMATCH_NEEDS_CORRECTION</t>
        </is>
      </c>
      <c r="S1022" t="n">
        <v>216.45</v>
      </c>
      <c r="T1022" t="inlineStr">
        <is>
          <t>30-07-2026 09:42 IST</t>
        </is>
      </c>
    </row>
    <row r="1023">
      <c r="A1023" t="n">
        <v>146</v>
      </c>
      <c r="B1023" t="n">
        <v>507960</v>
      </c>
      <c r="C1023" t="inlineStr">
        <is>
          <t>Gujarat Hotels Ltd</t>
        </is>
      </c>
      <c r="D1023" t="n">
        <v>2017</v>
      </c>
      <c r="E1023" t="n">
        <v>189.8999938964844</v>
      </c>
      <c r="F1023" t="n">
        <v>10.19</v>
      </c>
      <c r="G1023" t="inlineStr">
        <is>
          <t>Consolidated first (v4) – needs verification for flagged rows</t>
        </is>
      </c>
      <c r="H1023" t="n">
        <v>161</v>
      </c>
      <c r="I1023" t="n">
        <v>110.4499969482422</v>
      </c>
      <c r="L1023" t="inlineStr">
        <is>
          <t>OK</t>
        </is>
      </c>
      <c r="M1023" t="n">
        <v>15.8</v>
      </c>
      <c r="N1023" t="n">
        <v>10.84</v>
      </c>
      <c r="O1023" t="n">
        <v>216.45</v>
      </c>
      <c r="P1023" t="n">
        <v>341.2</v>
      </c>
      <c r="Q1023" t="n">
        <v>158</v>
      </c>
      <c r="R1023" s="3" t="inlineStr">
        <is>
          <t>MISMATCH_NEEDS_CORRECTION</t>
        </is>
      </c>
      <c r="S1023" t="n">
        <v>216.45</v>
      </c>
      <c r="T1023" t="inlineStr">
        <is>
          <t>30-07-2026 09:42 IST</t>
        </is>
      </c>
    </row>
    <row r="1024">
      <c r="A1024" t="n">
        <v>146</v>
      </c>
      <c r="B1024" t="n">
        <v>507960</v>
      </c>
      <c r="C1024" t="inlineStr">
        <is>
          <t>Gujarat Hotels Ltd</t>
        </is>
      </c>
      <c r="D1024" t="n">
        <v>2018</v>
      </c>
      <c r="E1024" t="n">
        <v>189.8999938964844</v>
      </c>
      <c r="F1024" t="n">
        <v>8.9</v>
      </c>
      <c r="G1024" t="inlineStr">
        <is>
          <t>Consolidated first (v4) – needs verification for flagged rows</t>
        </is>
      </c>
      <c r="H1024" t="n">
        <v>140</v>
      </c>
      <c r="I1024" t="n">
        <v>105.0500030517578</v>
      </c>
      <c r="L1024" t="inlineStr">
        <is>
          <t>OK</t>
        </is>
      </c>
      <c r="M1024" t="n">
        <v>15.73</v>
      </c>
      <c r="N1024" t="n">
        <v>11.8</v>
      </c>
      <c r="O1024" t="n">
        <v>216.45</v>
      </c>
      <c r="P1024" t="n">
        <v>341.2</v>
      </c>
      <c r="Q1024" t="n">
        <v>158</v>
      </c>
      <c r="R1024" s="3" t="inlineStr">
        <is>
          <t>MISMATCH_NEEDS_CORRECTION</t>
        </is>
      </c>
      <c r="S1024" t="n">
        <v>216.45</v>
      </c>
      <c r="T1024" t="inlineStr">
        <is>
          <t>30-07-2026 09:42 IST</t>
        </is>
      </c>
    </row>
    <row r="1025">
      <c r="A1025" t="n">
        <v>146</v>
      </c>
      <c r="B1025" t="n">
        <v>507960</v>
      </c>
      <c r="C1025" t="inlineStr">
        <is>
          <t>Gujarat Hotels Ltd</t>
        </is>
      </c>
      <c r="D1025" t="n">
        <v>2019</v>
      </c>
      <c r="E1025" t="n">
        <v>189.8999938964844</v>
      </c>
      <c r="F1025" t="n">
        <v>10.77</v>
      </c>
      <c r="G1025" t="inlineStr">
        <is>
          <t>Consolidated first (v4) – needs verification for flagged rows</t>
        </is>
      </c>
      <c r="H1025" t="n">
        <v>114.8499984741211</v>
      </c>
      <c r="I1025" t="n">
        <v>98</v>
      </c>
      <c r="L1025" t="inlineStr">
        <is>
          <t>OK</t>
        </is>
      </c>
      <c r="M1025" t="n">
        <v>10.66</v>
      </c>
      <c r="N1025" t="n">
        <v>9.1</v>
      </c>
      <c r="O1025" t="n">
        <v>216.45</v>
      </c>
      <c r="P1025" t="n">
        <v>341.2</v>
      </c>
      <c r="Q1025" t="n">
        <v>158</v>
      </c>
      <c r="R1025" s="3" t="inlineStr">
        <is>
          <t>MISMATCH_NEEDS_CORRECTION</t>
        </is>
      </c>
      <c r="S1025" t="n">
        <v>216.45</v>
      </c>
      <c r="T1025" t="inlineStr">
        <is>
          <t>30-07-2026 09:42 IST</t>
        </is>
      </c>
    </row>
    <row r="1026">
      <c r="A1026" t="n">
        <v>146</v>
      </c>
      <c r="B1026" t="n">
        <v>507960</v>
      </c>
      <c r="C1026" t="inlineStr">
        <is>
          <t>Gujarat Hotels Ltd</t>
        </is>
      </c>
      <c r="D1026" t="n">
        <v>2020</v>
      </c>
      <c r="E1026" t="n">
        <v>189.8999938964844</v>
      </c>
      <c r="F1026" t="n">
        <v>11.35</v>
      </c>
      <c r="G1026" t="inlineStr">
        <is>
          <t>Consolidated first (v4) – needs verification for flagged rows</t>
        </is>
      </c>
      <c r="H1026" t="n">
        <v>118.9000015258789</v>
      </c>
      <c r="I1026" t="n">
        <v>71</v>
      </c>
      <c r="L1026" t="inlineStr">
        <is>
          <t>OK</t>
        </is>
      </c>
      <c r="M1026" t="n">
        <v>10.48</v>
      </c>
      <c r="N1026" t="n">
        <v>6.26</v>
      </c>
      <c r="O1026" t="n">
        <v>216.45</v>
      </c>
      <c r="P1026" t="n">
        <v>341.2</v>
      </c>
      <c r="Q1026" t="n">
        <v>158</v>
      </c>
      <c r="R1026" s="3" t="inlineStr">
        <is>
          <t>MISMATCH_NEEDS_CORRECTION</t>
        </is>
      </c>
      <c r="S1026" t="n">
        <v>216.45</v>
      </c>
      <c r="T1026" t="inlineStr">
        <is>
          <t>30-07-2026 09:42 IST</t>
        </is>
      </c>
    </row>
    <row r="1027">
      <c r="A1027" t="n">
        <v>146</v>
      </c>
      <c r="B1027" t="n">
        <v>507960</v>
      </c>
      <c r="C1027" t="inlineStr">
        <is>
          <t>Gujarat Hotels Ltd</t>
        </is>
      </c>
      <c r="D1027" t="n">
        <v>2021</v>
      </c>
      <c r="E1027" t="n">
        <v>189.8999938964844</v>
      </c>
      <c r="F1027" t="n">
        <v>5.99</v>
      </c>
      <c r="G1027" t="inlineStr">
        <is>
          <t>Consolidated first (v4) – needs verification for flagged rows</t>
        </is>
      </c>
      <c r="H1027" t="n">
        <v>204.4499969482422</v>
      </c>
      <c r="I1027" t="n">
        <v>95.19999694824219</v>
      </c>
      <c r="L1027" t="inlineStr">
        <is>
          <t>OK</t>
        </is>
      </c>
      <c r="M1027" t="n">
        <v>34.13</v>
      </c>
      <c r="N1027" t="n">
        <v>15.89</v>
      </c>
      <c r="O1027" t="n">
        <v>216.45</v>
      </c>
      <c r="P1027" t="n">
        <v>341.2</v>
      </c>
      <c r="Q1027" t="n">
        <v>158</v>
      </c>
      <c r="R1027" s="3" t="inlineStr">
        <is>
          <t>MISMATCH_NEEDS_CORRECTION</t>
        </is>
      </c>
      <c r="S1027" t="n">
        <v>216.45</v>
      </c>
      <c r="T1027" t="inlineStr">
        <is>
          <t>30-07-2026 09:42 IST</t>
        </is>
      </c>
    </row>
    <row r="1028">
      <c r="A1028" t="n">
        <v>146</v>
      </c>
      <c r="B1028" t="n">
        <v>507960</v>
      </c>
      <c r="C1028" t="inlineStr">
        <is>
          <t>Gujarat Hotels Ltd</t>
        </is>
      </c>
      <c r="D1028" t="n">
        <v>2022</v>
      </c>
      <c r="E1028" t="n">
        <v>189.8999938964844</v>
      </c>
      <c r="F1028" t="n">
        <v>7.18</v>
      </c>
      <c r="G1028" t="inlineStr">
        <is>
          <t>Consolidated first (v4) – needs verification for flagged rows</t>
        </is>
      </c>
      <c r="H1028" t="n">
        <v>169.9499969482422</v>
      </c>
      <c r="I1028" t="n">
        <v>108.9499969482422</v>
      </c>
      <c r="L1028" t="inlineStr">
        <is>
          <t>OK</t>
        </is>
      </c>
      <c r="M1028" t="n">
        <v>23.67</v>
      </c>
      <c r="N1028" t="n">
        <v>15.17</v>
      </c>
      <c r="O1028" t="n">
        <v>216.45</v>
      </c>
      <c r="P1028" t="n">
        <v>341.2</v>
      </c>
      <c r="Q1028" t="n">
        <v>158</v>
      </c>
      <c r="R1028" s="3" t="inlineStr">
        <is>
          <t>MISMATCH_NEEDS_CORRECTION</t>
        </is>
      </c>
      <c r="S1028" t="n">
        <v>216.45</v>
      </c>
      <c r="T1028" t="inlineStr">
        <is>
          <t>30-07-2026 09:42 IST</t>
        </is>
      </c>
    </row>
    <row r="1029">
      <c r="A1029" t="n">
        <v>146</v>
      </c>
      <c r="B1029" t="n">
        <v>507960</v>
      </c>
      <c r="C1029" t="inlineStr">
        <is>
          <t>Gujarat Hotels Ltd</t>
        </is>
      </c>
      <c r="D1029" t="n">
        <v>2023</v>
      </c>
      <c r="E1029" t="n">
        <v>189.8999938964844</v>
      </c>
      <c r="F1029" t="n">
        <v>11.22</v>
      </c>
      <c r="G1029" t="inlineStr">
        <is>
          <t>Consolidated first (v4) – needs verification for flagged rows</t>
        </is>
      </c>
      <c r="H1029" t="n">
        <v>170.8000030517578</v>
      </c>
      <c r="I1029" t="n">
        <v>124.1999969482422</v>
      </c>
      <c r="L1029" t="inlineStr">
        <is>
          <t>OK</t>
        </is>
      </c>
      <c r="M1029" t="n">
        <v>15.22</v>
      </c>
      <c r="N1029" t="n">
        <v>11.07</v>
      </c>
      <c r="O1029" t="n">
        <v>216.45</v>
      </c>
      <c r="P1029" t="n">
        <v>341.2</v>
      </c>
      <c r="Q1029" t="n">
        <v>158</v>
      </c>
      <c r="R1029" s="3" t="inlineStr">
        <is>
          <t>MISMATCH_NEEDS_CORRECTION</t>
        </is>
      </c>
      <c r="S1029" t="n">
        <v>216.45</v>
      </c>
      <c r="T1029" t="inlineStr">
        <is>
          <t>30-07-2026 09:42 IST</t>
        </is>
      </c>
    </row>
    <row r="1030">
      <c r="A1030" t="n">
        <v>146</v>
      </c>
      <c r="B1030" t="n">
        <v>507960</v>
      </c>
      <c r="C1030" t="inlineStr">
        <is>
          <t>Gujarat Hotels Ltd</t>
        </is>
      </c>
      <c r="D1030" t="n">
        <v>2024</v>
      </c>
      <c r="E1030" t="n">
        <v>189.8999938964844</v>
      </c>
      <c r="F1030" t="n">
        <v>12.46</v>
      </c>
      <c r="G1030" t="inlineStr">
        <is>
          <t>Consolidated first (v4) – needs verification for flagged rows</t>
        </is>
      </c>
      <c r="H1030" t="n">
        <v>341.2000122070312</v>
      </c>
      <c r="I1030" t="n">
        <v>158</v>
      </c>
      <c r="L1030" t="inlineStr">
        <is>
          <t>OK</t>
        </is>
      </c>
      <c r="M1030" t="n">
        <v>27.38</v>
      </c>
      <c r="N1030" t="n">
        <v>12.68</v>
      </c>
      <c r="O1030" t="n">
        <v>216.45</v>
      </c>
      <c r="P1030" t="n">
        <v>341.2</v>
      </c>
      <c r="Q1030" t="n">
        <v>158</v>
      </c>
      <c r="R1030" s="3" t="inlineStr">
        <is>
          <t>MISMATCH_NEEDS_CORRECTION</t>
        </is>
      </c>
      <c r="S1030" t="n">
        <v>216.45</v>
      </c>
      <c r="T1030" t="inlineStr">
        <is>
          <t>30-07-2026 09:42 IST</t>
        </is>
      </c>
    </row>
    <row r="1031">
      <c r="A1031" t="n">
        <v>146</v>
      </c>
      <c r="B1031" t="n">
        <v>507960</v>
      </c>
      <c r="C1031" t="inlineStr">
        <is>
          <t>Gujarat Hotels Ltd</t>
        </is>
      </c>
      <c r="D1031" t="n">
        <v>2025</v>
      </c>
      <c r="E1031" t="n">
        <v>189.8999938964844</v>
      </c>
      <c r="F1031" t="n">
        <v>13.99</v>
      </c>
      <c r="G1031" t="inlineStr">
        <is>
          <t>Consolidated first (v4) – needs verification for flagged rows</t>
        </is>
      </c>
      <c r="H1031" t="n">
        <v>375</v>
      </c>
      <c r="I1031" t="n">
        <v>196.1000061035156</v>
      </c>
      <c r="L1031" t="inlineStr">
        <is>
          <t>OK</t>
        </is>
      </c>
      <c r="M1031" t="n">
        <v>26.8</v>
      </c>
      <c r="N1031" t="n">
        <v>14.02</v>
      </c>
      <c r="O1031" t="n">
        <v>216.45</v>
      </c>
      <c r="P1031" t="n">
        <v>341.2</v>
      </c>
      <c r="Q1031" t="n">
        <v>158</v>
      </c>
      <c r="R1031" s="3" t="inlineStr">
        <is>
          <t>MISMATCH_NEEDS_CORRECTION</t>
        </is>
      </c>
      <c r="S1031" t="n">
        <v>216.45</v>
      </c>
      <c r="T1031" t="inlineStr">
        <is>
          <t>30-07-2026 09:42 IST</t>
        </is>
      </c>
    </row>
    <row r="1032">
      <c r="A1032" t="n">
        <v>146</v>
      </c>
      <c r="B1032" t="n">
        <v>507960</v>
      </c>
      <c r="C1032" t="inlineStr">
        <is>
          <t>Gujarat Hotels Ltd</t>
        </is>
      </c>
      <c r="D1032" t="n">
        <v>2026</v>
      </c>
      <c r="E1032" t="n">
        <v>189.8999938964844</v>
      </c>
      <c r="F1032" t="n">
        <v>14.94</v>
      </c>
      <c r="G1032" t="inlineStr">
        <is>
          <t>Consolidated first (v4) – needs verification for flagged rows</t>
        </is>
      </c>
      <c r="H1032" t="n">
        <v>232</v>
      </c>
      <c r="I1032" t="n">
        <v>165.5</v>
      </c>
      <c r="L1032" t="inlineStr">
        <is>
          <t>OK</t>
        </is>
      </c>
      <c r="M1032" t="n">
        <v>15.53</v>
      </c>
      <c r="N1032" t="n">
        <v>11.08</v>
      </c>
      <c r="O1032" t="n">
        <v>216.45</v>
      </c>
      <c r="P1032" t="n">
        <v>341.2</v>
      </c>
      <c r="Q1032" t="n">
        <v>158</v>
      </c>
      <c r="R1032" s="3" t="inlineStr">
        <is>
          <t>MISMATCH_NEEDS_CORRECTION</t>
        </is>
      </c>
      <c r="S1032" t="n">
        <v>216.45</v>
      </c>
      <c r="T1032" t="inlineStr">
        <is>
          <t>30-07-2026 09:42 IST</t>
        </is>
      </c>
    </row>
    <row r="1033">
      <c r="A1033" t="n">
        <v>147</v>
      </c>
      <c r="B1033" t="n">
        <v>508136</v>
      </c>
      <c r="C1033" t="inlineStr">
        <is>
          <t>Bannari Amman Sugars Ltd</t>
        </is>
      </c>
      <c r="D1033" t="n">
        <v>2015</v>
      </c>
      <c r="E1033" t="n">
        <v>460.7000122070312</v>
      </c>
      <c r="F1033" t="n">
        <v>31.29</v>
      </c>
      <c r="G1033" t="inlineStr">
        <is>
          <t>Consolidated first (v4) – needs verification for flagged rows</t>
        </is>
      </c>
      <c r="H1033" t="n">
        <v>265.2999877929688</v>
      </c>
      <c r="I1033" t="n">
        <v>110.9000015258789</v>
      </c>
      <c r="L1033" t="inlineStr">
        <is>
          <t>OK</t>
        </is>
      </c>
      <c r="M1033" t="n">
        <v>8.48</v>
      </c>
      <c r="N1033" t="n">
        <v>3.54</v>
      </c>
      <c r="O1033" t="n">
        <v>573</v>
      </c>
      <c r="P1033" t="n">
        <v>734.4</v>
      </c>
      <c r="Q1033" t="n">
        <v>375</v>
      </c>
      <c r="R1033" s="3" t="inlineStr">
        <is>
          <t>MISMATCH_NEEDS_CORRECTION</t>
        </is>
      </c>
      <c r="S1033" t="n">
        <v>573</v>
      </c>
      <c r="T1033" t="inlineStr">
        <is>
          <t>30-07-2026 09:42 IST</t>
        </is>
      </c>
    </row>
    <row r="1034">
      <c r="A1034" t="n">
        <v>147</v>
      </c>
      <c r="B1034" t="n">
        <v>508136</v>
      </c>
      <c r="C1034" t="inlineStr">
        <is>
          <t>Bannari Amman Sugars Ltd</t>
        </is>
      </c>
      <c r="D1034" t="n">
        <v>2016</v>
      </c>
      <c r="E1034" t="n">
        <v>460.7000122070312</v>
      </c>
      <c r="F1034" t="n">
        <v>31.65</v>
      </c>
      <c r="G1034" t="inlineStr">
        <is>
          <t>Consolidated first (v4) – needs verification for flagged rows</t>
        </is>
      </c>
      <c r="H1034" t="n">
        <v>239.8999938964844</v>
      </c>
      <c r="I1034" t="n">
        <v>145</v>
      </c>
      <c r="L1034" t="inlineStr">
        <is>
          <t>OK</t>
        </is>
      </c>
      <c r="M1034" t="n">
        <v>7.58</v>
      </c>
      <c r="N1034" t="n">
        <v>4.58</v>
      </c>
      <c r="O1034" t="n">
        <v>573</v>
      </c>
      <c r="P1034" t="n">
        <v>734.4</v>
      </c>
      <c r="Q1034" t="n">
        <v>375</v>
      </c>
      <c r="R1034" s="3" t="inlineStr">
        <is>
          <t>MISMATCH_NEEDS_CORRECTION</t>
        </is>
      </c>
      <c r="S1034" t="n">
        <v>573</v>
      </c>
      <c r="T1034" t="inlineStr">
        <is>
          <t>30-07-2026 09:42 IST</t>
        </is>
      </c>
    </row>
    <row r="1035">
      <c r="A1035" t="n">
        <v>147</v>
      </c>
      <c r="B1035" t="n">
        <v>508136</v>
      </c>
      <c r="C1035" t="inlineStr">
        <is>
          <t>Bannari Amman Sugars Ltd</t>
        </is>
      </c>
      <c r="D1035" t="n">
        <v>2017</v>
      </c>
      <c r="E1035" t="n">
        <v>460.7000122070312</v>
      </c>
      <c r="F1035" t="n">
        <v>18.97</v>
      </c>
      <c r="G1035" t="inlineStr">
        <is>
          <t>Consolidated first (v4) – needs verification for flagged rows</t>
        </is>
      </c>
      <c r="H1035" t="n">
        <v>374</v>
      </c>
      <c r="I1035" t="n">
        <v>181.5500030517578</v>
      </c>
      <c r="L1035" t="inlineStr">
        <is>
          <t>OK</t>
        </is>
      </c>
      <c r="M1035" t="n">
        <v>19.72</v>
      </c>
      <c r="N1035" t="n">
        <v>9.57</v>
      </c>
      <c r="O1035" t="n">
        <v>573</v>
      </c>
      <c r="P1035" t="n">
        <v>734.4</v>
      </c>
      <c r="Q1035" t="n">
        <v>375</v>
      </c>
      <c r="R1035" s="3" t="inlineStr">
        <is>
          <t>MISMATCH_NEEDS_CORRECTION</t>
        </is>
      </c>
      <c r="S1035" t="n">
        <v>573</v>
      </c>
      <c r="T1035" t="inlineStr">
        <is>
          <t>30-07-2026 09:42 IST</t>
        </is>
      </c>
    </row>
    <row r="1036">
      <c r="A1036" t="n">
        <v>147</v>
      </c>
      <c r="B1036" t="n">
        <v>508136</v>
      </c>
      <c r="C1036" t="inlineStr">
        <is>
          <t>Bannari Amman Sugars Ltd</t>
        </is>
      </c>
      <c r="D1036" t="n">
        <v>2018</v>
      </c>
      <c r="E1036" t="n">
        <v>460.7000122070312</v>
      </c>
      <c r="F1036" t="n">
        <v>29.97</v>
      </c>
      <c r="G1036" t="inlineStr">
        <is>
          <t>Consolidated first (v4) – needs verification for flagged rows</t>
        </is>
      </c>
      <c r="H1036" t="n">
        <v>333</v>
      </c>
      <c r="I1036" t="n">
        <v>171.0500030517578</v>
      </c>
      <c r="L1036" t="inlineStr">
        <is>
          <t>OK</t>
        </is>
      </c>
      <c r="M1036" t="n">
        <v>11.11</v>
      </c>
      <c r="N1036" t="n">
        <v>5.71</v>
      </c>
      <c r="O1036" t="n">
        <v>573</v>
      </c>
      <c r="P1036" t="n">
        <v>734.4</v>
      </c>
      <c r="Q1036" t="n">
        <v>375</v>
      </c>
      <c r="R1036" s="3" t="inlineStr">
        <is>
          <t>MISMATCH_NEEDS_CORRECTION</t>
        </is>
      </c>
      <c r="S1036" t="n">
        <v>573</v>
      </c>
      <c r="T1036" t="inlineStr">
        <is>
          <t>30-07-2026 09:42 IST</t>
        </is>
      </c>
    </row>
    <row r="1037">
      <c r="A1037" t="n">
        <v>147</v>
      </c>
      <c r="B1037" t="n">
        <v>508136</v>
      </c>
      <c r="C1037" t="inlineStr">
        <is>
          <t>Bannari Amman Sugars Ltd</t>
        </is>
      </c>
      <c r="D1037" t="n">
        <v>2019</v>
      </c>
      <c r="E1037" t="n">
        <v>460.7000122070312</v>
      </c>
      <c r="F1037" t="n">
        <v>16.19</v>
      </c>
      <c r="G1037" t="inlineStr">
        <is>
          <t>Consolidated first (v4) – needs verification for flagged rows</t>
        </is>
      </c>
      <c r="H1037" t="n">
        <v>230</v>
      </c>
      <c r="I1037" t="n">
        <v>110</v>
      </c>
      <c r="L1037" t="inlineStr">
        <is>
          <t>OK</t>
        </is>
      </c>
      <c r="M1037" t="n">
        <v>14.21</v>
      </c>
      <c r="N1037" t="n">
        <v>6.79</v>
      </c>
      <c r="O1037" t="n">
        <v>573</v>
      </c>
      <c r="P1037" t="n">
        <v>734.4</v>
      </c>
      <c r="Q1037" t="n">
        <v>375</v>
      </c>
      <c r="R1037" s="3" t="inlineStr">
        <is>
          <t>MISMATCH_NEEDS_CORRECTION</t>
        </is>
      </c>
      <c r="S1037" t="n">
        <v>573</v>
      </c>
      <c r="T1037" t="inlineStr">
        <is>
          <t>30-07-2026 09:42 IST</t>
        </is>
      </c>
    </row>
    <row r="1038">
      <c r="A1038" t="n">
        <v>147</v>
      </c>
      <c r="B1038" t="n">
        <v>508136</v>
      </c>
      <c r="C1038" t="inlineStr">
        <is>
          <t>Bannari Amman Sugars Ltd</t>
        </is>
      </c>
      <c r="D1038" t="n">
        <v>2020</v>
      </c>
      <c r="E1038" t="n">
        <v>460.7000122070312</v>
      </c>
      <c r="F1038" t="n">
        <v>13.1</v>
      </c>
      <c r="G1038" t="inlineStr">
        <is>
          <t>Consolidated first (v4) – needs verification for flagged rows</t>
        </is>
      </c>
      <c r="H1038" t="n">
        <v>218</v>
      </c>
      <c r="I1038" t="n">
        <v>89.80000305175781</v>
      </c>
      <c r="L1038" t="inlineStr">
        <is>
          <t>OK</t>
        </is>
      </c>
      <c r="M1038" t="n">
        <v>16.64</v>
      </c>
      <c r="N1038" t="n">
        <v>6.85</v>
      </c>
      <c r="O1038" t="n">
        <v>573</v>
      </c>
      <c r="P1038" t="n">
        <v>734.4</v>
      </c>
      <c r="Q1038" t="n">
        <v>375</v>
      </c>
      <c r="R1038" s="3" t="inlineStr">
        <is>
          <t>MISMATCH_NEEDS_CORRECTION</t>
        </is>
      </c>
      <c r="S1038" t="n">
        <v>573</v>
      </c>
      <c r="T1038" t="inlineStr">
        <is>
          <t>30-07-2026 09:42 IST</t>
        </is>
      </c>
    </row>
    <row r="1039">
      <c r="A1039" t="n">
        <v>147</v>
      </c>
      <c r="B1039" t="n">
        <v>508136</v>
      </c>
      <c r="C1039" t="inlineStr">
        <is>
          <t>Bannari Amman Sugars Ltd</t>
        </is>
      </c>
      <c r="D1039" t="n">
        <v>2021</v>
      </c>
      <c r="E1039" t="n">
        <v>460.7000122070312</v>
      </c>
      <c r="F1039" t="n">
        <v>46.16</v>
      </c>
      <c r="G1039" t="inlineStr">
        <is>
          <t>Consolidated first (v4) – needs verification for flagged rows</t>
        </is>
      </c>
      <c r="H1039" t="n">
        <v>292</v>
      </c>
      <c r="I1039" t="n">
        <v>123</v>
      </c>
      <c r="L1039" t="inlineStr">
        <is>
          <t>OK</t>
        </is>
      </c>
      <c r="M1039" t="n">
        <v>6.33</v>
      </c>
      <c r="N1039" t="n">
        <v>2.66</v>
      </c>
      <c r="O1039" t="n">
        <v>573</v>
      </c>
      <c r="P1039" t="n">
        <v>734.4</v>
      </c>
      <c r="Q1039" t="n">
        <v>375</v>
      </c>
      <c r="R1039" s="3" t="inlineStr">
        <is>
          <t>MISMATCH_NEEDS_CORRECTION</t>
        </is>
      </c>
      <c r="S1039" t="n">
        <v>573</v>
      </c>
      <c r="T1039" t="inlineStr">
        <is>
          <t>30-07-2026 09:42 IST</t>
        </is>
      </c>
    </row>
    <row r="1040">
      <c r="A1040" t="n">
        <v>147</v>
      </c>
      <c r="B1040" t="n">
        <v>508136</v>
      </c>
      <c r="C1040" t="inlineStr">
        <is>
          <t>Bannari Amman Sugars Ltd</t>
        </is>
      </c>
      <c r="D1040" t="n">
        <v>2022</v>
      </c>
      <c r="E1040" t="n">
        <v>460.7000122070312</v>
      </c>
      <c r="F1040" t="n">
        <v>77.70999999999999</v>
      </c>
      <c r="G1040" t="inlineStr">
        <is>
          <t>Consolidated first (v4) – needs verification for flagged rows</t>
        </is>
      </c>
      <c r="H1040" t="n">
        <v>383</v>
      </c>
      <c r="I1040" t="n">
        <v>206</v>
      </c>
      <c r="L1040" t="inlineStr">
        <is>
          <t>OK</t>
        </is>
      </c>
      <c r="M1040" t="n">
        <v>4.93</v>
      </c>
      <c r="N1040" t="n">
        <v>2.65</v>
      </c>
      <c r="O1040" t="n">
        <v>573</v>
      </c>
      <c r="P1040" t="n">
        <v>734.4</v>
      </c>
      <c r="Q1040" t="n">
        <v>375</v>
      </c>
      <c r="R1040" s="3" t="inlineStr">
        <is>
          <t>MISMATCH_NEEDS_CORRECTION</t>
        </is>
      </c>
      <c r="S1040" t="n">
        <v>573</v>
      </c>
      <c r="T1040" t="inlineStr">
        <is>
          <t>30-07-2026 09:42 IST</t>
        </is>
      </c>
    </row>
    <row r="1041">
      <c r="A1041" t="n">
        <v>147</v>
      </c>
      <c r="B1041" t="n">
        <v>508136</v>
      </c>
      <c r="C1041" t="inlineStr">
        <is>
          <t>Bannari Amman Sugars Ltd</t>
        </is>
      </c>
      <c r="D1041" t="n">
        <v>2023</v>
      </c>
      <c r="E1041" t="n">
        <v>460.7000122070312</v>
      </c>
      <c r="F1041" t="n">
        <v>36.84</v>
      </c>
      <c r="G1041" t="inlineStr">
        <is>
          <t>Consolidated first (v4) – needs verification for flagged rows</t>
        </is>
      </c>
      <c r="H1041" t="n">
        <v>391</v>
      </c>
      <c r="I1041" t="n">
        <v>216.6999969482422</v>
      </c>
      <c r="L1041" t="inlineStr">
        <is>
          <t>OK</t>
        </is>
      </c>
      <c r="M1041" t="n">
        <v>10.61</v>
      </c>
      <c r="N1041" t="n">
        <v>5.88</v>
      </c>
      <c r="O1041" t="n">
        <v>573</v>
      </c>
      <c r="P1041" t="n">
        <v>734.4</v>
      </c>
      <c r="Q1041" t="n">
        <v>375</v>
      </c>
      <c r="R1041" s="3" t="inlineStr">
        <is>
          <t>MISMATCH_NEEDS_CORRECTION</t>
        </is>
      </c>
      <c r="S1041" t="n">
        <v>573</v>
      </c>
      <c r="T1041" t="inlineStr">
        <is>
          <t>30-07-2026 09:42 IST</t>
        </is>
      </c>
    </row>
    <row r="1042">
      <c r="A1042" t="n">
        <v>147</v>
      </c>
      <c r="B1042" t="n">
        <v>508136</v>
      </c>
      <c r="C1042" t="inlineStr">
        <is>
          <t>Bannari Amman Sugars Ltd</t>
        </is>
      </c>
      <c r="D1042" t="n">
        <v>2024</v>
      </c>
      <c r="E1042" t="n">
        <v>460.7000122070312</v>
      </c>
      <c r="F1042" t="n">
        <v>34.58</v>
      </c>
      <c r="G1042" t="inlineStr">
        <is>
          <t>Consolidated first (v4) – needs verification for flagged rows</t>
        </is>
      </c>
      <c r="H1042" t="n">
        <v>734.4000244140625</v>
      </c>
      <c r="I1042" t="n">
        <v>334.1000061035156</v>
      </c>
      <c r="L1042" t="inlineStr">
        <is>
          <t>OK</t>
        </is>
      </c>
      <c r="M1042" t="n">
        <v>21.24</v>
      </c>
      <c r="N1042" t="n">
        <v>9.66</v>
      </c>
      <c r="O1042" t="n">
        <v>573</v>
      </c>
      <c r="P1042" t="n">
        <v>734.4</v>
      </c>
      <c r="Q1042" t="n">
        <v>375</v>
      </c>
      <c r="R1042" s="3" t="inlineStr">
        <is>
          <t>MISMATCH_NEEDS_CORRECTION</t>
        </is>
      </c>
      <c r="S1042" t="n">
        <v>573</v>
      </c>
      <c r="T1042" t="inlineStr">
        <is>
          <t>30-07-2026 09:42 IST</t>
        </is>
      </c>
    </row>
    <row r="1043">
      <c r="A1043" t="n">
        <v>147</v>
      </c>
      <c r="B1043" t="n">
        <v>508136</v>
      </c>
      <c r="C1043" t="inlineStr">
        <is>
          <t>Bannari Amman Sugars Ltd</t>
        </is>
      </c>
      <c r="D1043" t="n">
        <v>2025</v>
      </c>
      <c r="E1043" t="n">
        <v>460.7000122070312</v>
      </c>
      <c r="F1043" t="n">
        <v>26.58</v>
      </c>
      <c r="G1043" t="inlineStr">
        <is>
          <t>Consolidated first (v4) – needs verification for flagged rows</t>
        </is>
      </c>
      <c r="H1043" t="n">
        <v>688.9000244140625</v>
      </c>
      <c r="I1043" t="n">
        <v>353.9500122070312</v>
      </c>
      <c r="L1043" t="inlineStr">
        <is>
          <t>OK</t>
        </is>
      </c>
      <c r="M1043" t="n">
        <v>25.92</v>
      </c>
      <c r="N1043" t="n">
        <v>13.32</v>
      </c>
      <c r="O1043" t="n">
        <v>573</v>
      </c>
      <c r="P1043" t="n">
        <v>734.4</v>
      </c>
      <c r="Q1043" t="n">
        <v>375</v>
      </c>
      <c r="R1043" s="3" t="inlineStr">
        <is>
          <t>MISMATCH_NEEDS_CORRECTION</t>
        </is>
      </c>
      <c r="S1043" t="n">
        <v>573</v>
      </c>
      <c r="T1043" t="inlineStr">
        <is>
          <t>30-07-2026 09:42 IST</t>
        </is>
      </c>
    </row>
    <row r="1044">
      <c r="A1044" t="n">
        <v>147</v>
      </c>
      <c r="B1044" t="n">
        <v>508136</v>
      </c>
      <c r="C1044" t="inlineStr">
        <is>
          <t>Bannari Amman Sugars Ltd</t>
        </is>
      </c>
      <c r="D1044" t="n">
        <v>2026</v>
      </c>
      <c r="E1044" t="n">
        <v>460.7000122070312</v>
      </c>
      <c r="F1044" t="n">
        <v>-12.71</v>
      </c>
      <c r="G1044" t="inlineStr">
        <is>
          <t>Consolidated first (v4) – needs verification for flagged rows</t>
        </is>
      </c>
      <c r="H1044" t="n">
        <v>554.4000244140625</v>
      </c>
      <c r="I1044" t="n">
        <v>312.2999877929688</v>
      </c>
      <c r="L1044" t="inlineStr">
        <is>
          <t>UNVERIFIED – negative EPS</t>
        </is>
      </c>
      <c r="M1044" t="n">
        <v>-43.62</v>
      </c>
      <c r="N1044" t="n">
        <v>-24.57</v>
      </c>
      <c r="O1044" t="n">
        <v>573</v>
      </c>
      <c r="P1044" t="n">
        <v>734.4</v>
      </c>
      <c r="Q1044" t="n">
        <v>375</v>
      </c>
      <c r="R1044" s="3" t="inlineStr">
        <is>
          <t>MISMATCH_NEEDS_CORRECTION</t>
        </is>
      </c>
      <c r="S1044" t="n">
        <v>573</v>
      </c>
      <c r="T1044" t="inlineStr">
        <is>
          <t>30-07-2026 09:42 IST</t>
        </is>
      </c>
    </row>
    <row r="1045">
      <c r="A1045" t="n">
        <v>150</v>
      </c>
      <c r="B1045" t="n">
        <v>508906</v>
      </c>
      <c r="C1045" t="inlineStr">
        <is>
          <t>Everest Industries Ltd</t>
        </is>
      </c>
      <c r="D1045" t="n">
        <v>2015</v>
      </c>
      <c r="E1045" t="n">
        <v>534.7000122070312</v>
      </c>
      <c r="F1045" t="n">
        <v>22.39</v>
      </c>
      <c r="G1045" t="inlineStr">
        <is>
          <t>Consolidated first (v4) – needs verification for flagged rows</t>
        </is>
      </c>
      <c r="H1045" t="n">
        <v>430</v>
      </c>
      <c r="I1045" t="n">
        <v>258.3999938964844</v>
      </c>
      <c r="L1045" t="inlineStr">
        <is>
          <t>OK</t>
        </is>
      </c>
      <c r="M1045" t="n">
        <v>19.21</v>
      </c>
      <c r="N1045" t="n">
        <v>11.54</v>
      </c>
      <c r="O1045" t="n">
        <v>106.7</v>
      </c>
      <c r="P1045" t="n">
        <v>156.79</v>
      </c>
      <c r="Q1045" t="n">
        <v>90.25</v>
      </c>
      <c r="R1045" s="3" t="inlineStr">
        <is>
          <t>MISMATCH_NEEDS_CORRECTION</t>
        </is>
      </c>
      <c r="S1045" t="n">
        <v>106.7</v>
      </c>
      <c r="T1045" t="inlineStr">
        <is>
          <t>30-07-2026 09:42 IST</t>
        </is>
      </c>
    </row>
    <row r="1046">
      <c r="A1046" t="n">
        <v>150</v>
      </c>
      <c r="B1046" t="n">
        <v>508906</v>
      </c>
      <c r="C1046" t="inlineStr">
        <is>
          <t>Everest Industries Ltd</t>
        </is>
      </c>
      <c r="D1046" t="n">
        <v>2016</v>
      </c>
      <c r="E1046" t="n">
        <v>534.7000122070312</v>
      </c>
      <c r="F1046" t="n">
        <v>22.38</v>
      </c>
      <c r="G1046" t="inlineStr">
        <is>
          <t>Consolidated first (v4) – needs verification for flagged rows</t>
        </is>
      </c>
      <c r="H1046" t="n">
        <v>322</v>
      </c>
      <c r="I1046" t="n">
        <v>183.25</v>
      </c>
      <c r="L1046" t="inlineStr">
        <is>
          <t>OK</t>
        </is>
      </c>
      <c r="M1046" t="n">
        <v>14.39</v>
      </c>
      <c r="N1046" t="n">
        <v>8.19</v>
      </c>
      <c r="O1046" t="n">
        <v>106.7</v>
      </c>
      <c r="P1046" t="n">
        <v>156.79</v>
      </c>
      <c r="Q1046" t="n">
        <v>90.25</v>
      </c>
      <c r="R1046" s="3" t="inlineStr">
        <is>
          <t>MISMATCH_NEEDS_CORRECTION</t>
        </is>
      </c>
      <c r="S1046" t="n">
        <v>106.7</v>
      </c>
      <c r="T1046" t="inlineStr">
        <is>
          <t>30-07-2026 09:42 IST</t>
        </is>
      </c>
    </row>
    <row r="1047">
      <c r="A1047" t="n">
        <v>150</v>
      </c>
      <c r="B1047" t="n">
        <v>508906</v>
      </c>
      <c r="C1047" t="inlineStr">
        <is>
          <t>Everest Industries Ltd</t>
        </is>
      </c>
      <c r="D1047" t="n">
        <v>2017</v>
      </c>
      <c r="E1047" t="n">
        <v>534.7000122070312</v>
      </c>
      <c r="F1047" t="n">
        <v>1.96</v>
      </c>
      <c r="G1047" t="inlineStr">
        <is>
          <t>Consolidated first (v4) – needs verification for flagged rows</t>
        </is>
      </c>
      <c r="H1047" t="n">
        <v>614.8499755859375</v>
      </c>
      <c r="I1047" t="n">
        <v>185</v>
      </c>
      <c r="L1047" t="inlineStr">
        <is>
          <t>OK</t>
        </is>
      </c>
      <c r="M1047" t="n">
        <v>313.7</v>
      </c>
      <c r="N1047" t="n">
        <v>94.39</v>
      </c>
      <c r="O1047" t="n">
        <v>106.7</v>
      </c>
      <c r="P1047" t="n">
        <v>156.79</v>
      </c>
      <c r="Q1047" t="n">
        <v>90.25</v>
      </c>
      <c r="R1047" s="3" t="inlineStr">
        <is>
          <t>MISMATCH_NEEDS_CORRECTION</t>
        </is>
      </c>
      <c r="S1047" t="n">
        <v>106.7</v>
      </c>
      <c r="T1047" t="inlineStr">
        <is>
          <t>30-07-2026 09:42 IST</t>
        </is>
      </c>
    </row>
    <row r="1048">
      <c r="A1048" t="n">
        <v>150</v>
      </c>
      <c r="B1048" t="n">
        <v>508906</v>
      </c>
      <c r="C1048" t="inlineStr">
        <is>
          <t>Everest Industries Ltd</t>
        </is>
      </c>
      <c r="D1048" t="n">
        <v>2018</v>
      </c>
      <c r="E1048" t="n">
        <v>534.7000122070312</v>
      </c>
      <c r="F1048" t="n">
        <v>33.96</v>
      </c>
      <c r="G1048" t="inlineStr">
        <is>
          <t>Consolidated first (v4) – needs verification for flagged rows</t>
        </is>
      </c>
      <c r="H1048" t="n">
        <v>636.9000244140625</v>
      </c>
      <c r="I1048" t="n">
        <v>380.4500122070312</v>
      </c>
      <c r="L1048" t="inlineStr">
        <is>
          <t>OK</t>
        </is>
      </c>
      <c r="M1048" t="n">
        <v>18.75</v>
      </c>
      <c r="N1048" t="n">
        <v>11.2</v>
      </c>
      <c r="O1048" t="n">
        <v>106.7</v>
      </c>
      <c r="P1048" t="n">
        <v>156.79</v>
      </c>
      <c r="Q1048" t="n">
        <v>90.25</v>
      </c>
      <c r="R1048" s="3" t="inlineStr">
        <is>
          <t>MISMATCH_NEEDS_CORRECTION</t>
        </is>
      </c>
      <c r="S1048" t="n">
        <v>106.7</v>
      </c>
      <c r="T1048" t="inlineStr">
        <is>
          <t>30-07-2026 09:42 IST</t>
        </is>
      </c>
    </row>
    <row r="1049">
      <c r="A1049" t="n">
        <v>150</v>
      </c>
      <c r="B1049" t="n">
        <v>508906</v>
      </c>
      <c r="C1049" t="inlineStr">
        <is>
          <t>Everest Industries Ltd</t>
        </is>
      </c>
      <c r="D1049" t="n">
        <v>2019</v>
      </c>
      <c r="E1049" t="n">
        <v>534.7000122070312</v>
      </c>
      <c r="F1049" t="n">
        <v>39.56</v>
      </c>
      <c r="G1049" t="inlineStr">
        <is>
          <t>Consolidated first (v4) – needs verification for flagged rows</t>
        </is>
      </c>
      <c r="H1049" t="n">
        <v>515.9000244140625</v>
      </c>
      <c r="I1049" t="n">
        <v>237.8000030517578</v>
      </c>
      <c r="L1049" t="inlineStr">
        <is>
          <t>OK</t>
        </is>
      </c>
      <c r="M1049" t="n">
        <v>13.04</v>
      </c>
      <c r="N1049" t="n">
        <v>6.01</v>
      </c>
      <c r="O1049" t="n">
        <v>106.7</v>
      </c>
      <c r="P1049" t="n">
        <v>156.79</v>
      </c>
      <c r="Q1049" t="n">
        <v>90.25</v>
      </c>
      <c r="R1049" s="3" t="inlineStr">
        <is>
          <t>MISMATCH_NEEDS_CORRECTION</t>
        </is>
      </c>
      <c r="S1049" t="n">
        <v>106.7</v>
      </c>
      <c r="T1049" t="inlineStr">
        <is>
          <t>30-07-2026 09:42 IST</t>
        </is>
      </c>
    </row>
    <row r="1050">
      <c r="A1050" t="n">
        <v>150</v>
      </c>
      <c r="B1050" t="n">
        <v>508906</v>
      </c>
      <c r="C1050" t="inlineStr">
        <is>
          <t>Everest Industries Ltd</t>
        </is>
      </c>
      <c r="D1050" t="n">
        <v>2020</v>
      </c>
      <c r="E1050" t="n">
        <v>534.7000122070312</v>
      </c>
      <c r="F1050" t="n">
        <v>8.65</v>
      </c>
      <c r="G1050" t="inlineStr">
        <is>
          <t>Consolidated first (v4) – needs verification for flagged rows</t>
        </is>
      </c>
      <c r="H1050" t="n">
        <v>346.6499938964844</v>
      </c>
      <c r="I1050" t="n">
        <v>120</v>
      </c>
      <c r="L1050" t="inlineStr">
        <is>
          <t>OK</t>
        </is>
      </c>
      <c r="M1050" t="n">
        <v>40.08</v>
      </c>
      <c r="N1050" t="n">
        <v>13.87</v>
      </c>
      <c r="O1050" t="n">
        <v>106.7</v>
      </c>
      <c r="P1050" t="n">
        <v>156.79</v>
      </c>
      <c r="Q1050" t="n">
        <v>90.25</v>
      </c>
      <c r="R1050" s="3" t="inlineStr">
        <is>
          <t>MISMATCH_NEEDS_CORRECTION</t>
        </is>
      </c>
      <c r="S1050" t="n">
        <v>106.7</v>
      </c>
      <c r="T1050" t="inlineStr">
        <is>
          <t>30-07-2026 09:42 IST</t>
        </is>
      </c>
    </row>
    <row r="1051">
      <c r="A1051" t="n">
        <v>150</v>
      </c>
      <c r="B1051" t="n">
        <v>508906</v>
      </c>
      <c r="C1051" t="inlineStr">
        <is>
          <t>Everest Industries Ltd</t>
        </is>
      </c>
      <c r="D1051" t="n">
        <v>2021</v>
      </c>
      <c r="E1051" t="n">
        <v>534.7000122070312</v>
      </c>
      <c r="F1051" t="n">
        <v>36.06</v>
      </c>
      <c r="G1051" t="inlineStr">
        <is>
          <t>Consolidated first (v4) – needs verification for flagged rows</t>
        </is>
      </c>
      <c r="H1051" t="n">
        <v>565</v>
      </c>
      <c r="I1051" t="n">
        <v>267.0499877929688</v>
      </c>
      <c r="L1051" t="inlineStr">
        <is>
          <t>OK</t>
        </is>
      </c>
      <c r="M1051" t="n">
        <v>15.67</v>
      </c>
      <c r="N1051" t="n">
        <v>7.41</v>
      </c>
      <c r="O1051" t="n">
        <v>106.7</v>
      </c>
      <c r="P1051" t="n">
        <v>156.79</v>
      </c>
      <c r="Q1051" t="n">
        <v>90.25</v>
      </c>
      <c r="R1051" s="3" t="inlineStr">
        <is>
          <t>MISMATCH_NEEDS_CORRECTION</t>
        </is>
      </c>
      <c r="S1051" t="n">
        <v>106.7</v>
      </c>
      <c r="T1051" t="inlineStr">
        <is>
          <t>30-07-2026 09:42 IST</t>
        </is>
      </c>
    </row>
    <row r="1052">
      <c r="A1052" t="n">
        <v>150</v>
      </c>
      <c r="B1052" t="n">
        <v>508906</v>
      </c>
      <c r="C1052" t="inlineStr">
        <is>
          <t>Everest Industries Ltd</t>
        </is>
      </c>
      <c r="D1052" t="n">
        <v>2022</v>
      </c>
      <c r="E1052" t="n">
        <v>534.7000122070312</v>
      </c>
      <c r="F1052" t="n">
        <v>28.12</v>
      </c>
      <c r="G1052" t="inlineStr">
        <is>
          <t>Consolidated first (v4) – needs verification for flagged rows</t>
        </is>
      </c>
      <c r="H1052" t="n">
        <v>974.4500122070312</v>
      </c>
      <c r="I1052" t="n">
        <v>511.0499877929688</v>
      </c>
      <c r="L1052" t="inlineStr">
        <is>
          <t>OK</t>
        </is>
      </c>
      <c r="M1052" t="n">
        <v>34.65</v>
      </c>
      <c r="N1052" t="n">
        <v>18.17</v>
      </c>
      <c r="O1052" t="n">
        <v>106.7</v>
      </c>
      <c r="P1052" t="n">
        <v>156.79</v>
      </c>
      <c r="Q1052" t="n">
        <v>90.25</v>
      </c>
      <c r="R1052" s="3" t="inlineStr">
        <is>
          <t>MISMATCH_NEEDS_CORRECTION</t>
        </is>
      </c>
      <c r="S1052" t="n">
        <v>106.7</v>
      </c>
      <c r="T1052" t="inlineStr">
        <is>
          <t>30-07-2026 09:42 IST</t>
        </is>
      </c>
    </row>
    <row r="1053">
      <c r="A1053" t="n">
        <v>150</v>
      </c>
      <c r="B1053" t="n">
        <v>508906</v>
      </c>
      <c r="C1053" t="inlineStr">
        <is>
          <t>Everest Industries Ltd</t>
        </is>
      </c>
      <c r="D1053" t="n">
        <v>2023</v>
      </c>
      <c r="E1053" t="n">
        <v>534.7000122070312</v>
      </c>
      <c r="F1053" t="n">
        <v>26.92</v>
      </c>
      <c r="G1053" t="inlineStr">
        <is>
          <t>Consolidated first (v4) – needs verification for flagged rows</t>
        </is>
      </c>
      <c r="H1053" t="n">
        <v>1448.099975585938</v>
      </c>
      <c r="I1053" t="n">
        <v>681</v>
      </c>
      <c r="L1053" t="inlineStr">
        <is>
          <t>OK</t>
        </is>
      </c>
      <c r="M1053" t="n">
        <v>53.79</v>
      </c>
      <c r="N1053" t="n">
        <v>25.3</v>
      </c>
      <c r="O1053" t="n">
        <v>106.7</v>
      </c>
      <c r="P1053" t="n">
        <v>156.79</v>
      </c>
      <c r="Q1053" t="n">
        <v>90.25</v>
      </c>
      <c r="R1053" s="3" t="inlineStr">
        <is>
          <t>MISMATCH_NEEDS_CORRECTION</t>
        </is>
      </c>
      <c r="S1053" t="n">
        <v>106.7</v>
      </c>
      <c r="T1053" t="inlineStr">
        <is>
          <t>30-07-2026 09:42 IST</t>
        </is>
      </c>
    </row>
    <row r="1054">
      <c r="A1054" t="n">
        <v>150</v>
      </c>
      <c r="B1054" t="n">
        <v>508906</v>
      </c>
      <c r="C1054" t="inlineStr">
        <is>
          <t>Everest Industries Ltd</t>
        </is>
      </c>
      <c r="D1054" t="n">
        <v>2024</v>
      </c>
      <c r="E1054" t="n">
        <v>534.7000122070312</v>
      </c>
      <c r="F1054" t="n">
        <v>11.4</v>
      </c>
      <c r="G1054" t="inlineStr">
        <is>
          <t>Consolidated first (v4) – needs verification for flagged rows</t>
        </is>
      </c>
      <c r="H1054" t="n">
        <v>1419.5</v>
      </c>
      <c r="I1054" t="n">
        <v>739.2000122070312</v>
      </c>
      <c r="L1054" t="inlineStr">
        <is>
          <t>OK</t>
        </is>
      </c>
      <c r="M1054" t="n">
        <v>124.52</v>
      </c>
      <c r="N1054" t="n">
        <v>64.84</v>
      </c>
      <c r="O1054" t="n">
        <v>106.7</v>
      </c>
      <c r="P1054" t="n">
        <v>156.79</v>
      </c>
      <c r="Q1054" t="n">
        <v>90.25</v>
      </c>
      <c r="R1054" s="3" t="inlineStr">
        <is>
          <t>MISMATCH_NEEDS_CORRECTION</t>
        </is>
      </c>
      <c r="S1054" t="n">
        <v>106.7</v>
      </c>
      <c r="T1054" t="inlineStr">
        <is>
          <t>30-07-2026 09:42 IST</t>
        </is>
      </c>
    </row>
    <row r="1055">
      <c r="A1055" t="n">
        <v>150</v>
      </c>
      <c r="B1055" t="n">
        <v>508906</v>
      </c>
      <c r="C1055" t="inlineStr">
        <is>
          <t>Everest Industries Ltd</t>
        </is>
      </c>
      <c r="D1055" t="n">
        <v>2025</v>
      </c>
      <c r="E1055" t="n">
        <v>534.7000122070312</v>
      </c>
      <c r="F1055" t="n">
        <v>-2.28</v>
      </c>
      <c r="G1055" t="inlineStr">
        <is>
          <t>Consolidated first (v4) – needs verification for flagged rows</t>
        </is>
      </c>
      <c r="H1055" t="n">
        <v>815</v>
      </c>
      <c r="I1055" t="n">
        <v>421.2000122070312</v>
      </c>
      <c r="L1055" t="inlineStr">
        <is>
          <t>UNVERIFIED – negative EPS</t>
        </is>
      </c>
      <c r="M1055" t="n">
        <v>-357.46</v>
      </c>
      <c r="N1055" t="n">
        <v>-184.74</v>
      </c>
      <c r="O1055" t="n">
        <v>106.7</v>
      </c>
      <c r="P1055" t="n">
        <v>156.79</v>
      </c>
      <c r="Q1055" t="n">
        <v>90.25</v>
      </c>
      <c r="R1055" s="3" t="inlineStr">
        <is>
          <t>MISMATCH_NEEDS_CORRECTION</t>
        </is>
      </c>
      <c r="S1055" t="n">
        <v>106.7</v>
      </c>
      <c r="T1055" t="inlineStr">
        <is>
          <t>30-07-2026 09:42 IST</t>
        </is>
      </c>
    </row>
    <row r="1056">
      <c r="A1056" t="n">
        <v>150</v>
      </c>
      <c r="B1056" t="n">
        <v>508906</v>
      </c>
      <c r="C1056" t="inlineStr">
        <is>
          <t>Everest Industries Ltd</t>
        </is>
      </c>
      <c r="D1056" t="n">
        <v>2026</v>
      </c>
      <c r="E1056" t="n">
        <v>534.7000122070312</v>
      </c>
      <c r="F1056" t="n">
        <v>-64.13</v>
      </c>
      <c r="G1056" t="inlineStr">
        <is>
          <t>Consolidated first (v4) – needs verification for flagged rows</t>
        </is>
      </c>
      <c r="H1056" t="n">
        <v>547.7000122070312</v>
      </c>
      <c r="I1056" t="n">
        <v>291.0499877929688</v>
      </c>
      <c r="L1056" t="inlineStr">
        <is>
          <t>UNVERIFIED – negative EPS</t>
        </is>
      </c>
      <c r="M1056" t="n">
        <v>-8.539999999999999</v>
      </c>
      <c r="N1056" t="n">
        <v>-4.54</v>
      </c>
      <c r="O1056" t="n">
        <v>106.7</v>
      </c>
      <c r="P1056" t="n">
        <v>156.79</v>
      </c>
      <c r="Q1056" t="n">
        <v>90.25</v>
      </c>
      <c r="R1056" s="3" t="inlineStr">
        <is>
          <t>MISMATCH_NEEDS_CORRECTION</t>
        </is>
      </c>
      <c r="S1056" t="n">
        <v>106.7</v>
      </c>
      <c r="T1056" t="inlineStr">
        <is>
          <t>30-07-2026 09:42 IST</t>
        </is>
      </c>
    </row>
    <row r="1057">
      <c r="A1057" t="n">
        <v>151</v>
      </c>
      <c r="B1057" t="n">
        <v>508993</v>
      </c>
      <c r="C1057" t="inlineStr">
        <is>
          <t>Kedia Construction Co Ltd</t>
        </is>
      </c>
      <c r="D1057" t="n">
        <v>2026</v>
      </c>
      <c r="E1057" t="n">
        <v>2.444999933242798</v>
      </c>
      <c r="F1057" t="n">
        <v>-7.77</v>
      </c>
      <c r="G1057" t="inlineStr">
        <is>
          <t>Consolidated first (v4) – needs verification for flagged rows</t>
        </is>
      </c>
      <c r="H1057" t="n">
        <v>2.444999933242798</v>
      </c>
      <c r="I1057" t="n">
        <v>2.444999933242798</v>
      </c>
      <c r="L1057" t="inlineStr">
        <is>
          <t>UNVERIFIED – negative EPS</t>
        </is>
      </c>
      <c r="M1057" t="n">
        <v>-0.31</v>
      </c>
      <c r="N1057" t="n">
        <v>-0.31</v>
      </c>
      <c r="O1057" t="n">
        <v>2.445</v>
      </c>
      <c r="P1057" t="n">
        <v>2.445</v>
      </c>
      <c r="Q1057" t="n">
        <v>2.445</v>
      </c>
      <c r="R1057" s="2" t="inlineStr">
        <is>
          <t>VERIFIED_OK</t>
        </is>
      </c>
      <c r="S1057" t="n">
        <v>2.445</v>
      </c>
      <c r="T1057" t="inlineStr">
        <is>
          <t>30-07-2026 09:42 IST</t>
        </is>
      </c>
    </row>
    <row r="1058">
      <c r="A1058" t="n">
        <v>152</v>
      </c>
      <c r="B1058" t="n">
        <v>509077</v>
      </c>
      <c r="C1058" t="inlineStr">
        <is>
          <t>Pressman Advertising Ltd</t>
        </is>
      </c>
      <c r="D1058" t="n">
        <v>2015</v>
      </c>
      <c r="E1058" t="n">
        <v>267.75</v>
      </c>
      <c r="G1058" t="inlineStr">
        <is>
          <t>Consolidated first (v4) – needs verification for flagged rows</t>
        </is>
      </c>
      <c r="H1058" t="n">
        <v>66</v>
      </c>
      <c r="I1058" t="n">
        <v>28</v>
      </c>
      <c r="L1058" t="inlineStr">
        <is>
          <t>INCOMPLETE</t>
        </is>
      </c>
      <c r="O1058">
        <f>IFERROR(VLOOKUP(B1058,BSE_500_LIVE!A:E,3,FALSE),"")</f>
        <v/>
      </c>
      <c r="P1058">
        <f>IFERROR(VLOOKUP(B1058,BSE_500_LIVE!A:E,4,FALSE),"")</f>
        <v/>
      </c>
      <c r="Q1058">
        <f>IFERROR(VLOOKUP(B1058,BSE_500_LIVE!A:E,5,FALSE),"")</f>
        <v/>
      </c>
      <c r="R1058">
        <f>IF(OR(E1058="",O1058=""),"PENDING_FETCH",IF(ABS(E1058-O1058)/E1058&gt;0.005,"MISMATCH_NEEDS_CORRECTION","VERIFIED_OK"))</f>
        <v/>
      </c>
      <c r="S1058">
        <f>IF(O1058&lt;&gt;"",O1058,E1058)</f>
        <v/>
      </c>
      <c r="T1058">
        <f>IFERROR(VLOOKUP(B1058,BSE_500_LIVE!A:F,6,FALSE),"")</f>
        <v/>
      </c>
    </row>
    <row r="1059">
      <c r="A1059" t="n">
        <v>152</v>
      </c>
      <c r="B1059" t="n">
        <v>509077</v>
      </c>
      <c r="C1059" t="inlineStr">
        <is>
          <t>Pressman Advertising Ltd</t>
        </is>
      </c>
      <c r="D1059" t="n">
        <v>2016</v>
      </c>
      <c r="E1059" t="n">
        <v>267.75</v>
      </c>
      <c r="G1059" t="inlineStr">
        <is>
          <t>Consolidated first (v4) – needs verification for flagged rows</t>
        </is>
      </c>
      <c r="H1059" t="n">
        <v>74.30000305175781</v>
      </c>
      <c r="I1059" t="n">
        <v>35.04999923706055</v>
      </c>
      <c r="L1059" t="inlineStr">
        <is>
          <t>INCOMPLETE</t>
        </is>
      </c>
      <c r="O1059">
        <f>IFERROR(VLOOKUP(B1059,BSE_500_LIVE!A:E,3,FALSE),"")</f>
        <v/>
      </c>
      <c r="P1059">
        <f>IFERROR(VLOOKUP(B1059,BSE_500_LIVE!A:E,4,FALSE),"")</f>
        <v/>
      </c>
      <c r="Q1059">
        <f>IFERROR(VLOOKUP(B1059,BSE_500_LIVE!A:E,5,FALSE),"")</f>
        <v/>
      </c>
      <c r="R1059">
        <f>IF(OR(E1059="",O1059=""),"PENDING_FETCH",IF(ABS(E1059-O1059)/E1059&gt;0.005,"MISMATCH_NEEDS_CORRECTION","VERIFIED_OK"))</f>
        <v/>
      </c>
      <c r="S1059">
        <f>IF(O1059&lt;&gt;"",O1059,E1059)</f>
        <v/>
      </c>
      <c r="T1059">
        <f>IFERROR(VLOOKUP(B1059,BSE_500_LIVE!A:F,6,FALSE),"")</f>
        <v/>
      </c>
    </row>
    <row r="1060">
      <c r="A1060" t="n">
        <v>152</v>
      </c>
      <c r="B1060" t="n">
        <v>509077</v>
      </c>
      <c r="C1060" t="inlineStr">
        <is>
          <t>Pressman Advertising Ltd</t>
        </is>
      </c>
      <c r="D1060" t="n">
        <v>2017</v>
      </c>
      <c r="E1060" t="n">
        <v>267.75</v>
      </c>
      <c r="G1060" t="inlineStr">
        <is>
          <t>Consolidated first (v4) – needs verification for flagged rows</t>
        </is>
      </c>
      <c r="H1060" t="n">
        <v>87.69999694824219</v>
      </c>
      <c r="I1060" t="n">
        <v>41.84999847412109</v>
      </c>
      <c r="L1060" t="inlineStr">
        <is>
          <t>INCOMPLETE</t>
        </is>
      </c>
      <c r="O1060">
        <f>IFERROR(VLOOKUP(B1060,BSE_500_LIVE!A:E,3,FALSE),"")</f>
        <v/>
      </c>
      <c r="P1060">
        <f>IFERROR(VLOOKUP(B1060,BSE_500_LIVE!A:E,4,FALSE),"")</f>
        <v/>
      </c>
      <c r="Q1060">
        <f>IFERROR(VLOOKUP(B1060,BSE_500_LIVE!A:E,5,FALSE),"")</f>
        <v/>
      </c>
      <c r="R1060">
        <f>IF(OR(E1060="",O1060=""),"PENDING_FETCH",IF(ABS(E1060-O1060)/E1060&gt;0.005,"MISMATCH_NEEDS_CORRECTION","VERIFIED_OK"))</f>
        <v/>
      </c>
      <c r="S1060">
        <f>IF(O1060&lt;&gt;"",O1060,E1060)</f>
        <v/>
      </c>
      <c r="T1060">
        <f>IFERROR(VLOOKUP(B1060,BSE_500_LIVE!A:F,6,FALSE),"")</f>
        <v/>
      </c>
    </row>
    <row r="1061">
      <c r="A1061" t="n">
        <v>152</v>
      </c>
      <c r="B1061" t="n">
        <v>509077</v>
      </c>
      <c r="C1061" t="inlineStr">
        <is>
          <t>Pressman Advertising Ltd</t>
        </is>
      </c>
      <c r="D1061" t="n">
        <v>2018</v>
      </c>
      <c r="E1061" t="n">
        <v>267.75</v>
      </c>
      <c r="G1061" t="inlineStr">
        <is>
          <t>Consolidated first (v4) – needs verification for flagged rows</t>
        </is>
      </c>
      <c r="H1061" t="n">
        <v>80.69999694824219</v>
      </c>
      <c r="I1061" t="n">
        <v>30</v>
      </c>
      <c r="L1061" t="inlineStr">
        <is>
          <t>INCOMPLETE</t>
        </is>
      </c>
      <c r="O1061">
        <f>IFERROR(VLOOKUP(B1061,BSE_500_LIVE!A:E,3,FALSE),"")</f>
        <v/>
      </c>
      <c r="P1061">
        <f>IFERROR(VLOOKUP(B1061,BSE_500_LIVE!A:E,4,FALSE),"")</f>
        <v/>
      </c>
      <c r="Q1061">
        <f>IFERROR(VLOOKUP(B1061,BSE_500_LIVE!A:E,5,FALSE),"")</f>
        <v/>
      </c>
      <c r="R1061">
        <f>IF(OR(E1061="",O1061=""),"PENDING_FETCH",IF(ABS(E1061-O1061)/E1061&gt;0.005,"MISMATCH_NEEDS_CORRECTION","VERIFIED_OK"))</f>
        <v/>
      </c>
      <c r="S1061">
        <f>IF(O1061&lt;&gt;"",O1061,E1061)</f>
        <v/>
      </c>
      <c r="T1061">
        <f>IFERROR(VLOOKUP(B1061,BSE_500_LIVE!A:F,6,FALSE),"")</f>
        <v/>
      </c>
    </row>
    <row r="1062">
      <c r="A1062" t="n">
        <v>152</v>
      </c>
      <c r="B1062" t="n">
        <v>509077</v>
      </c>
      <c r="C1062" t="inlineStr">
        <is>
          <t>Pressman Advertising Ltd</t>
        </is>
      </c>
      <c r="D1062" t="n">
        <v>2019</v>
      </c>
      <c r="E1062" t="n">
        <v>267.75</v>
      </c>
      <c r="G1062" t="inlineStr">
        <is>
          <t>Consolidated first (v4) – needs verification for flagged rows</t>
        </is>
      </c>
      <c r="H1062" t="n">
        <v>36.79999923706055</v>
      </c>
      <c r="I1062" t="n">
        <v>19</v>
      </c>
      <c r="L1062" t="inlineStr">
        <is>
          <t>INCOMPLETE</t>
        </is>
      </c>
      <c r="O1062">
        <f>IFERROR(VLOOKUP(B1062,BSE_500_LIVE!A:E,3,FALSE),"")</f>
        <v/>
      </c>
      <c r="P1062">
        <f>IFERROR(VLOOKUP(B1062,BSE_500_LIVE!A:E,4,FALSE),"")</f>
        <v/>
      </c>
      <c r="Q1062">
        <f>IFERROR(VLOOKUP(B1062,BSE_500_LIVE!A:E,5,FALSE),"")</f>
        <v/>
      </c>
      <c r="R1062">
        <f>IF(OR(E1062="",O1062=""),"PENDING_FETCH",IF(ABS(E1062-O1062)/E1062&gt;0.005,"MISMATCH_NEEDS_CORRECTION","VERIFIED_OK"))</f>
        <v/>
      </c>
      <c r="S1062">
        <f>IF(O1062&lt;&gt;"",O1062,E1062)</f>
        <v/>
      </c>
      <c r="T1062">
        <f>IFERROR(VLOOKUP(B1062,BSE_500_LIVE!A:F,6,FALSE),"")</f>
        <v/>
      </c>
    </row>
    <row r="1063">
      <c r="A1063" t="n">
        <v>152</v>
      </c>
      <c r="B1063" t="n">
        <v>509077</v>
      </c>
      <c r="C1063" t="inlineStr">
        <is>
          <t>Pressman Advertising Ltd</t>
        </is>
      </c>
      <c r="D1063" t="n">
        <v>2020</v>
      </c>
      <c r="E1063" t="n">
        <v>267.75</v>
      </c>
      <c r="G1063" t="inlineStr">
        <is>
          <t>Consolidated first (v4) – needs verification for flagged rows</t>
        </is>
      </c>
      <c r="H1063" t="n">
        <v>30.79999923706055</v>
      </c>
      <c r="I1063" t="n">
        <v>10.39999961853027</v>
      </c>
      <c r="L1063" t="inlineStr">
        <is>
          <t>INCOMPLETE</t>
        </is>
      </c>
      <c r="O1063">
        <f>IFERROR(VLOOKUP(B1063,BSE_500_LIVE!A:E,3,FALSE),"")</f>
        <v/>
      </c>
      <c r="P1063">
        <f>IFERROR(VLOOKUP(B1063,BSE_500_LIVE!A:E,4,FALSE),"")</f>
        <v/>
      </c>
      <c r="Q1063">
        <f>IFERROR(VLOOKUP(B1063,BSE_500_LIVE!A:E,5,FALSE),"")</f>
        <v/>
      </c>
      <c r="R1063">
        <f>IF(OR(E1063="",O1063=""),"PENDING_FETCH",IF(ABS(E1063-O1063)/E1063&gt;0.005,"MISMATCH_NEEDS_CORRECTION","VERIFIED_OK"))</f>
        <v/>
      </c>
      <c r="S1063">
        <f>IF(O1063&lt;&gt;"",O1063,E1063)</f>
        <v/>
      </c>
      <c r="T1063">
        <f>IFERROR(VLOOKUP(B1063,BSE_500_LIVE!A:F,6,FALSE),"")</f>
        <v/>
      </c>
    </row>
    <row r="1064">
      <c r="A1064" t="n">
        <v>152</v>
      </c>
      <c r="B1064" t="n">
        <v>509077</v>
      </c>
      <c r="C1064" t="inlineStr">
        <is>
          <t>Pressman Advertising Ltd</t>
        </is>
      </c>
      <c r="D1064" t="n">
        <v>2021</v>
      </c>
      <c r="E1064" t="n">
        <v>267.75</v>
      </c>
      <c r="G1064" t="inlineStr">
        <is>
          <t>Consolidated first (v4) – needs verification for flagged rows</t>
        </is>
      </c>
      <c r="H1064" t="n">
        <v>39.29999923706055</v>
      </c>
      <c r="I1064" t="n">
        <v>20.54999923706055</v>
      </c>
      <c r="L1064" t="inlineStr">
        <is>
          <t>INCOMPLETE</t>
        </is>
      </c>
      <c r="O1064">
        <f>IFERROR(VLOOKUP(B1064,BSE_500_LIVE!A:E,3,FALSE),"")</f>
        <v/>
      </c>
      <c r="P1064">
        <f>IFERROR(VLOOKUP(B1064,BSE_500_LIVE!A:E,4,FALSE),"")</f>
        <v/>
      </c>
      <c r="Q1064">
        <f>IFERROR(VLOOKUP(B1064,BSE_500_LIVE!A:E,5,FALSE),"")</f>
        <v/>
      </c>
      <c r="R1064">
        <f>IF(OR(E1064="",O1064=""),"PENDING_FETCH",IF(ABS(E1064-O1064)/E1064&gt;0.005,"MISMATCH_NEEDS_CORRECTION","VERIFIED_OK"))</f>
        <v/>
      </c>
      <c r="S1064">
        <f>IF(O1064&lt;&gt;"",O1064,E1064)</f>
        <v/>
      </c>
      <c r="T1064">
        <f>IFERROR(VLOOKUP(B1064,BSE_500_LIVE!A:F,6,FALSE),"")</f>
        <v/>
      </c>
    </row>
    <row r="1065">
      <c r="A1065" t="n">
        <v>152</v>
      </c>
      <c r="B1065" t="n">
        <v>509077</v>
      </c>
      <c r="C1065" t="inlineStr">
        <is>
          <t>Pressman Advertising Ltd</t>
        </is>
      </c>
      <c r="D1065" t="n">
        <v>2022</v>
      </c>
      <c r="E1065" t="n">
        <v>267.75</v>
      </c>
      <c r="G1065" t="inlineStr">
        <is>
          <t>Consolidated first (v4) – needs verification for flagged rows</t>
        </is>
      </c>
      <c r="H1065" t="n">
        <v>58.70000076293945</v>
      </c>
      <c r="I1065" t="n">
        <v>29.45000076293945</v>
      </c>
      <c r="L1065" t="inlineStr">
        <is>
          <t>INCOMPLETE</t>
        </is>
      </c>
      <c r="O1065">
        <f>IFERROR(VLOOKUP(B1065,BSE_500_LIVE!A:E,3,FALSE),"")</f>
        <v/>
      </c>
      <c r="P1065">
        <f>IFERROR(VLOOKUP(B1065,BSE_500_LIVE!A:E,4,FALSE),"")</f>
        <v/>
      </c>
      <c r="Q1065">
        <f>IFERROR(VLOOKUP(B1065,BSE_500_LIVE!A:E,5,FALSE),"")</f>
        <v/>
      </c>
      <c r="R1065">
        <f>IF(OR(E1065="",O1065=""),"PENDING_FETCH",IF(ABS(E1065-O1065)/E1065&gt;0.005,"MISMATCH_NEEDS_CORRECTION","VERIFIED_OK"))</f>
        <v/>
      </c>
      <c r="S1065">
        <f>IF(O1065&lt;&gt;"",O1065,E1065)</f>
        <v/>
      </c>
      <c r="T1065">
        <f>IFERROR(VLOOKUP(B1065,BSE_500_LIVE!A:F,6,FALSE),"")</f>
        <v/>
      </c>
    </row>
    <row r="1066">
      <c r="A1066" t="n">
        <v>152</v>
      </c>
      <c r="B1066" t="n">
        <v>509077</v>
      </c>
      <c r="C1066" t="inlineStr">
        <is>
          <t>Pressman Advertising Ltd</t>
        </is>
      </c>
      <c r="D1066" t="n">
        <v>2023</v>
      </c>
      <c r="E1066" t="n">
        <v>267.75</v>
      </c>
      <c r="G1066" t="inlineStr">
        <is>
          <t>Consolidated first (v4) – needs verification for flagged rows</t>
        </is>
      </c>
      <c r="H1066" t="n">
        <v>271.4500122070312</v>
      </c>
      <c r="I1066" t="n">
        <v>43.20000076293945</v>
      </c>
      <c r="L1066" t="inlineStr">
        <is>
          <t>INCOMPLETE</t>
        </is>
      </c>
      <c r="O1066">
        <f>IFERROR(VLOOKUP(B1066,BSE_500_LIVE!A:E,3,FALSE),"")</f>
        <v/>
      </c>
      <c r="P1066">
        <f>IFERROR(VLOOKUP(B1066,BSE_500_LIVE!A:E,4,FALSE),"")</f>
        <v/>
      </c>
      <c r="Q1066">
        <f>IFERROR(VLOOKUP(B1066,BSE_500_LIVE!A:E,5,FALSE),"")</f>
        <v/>
      </c>
      <c r="R1066">
        <f>IF(OR(E1066="",O1066=""),"PENDING_FETCH",IF(ABS(E1066-O1066)/E1066&gt;0.005,"MISMATCH_NEEDS_CORRECTION","VERIFIED_OK"))</f>
        <v/>
      </c>
      <c r="S1066">
        <f>IF(O1066&lt;&gt;"",O1066,E1066)</f>
        <v/>
      </c>
      <c r="T1066">
        <f>IFERROR(VLOOKUP(B1066,BSE_500_LIVE!A:F,6,FALSE),"")</f>
        <v/>
      </c>
    </row>
    <row r="1067">
      <c r="A1067" t="n">
        <v>154</v>
      </c>
      <c r="B1067" t="n">
        <v>509196</v>
      </c>
      <c r="C1067" t="inlineStr">
        <is>
          <t>Zuari Agro Chemicals Ltd</t>
        </is>
      </c>
      <c r="D1067" t="n">
        <v>2015</v>
      </c>
      <c r="E1067" t="n">
        <v>54.9900016784668</v>
      </c>
      <c r="F1067" t="n">
        <v>0.48</v>
      </c>
      <c r="G1067" t="inlineStr">
        <is>
          <t>Consolidated first (v4) – needs verification for flagged rows</t>
        </is>
      </c>
      <c r="H1067" t="n">
        <v>12.30000019073486</v>
      </c>
      <c r="I1067" t="n">
        <v>7.329999923706055</v>
      </c>
      <c r="L1067" t="inlineStr">
        <is>
          <t>UNVERIFIED – tiny EPS &lt;0.5</t>
        </is>
      </c>
      <c r="M1067" t="n">
        <v>25.63</v>
      </c>
      <c r="N1067" t="n">
        <v>15.27</v>
      </c>
      <c r="O1067" t="n">
        <v>103.87</v>
      </c>
      <c r="P1067" t="n">
        <v>155.4</v>
      </c>
      <c r="Q1067" t="n">
        <v>80.7</v>
      </c>
      <c r="R1067" s="3" t="inlineStr">
        <is>
          <t>MISMATCH_NEEDS_CORRECTION</t>
        </is>
      </c>
      <c r="S1067" t="n">
        <v>103.87</v>
      </c>
      <c r="T1067" t="inlineStr">
        <is>
          <t>30-07-2026 09:42 IST</t>
        </is>
      </c>
    </row>
    <row r="1068">
      <c r="A1068" t="n">
        <v>154</v>
      </c>
      <c r="B1068" t="n">
        <v>509196</v>
      </c>
      <c r="C1068" t="inlineStr">
        <is>
          <t>Zuari Agro Chemicals Ltd</t>
        </is>
      </c>
      <c r="D1068" t="n">
        <v>2016</v>
      </c>
      <c r="E1068" t="n">
        <v>54.9900016784668</v>
      </c>
      <c r="F1068" t="n">
        <v>0.52</v>
      </c>
      <c r="G1068" t="inlineStr">
        <is>
          <t>Consolidated first (v4) – needs verification for flagged rows</t>
        </is>
      </c>
      <c r="H1068" t="n">
        <v>23.04999923706055</v>
      </c>
      <c r="I1068" t="n">
        <v>10.1899995803833</v>
      </c>
      <c r="L1068" t="inlineStr">
        <is>
          <t>OK</t>
        </is>
      </c>
      <c r="M1068" t="n">
        <v>44.33</v>
      </c>
      <c r="N1068" t="n">
        <v>19.6</v>
      </c>
      <c r="O1068" t="n">
        <v>103.87</v>
      </c>
      <c r="P1068" t="n">
        <v>155.4</v>
      </c>
      <c r="Q1068" t="n">
        <v>80.7</v>
      </c>
      <c r="R1068" s="3" t="inlineStr">
        <is>
          <t>MISMATCH_NEEDS_CORRECTION</t>
        </is>
      </c>
      <c r="S1068" t="n">
        <v>103.87</v>
      </c>
      <c r="T1068" t="inlineStr">
        <is>
          <t>30-07-2026 09:42 IST</t>
        </is>
      </c>
    </row>
    <row r="1069">
      <c r="A1069" t="n">
        <v>154</v>
      </c>
      <c r="B1069" t="n">
        <v>509196</v>
      </c>
      <c r="C1069" t="inlineStr">
        <is>
          <t>Zuari Agro Chemicals Ltd</t>
        </is>
      </c>
      <c r="D1069" t="n">
        <v>2017</v>
      </c>
      <c r="E1069" t="n">
        <v>54.9900016784668</v>
      </c>
      <c r="F1069" t="n">
        <v>0.62</v>
      </c>
      <c r="G1069" t="inlineStr">
        <is>
          <t>Consolidated first (v4) – needs verification for flagged rows</t>
        </is>
      </c>
      <c r="H1069" t="n">
        <v>46.90000152587891</v>
      </c>
      <c r="I1069" t="n">
        <v>13.35000038146973</v>
      </c>
      <c r="L1069" t="inlineStr">
        <is>
          <t>OK</t>
        </is>
      </c>
      <c r="M1069" t="n">
        <v>75.65000000000001</v>
      </c>
      <c r="N1069" t="n">
        <v>21.53</v>
      </c>
      <c r="O1069" t="n">
        <v>103.87</v>
      </c>
      <c r="P1069" t="n">
        <v>155.4</v>
      </c>
      <c r="Q1069" t="n">
        <v>80.7</v>
      </c>
      <c r="R1069" s="3" t="inlineStr">
        <is>
          <t>MISMATCH_NEEDS_CORRECTION</t>
        </is>
      </c>
      <c r="S1069" t="n">
        <v>103.87</v>
      </c>
      <c r="T1069" t="inlineStr">
        <is>
          <t>30-07-2026 09:42 IST</t>
        </is>
      </c>
    </row>
    <row r="1070">
      <c r="A1070" t="n">
        <v>154</v>
      </c>
      <c r="B1070" t="n">
        <v>509196</v>
      </c>
      <c r="C1070" t="inlineStr">
        <is>
          <t>Zuari Agro Chemicals Ltd</t>
        </is>
      </c>
      <c r="D1070" t="n">
        <v>2018</v>
      </c>
      <c r="E1070" t="n">
        <v>54.9900016784668</v>
      </c>
      <c r="F1070" t="n">
        <v>0.6</v>
      </c>
      <c r="G1070" t="inlineStr">
        <is>
          <t>Consolidated first (v4) – needs verification for flagged rows</t>
        </is>
      </c>
      <c r="H1070" t="n">
        <v>91.69999694824219</v>
      </c>
      <c r="I1070" t="n">
        <v>33.34999847412109</v>
      </c>
      <c r="L1070" t="inlineStr">
        <is>
          <t>OK</t>
        </is>
      </c>
      <c r="M1070" t="n">
        <v>152.83</v>
      </c>
      <c r="N1070" t="n">
        <v>55.58</v>
      </c>
      <c r="O1070" t="n">
        <v>103.87</v>
      </c>
      <c r="P1070" t="n">
        <v>155.4</v>
      </c>
      <c r="Q1070" t="n">
        <v>80.7</v>
      </c>
      <c r="R1070" s="3" t="inlineStr">
        <is>
          <t>MISMATCH_NEEDS_CORRECTION</t>
        </is>
      </c>
      <c r="S1070" t="n">
        <v>103.87</v>
      </c>
      <c r="T1070" t="inlineStr">
        <is>
          <t>30-07-2026 09:42 IST</t>
        </is>
      </c>
    </row>
    <row r="1071">
      <c r="A1071" t="n">
        <v>154</v>
      </c>
      <c r="B1071" t="n">
        <v>509196</v>
      </c>
      <c r="C1071" t="inlineStr">
        <is>
          <t>Zuari Agro Chemicals Ltd</t>
        </is>
      </c>
      <c r="D1071" t="n">
        <v>2019</v>
      </c>
      <c r="E1071" t="n">
        <v>54.9900016784668</v>
      </c>
      <c r="F1071" t="n">
        <v>0.96</v>
      </c>
      <c r="G1071" t="inlineStr">
        <is>
          <t>Consolidated first (v4) – needs verification for flagged rows</t>
        </is>
      </c>
      <c r="H1071" t="n">
        <v>96.30000305175781</v>
      </c>
      <c r="I1071" t="n">
        <v>35.15000152587891</v>
      </c>
      <c r="L1071" t="inlineStr">
        <is>
          <t>OK</t>
        </is>
      </c>
      <c r="M1071" t="n">
        <v>100.31</v>
      </c>
      <c r="N1071" t="n">
        <v>36.61</v>
      </c>
      <c r="O1071" t="n">
        <v>103.87</v>
      </c>
      <c r="P1071" t="n">
        <v>155.4</v>
      </c>
      <c r="Q1071" t="n">
        <v>80.7</v>
      </c>
      <c r="R1071" s="3" t="inlineStr">
        <is>
          <t>MISMATCH_NEEDS_CORRECTION</t>
        </is>
      </c>
      <c r="S1071" t="n">
        <v>103.87</v>
      </c>
      <c r="T1071" t="inlineStr">
        <is>
          <t>30-07-2026 09:42 IST</t>
        </is>
      </c>
    </row>
    <row r="1072">
      <c r="A1072" t="n">
        <v>154</v>
      </c>
      <c r="B1072" t="n">
        <v>509196</v>
      </c>
      <c r="C1072" t="inlineStr">
        <is>
          <t>Zuari Agro Chemicals Ltd</t>
        </is>
      </c>
      <c r="D1072" t="n">
        <v>2020</v>
      </c>
      <c r="E1072" t="n">
        <v>54.9900016784668</v>
      </c>
      <c r="F1072" t="n">
        <v>0.35</v>
      </c>
      <c r="G1072" t="inlineStr">
        <is>
          <t>Consolidated first (v4) – needs verification for flagged rows</t>
        </is>
      </c>
      <c r="H1072" t="n">
        <v>54</v>
      </c>
      <c r="I1072" t="n">
        <v>22</v>
      </c>
      <c r="L1072" t="inlineStr">
        <is>
          <t>UNVERIFIED – tiny EPS &lt;0.5</t>
        </is>
      </c>
      <c r="M1072" t="n">
        <v>154.29</v>
      </c>
      <c r="N1072" t="n">
        <v>62.86</v>
      </c>
      <c r="O1072" t="n">
        <v>103.87</v>
      </c>
      <c r="P1072" t="n">
        <v>155.4</v>
      </c>
      <c r="Q1072" t="n">
        <v>80.7</v>
      </c>
      <c r="R1072" s="3" t="inlineStr">
        <is>
          <t>MISMATCH_NEEDS_CORRECTION</t>
        </is>
      </c>
      <c r="S1072" t="n">
        <v>103.87</v>
      </c>
      <c r="T1072" t="inlineStr">
        <is>
          <t>30-07-2026 09:42 IST</t>
        </is>
      </c>
    </row>
    <row r="1073">
      <c r="A1073" t="n">
        <v>154</v>
      </c>
      <c r="B1073" t="n">
        <v>509196</v>
      </c>
      <c r="C1073" t="inlineStr">
        <is>
          <t>Zuari Agro Chemicals Ltd</t>
        </is>
      </c>
      <c r="D1073" t="n">
        <v>2021</v>
      </c>
      <c r="E1073" t="n">
        <v>54.9900016784668</v>
      </c>
      <c r="F1073" t="n">
        <v>-6.02</v>
      </c>
      <c r="G1073" t="inlineStr">
        <is>
          <t>Consolidated first (v4) – needs verification for flagged rows</t>
        </is>
      </c>
      <c r="H1073" t="n">
        <v>70</v>
      </c>
      <c r="I1073" t="n">
        <v>30</v>
      </c>
      <c r="L1073" t="inlineStr">
        <is>
          <t>UNVERIFIED – negative EPS</t>
        </is>
      </c>
      <c r="M1073" t="n">
        <v>-11.63</v>
      </c>
      <c r="N1073" t="n">
        <v>-4.98</v>
      </c>
      <c r="O1073" t="n">
        <v>103.87</v>
      </c>
      <c r="P1073" t="n">
        <v>155.4</v>
      </c>
      <c r="Q1073" t="n">
        <v>80.7</v>
      </c>
      <c r="R1073" s="3" t="inlineStr">
        <is>
          <t>MISMATCH_NEEDS_CORRECTION</t>
        </is>
      </c>
      <c r="S1073" t="n">
        <v>103.87</v>
      </c>
      <c r="T1073" t="inlineStr">
        <is>
          <t>30-07-2026 09:42 IST</t>
        </is>
      </c>
    </row>
    <row r="1074">
      <c r="A1074" t="n">
        <v>154</v>
      </c>
      <c r="B1074" t="n">
        <v>509196</v>
      </c>
      <c r="C1074" t="inlineStr">
        <is>
          <t>Zuari Agro Chemicals Ltd</t>
        </is>
      </c>
      <c r="D1074" t="n">
        <v>2022</v>
      </c>
      <c r="E1074" t="n">
        <v>54.9900016784668</v>
      </c>
      <c r="F1074" t="n">
        <v>2.33</v>
      </c>
      <c r="G1074" t="inlineStr">
        <is>
          <t>Consolidated first (v4) – needs verification for flagged rows</t>
        </is>
      </c>
      <c r="H1074" t="n">
        <v>156.8000030517578</v>
      </c>
      <c r="I1074" t="n">
        <v>49</v>
      </c>
      <c r="L1074" t="inlineStr">
        <is>
          <t>OK</t>
        </is>
      </c>
      <c r="M1074" t="n">
        <v>67.3</v>
      </c>
      <c r="N1074" t="n">
        <v>21.03</v>
      </c>
      <c r="O1074" t="n">
        <v>103.87</v>
      </c>
      <c r="P1074" t="n">
        <v>155.4</v>
      </c>
      <c r="Q1074" t="n">
        <v>80.7</v>
      </c>
      <c r="R1074" s="3" t="inlineStr">
        <is>
          <t>MISMATCH_NEEDS_CORRECTION</t>
        </is>
      </c>
      <c r="S1074" t="n">
        <v>103.87</v>
      </c>
      <c r="T1074" t="inlineStr">
        <is>
          <t>30-07-2026 09:42 IST</t>
        </is>
      </c>
    </row>
    <row r="1075">
      <c r="A1075" t="n">
        <v>154</v>
      </c>
      <c r="B1075" t="n">
        <v>509196</v>
      </c>
      <c r="C1075" t="inlineStr">
        <is>
          <t>Zuari Agro Chemicals Ltd</t>
        </is>
      </c>
      <c r="D1075" t="n">
        <v>2023</v>
      </c>
      <c r="E1075" t="n">
        <v>54.9900016784668</v>
      </c>
      <c r="F1075" t="n">
        <v>4.11</v>
      </c>
      <c r="G1075" t="inlineStr">
        <is>
          <t>Consolidated first (v4) – needs verification for flagged rows</t>
        </is>
      </c>
      <c r="H1075" t="n">
        <v>147.8999938964844</v>
      </c>
      <c r="I1075" t="n">
        <v>77</v>
      </c>
      <c r="L1075" t="inlineStr">
        <is>
          <t>OK</t>
        </is>
      </c>
      <c r="M1075" t="n">
        <v>35.99</v>
      </c>
      <c r="N1075" t="n">
        <v>18.73</v>
      </c>
      <c r="O1075" t="n">
        <v>103.87</v>
      </c>
      <c r="P1075" t="n">
        <v>155.4</v>
      </c>
      <c r="Q1075" t="n">
        <v>80.7</v>
      </c>
      <c r="R1075" s="3" t="inlineStr">
        <is>
          <t>MISMATCH_NEEDS_CORRECTION</t>
        </is>
      </c>
      <c r="S1075" t="n">
        <v>103.87</v>
      </c>
      <c r="T1075" t="inlineStr">
        <is>
          <t>30-07-2026 09:42 IST</t>
        </is>
      </c>
    </row>
    <row r="1076">
      <c r="A1076" t="n">
        <v>154</v>
      </c>
      <c r="B1076" t="n">
        <v>509196</v>
      </c>
      <c r="C1076" t="inlineStr">
        <is>
          <t>Zuari Agro Chemicals Ltd</t>
        </is>
      </c>
      <c r="D1076" t="n">
        <v>2024</v>
      </c>
      <c r="E1076" t="n">
        <v>54.9900016784668</v>
      </c>
      <c r="F1076" t="n">
        <v>-2.65</v>
      </c>
      <c r="G1076" t="inlineStr">
        <is>
          <t>Consolidated first (v4) – needs verification for flagged rows</t>
        </is>
      </c>
      <c r="H1076" t="n">
        <v>155.3999938964844</v>
      </c>
      <c r="I1076" t="n">
        <v>80.69999694824219</v>
      </c>
      <c r="L1076" t="inlineStr">
        <is>
          <t>UNVERIFIED – negative EPS</t>
        </is>
      </c>
      <c r="M1076" t="n">
        <v>-58.64</v>
      </c>
      <c r="N1076" t="n">
        <v>-30.45</v>
      </c>
      <c r="O1076" t="n">
        <v>103.87</v>
      </c>
      <c r="P1076" t="n">
        <v>155.4</v>
      </c>
      <c r="Q1076" t="n">
        <v>80.7</v>
      </c>
      <c r="R1076" s="3" t="inlineStr">
        <is>
          <t>MISMATCH_NEEDS_CORRECTION</t>
        </is>
      </c>
      <c r="S1076" t="n">
        <v>103.87</v>
      </c>
      <c r="T1076" t="inlineStr">
        <is>
          <t>30-07-2026 09:42 IST</t>
        </is>
      </c>
    </row>
    <row r="1077">
      <c r="A1077" t="n">
        <v>154</v>
      </c>
      <c r="B1077" t="n">
        <v>509196</v>
      </c>
      <c r="C1077" t="inlineStr">
        <is>
          <t>Zuari Agro Chemicals Ltd</t>
        </is>
      </c>
      <c r="D1077" t="n">
        <v>2025</v>
      </c>
      <c r="E1077" t="n">
        <v>54.9900016784668</v>
      </c>
      <c r="F1077" t="n">
        <v>-5.91</v>
      </c>
      <c r="G1077" t="inlineStr">
        <is>
          <t>Consolidated first (v4) – needs verification for flagged rows</t>
        </is>
      </c>
      <c r="H1077" t="n">
        <v>105</v>
      </c>
      <c r="I1077" t="n">
        <v>65.40000152587891</v>
      </c>
      <c r="L1077" t="inlineStr">
        <is>
          <t>UNVERIFIED – negative EPS</t>
        </is>
      </c>
      <c r="M1077" t="n">
        <v>-17.77</v>
      </c>
      <c r="N1077" t="n">
        <v>-11.07</v>
      </c>
      <c r="O1077" t="n">
        <v>103.87</v>
      </c>
      <c r="P1077" t="n">
        <v>155.4</v>
      </c>
      <c r="Q1077" t="n">
        <v>80.7</v>
      </c>
      <c r="R1077" s="3" t="inlineStr">
        <is>
          <t>MISMATCH_NEEDS_CORRECTION</t>
        </is>
      </c>
      <c r="S1077" t="n">
        <v>103.87</v>
      </c>
      <c r="T1077" t="inlineStr">
        <is>
          <t>30-07-2026 09:42 IST</t>
        </is>
      </c>
    </row>
    <row r="1078">
      <c r="A1078" t="n">
        <v>154</v>
      </c>
      <c r="B1078" t="n">
        <v>509196</v>
      </c>
      <c r="C1078" t="inlineStr">
        <is>
          <t>Zuari Agro Chemicals Ltd</t>
        </is>
      </c>
      <c r="D1078" t="n">
        <v>2026</v>
      </c>
      <c r="E1078" t="n">
        <v>54.9900016784668</v>
      </c>
      <c r="F1078" t="n">
        <v>-1.93</v>
      </c>
      <c r="G1078" t="inlineStr">
        <is>
          <t>Consolidated first (v4) – needs verification for flagged rows</t>
        </is>
      </c>
      <c r="H1078" t="n">
        <v>84.83000183105469</v>
      </c>
      <c r="I1078" t="n">
        <v>50.0099983215332</v>
      </c>
      <c r="L1078" t="inlineStr">
        <is>
          <t>UNVERIFIED – negative EPS</t>
        </is>
      </c>
      <c r="M1078" t="n">
        <v>-43.95</v>
      </c>
      <c r="N1078" t="n">
        <v>-25.91</v>
      </c>
      <c r="O1078" t="n">
        <v>103.87</v>
      </c>
      <c r="P1078" t="n">
        <v>155.4</v>
      </c>
      <c r="Q1078" t="n">
        <v>80.7</v>
      </c>
      <c r="R1078" s="3" t="inlineStr">
        <is>
          <t>MISMATCH_NEEDS_CORRECTION</t>
        </is>
      </c>
      <c r="S1078" t="n">
        <v>103.87</v>
      </c>
      <c r="T1078" t="inlineStr">
        <is>
          <t>30-07-2026 09:42 IST</t>
        </is>
      </c>
    </row>
    <row r="1079">
      <c r="A1079" t="n">
        <v>157</v>
      </c>
      <c r="B1079" t="n">
        <v>509423</v>
      </c>
      <c r="C1079" t="inlineStr">
        <is>
          <t>Sanofi India Ltd</t>
        </is>
      </c>
      <c r="D1079" t="n">
        <v>2015</v>
      </c>
      <c r="E1079" t="n">
        <v>32.11000061035156</v>
      </c>
      <c r="F1079" t="n">
        <v>0.89</v>
      </c>
      <c r="G1079" t="inlineStr">
        <is>
          <t>Consolidated first (v4) – needs verification for flagged rows</t>
        </is>
      </c>
      <c r="H1079" t="n">
        <v>39.25</v>
      </c>
      <c r="I1079" t="n">
        <v>39.25</v>
      </c>
      <c r="L1079" t="inlineStr">
        <is>
          <t>OK</t>
        </is>
      </c>
      <c r="M1079" t="n">
        <v>44.1</v>
      </c>
      <c r="N1079" t="n">
        <v>44.1</v>
      </c>
      <c r="O1079" t="n">
        <v>73.63</v>
      </c>
      <c r="P1079" t="n">
        <v>87.55</v>
      </c>
      <c r="Q1079" t="n">
        <v>18.51</v>
      </c>
      <c r="R1079" s="3" t="inlineStr">
        <is>
          <t>MISMATCH_NEEDS_CORRECTION</t>
        </is>
      </c>
      <c r="S1079" t="n">
        <v>73.63</v>
      </c>
      <c r="T1079" t="inlineStr">
        <is>
          <t>30-07-2026 09:42 IST</t>
        </is>
      </c>
    </row>
    <row r="1080">
      <c r="A1080" t="n">
        <v>157</v>
      </c>
      <c r="B1080" t="n">
        <v>509423</v>
      </c>
      <c r="C1080" t="inlineStr">
        <is>
          <t>Sanofi India Ltd</t>
        </is>
      </c>
      <c r="D1080" t="n">
        <v>2016</v>
      </c>
      <c r="E1080" t="n">
        <v>32.11000061035156</v>
      </c>
      <c r="F1080" t="n">
        <v>66.56999999999999</v>
      </c>
      <c r="G1080" t="inlineStr">
        <is>
          <t>Consolidated first (v4) – needs verification for flagged rows</t>
        </is>
      </c>
      <c r="H1080" t="n">
        <v>39.25</v>
      </c>
      <c r="I1080" t="n">
        <v>39.25</v>
      </c>
      <c r="L1080" t="inlineStr">
        <is>
          <t>OK</t>
        </is>
      </c>
      <c r="M1080" t="n">
        <v>0.59</v>
      </c>
      <c r="N1080" t="n">
        <v>0.59</v>
      </c>
      <c r="O1080" t="n">
        <v>73.63</v>
      </c>
      <c r="P1080" t="n">
        <v>87.55</v>
      </c>
      <c r="Q1080" t="n">
        <v>18.51</v>
      </c>
      <c r="R1080" s="3" t="inlineStr">
        <is>
          <t>MISMATCH_NEEDS_CORRECTION</t>
        </is>
      </c>
      <c r="S1080" t="n">
        <v>73.63</v>
      </c>
      <c r="T1080" t="inlineStr">
        <is>
          <t>30-07-2026 09:42 IST</t>
        </is>
      </c>
    </row>
    <row r="1081">
      <c r="A1081" t="n">
        <v>157</v>
      </c>
      <c r="B1081" t="n">
        <v>509423</v>
      </c>
      <c r="C1081" t="inlineStr">
        <is>
          <t>Sanofi India Ltd</t>
        </is>
      </c>
      <c r="D1081" t="n">
        <v>2017</v>
      </c>
      <c r="E1081" t="n">
        <v>32.11000061035156</v>
      </c>
      <c r="F1081" t="n">
        <v>13.78</v>
      </c>
      <c r="G1081" t="inlineStr">
        <is>
          <t>Consolidated first (v4) – needs verification for flagged rows</t>
        </is>
      </c>
      <c r="H1081" t="n">
        <v>39.25</v>
      </c>
      <c r="I1081" t="n">
        <v>39.25</v>
      </c>
      <c r="L1081" t="inlineStr">
        <is>
          <t>OK</t>
        </is>
      </c>
      <c r="M1081" t="n">
        <v>2.85</v>
      </c>
      <c r="N1081" t="n">
        <v>2.85</v>
      </c>
      <c r="O1081" t="n">
        <v>73.63</v>
      </c>
      <c r="P1081" t="n">
        <v>87.55</v>
      </c>
      <c r="Q1081" t="n">
        <v>18.51</v>
      </c>
      <c r="R1081" s="3" t="inlineStr">
        <is>
          <t>MISMATCH_NEEDS_CORRECTION</t>
        </is>
      </c>
      <c r="S1081" t="n">
        <v>73.63</v>
      </c>
      <c r="T1081" t="inlineStr">
        <is>
          <t>30-07-2026 09:42 IST</t>
        </is>
      </c>
    </row>
    <row r="1082">
      <c r="A1082" t="n">
        <v>157</v>
      </c>
      <c r="B1082" t="n">
        <v>509423</v>
      </c>
      <c r="C1082" t="inlineStr">
        <is>
          <t>Sanofi India Ltd</t>
        </is>
      </c>
      <c r="D1082" t="n">
        <v>2018</v>
      </c>
      <c r="E1082" t="n">
        <v>32.11000061035156</v>
      </c>
      <c r="F1082" t="n">
        <v>-5.46</v>
      </c>
      <c r="G1082" t="inlineStr">
        <is>
          <t>Consolidated first (v4) – needs verification for flagged rows</t>
        </is>
      </c>
      <c r="H1082" t="n">
        <v>39.25</v>
      </c>
      <c r="I1082" t="n">
        <v>12.35000038146973</v>
      </c>
      <c r="L1082" t="inlineStr">
        <is>
          <t>UNVERIFIED – negative EPS</t>
        </is>
      </c>
      <c r="M1082" t="n">
        <v>-7.19</v>
      </c>
      <c r="N1082" t="n">
        <v>-2.26</v>
      </c>
      <c r="O1082" t="n">
        <v>73.63</v>
      </c>
      <c r="P1082" t="n">
        <v>87.55</v>
      </c>
      <c r="Q1082" t="n">
        <v>18.51</v>
      </c>
      <c r="R1082" s="3" t="inlineStr">
        <is>
          <t>MISMATCH_NEEDS_CORRECTION</t>
        </is>
      </c>
      <c r="S1082" t="n">
        <v>73.63</v>
      </c>
      <c r="T1082" t="inlineStr">
        <is>
          <t>30-07-2026 09:42 IST</t>
        </is>
      </c>
    </row>
    <row r="1083">
      <c r="A1083" t="n">
        <v>157</v>
      </c>
      <c r="B1083" t="n">
        <v>509423</v>
      </c>
      <c r="C1083" t="inlineStr">
        <is>
          <t>Sanofi India Ltd</t>
        </is>
      </c>
      <c r="D1083" t="n">
        <v>2019</v>
      </c>
      <c r="E1083" t="n">
        <v>32.11000061035156</v>
      </c>
      <c r="F1083" t="n">
        <v>-3.68</v>
      </c>
      <c r="G1083" t="inlineStr">
        <is>
          <t>Consolidated first (v4) – needs verification for flagged rows</t>
        </is>
      </c>
      <c r="H1083" t="n">
        <v>23.20000076293945</v>
      </c>
      <c r="I1083" t="n">
        <v>8.5</v>
      </c>
      <c r="L1083" t="inlineStr">
        <is>
          <t>UNVERIFIED – negative EPS</t>
        </is>
      </c>
      <c r="M1083" t="n">
        <v>-6.3</v>
      </c>
      <c r="N1083" t="n">
        <v>-2.31</v>
      </c>
      <c r="O1083" t="n">
        <v>73.63</v>
      </c>
      <c r="P1083" t="n">
        <v>87.55</v>
      </c>
      <c r="Q1083" t="n">
        <v>18.51</v>
      </c>
      <c r="R1083" s="3" t="inlineStr">
        <is>
          <t>MISMATCH_NEEDS_CORRECTION</t>
        </is>
      </c>
      <c r="S1083" t="n">
        <v>73.63</v>
      </c>
      <c r="T1083" t="inlineStr">
        <is>
          <t>30-07-2026 09:42 IST</t>
        </is>
      </c>
    </row>
    <row r="1084">
      <c r="A1084" t="n">
        <v>157</v>
      </c>
      <c r="B1084" t="n">
        <v>509423</v>
      </c>
      <c r="C1084" t="inlineStr">
        <is>
          <t>Sanofi India Ltd</t>
        </is>
      </c>
      <c r="D1084" t="n">
        <v>2020</v>
      </c>
      <c r="E1084" t="n">
        <v>32.11000061035156</v>
      </c>
      <c r="F1084" t="n">
        <v>2.03</v>
      </c>
      <c r="G1084" t="inlineStr">
        <is>
          <t>Consolidated first (v4) – needs verification for flagged rows</t>
        </is>
      </c>
      <c r="H1084" t="n">
        <v>12.05000019073486</v>
      </c>
      <c r="I1084" t="n">
        <v>6.449999809265137</v>
      </c>
      <c r="L1084" t="inlineStr">
        <is>
          <t>OK</t>
        </is>
      </c>
      <c r="M1084" t="n">
        <v>5.94</v>
      </c>
      <c r="N1084" t="n">
        <v>3.18</v>
      </c>
      <c r="O1084" t="n">
        <v>73.63</v>
      </c>
      <c r="P1084" t="n">
        <v>87.55</v>
      </c>
      <c r="Q1084" t="n">
        <v>18.51</v>
      </c>
      <c r="R1084" s="3" t="inlineStr">
        <is>
          <t>MISMATCH_NEEDS_CORRECTION</t>
        </is>
      </c>
      <c r="S1084" t="n">
        <v>73.63</v>
      </c>
      <c r="T1084" t="inlineStr">
        <is>
          <t>30-07-2026 09:42 IST</t>
        </is>
      </c>
    </row>
    <row r="1085">
      <c r="A1085" t="n">
        <v>157</v>
      </c>
      <c r="B1085" t="n">
        <v>509423</v>
      </c>
      <c r="C1085" t="inlineStr">
        <is>
          <t>Sanofi India Ltd</t>
        </is>
      </c>
      <c r="D1085" t="n">
        <v>2021</v>
      </c>
      <c r="E1085" t="n">
        <v>32.11000061035156</v>
      </c>
      <c r="F1085" t="n">
        <v>0.57</v>
      </c>
      <c r="G1085" t="inlineStr">
        <is>
          <t>Consolidated first (v4) – needs verification for flagged rows</t>
        </is>
      </c>
      <c r="H1085" t="n">
        <v>46.95000076293945</v>
      </c>
      <c r="I1085" t="n">
        <v>7.800000190734863</v>
      </c>
      <c r="L1085" t="inlineStr">
        <is>
          <t>OK</t>
        </is>
      </c>
      <c r="M1085" t="n">
        <v>82.37</v>
      </c>
      <c r="N1085" t="n">
        <v>13.68</v>
      </c>
      <c r="O1085" t="n">
        <v>73.63</v>
      </c>
      <c r="P1085" t="n">
        <v>87.55</v>
      </c>
      <c r="Q1085" t="n">
        <v>18.51</v>
      </c>
      <c r="R1085" s="3" t="inlineStr">
        <is>
          <t>MISMATCH_NEEDS_CORRECTION</t>
        </is>
      </c>
      <c r="S1085" t="n">
        <v>73.63</v>
      </c>
      <c r="T1085" t="inlineStr">
        <is>
          <t>30-07-2026 09:42 IST</t>
        </is>
      </c>
    </row>
    <row r="1086">
      <c r="A1086" t="n">
        <v>157</v>
      </c>
      <c r="B1086" t="n">
        <v>509423</v>
      </c>
      <c r="C1086" t="inlineStr">
        <is>
          <t>Sanofi India Ltd</t>
        </is>
      </c>
      <c r="D1086" t="n">
        <v>2022</v>
      </c>
      <c r="E1086" t="n">
        <v>32.11000061035156</v>
      </c>
      <c r="F1086" t="n">
        <v>-1.14</v>
      </c>
      <c r="G1086" t="inlineStr">
        <is>
          <t>Consolidated first (v4) – needs verification for flagged rows</t>
        </is>
      </c>
      <c r="H1086" t="n">
        <v>54.59999847412109</v>
      </c>
      <c r="I1086" t="n">
        <v>13.84000015258789</v>
      </c>
      <c r="L1086" t="inlineStr">
        <is>
          <t>UNVERIFIED – negative EPS</t>
        </is>
      </c>
      <c r="M1086" t="n">
        <v>-47.89</v>
      </c>
      <c r="N1086" t="n">
        <v>-12.14</v>
      </c>
      <c r="O1086" t="n">
        <v>73.63</v>
      </c>
      <c r="P1086" t="n">
        <v>87.55</v>
      </c>
      <c r="Q1086" t="n">
        <v>18.51</v>
      </c>
      <c r="R1086" s="3" t="inlineStr">
        <is>
          <t>MISMATCH_NEEDS_CORRECTION</t>
        </is>
      </c>
      <c r="S1086" t="n">
        <v>73.63</v>
      </c>
      <c r="T1086" t="inlineStr">
        <is>
          <t>30-07-2026 09:42 IST</t>
        </is>
      </c>
    </row>
    <row r="1087">
      <c r="A1087" t="n">
        <v>157</v>
      </c>
      <c r="B1087" t="n">
        <v>509423</v>
      </c>
      <c r="C1087" t="inlineStr">
        <is>
          <t>Sanofi India Ltd</t>
        </is>
      </c>
      <c r="D1087" t="n">
        <v>2023</v>
      </c>
      <c r="E1087" t="n">
        <v>32.11000061035156</v>
      </c>
      <c r="F1087" t="n">
        <v>-0.98</v>
      </c>
      <c r="G1087" t="inlineStr">
        <is>
          <t>Consolidated first (v4) – needs verification for flagged rows</t>
        </is>
      </c>
      <c r="H1087" t="n">
        <v>27.39999961853027</v>
      </c>
      <c r="I1087" t="n">
        <v>14.9399995803833</v>
      </c>
      <c r="L1087" t="inlineStr">
        <is>
          <t>UNVERIFIED – negative EPS</t>
        </is>
      </c>
      <c r="M1087" t="n">
        <v>-27.96</v>
      </c>
      <c r="N1087" t="n">
        <v>-15.24</v>
      </c>
      <c r="O1087" t="n">
        <v>73.63</v>
      </c>
      <c r="P1087" t="n">
        <v>87.55</v>
      </c>
      <c r="Q1087" t="n">
        <v>18.51</v>
      </c>
      <c r="R1087" s="3" t="inlineStr">
        <is>
          <t>MISMATCH_NEEDS_CORRECTION</t>
        </is>
      </c>
      <c r="S1087" t="n">
        <v>73.63</v>
      </c>
      <c r="T1087" t="inlineStr">
        <is>
          <t>30-07-2026 09:42 IST</t>
        </is>
      </c>
    </row>
    <row r="1088">
      <c r="A1088" t="n">
        <v>157</v>
      </c>
      <c r="B1088" t="n">
        <v>509423</v>
      </c>
      <c r="C1088" t="inlineStr">
        <is>
          <t>Sanofi India Ltd</t>
        </is>
      </c>
      <c r="D1088" t="n">
        <v>2024</v>
      </c>
      <c r="E1088" t="n">
        <v>32.11000061035156</v>
      </c>
      <c r="F1088" t="n">
        <v>9.33</v>
      </c>
      <c r="G1088" t="inlineStr">
        <is>
          <t>Consolidated first (v4) – needs verification for flagged rows</t>
        </is>
      </c>
      <c r="H1088" t="n">
        <v>87.55000305175781</v>
      </c>
      <c r="I1088" t="n">
        <v>18.25</v>
      </c>
      <c r="L1088" t="inlineStr">
        <is>
          <t>OK</t>
        </is>
      </c>
      <c r="M1088" t="n">
        <v>9.380000000000001</v>
      </c>
      <c r="N1088" t="n">
        <v>1.96</v>
      </c>
      <c r="O1088" t="n">
        <v>73.63</v>
      </c>
      <c r="P1088" t="n">
        <v>87.55</v>
      </c>
      <c r="Q1088" t="n">
        <v>18.51</v>
      </c>
      <c r="R1088" s="3" t="inlineStr">
        <is>
          <t>MISMATCH_NEEDS_CORRECTION</t>
        </is>
      </c>
      <c r="S1088" t="n">
        <v>73.63</v>
      </c>
      <c r="T1088" t="inlineStr">
        <is>
          <t>30-07-2026 09:42 IST</t>
        </is>
      </c>
    </row>
    <row r="1089">
      <c r="A1089" t="n">
        <v>157</v>
      </c>
      <c r="B1089" t="n">
        <v>509423</v>
      </c>
      <c r="C1089" t="inlineStr">
        <is>
          <t>Sanofi India Ltd</t>
        </is>
      </c>
      <c r="D1089" t="n">
        <v>2025</v>
      </c>
      <c r="E1089" t="n">
        <v>32.11000061035156</v>
      </c>
      <c r="F1089" t="n">
        <v>-10.79</v>
      </c>
      <c r="G1089" t="inlineStr">
        <is>
          <t>Consolidated first (v4) – needs verification for flagged rows</t>
        </is>
      </c>
      <c r="H1089" t="n">
        <v>54.33000183105469</v>
      </c>
      <c r="I1089" t="n">
        <v>25.1200008392334</v>
      </c>
      <c r="L1089" t="inlineStr">
        <is>
          <t>UNVERIFIED – negative EPS</t>
        </is>
      </c>
      <c r="M1089" t="n">
        <v>-5.04</v>
      </c>
      <c r="N1089" t="n">
        <v>-2.33</v>
      </c>
      <c r="O1089" t="n">
        <v>73.63</v>
      </c>
      <c r="P1089" t="n">
        <v>87.55</v>
      </c>
      <c r="Q1089" t="n">
        <v>18.51</v>
      </c>
      <c r="R1089" s="3" t="inlineStr">
        <is>
          <t>MISMATCH_NEEDS_CORRECTION</t>
        </is>
      </c>
      <c r="S1089" t="n">
        <v>73.63</v>
      </c>
      <c r="T1089" t="inlineStr">
        <is>
          <t>30-07-2026 09:42 IST</t>
        </is>
      </c>
    </row>
    <row r="1090">
      <c r="A1090" t="n">
        <v>157</v>
      </c>
      <c r="B1090" t="n">
        <v>509423</v>
      </c>
      <c r="C1090" t="inlineStr">
        <is>
          <t>Sanofi India Ltd</t>
        </is>
      </c>
      <c r="D1090" t="n">
        <v>2026</v>
      </c>
      <c r="E1090" t="n">
        <v>32.11000061035156</v>
      </c>
      <c r="F1090" t="n">
        <v>0.32</v>
      </c>
      <c r="G1090" t="inlineStr">
        <is>
          <t>Consolidated first (v4) – needs verification for flagged rows</t>
        </is>
      </c>
      <c r="H1090" t="n">
        <v>49.40000152587891</v>
      </c>
      <c r="I1090" t="n">
        <v>29.75</v>
      </c>
      <c r="L1090" t="inlineStr">
        <is>
          <t>UNVERIFIED – tiny EPS &lt;0.5</t>
        </is>
      </c>
      <c r="M1090" t="n">
        <v>154.38</v>
      </c>
      <c r="N1090" t="n">
        <v>92.97</v>
      </c>
      <c r="O1090" t="n">
        <v>73.63</v>
      </c>
      <c r="P1090" t="n">
        <v>87.55</v>
      </c>
      <c r="Q1090" t="n">
        <v>18.51</v>
      </c>
      <c r="R1090" s="3" t="inlineStr">
        <is>
          <t>MISMATCH_NEEDS_CORRECTION</t>
        </is>
      </c>
      <c r="S1090" t="n">
        <v>73.63</v>
      </c>
      <c r="T1090" t="inlineStr">
        <is>
          <t>30-07-2026 09:42 IST</t>
        </is>
      </c>
    </row>
    <row r="1091">
      <c r="A1091" t="n">
        <v>161</v>
      </c>
      <c r="B1091" t="n">
        <v>509650</v>
      </c>
      <c r="C1091" t="inlineStr">
        <is>
          <t>Excel Industries Ltd</t>
        </is>
      </c>
      <c r="D1091" t="n">
        <v>2026</v>
      </c>
      <c r="E1091" t="n">
        <v>38.7400016784668</v>
      </c>
      <c r="F1091" t="n">
        <v>917.36</v>
      </c>
      <c r="G1091" t="inlineStr">
        <is>
          <t>Consolidated first (v4) – needs verification for flagged rows</t>
        </is>
      </c>
      <c r="H1091" t="n">
        <v>38.7400016784668</v>
      </c>
      <c r="I1091" t="n">
        <v>38.7400016784668</v>
      </c>
      <c r="L1091" t="inlineStr">
        <is>
          <t>OK</t>
        </is>
      </c>
      <c r="M1091" t="n">
        <v>0.04</v>
      </c>
      <c r="N1091" t="n">
        <v>0.04</v>
      </c>
      <c r="O1091" t="n">
        <v>38.74</v>
      </c>
      <c r="P1091" t="n">
        <v>38.74</v>
      </c>
      <c r="Q1091" t="n">
        <v>38.74</v>
      </c>
      <c r="R1091" s="2" t="inlineStr">
        <is>
          <t>VERIFIED_OK</t>
        </is>
      </c>
      <c r="S1091" t="n">
        <v>38.74</v>
      </c>
      <c r="T1091" t="inlineStr">
        <is>
          <t>30-07-2026 09:42 IST</t>
        </is>
      </c>
    </row>
    <row r="1092">
      <c r="A1092" t="n">
        <v>163</v>
      </c>
      <c r="B1092" t="n">
        <v>509760</v>
      </c>
      <c r="C1092" t="inlineStr">
        <is>
          <t>Modern Shares And Stockbrokers Ltd</t>
        </is>
      </c>
      <c r="D1092" t="n">
        <v>2015</v>
      </c>
      <c r="E1092" t="n">
        <v>35.5</v>
      </c>
      <c r="F1092" t="n">
        <v>1.3</v>
      </c>
      <c r="G1092" t="inlineStr">
        <is>
          <t>Consolidated first (v4) – needs verification for flagged rows</t>
        </is>
      </c>
      <c r="H1092" t="n">
        <v>23.25</v>
      </c>
      <c r="I1092" t="n">
        <v>13.19999980926514</v>
      </c>
      <c r="L1092" t="inlineStr">
        <is>
          <t>OK</t>
        </is>
      </c>
      <c r="M1092" t="n">
        <v>17.88</v>
      </c>
      <c r="N1092" t="n">
        <v>10.15</v>
      </c>
      <c r="O1092" t="n">
        <v>51.07</v>
      </c>
      <c r="P1092" t="n">
        <v>69.34999999999999</v>
      </c>
      <c r="Q1092" t="n">
        <v>25.9</v>
      </c>
      <c r="R1092" s="3" t="inlineStr">
        <is>
          <t>MISMATCH_NEEDS_CORRECTION</t>
        </is>
      </c>
      <c r="S1092" t="n">
        <v>51.07</v>
      </c>
      <c r="T1092" t="inlineStr">
        <is>
          <t>30-07-2026 09:42 IST</t>
        </is>
      </c>
    </row>
    <row r="1093">
      <c r="A1093" t="n">
        <v>163</v>
      </c>
      <c r="B1093" t="n">
        <v>509760</v>
      </c>
      <c r="C1093" t="inlineStr">
        <is>
          <t>Modern Shares And Stockbrokers Ltd</t>
        </is>
      </c>
      <c r="D1093" t="n">
        <v>2016</v>
      </c>
      <c r="E1093" t="n">
        <v>35.5</v>
      </c>
      <c r="F1093" t="n">
        <v>0.44</v>
      </c>
      <c r="G1093" t="inlineStr">
        <is>
          <t>Consolidated first (v4) – needs verification for flagged rows</t>
        </is>
      </c>
      <c r="H1093" t="n">
        <v>25.04999923706055</v>
      </c>
      <c r="I1093" t="n">
        <v>13.52000045776367</v>
      </c>
      <c r="L1093" t="inlineStr">
        <is>
          <t>UNVERIFIED – tiny EPS &lt;0.5</t>
        </is>
      </c>
      <c r="M1093" t="n">
        <v>56.93</v>
      </c>
      <c r="N1093" t="n">
        <v>30.73</v>
      </c>
      <c r="O1093" t="n">
        <v>51.07</v>
      </c>
      <c r="P1093" t="n">
        <v>69.34999999999999</v>
      </c>
      <c r="Q1093" t="n">
        <v>25.9</v>
      </c>
      <c r="R1093" s="3" t="inlineStr">
        <is>
          <t>MISMATCH_NEEDS_CORRECTION</t>
        </is>
      </c>
      <c r="S1093" t="n">
        <v>51.07</v>
      </c>
      <c r="T1093" t="inlineStr">
        <is>
          <t>30-07-2026 09:42 IST</t>
        </is>
      </c>
    </row>
    <row r="1094">
      <c r="A1094" t="n">
        <v>163</v>
      </c>
      <c r="B1094" t="n">
        <v>509760</v>
      </c>
      <c r="C1094" t="inlineStr">
        <is>
          <t>Modern Shares And Stockbrokers Ltd</t>
        </is>
      </c>
      <c r="D1094" t="n">
        <v>2017</v>
      </c>
      <c r="E1094" t="n">
        <v>35.5</v>
      </c>
      <c r="F1094" t="n">
        <v>0.48</v>
      </c>
      <c r="G1094" t="inlineStr">
        <is>
          <t>Consolidated first (v4) – needs verification for flagged rows</t>
        </is>
      </c>
      <c r="H1094" t="n">
        <v>30.10000038146973</v>
      </c>
      <c r="I1094" t="n">
        <v>13.69999980926514</v>
      </c>
      <c r="L1094" t="inlineStr">
        <is>
          <t>UNVERIFIED – tiny EPS &lt;0.5</t>
        </is>
      </c>
      <c r="M1094" t="n">
        <v>62.71</v>
      </c>
      <c r="N1094" t="n">
        <v>28.54</v>
      </c>
      <c r="O1094" t="n">
        <v>51.07</v>
      </c>
      <c r="P1094" t="n">
        <v>69.34999999999999</v>
      </c>
      <c r="Q1094" t="n">
        <v>25.9</v>
      </c>
      <c r="R1094" s="3" t="inlineStr">
        <is>
          <t>MISMATCH_NEEDS_CORRECTION</t>
        </is>
      </c>
      <c r="S1094" t="n">
        <v>51.07</v>
      </c>
      <c r="T1094" t="inlineStr">
        <is>
          <t>30-07-2026 09:42 IST</t>
        </is>
      </c>
    </row>
    <row r="1095">
      <c r="A1095" t="n">
        <v>163</v>
      </c>
      <c r="B1095" t="n">
        <v>509760</v>
      </c>
      <c r="C1095" t="inlineStr">
        <is>
          <t>Modern Shares And Stockbrokers Ltd</t>
        </is>
      </c>
      <c r="D1095" t="n">
        <v>2018</v>
      </c>
      <c r="E1095" t="n">
        <v>35.5</v>
      </c>
      <c r="F1095" t="n">
        <v>0.72</v>
      </c>
      <c r="G1095" t="inlineStr">
        <is>
          <t>Consolidated first (v4) – needs verification for flagged rows</t>
        </is>
      </c>
      <c r="H1095" t="n">
        <v>22.10000038146973</v>
      </c>
      <c r="I1095" t="n">
        <v>10.30000019073486</v>
      </c>
      <c r="L1095" t="inlineStr">
        <is>
          <t>OK</t>
        </is>
      </c>
      <c r="M1095" t="n">
        <v>30.69</v>
      </c>
      <c r="N1095" t="n">
        <v>14.31</v>
      </c>
      <c r="O1095" t="n">
        <v>51.07</v>
      </c>
      <c r="P1095" t="n">
        <v>69.34999999999999</v>
      </c>
      <c r="Q1095" t="n">
        <v>25.9</v>
      </c>
      <c r="R1095" s="3" t="inlineStr">
        <is>
          <t>MISMATCH_NEEDS_CORRECTION</t>
        </is>
      </c>
      <c r="S1095" t="n">
        <v>51.07</v>
      </c>
      <c r="T1095" t="inlineStr">
        <is>
          <t>30-07-2026 09:42 IST</t>
        </is>
      </c>
    </row>
    <row r="1096">
      <c r="A1096" t="n">
        <v>163</v>
      </c>
      <c r="B1096" t="n">
        <v>509760</v>
      </c>
      <c r="C1096" t="inlineStr">
        <is>
          <t>Modern Shares And Stockbrokers Ltd</t>
        </is>
      </c>
      <c r="D1096" t="n">
        <v>2019</v>
      </c>
      <c r="E1096" t="n">
        <v>35.5</v>
      </c>
      <c r="F1096" t="n">
        <v>-1.81</v>
      </c>
      <c r="G1096" t="inlineStr">
        <is>
          <t>Consolidated first (v4) – needs verification for flagged rows</t>
        </is>
      </c>
      <c r="H1096" t="n">
        <v>10.35000038146973</v>
      </c>
      <c r="I1096" t="n">
        <v>6.889999866485596</v>
      </c>
      <c r="L1096" t="inlineStr">
        <is>
          <t>UNVERIFIED – negative EPS</t>
        </is>
      </c>
      <c r="M1096" t="n">
        <v>-5.72</v>
      </c>
      <c r="N1096" t="n">
        <v>-3.81</v>
      </c>
      <c r="O1096" t="n">
        <v>51.07</v>
      </c>
      <c r="P1096" t="n">
        <v>69.34999999999999</v>
      </c>
      <c r="Q1096" t="n">
        <v>25.9</v>
      </c>
      <c r="R1096" s="3" t="inlineStr">
        <is>
          <t>MISMATCH_NEEDS_CORRECTION</t>
        </is>
      </c>
      <c r="S1096" t="n">
        <v>51.07</v>
      </c>
      <c r="T1096" t="inlineStr">
        <is>
          <t>30-07-2026 09:42 IST</t>
        </is>
      </c>
    </row>
    <row r="1097">
      <c r="A1097" t="n">
        <v>163</v>
      </c>
      <c r="B1097" t="n">
        <v>509760</v>
      </c>
      <c r="C1097" t="inlineStr">
        <is>
          <t>Modern Shares And Stockbrokers Ltd</t>
        </is>
      </c>
      <c r="D1097" t="n">
        <v>2020</v>
      </c>
      <c r="E1097" t="n">
        <v>35.5</v>
      </c>
      <c r="F1097" t="n">
        <v>-1.36</v>
      </c>
      <c r="G1097" t="inlineStr">
        <is>
          <t>Consolidated first (v4) – needs verification for flagged rows</t>
        </is>
      </c>
      <c r="H1097" t="n">
        <v>7.21999979019165</v>
      </c>
      <c r="I1097" t="n">
        <v>4.940000057220459</v>
      </c>
      <c r="L1097" t="inlineStr">
        <is>
          <t>UNVERIFIED – negative EPS</t>
        </is>
      </c>
      <c r="M1097" t="n">
        <v>-5.31</v>
      </c>
      <c r="N1097" t="n">
        <v>-3.63</v>
      </c>
      <c r="O1097" t="n">
        <v>51.07</v>
      </c>
      <c r="P1097" t="n">
        <v>69.34999999999999</v>
      </c>
      <c r="Q1097" t="n">
        <v>25.9</v>
      </c>
      <c r="R1097" s="3" t="inlineStr">
        <is>
          <t>MISMATCH_NEEDS_CORRECTION</t>
        </is>
      </c>
      <c r="S1097" t="n">
        <v>51.07</v>
      </c>
      <c r="T1097" t="inlineStr">
        <is>
          <t>30-07-2026 09:42 IST</t>
        </is>
      </c>
    </row>
    <row r="1098">
      <c r="A1098" t="n">
        <v>163</v>
      </c>
      <c r="B1098" t="n">
        <v>509760</v>
      </c>
      <c r="C1098" t="inlineStr">
        <is>
          <t>Modern Shares And Stockbrokers Ltd</t>
        </is>
      </c>
      <c r="D1098" t="n">
        <v>2021</v>
      </c>
      <c r="E1098" t="n">
        <v>35.5</v>
      </c>
      <c r="F1098" t="n">
        <v>0.1</v>
      </c>
      <c r="G1098" t="inlineStr">
        <is>
          <t>Consolidated first (v4) – needs verification for flagged rows</t>
        </is>
      </c>
      <c r="H1098" t="n">
        <v>22.95000076293945</v>
      </c>
      <c r="I1098" t="n">
        <v>5</v>
      </c>
      <c r="L1098" t="inlineStr">
        <is>
          <t>UNVERIFIED – tiny EPS &lt;0.5</t>
        </is>
      </c>
      <c r="M1098" t="n">
        <v>229.5</v>
      </c>
      <c r="N1098" t="n">
        <v>50</v>
      </c>
      <c r="O1098" t="n">
        <v>51.07</v>
      </c>
      <c r="P1098" t="n">
        <v>69.34999999999999</v>
      </c>
      <c r="Q1098" t="n">
        <v>25.9</v>
      </c>
      <c r="R1098" s="3" t="inlineStr">
        <is>
          <t>MISMATCH_NEEDS_CORRECTION</t>
        </is>
      </c>
      <c r="S1098" t="n">
        <v>51.07</v>
      </c>
      <c r="T1098" t="inlineStr">
        <is>
          <t>30-07-2026 09:42 IST</t>
        </is>
      </c>
    </row>
    <row r="1099">
      <c r="A1099" t="n">
        <v>163</v>
      </c>
      <c r="B1099" t="n">
        <v>509760</v>
      </c>
      <c r="C1099" t="inlineStr">
        <is>
          <t>Modern Shares And Stockbrokers Ltd</t>
        </is>
      </c>
      <c r="D1099" t="n">
        <v>2022</v>
      </c>
      <c r="E1099" t="n">
        <v>35.5</v>
      </c>
      <c r="F1099" t="n">
        <v>0.96</v>
      </c>
      <c r="G1099" t="inlineStr">
        <is>
          <t>Consolidated first (v4) – needs verification for flagged rows</t>
        </is>
      </c>
      <c r="H1099" t="n">
        <v>22.79999923706055</v>
      </c>
      <c r="I1099" t="n">
        <v>11.19999980926514</v>
      </c>
      <c r="L1099" t="inlineStr">
        <is>
          <t>OK</t>
        </is>
      </c>
      <c r="M1099" t="n">
        <v>23.75</v>
      </c>
      <c r="N1099" t="n">
        <v>11.67</v>
      </c>
      <c r="O1099" t="n">
        <v>51.07</v>
      </c>
      <c r="P1099" t="n">
        <v>69.34999999999999</v>
      </c>
      <c r="Q1099" t="n">
        <v>25.9</v>
      </c>
      <c r="R1099" s="3" t="inlineStr">
        <is>
          <t>MISMATCH_NEEDS_CORRECTION</t>
        </is>
      </c>
      <c r="S1099" t="n">
        <v>51.07</v>
      </c>
      <c r="T1099" t="inlineStr">
        <is>
          <t>30-07-2026 09:42 IST</t>
        </is>
      </c>
    </row>
    <row r="1100">
      <c r="A1100" t="n">
        <v>163</v>
      </c>
      <c r="B1100" t="n">
        <v>509760</v>
      </c>
      <c r="C1100" t="inlineStr">
        <is>
          <t>Modern Shares And Stockbrokers Ltd</t>
        </is>
      </c>
      <c r="D1100" t="n">
        <v>2023</v>
      </c>
      <c r="E1100" t="n">
        <v>35.5</v>
      </c>
      <c r="F1100" t="n">
        <v>0.61</v>
      </c>
      <c r="G1100" t="inlineStr">
        <is>
          <t>Consolidated first (v4) – needs verification for flagged rows</t>
        </is>
      </c>
      <c r="H1100" t="n">
        <v>41.36000061035156</v>
      </c>
      <c r="I1100" t="n">
        <v>14</v>
      </c>
      <c r="L1100" t="inlineStr">
        <is>
          <t>OK</t>
        </is>
      </c>
      <c r="M1100" t="n">
        <v>67.8</v>
      </c>
      <c r="N1100" t="n">
        <v>22.95</v>
      </c>
      <c r="O1100" t="n">
        <v>51.07</v>
      </c>
      <c r="P1100" t="n">
        <v>69.34999999999999</v>
      </c>
      <c r="Q1100" t="n">
        <v>25.9</v>
      </c>
      <c r="R1100" s="3" t="inlineStr">
        <is>
          <t>MISMATCH_NEEDS_CORRECTION</t>
        </is>
      </c>
      <c r="S1100" t="n">
        <v>51.07</v>
      </c>
      <c r="T1100" t="inlineStr">
        <is>
          <t>30-07-2026 09:42 IST</t>
        </is>
      </c>
    </row>
    <row r="1101">
      <c r="A1101" t="n">
        <v>163</v>
      </c>
      <c r="B1101" t="n">
        <v>509760</v>
      </c>
      <c r="C1101" t="inlineStr">
        <is>
          <t>Modern Shares And Stockbrokers Ltd</t>
        </is>
      </c>
      <c r="D1101" t="n">
        <v>2024</v>
      </c>
      <c r="E1101" t="n">
        <v>35.5</v>
      </c>
      <c r="F1101" t="n">
        <v>1.36</v>
      </c>
      <c r="G1101" t="inlineStr">
        <is>
          <t>Consolidated first (v4) – needs verification for flagged rows</t>
        </is>
      </c>
      <c r="H1101" t="n">
        <v>69.34999847412109</v>
      </c>
      <c r="I1101" t="n">
        <v>25.89999961853027</v>
      </c>
      <c r="L1101" t="inlineStr">
        <is>
          <t>OK</t>
        </is>
      </c>
      <c r="M1101" t="n">
        <v>50.99</v>
      </c>
      <c r="N1101" t="n">
        <v>19.04</v>
      </c>
      <c r="O1101" t="n">
        <v>51.07</v>
      </c>
      <c r="P1101" t="n">
        <v>69.34999999999999</v>
      </c>
      <c r="Q1101" t="n">
        <v>25.9</v>
      </c>
      <c r="R1101" s="3" t="inlineStr">
        <is>
          <t>MISMATCH_NEEDS_CORRECTION</t>
        </is>
      </c>
      <c r="S1101" t="n">
        <v>51.07</v>
      </c>
      <c r="T1101" t="inlineStr">
        <is>
          <t>30-07-2026 09:42 IST</t>
        </is>
      </c>
    </row>
    <row r="1102">
      <c r="A1102" t="n">
        <v>163</v>
      </c>
      <c r="B1102" t="n">
        <v>509760</v>
      </c>
      <c r="C1102" t="inlineStr">
        <is>
          <t>Modern Shares And Stockbrokers Ltd</t>
        </is>
      </c>
      <c r="D1102" t="n">
        <v>2025</v>
      </c>
      <c r="E1102" t="n">
        <v>35.5</v>
      </c>
      <c r="F1102" t="n">
        <v>0.75</v>
      </c>
      <c r="G1102" t="inlineStr">
        <is>
          <t>Consolidated first (v4) – needs verification for flagged rows</t>
        </is>
      </c>
      <c r="H1102" t="n">
        <v>66.79000091552734</v>
      </c>
      <c r="I1102" t="n">
        <v>36.38000106811523</v>
      </c>
      <c r="L1102" t="inlineStr">
        <is>
          <t>OK</t>
        </is>
      </c>
      <c r="M1102" t="n">
        <v>89.05</v>
      </c>
      <c r="N1102" t="n">
        <v>48.51</v>
      </c>
      <c r="O1102" t="n">
        <v>51.07</v>
      </c>
      <c r="P1102" t="n">
        <v>69.34999999999999</v>
      </c>
      <c r="Q1102" t="n">
        <v>25.9</v>
      </c>
      <c r="R1102" s="3" t="inlineStr">
        <is>
          <t>MISMATCH_NEEDS_CORRECTION</t>
        </is>
      </c>
      <c r="S1102" t="n">
        <v>51.07</v>
      </c>
      <c r="T1102" t="inlineStr">
        <is>
          <t>30-07-2026 09:42 IST</t>
        </is>
      </c>
    </row>
    <row r="1103">
      <c r="A1103" t="n">
        <v>163</v>
      </c>
      <c r="B1103" t="n">
        <v>509760</v>
      </c>
      <c r="C1103" t="inlineStr">
        <is>
          <t>Modern Shares And Stockbrokers Ltd</t>
        </is>
      </c>
      <c r="D1103" t="n">
        <v>2026</v>
      </c>
      <c r="E1103" t="n">
        <v>35.5</v>
      </c>
      <c r="F1103" t="n">
        <v>0.68</v>
      </c>
      <c r="G1103" t="inlineStr">
        <is>
          <t>Consolidated first (v4) – needs verification for flagged rows</t>
        </is>
      </c>
      <c r="H1103" t="n">
        <v>45.5</v>
      </c>
      <c r="I1103" t="n">
        <v>24.70000076293945</v>
      </c>
      <c r="L1103" t="inlineStr">
        <is>
          <t>OK</t>
        </is>
      </c>
      <c r="M1103" t="n">
        <v>66.91</v>
      </c>
      <c r="N1103" t="n">
        <v>36.32</v>
      </c>
      <c r="O1103" t="n">
        <v>51.07</v>
      </c>
      <c r="P1103" t="n">
        <v>69.34999999999999</v>
      </c>
      <c r="Q1103" t="n">
        <v>25.9</v>
      </c>
      <c r="R1103" s="3" t="inlineStr">
        <is>
          <t>MISMATCH_NEEDS_CORRECTION</t>
        </is>
      </c>
      <c r="S1103" t="n">
        <v>51.07</v>
      </c>
      <c r="T1103" t="inlineStr">
        <is>
          <t>30-07-2026 09:42 IST</t>
        </is>
      </c>
    </row>
    <row r="1104">
      <c r="A1104" t="n">
        <v>164</v>
      </c>
      <c r="B1104" t="n">
        <v>509887</v>
      </c>
      <c r="C1104" t="inlineStr">
        <is>
          <t>Syncom Formulations India Ltd</t>
        </is>
      </c>
      <c r="D1104" t="n">
        <v>2015</v>
      </c>
      <c r="E1104" t="n">
        <v>722</v>
      </c>
      <c r="G1104" t="inlineStr">
        <is>
          <t>Consolidated first (v4) – needs verification for flagged rows</t>
        </is>
      </c>
      <c r="H1104" t="n">
        <v>200.5500030517578</v>
      </c>
      <c r="I1104" t="n">
        <v>191</v>
      </c>
      <c r="L1104" t="inlineStr">
        <is>
          <t>INCOMPLETE</t>
        </is>
      </c>
      <c r="O1104" t="n">
        <v>769</v>
      </c>
      <c r="P1104" t="n">
        <v>874.65</v>
      </c>
      <c r="Q1104" t="n">
        <v>370.5</v>
      </c>
      <c r="R1104" s="3" t="inlineStr">
        <is>
          <t>MISMATCH_NEEDS_CORRECTION</t>
        </is>
      </c>
      <c r="S1104" t="n">
        <v>769</v>
      </c>
      <c r="T1104" t="inlineStr">
        <is>
          <t>30-07-2026 09:42 IST</t>
        </is>
      </c>
    </row>
    <row r="1105">
      <c r="A1105" t="n">
        <v>164</v>
      </c>
      <c r="B1105" t="n">
        <v>509887</v>
      </c>
      <c r="C1105" t="inlineStr">
        <is>
          <t>Syncom Formulations India Ltd</t>
        </is>
      </c>
      <c r="D1105" t="n">
        <v>2016</v>
      </c>
      <c r="E1105" t="n">
        <v>722</v>
      </c>
      <c r="F1105" t="n">
        <v>5.5</v>
      </c>
      <c r="G1105" t="inlineStr">
        <is>
          <t>Consolidated first (v4) – needs verification for flagged rows</t>
        </is>
      </c>
      <c r="H1105" t="n">
        <v>210.5</v>
      </c>
      <c r="I1105" t="n">
        <v>200.5</v>
      </c>
      <c r="L1105" t="inlineStr">
        <is>
          <t>OK</t>
        </is>
      </c>
      <c r="M1105" t="n">
        <v>38.27</v>
      </c>
      <c r="N1105" t="n">
        <v>36.45</v>
      </c>
      <c r="O1105" t="n">
        <v>769</v>
      </c>
      <c r="P1105" t="n">
        <v>874.65</v>
      </c>
      <c r="Q1105" t="n">
        <v>370.5</v>
      </c>
      <c r="R1105" s="3" t="inlineStr">
        <is>
          <t>MISMATCH_NEEDS_CORRECTION</t>
        </is>
      </c>
      <c r="S1105" t="n">
        <v>769</v>
      </c>
      <c r="T1105" t="inlineStr">
        <is>
          <t>30-07-2026 09:42 IST</t>
        </is>
      </c>
    </row>
    <row r="1106">
      <c r="A1106" t="n">
        <v>164</v>
      </c>
      <c r="B1106" t="n">
        <v>509887</v>
      </c>
      <c r="C1106" t="inlineStr">
        <is>
          <t>Syncom Formulations India Ltd</t>
        </is>
      </c>
      <c r="D1106" t="n">
        <v>2017</v>
      </c>
      <c r="E1106" t="n">
        <v>722</v>
      </c>
      <c r="G1106" t="inlineStr">
        <is>
          <t>Consolidated first (v4) – needs verification for flagged rows</t>
        </is>
      </c>
      <c r="H1106" t="n">
        <v>215</v>
      </c>
      <c r="I1106" t="n">
        <v>210.5</v>
      </c>
      <c r="L1106" t="inlineStr">
        <is>
          <t>INCOMPLETE</t>
        </is>
      </c>
      <c r="O1106" t="n">
        <v>769</v>
      </c>
      <c r="P1106" t="n">
        <v>874.65</v>
      </c>
      <c r="Q1106" t="n">
        <v>370.5</v>
      </c>
      <c r="R1106" s="3" t="inlineStr">
        <is>
          <t>MISMATCH_NEEDS_CORRECTION</t>
        </is>
      </c>
      <c r="S1106" t="n">
        <v>769</v>
      </c>
      <c r="T1106" t="inlineStr">
        <is>
          <t>30-07-2026 09:42 IST</t>
        </is>
      </c>
    </row>
    <row r="1107">
      <c r="A1107" t="n">
        <v>164</v>
      </c>
      <c r="B1107" t="n">
        <v>509887</v>
      </c>
      <c r="C1107" t="inlineStr">
        <is>
          <t>Syncom Formulations India Ltd</t>
        </is>
      </c>
      <c r="D1107" t="n">
        <v>2018</v>
      </c>
      <c r="E1107" t="n">
        <v>722</v>
      </c>
      <c r="F1107" t="n">
        <v>-3.5</v>
      </c>
      <c r="G1107" t="inlineStr">
        <is>
          <t>Consolidated first (v4) – needs verification for flagged rows</t>
        </is>
      </c>
      <c r="H1107" t="n">
        <v>215</v>
      </c>
      <c r="I1107" t="n">
        <v>215</v>
      </c>
      <c r="L1107" t="inlineStr">
        <is>
          <t>UNVERIFIED – negative EPS</t>
        </is>
      </c>
      <c r="M1107" t="n">
        <v>-61.43</v>
      </c>
      <c r="N1107" t="n">
        <v>-61.43</v>
      </c>
      <c r="O1107" t="n">
        <v>769</v>
      </c>
      <c r="P1107" t="n">
        <v>874.65</v>
      </c>
      <c r="Q1107" t="n">
        <v>370.5</v>
      </c>
      <c r="R1107" s="3" t="inlineStr">
        <is>
          <t>MISMATCH_NEEDS_CORRECTION</t>
        </is>
      </c>
      <c r="S1107" t="n">
        <v>769</v>
      </c>
      <c r="T1107" t="inlineStr">
        <is>
          <t>30-07-2026 09:42 IST</t>
        </is>
      </c>
    </row>
    <row r="1108">
      <c r="A1108" t="n">
        <v>164</v>
      </c>
      <c r="B1108" t="n">
        <v>509887</v>
      </c>
      <c r="C1108" t="inlineStr">
        <is>
          <t>Syncom Formulations India Ltd</t>
        </is>
      </c>
      <c r="D1108" t="n">
        <v>2019</v>
      </c>
      <c r="E1108" t="n">
        <v>722</v>
      </c>
      <c r="F1108" t="n">
        <v>-5.25</v>
      </c>
      <c r="G1108" t="inlineStr">
        <is>
          <t>Consolidated first (v4) – needs verification for flagged rows</t>
        </is>
      </c>
      <c r="H1108" t="n">
        <v>215</v>
      </c>
      <c r="I1108" t="n">
        <v>215</v>
      </c>
      <c r="L1108" t="inlineStr">
        <is>
          <t>UNVERIFIED – negative EPS</t>
        </is>
      </c>
      <c r="M1108" t="n">
        <v>-40.95</v>
      </c>
      <c r="N1108" t="n">
        <v>-40.95</v>
      </c>
      <c r="O1108" t="n">
        <v>769</v>
      </c>
      <c r="P1108" t="n">
        <v>874.65</v>
      </c>
      <c r="Q1108" t="n">
        <v>370.5</v>
      </c>
      <c r="R1108" s="3" t="inlineStr">
        <is>
          <t>MISMATCH_NEEDS_CORRECTION</t>
        </is>
      </c>
      <c r="S1108" t="n">
        <v>769</v>
      </c>
      <c r="T1108" t="inlineStr">
        <is>
          <t>30-07-2026 09:42 IST</t>
        </is>
      </c>
    </row>
    <row r="1109">
      <c r="A1109" t="n">
        <v>164</v>
      </c>
      <c r="B1109" t="n">
        <v>509887</v>
      </c>
      <c r="C1109" t="inlineStr">
        <is>
          <t>Syncom Formulations India Ltd</t>
        </is>
      </c>
      <c r="D1109" t="n">
        <v>2020</v>
      </c>
      <c r="E1109" t="n">
        <v>722</v>
      </c>
      <c r="F1109" t="n">
        <v>-5.75</v>
      </c>
      <c r="G1109" t="inlineStr">
        <is>
          <t>Consolidated first (v4) – needs verification for flagged rows</t>
        </is>
      </c>
      <c r="H1109" t="n">
        <v>225.75</v>
      </c>
      <c r="I1109" t="n">
        <v>205.0500030517578</v>
      </c>
      <c r="L1109" t="inlineStr">
        <is>
          <t>UNVERIFIED – negative EPS</t>
        </is>
      </c>
      <c r="M1109" t="n">
        <v>-39.26</v>
      </c>
      <c r="N1109" t="n">
        <v>-35.66</v>
      </c>
      <c r="O1109" t="n">
        <v>769</v>
      </c>
      <c r="P1109" t="n">
        <v>874.65</v>
      </c>
      <c r="Q1109" t="n">
        <v>370.5</v>
      </c>
      <c r="R1109" s="3" t="inlineStr">
        <is>
          <t>MISMATCH_NEEDS_CORRECTION</t>
        </is>
      </c>
      <c r="S1109" t="n">
        <v>769</v>
      </c>
      <c r="T1109" t="inlineStr">
        <is>
          <t>30-07-2026 09:42 IST</t>
        </is>
      </c>
    </row>
    <row r="1110">
      <c r="A1110" t="n">
        <v>164</v>
      </c>
      <c r="B1110" t="n">
        <v>509887</v>
      </c>
      <c r="C1110" t="inlineStr">
        <is>
          <t>Syncom Formulations India Ltd</t>
        </is>
      </c>
      <c r="D1110" t="n">
        <v>2021</v>
      </c>
      <c r="E1110" t="n">
        <v>722</v>
      </c>
      <c r="F1110" t="n">
        <v>-4.5</v>
      </c>
      <c r="G1110" t="inlineStr">
        <is>
          <t>Consolidated first (v4) – needs verification for flagged rows</t>
        </is>
      </c>
      <c r="H1110" t="n">
        <v>215.25</v>
      </c>
      <c r="I1110" t="n">
        <v>215.25</v>
      </c>
      <c r="L1110" t="inlineStr">
        <is>
          <t>UNVERIFIED – negative EPS</t>
        </is>
      </c>
      <c r="M1110" t="n">
        <v>-47.83</v>
      </c>
      <c r="N1110" t="n">
        <v>-47.83</v>
      </c>
      <c r="O1110" t="n">
        <v>769</v>
      </c>
      <c r="P1110" t="n">
        <v>874.65</v>
      </c>
      <c r="Q1110" t="n">
        <v>370.5</v>
      </c>
      <c r="R1110" s="3" t="inlineStr">
        <is>
          <t>MISMATCH_NEEDS_CORRECTION</t>
        </is>
      </c>
      <c r="S1110" t="n">
        <v>769</v>
      </c>
      <c r="T1110" t="inlineStr">
        <is>
          <t>30-07-2026 09:42 IST</t>
        </is>
      </c>
    </row>
    <row r="1111">
      <c r="A1111" t="n">
        <v>164</v>
      </c>
      <c r="B1111" t="n">
        <v>509887</v>
      </c>
      <c r="C1111" t="inlineStr">
        <is>
          <t>Syncom Formulations India Ltd</t>
        </is>
      </c>
      <c r="D1111" t="n">
        <v>2022</v>
      </c>
      <c r="E1111" t="n">
        <v>722</v>
      </c>
      <c r="F1111" t="n">
        <v>-3</v>
      </c>
      <c r="G1111" t="inlineStr">
        <is>
          <t>Consolidated first (v4) – needs verification for flagged rows</t>
        </is>
      </c>
      <c r="H1111" t="n">
        <v>215.25</v>
      </c>
      <c r="I1111" t="n">
        <v>215.25</v>
      </c>
      <c r="L1111" t="inlineStr">
        <is>
          <t>UNVERIFIED – negative EPS</t>
        </is>
      </c>
      <c r="M1111" t="n">
        <v>-71.75</v>
      </c>
      <c r="N1111" t="n">
        <v>-71.75</v>
      </c>
      <c r="O1111" t="n">
        <v>769</v>
      </c>
      <c r="P1111" t="n">
        <v>874.65</v>
      </c>
      <c r="Q1111" t="n">
        <v>370.5</v>
      </c>
      <c r="R1111" s="3" t="inlineStr">
        <is>
          <t>MISMATCH_NEEDS_CORRECTION</t>
        </is>
      </c>
      <c r="S1111" t="n">
        <v>769</v>
      </c>
      <c r="T1111" t="inlineStr">
        <is>
          <t>30-07-2026 09:42 IST</t>
        </is>
      </c>
    </row>
    <row r="1112">
      <c r="A1112" t="n">
        <v>164</v>
      </c>
      <c r="B1112" t="n">
        <v>509887</v>
      </c>
      <c r="C1112" t="inlineStr">
        <is>
          <t>Syncom Formulations India Ltd</t>
        </is>
      </c>
      <c r="D1112" t="n">
        <v>2023</v>
      </c>
      <c r="E1112" t="n">
        <v>722</v>
      </c>
      <c r="F1112" t="n">
        <v>11</v>
      </c>
      <c r="G1112" t="inlineStr">
        <is>
          <t>Consolidated first (v4) – needs verification for flagged rows</t>
        </is>
      </c>
      <c r="H1112" t="n">
        <v>766</v>
      </c>
      <c r="I1112" t="n">
        <v>215.25</v>
      </c>
      <c r="L1112" t="inlineStr">
        <is>
          <t>OK</t>
        </is>
      </c>
      <c r="M1112" t="n">
        <v>69.64</v>
      </c>
      <c r="N1112" t="n">
        <v>19.57</v>
      </c>
      <c r="O1112" t="n">
        <v>769</v>
      </c>
      <c r="P1112" t="n">
        <v>874.65</v>
      </c>
      <c r="Q1112" t="n">
        <v>370.5</v>
      </c>
      <c r="R1112" s="3" t="inlineStr">
        <is>
          <t>MISMATCH_NEEDS_CORRECTION</t>
        </is>
      </c>
      <c r="S1112" t="n">
        <v>769</v>
      </c>
      <c r="T1112" t="inlineStr">
        <is>
          <t>30-07-2026 09:42 IST</t>
        </is>
      </c>
    </row>
    <row r="1113">
      <c r="A1113" t="n">
        <v>164</v>
      </c>
      <c r="B1113" t="n">
        <v>509887</v>
      </c>
      <c r="C1113" t="inlineStr">
        <is>
          <t>Syncom Formulations India Ltd</t>
        </is>
      </c>
      <c r="D1113" t="n">
        <v>2024</v>
      </c>
      <c r="E1113" t="n">
        <v>722</v>
      </c>
      <c r="F1113" t="n">
        <v>3</v>
      </c>
      <c r="G1113" t="inlineStr">
        <is>
          <t>Consolidated first (v4) – needs verification for flagged rows</t>
        </is>
      </c>
      <c r="H1113" t="n">
        <v>874.6500244140625</v>
      </c>
      <c r="I1113" t="n">
        <v>370.5</v>
      </c>
      <c r="L1113" t="inlineStr">
        <is>
          <t>OK</t>
        </is>
      </c>
      <c r="M1113" t="n">
        <v>291.55</v>
      </c>
      <c r="N1113" t="n">
        <v>123.5</v>
      </c>
      <c r="O1113" t="n">
        <v>769</v>
      </c>
      <c r="P1113" t="n">
        <v>874.65</v>
      </c>
      <c r="Q1113" t="n">
        <v>370.5</v>
      </c>
      <c r="R1113" s="3" t="inlineStr">
        <is>
          <t>MISMATCH_NEEDS_CORRECTION</t>
        </is>
      </c>
      <c r="S1113" t="n">
        <v>769</v>
      </c>
      <c r="T1113" t="inlineStr">
        <is>
          <t>30-07-2026 09:42 IST</t>
        </is>
      </c>
    </row>
    <row r="1114">
      <c r="A1114" t="n">
        <v>164</v>
      </c>
      <c r="B1114" t="n">
        <v>509887</v>
      </c>
      <c r="C1114" t="inlineStr">
        <is>
          <t>Syncom Formulations India Ltd</t>
        </is>
      </c>
      <c r="D1114" t="n">
        <v>2025</v>
      </c>
      <c r="E1114" t="n">
        <v>722</v>
      </c>
      <c r="F1114" t="n">
        <v>-3</v>
      </c>
      <c r="G1114" t="inlineStr">
        <is>
          <t>Consolidated first (v4) – needs verification for flagged rows</t>
        </is>
      </c>
      <c r="H1114" t="n">
        <v>1050.900024414062</v>
      </c>
      <c r="I1114" t="n">
        <v>547.8499755859375</v>
      </c>
      <c r="L1114" t="inlineStr">
        <is>
          <t>UNVERIFIED – negative EPS</t>
        </is>
      </c>
      <c r="M1114" t="n">
        <v>-350.3</v>
      </c>
      <c r="N1114" t="n">
        <v>-182.62</v>
      </c>
      <c r="O1114" t="n">
        <v>769</v>
      </c>
      <c r="P1114" t="n">
        <v>874.65</v>
      </c>
      <c r="Q1114" t="n">
        <v>370.5</v>
      </c>
      <c r="R1114" s="3" t="inlineStr">
        <is>
          <t>MISMATCH_NEEDS_CORRECTION</t>
        </is>
      </c>
      <c r="S1114" t="n">
        <v>769</v>
      </c>
      <c r="T1114" t="inlineStr">
        <is>
          <t>30-07-2026 09:42 IST</t>
        </is>
      </c>
    </row>
    <row r="1115">
      <c r="A1115" t="n">
        <v>164</v>
      </c>
      <c r="B1115" t="n">
        <v>509887</v>
      </c>
      <c r="C1115" t="inlineStr">
        <is>
          <t>Syncom Formulations India Ltd</t>
        </is>
      </c>
      <c r="D1115" t="n">
        <v>2026</v>
      </c>
      <c r="E1115" t="n">
        <v>722</v>
      </c>
      <c r="F1115" t="n">
        <v>-3.25</v>
      </c>
      <c r="G1115" t="inlineStr">
        <is>
          <t>Consolidated first (v4) – needs verification for flagged rows</t>
        </is>
      </c>
      <c r="H1115" t="n">
        <v>975</v>
      </c>
      <c r="I1115" t="n">
        <v>623</v>
      </c>
      <c r="L1115" t="inlineStr">
        <is>
          <t>UNVERIFIED – negative EPS</t>
        </is>
      </c>
      <c r="M1115" t="n">
        <v>-300</v>
      </c>
      <c r="N1115" t="n">
        <v>-191.69</v>
      </c>
      <c r="O1115" t="n">
        <v>769</v>
      </c>
      <c r="P1115" t="n">
        <v>874.65</v>
      </c>
      <c r="Q1115" t="n">
        <v>370.5</v>
      </c>
      <c r="R1115" s="3" t="inlineStr">
        <is>
          <t>MISMATCH_NEEDS_CORRECTION</t>
        </is>
      </c>
      <c r="S1115" t="n">
        <v>769</v>
      </c>
      <c r="T1115" t="inlineStr">
        <is>
          <t>30-07-2026 09:42 IST</t>
        </is>
      </c>
    </row>
    <row r="1116">
      <c r="A1116" t="n">
        <v>165</v>
      </c>
      <c r="B1116" t="n">
        <v>509966</v>
      </c>
      <c r="C1116" t="inlineStr">
        <is>
          <t>VST Industries Ltd</t>
        </is>
      </c>
      <c r="D1116" t="n">
        <v>2015</v>
      </c>
      <c r="E1116" t="n">
        <v>234.6000061035156</v>
      </c>
      <c r="G1116" t="inlineStr">
        <is>
          <t>Consolidated first (v4) – needs verification for flagged rows</t>
        </is>
      </c>
      <c r="H1116" t="n">
        <v>179</v>
      </c>
      <c r="I1116" t="n">
        <v>127.2727279663086</v>
      </c>
      <c r="L1116" t="inlineStr">
        <is>
          <t>INCOMPLETE</t>
        </is>
      </c>
      <c r="O1116">
        <f>IFERROR(VLOOKUP(B1116,BSE_500_LIVE!A:E,3,FALSE),"")</f>
        <v/>
      </c>
      <c r="P1116">
        <f>IFERROR(VLOOKUP(B1116,BSE_500_LIVE!A:E,4,FALSE),"")</f>
        <v/>
      </c>
      <c r="Q1116">
        <f>IFERROR(VLOOKUP(B1116,BSE_500_LIVE!A:E,5,FALSE),"")</f>
        <v/>
      </c>
      <c r="R1116">
        <f>IF(OR(E1116="",O1116=""),"PENDING_FETCH",IF(ABS(E1116-O1116)/E1116&gt;0.005,"MISMATCH_NEEDS_CORRECTION","VERIFIED_OK"))</f>
        <v/>
      </c>
      <c r="S1116">
        <f>IF(O1116&lt;&gt;"",O1116,E1116)</f>
        <v/>
      </c>
      <c r="T1116">
        <f>IFERROR(VLOOKUP(B1116,BSE_500_LIVE!A:F,6,FALSE),"")</f>
        <v/>
      </c>
    </row>
    <row r="1117">
      <c r="A1117" t="n">
        <v>165</v>
      </c>
      <c r="B1117" t="n">
        <v>509966</v>
      </c>
      <c r="C1117" t="inlineStr">
        <is>
          <t>VST Industries Ltd</t>
        </is>
      </c>
      <c r="D1117" t="n">
        <v>2016</v>
      </c>
      <c r="E1117" t="n">
        <v>234.6000061035156</v>
      </c>
      <c r="G1117" t="inlineStr">
        <is>
          <t>Consolidated first (v4) – needs verification for flagged rows</t>
        </is>
      </c>
      <c r="H1117" t="n">
        <v>229.5454559326172</v>
      </c>
      <c r="I1117" t="n">
        <v>134.5454559326172</v>
      </c>
      <c r="L1117" t="inlineStr">
        <is>
          <t>INCOMPLETE</t>
        </is>
      </c>
      <c r="O1117">
        <f>IFERROR(VLOOKUP(B1117,BSE_500_LIVE!A:E,3,FALSE),"")</f>
        <v/>
      </c>
      <c r="P1117">
        <f>IFERROR(VLOOKUP(B1117,BSE_500_LIVE!A:E,4,FALSE),"")</f>
        <v/>
      </c>
      <c r="Q1117">
        <f>IFERROR(VLOOKUP(B1117,BSE_500_LIVE!A:E,5,FALSE),"")</f>
        <v/>
      </c>
      <c r="R1117">
        <f>IF(OR(E1117="",O1117=""),"PENDING_FETCH",IF(ABS(E1117-O1117)/E1117&gt;0.005,"MISMATCH_NEEDS_CORRECTION","VERIFIED_OK"))</f>
        <v/>
      </c>
      <c r="S1117">
        <f>IF(O1117&lt;&gt;"",O1117,E1117)</f>
        <v/>
      </c>
      <c r="T1117">
        <f>IFERROR(VLOOKUP(B1117,BSE_500_LIVE!A:F,6,FALSE),"")</f>
        <v/>
      </c>
    </row>
    <row r="1118">
      <c r="A1118" t="n">
        <v>165</v>
      </c>
      <c r="B1118" t="n">
        <v>509966</v>
      </c>
      <c r="C1118" t="inlineStr">
        <is>
          <t>VST Industries Ltd</t>
        </is>
      </c>
      <c r="D1118" t="n">
        <v>2017</v>
      </c>
      <c r="E1118" t="n">
        <v>234.6000061035156</v>
      </c>
      <c r="G1118" t="inlineStr">
        <is>
          <t>Consolidated first (v4) – needs verification for flagged rows</t>
        </is>
      </c>
      <c r="H1118" t="n">
        <v>343.0909118652344</v>
      </c>
      <c r="I1118" t="n">
        <v>215.6681823730469</v>
      </c>
      <c r="L1118" t="inlineStr">
        <is>
          <t>INCOMPLETE</t>
        </is>
      </c>
      <c r="O1118">
        <f>IFERROR(VLOOKUP(B1118,BSE_500_LIVE!A:E,3,FALSE),"")</f>
        <v/>
      </c>
      <c r="P1118">
        <f>IFERROR(VLOOKUP(B1118,BSE_500_LIVE!A:E,4,FALSE),"")</f>
        <v/>
      </c>
      <c r="Q1118">
        <f>IFERROR(VLOOKUP(B1118,BSE_500_LIVE!A:E,5,FALSE),"")</f>
        <v/>
      </c>
      <c r="R1118">
        <f>IF(OR(E1118="",O1118=""),"PENDING_FETCH",IF(ABS(E1118-O1118)/E1118&gt;0.005,"MISMATCH_NEEDS_CORRECTION","VERIFIED_OK"))</f>
        <v/>
      </c>
      <c r="S1118">
        <f>IF(O1118&lt;&gt;"",O1118,E1118)</f>
        <v/>
      </c>
      <c r="T1118">
        <f>IFERROR(VLOOKUP(B1118,BSE_500_LIVE!A:F,6,FALSE),"")</f>
        <v/>
      </c>
    </row>
    <row r="1119">
      <c r="A1119" t="n">
        <v>165</v>
      </c>
      <c r="B1119" t="n">
        <v>509966</v>
      </c>
      <c r="C1119" t="inlineStr">
        <is>
          <t>VST Industries Ltd</t>
        </is>
      </c>
      <c r="D1119" t="n">
        <v>2018</v>
      </c>
      <c r="E1119" t="n">
        <v>234.6000061035156</v>
      </c>
      <c r="G1119" t="inlineStr">
        <is>
          <t>Consolidated first (v4) – needs verification for flagged rows</t>
        </is>
      </c>
      <c r="H1119" t="n">
        <v>312.9090881347656</v>
      </c>
      <c r="I1119" t="n">
        <v>224.5454559326172</v>
      </c>
      <c r="L1119" t="inlineStr">
        <is>
          <t>INCOMPLETE</t>
        </is>
      </c>
      <c r="O1119">
        <f>IFERROR(VLOOKUP(B1119,BSE_500_LIVE!A:E,3,FALSE),"")</f>
        <v/>
      </c>
      <c r="P1119">
        <f>IFERROR(VLOOKUP(B1119,BSE_500_LIVE!A:E,4,FALSE),"")</f>
        <v/>
      </c>
      <c r="Q1119">
        <f>IFERROR(VLOOKUP(B1119,BSE_500_LIVE!A:E,5,FALSE),"")</f>
        <v/>
      </c>
      <c r="R1119">
        <f>IF(OR(E1119="",O1119=""),"PENDING_FETCH",IF(ABS(E1119-O1119)/E1119&gt;0.005,"MISMATCH_NEEDS_CORRECTION","VERIFIED_OK"))</f>
        <v/>
      </c>
      <c r="S1119">
        <f>IF(O1119&lt;&gt;"",O1119,E1119)</f>
        <v/>
      </c>
      <c r="T1119">
        <f>IFERROR(VLOOKUP(B1119,BSE_500_LIVE!A:F,6,FALSE),"")</f>
        <v/>
      </c>
    </row>
    <row r="1120">
      <c r="A1120" t="n">
        <v>165</v>
      </c>
      <c r="B1120" t="n">
        <v>509966</v>
      </c>
      <c r="C1120" t="inlineStr">
        <is>
          <t>VST Industries Ltd</t>
        </is>
      </c>
      <c r="D1120" t="n">
        <v>2019</v>
      </c>
      <c r="E1120" t="n">
        <v>234.6000061035156</v>
      </c>
      <c r="G1120" t="inlineStr">
        <is>
          <t>Consolidated first (v4) – needs verification for flagged rows</t>
        </is>
      </c>
      <c r="H1120" t="n">
        <v>424.8181762695312</v>
      </c>
      <c r="I1120" t="n">
        <v>276.8227233886719</v>
      </c>
      <c r="L1120" t="inlineStr">
        <is>
          <t>INCOMPLETE</t>
        </is>
      </c>
      <c r="O1120">
        <f>IFERROR(VLOOKUP(B1120,BSE_500_LIVE!A:E,3,FALSE),"")</f>
        <v/>
      </c>
      <c r="P1120">
        <f>IFERROR(VLOOKUP(B1120,BSE_500_LIVE!A:E,4,FALSE),"")</f>
        <v/>
      </c>
      <c r="Q1120">
        <f>IFERROR(VLOOKUP(B1120,BSE_500_LIVE!A:E,5,FALSE),"")</f>
        <v/>
      </c>
      <c r="R1120">
        <f>IF(OR(E1120="",O1120=""),"PENDING_FETCH",IF(ABS(E1120-O1120)/E1120&gt;0.005,"MISMATCH_NEEDS_CORRECTION","VERIFIED_OK"))</f>
        <v/>
      </c>
      <c r="S1120">
        <f>IF(O1120&lt;&gt;"",O1120,E1120)</f>
        <v/>
      </c>
      <c r="T1120">
        <f>IFERROR(VLOOKUP(B1120,BSE_500_LIVE!A:F,6,FALSE),"")</f>
        <v/>
      </c>
    </row>
    <row r="1121">
      <c r="A1121" t="n">
        <v>165</v>
      </c>
      <c r="B1121" t="n">
        <v>509966</v>
      </c>
      <c r="C1121" t="inlineStr">
        <is>
          <t>VST Industries Ltd</t>
        </is>
      </c>
      <c r="D1121" t="n">
        <v>2020</v>
      </c>
      <c r="E1121" t="n">
        <v>234.6000061035156</v>
      </c>
      <c r="G1121" t="inlineStr">
        <is>
          <t>Consolidated first (v4) – needs verification for flagged rows</t>
        </is>
      </c>
      <c r="H1121" t="n">
        <v>441.4954528808594</v>
      </c>
      <c r="I1121" t="n">
        <v>231.8181762695312</v>
      </c>
      <c r="L1121" t="inlineStr">
        <is>
          <t>INCOMPLETE</t>
        </is>
      </c>
      <c r="O1121">
        <f>IFERROR(VLOOKUP(B1121,BSE_500_LIVE!A:E,3,FALSE),"")</f>
        <v/>
      </c>
      <c r="P1121">
        <f>IFERROR(VLOOKUP(B1121,BSE_500_LIVE!A:E,4,FALSE),"")</f>
        <v/>
      </c>
      <c r="Q1121">
        <f>IFERROR(VLOOKUP(B1121,BSE_500_LIVE!A:E,5,FALSE),"")</f>
        <v/>
      </c>
      <c r="R1121">
        <f>IF(OR(E1121="",O1121=""),"PENDING_FETCH",IF(ABS(E1121-O1121)/E1121&gt;0.005,"MISMATCH_NEEDS_CORRECTION","VERIFIED_OK"))</f>
        <v/>
      </c>
      <c r="S1121">
        <f>IF(O1121&lt;&gt;"",O1121,E1121)</f>
        <v/>
      </c>
      <c r="T1121">
        <f>IFERROR(VLOOKUP(B1121,BSE_500_LIVE!A:F,6,FALSE),"")</f>
        <v/>
      </c>
    </row>
    <row r="1122">
      <c r="A1122" t="n">
        <v>165</v>
      </c>
      <c r="B1122" t="n">
        <v>509966</v>
      </c>
      <c r="C1122" t="inlineStr">
        <is>
          <t>VST Industries Ltd</t>
        </is>
      </c>
      <c r="D1122" t="n">
        <v>2021</v>
      </c>
      <c r="E1122" t="n">
        <v>234.6000061035156</v>
      </c>
      <c r="G1122" t="inlineStr">
        <is>
          <t>Consolidated first (v4) – needs verification for flagged rows</t>
        </is>
      </c>
      <c r="H1122" t="n">
        <v>353.9954528808594</v>
      </c>
      <c r="I1122" t="n">
        <v>276.2727355957031</v>
      </c>
      <c r="L1122" t="inlineStr">
        <is>
          <t>INCOMPLETE</t>
        </is>
      </c>
      <c r="O1122">
        <f>IFERROR(VLOOKUP(B1122,BSE_500_LIVE!A:E,3,FALSE),"")</f>
        <v/>
      </c>
      <c r="P1122">
        <f>IFERROR(VLOOKUP(B1122,BSE_500_LIVE!A:E,4,FALSE),"")</f>
        <v/>
      </c>
      <c r="Q1122">
        <f>IFERROR(VLOOKUP(B1122,BSE_500_LIVE!A:E,5,FALSE),"")</f>
        <v/>
      </c>
      <c r="R1122">
        <f>IF(OR(E1122="",O1122=""),"PENDING_FETCH",IF(ABS(E1122-O1122)/E1122&gt;0.005,"MISMATCH_NEEDS_CORRECTION","VERIFIED_OK"))</f>
        <v/>
      </c>
      <c r="S1122">
        <f>IF(O1122&lt;&gt;"",O1122,E1122)</f>
        <v/>
      </c>
      <c r="T1122">
        <f>IFERROR(VLOOKUP(B1122,BSE_500_LIVE!A:F,6,FALSE),"")</f>
        <v/>
      </c>
    </row>
    <row r="1123">
      <c r="A1123" t="n">
        <v>165</v>
      </c>
      <c r="B1123" t="n">
        <v>509966</v>
      </c>
      <c r="C1123" t="inlineStr">
        <is>
          <t>VST Industries Ltd</t>
        </is>
      </c>
      <c r="D1123" t="n">
        <v>2022</v>
      </c>
      <c r="E1123" t="n">
        <v>234.6000061035156</v>
      </c>
      <c r="G1123" t="inlineStr">
        <is>
          <t>Consolidated first (v4) – needs verification for flagged rows</t>
        </is>
      </c>
      <c r="H1123" t="n">
        <v>351.3999938964844</v>
      </c>
      <c r="I1123" t="n">
        <v>253.2727203369141</v>
      </c>
      <c r="L1123" t="inlineStr">
        <is>
          <t>INCOMPLETE</t>
        </is>
      </c>
      <c r="O1123">
        <f>IFERROR(VLOOKUP(B1123,BSE_500_LIVE!A:E,3,FALSE),"")</f>
        <v/>
      </c>
      <c r="P1123">
        <f>IFERROR(VLOOKUP(B1123,BSE_500_LIVE!A:E,4,FALSE),"")</f>
        <v/>
      </c>
      <c r="Q1123">
        <f>IFERROR(VLOOKUP(B1123,BSE_500_LIVE!A:E,5,FALSE),"")</f>
        <v/>
      </c>
      <c r="R1123">
        <f>IF(OR(E1123="",O1123=""),"PENDING_FETCH",IF(ABS(E1123-O1123)/E1123&gt;0.005,"MISMATCH_NEEDS_CORRECTION","VERIFIED_OK"))</f>
        <v/>
      </c>
      <c r="S1123">
        <f>IF(O1123&lt;&gt;"",O1123,E1123)</f>
        <v/>
      </c>
      <c r="T1123">
        <f>IFERROR(VLOOKUP(B1123,BSE_500_LIVE!A:F,6,FALSE),"")</f>
        <v/>
      </c>
    </row>
    <row r="1124">
      <c r="A1124" t="n">
        <v>165</v>
      </c>
      <c r="B1124" t="n">
        <v>509966</v>
      </c>
      <c r="C1124" t="inlineStr">
        <is>
          <t>VST Industries Ltd</t>
        </is>
      </c>
      <c r="D1124" t="n">
        <v>2023</v>
      </c>
      <c r="E1124" t="n">
        <v>234.6000061035156</v>
      </c>
      <c r="G1124" t="inlineStr">
        <is>
          <t>Consolidated first (v4) – needs verification for flagged rows</t>
        </is>
      </c>
      <c r="H1124" t="n">
        <v>350.904541015625</v>
      </c>
      <c r="I1124" t="n">
        <v>264.7772827148438</v>
      </c>
      <c r="L1124" t="inlineStr">
        <is>
          <t>INCOMPLETE</t>
        </is>
      </c>
      <c r="O1124">
        <f>IFERROR(VLOOKUP(B1124,BSE_500_LIVE!A:E,3,FALSE),"")</f>
        <v/>
      </c>
      <c r="P1124">
        <f>IFERROR(VLOOKUP(B1124,BSE_500_LIVE!A:E,4,FALSE),"")</f>
        <v/>
      </c>
      <c r="Q1124">
        <f>IFERROR(VLOOKUP(B1124,BSE_500_LIVE!A:E,5,FALSE),"")</f>
        <v/>
      </c>
      <c r="R1124">
        <f>IF(OR(E1124="",O1124=""),"PENDING_FETCH",IF(ABS(E1124-O1124)/E1124&gt;0.005,"MISMATCH_NEEDS_CORRECTION","VERIFIED_OK"))</f>
        <v/>
      </c>
      <c r="S1124">
        <f>IF(O1124&lt;&gt;"",O1124,E1124)</f>
        <v/>
      </c>
      <c r="T1124">
        <f>IFERROR(VLOOKUP(B1124,BSE_500_LIVE!A:F,6,FALSE),"")</f>
        <v/>
      </c>
    </row>
    <row r="1125">
      <c r="A1125" t="n">
        <v>165</v>
      </c>
      <c r="B1125" t="n">
        <v>509966</v>
      </c>
      <c r="C1125" t="inlineStr">
        <is>
          <t>VST Industries Ltd</t>
        </is>
      </c>
      <c r="D1125" t="n">
        <v>2024</v>
      </c>
      <c r="E1125" t="n">
        <v>234.6000061035156</v>
      </c>
      <c r="G1125" t="inlineStr">
        <is>
          <t>Consolidated first (v4) – needs verification for flagged rows</t>
        </is>
      </c>
      <c r="H1125" t="n">
        <v>486.7000122070312</v>
      </c>
      <c r="I1125" t="n">
        <v>303</v>
      </c>
      <c r="L1125" t="inlineStr">
        <is>
          <t>INCOMPLETE</t>
        </is>
      </c>
      <c r="O1125">
        <f>IFERROR(VLOOKUP(B1125,BSE_500_LIVE!A:E,3,FALSE),"")</f>
        <v/>
      </c>
      <c r="P1125">
        <f>IFERROR(VLOOKUP(B1125,BSE_500_LIVE!A:E,4,FALSE),"")</f>
        <v/>
      </c>
      <c r="Q1125">
        <f>IFERROR(VLOOKUP(B1125,BSE_500_LIVE!A:E,5,FALSE),"")</f>
        <v/>
      </c>
      <c r="R1125">
        <f>IF(OR(E1125="",O1125=""),"PENDING_FETCH",IF(ABS(E1125-O1125)/E1125&gt;0.005,"MISMATCH_NEEDS_CORRECTION","VERIFIED_OK"))</f>
        <v/>
      </c>
      <c r="S1125">
        <f>IF(O1125&lt;&gt;"",O1125,E1125)</f>
        <v/>
      </c>
      <c r="T1125">
        <f>IFERROR(VLOOKUP(B1125,BSE_500_LIVE!A:F,6,FALSE),"")</f>
        <v/>
      </c>
    </row>
    <row r="1126">
      <c r="A1126" t="n">
        <v>165</v>
      </c>
      <c r="B1126" t="n">
        <v>509966</v>
      </c>
      <c r="C1126" t="inlineStr">
        <is>
          <t>VST Industries Ltd</t>
        </is>
      </c>
      <c r="D1126" t="n">
        <v>2025</v>
      </c>
      <c r="E1126" t="n">
        <v>234.6000061035156</v>
      </c>
      <c r="G1126" t="inlineStr">
        <is>
          <t>Consolidated first (v4) – needs verification for flagged rows</t>
        </is>
      </c>
      <c r="H1126" t="n">
        <v>349.9500122070312</v>
      </c>
      <c r="I1126" t="n">
        <v>235.25</v>
      </c>
      <c r="L1126" t="inlineStr">
        <is>
          <t>INCOMPLETE</t>
        </is>
      </c>
      <c r="O1126">
        <f>IFERROR(VLOOKUP(B1126,BSE_500_LIVE!A:E,3,FALSE),"")</f>
        <v/>
      </c>
      <c r="P1126">
        <f>IFERROR(VLOOKUP(B1126,BSE_500_LIVE!A:E,4,FALSE),"")</f>
        <v/>
      </c>
      <c r="Q1126">
        <f>IFERROR(VLOOKUP(B1126,BSE_500_LIVE!A:E,5,FALSE),"")</f>
        <v/>
      </c>
      <c r="R1126">
        <f>IF(OR(E1126="",O1126=""),"PENDING_FETCH",IF(ABS(E1126-O1126)/E1126&gt;0.005,"MISMATCH_NEEDS_CORRECTION","VERIFIED_OK"))</f>
        <v/>
      </c>
      <c r="S1126">
        <f>IF(O1126&lt;&gt;"",O1126,E1126)</f>
        <v/>
      </c>
      <c r="T1126">
        <f>IFERROR(VLOOKUP(B1126,BSE_500_LIVE!A:F,6,FALSE),"")</f>
        <v/>
      </c>
    </row>
    <row r="1127">
      <c r="A1127" t="n">
        <v>165</v>
      </c>
      <c r="B1127" t="n">
        <v>509966</v>
      </c>
      <c r="C1127" t="inlineStr">
        <is>
          <t>VST Industries Ltd</t>
        </is>
      </c>
      <c r="D1127" t="n">
        <v>2026</v>
      </c>
      <c r="E1127" t="n">
        <v>234.6000061035156</v>
      </c>
      <c r="G1127" t="inlineStr">
        <is>
          <t>Consolidated first (v4) – needs verification for flagged rows</t>
        </is>
      </c>
      <c r="H1127" t="n">
        <v>286.3999938964844</v>
      </c>
      <c r="I1127" t="n">
        <v>199.6999969482422</v>
      </c>
      <c r="L1127" t="inlineStr">
        <is>
          <t>INCOMPLETE</t>
        </is>
      </c>
      <c r="O1127">
        <f>IFERROR(VLOOKUP(B1127,BSE_500_LIVE!A:E,3,FALSE),"")</f>
        <v/>
      </c>
      <c r="P1127">
        <f>IFERROR(VLOOKUP(B1127,BSE_500_LIVE!A:E,4,FALSE),"")</f>
        <v/>
      </c>
      <c r="Q1127">
        <f>IFERROR(VLOOKUP(B1127,BSE_500_LIVE!A:E,5,FALSE),"")</f>
        <v/>
      </c>
      <c r="R1127">
        <f>IF(OR(E1127="",O1127=""),"PENDING_FETCH",IF(ABS(E1127-O1127)/E1127&gt;0.005,"MISMATCH_NEEDS_CORRECTION","VERIFIED_OK"))</f>
        <v/>
      </c>
      <c r="S1127">
        <f>IF(O1127&lt;&gt;"",O1127,E1127)</f>
        <v/>
      </c>
      <c r="T1127">
        <f>IFERROR(VLOOKUP(B1127,BSE_500_LIVE!A:F,6,FALSE),"")</f>
        <v/>
      </c>
    </row>
    <row r="1128">
      <c r="A1128" t="n">
        <v>166</v>
      </c>
      <c r="B1128" t="n">
        <v>510245</v>
      </c>
      <c r="C1128" t="inlineStr">
        <is>
          <t>Swasti Vinayaka Synthetics Ltd</t>
        </is>
      </c>
      <c r="D1128" t="n">
        <v>2015</v>
      </c>
      <c r="E1128" t="n">
        <v>3.599999904632568</v>
      </c>
      <c r="F1128" t="n">
        <v>0.08</v>
      </c>
      <c r="G1128" t="inlineStr">
        <is>
          <t>Consolidated first (v4) – needs verification for flagged rows</t>
        </is>
      </c>
      <c r="H1128" t="n">
        <v>2.4811110496521</v>
      </c>
      <c r="I1128" t="n">
        <v>1.182222008705139</v>
      </c>
      <c r="L1128" t="inlineStr">
        <is>
          <t>UNVERIFIED – tiny EPS &lt;0.5</t>
        </is>
      </c>
      <c r="M1128" t="n">
        <v>31.01</v>
      </c>
      <c r="N1128" t="n">
        <v>14.78</v>
      </c>
      <c r="O1128" t="n">
        <v>7.74</v>
      </c>
      <c r="P1128" t="n">
        <v>10.6</v>
      </c>
      <c r="Q1128" t="n">
        <v>6</v>
      </c>
      <c r="R1128" s="3" t="inlineStr">
        <is>
          <t>MISMATCH_NEEDS_CORRECTION</t>
        </is>
      </c>
      <c r="S1128" t="n">
        <v>7.74</v>
      </c>
      <c r="T1128" t="inlineStr">
        <is>
          <t>30-07-2026 09:42 IST</t>
        </is>
      </c>
    </row>
    <row r="1129">
      <c r="A1129" t="n">
        <v>166</v>
      </c>
      <c r="B1129" t="n">
        <v>510245</v>
      </c>
      <c r="C1129" t="inlineStr">
        <is>
          <t>Swasti Vinayaka Synthetics Ltd</t>
        </is>
      </c>
      <c r="D1129" t="n">
        <v>2016</v>
      </c>
      <c r="E1129" t="n">
        <v>3.599999904632568</v>
      </c>
      <c r="F1129" t="n">
        <v>0.1</v>
      </c>
      <c r="G1129" t="inlineStr">
        <is>
          <t>Consolidated first (v4) – needs verification for flagged rows</t>
        </is>
      </c>
      <c r="H1129" t="n">
        <v>3.266666889190674</v>
      </c>
      <c r="I1129" t="n">
        <v>1.399999976158142</v>
      </c>
      <c r="L1129" t="inlineStr">
        <is>
          <t>UNVERIFIED – tiny EPS &lt;0.5</t>
        </is>
      </c>
      <c r="M1129" t="n">
        <v>32.67</v>
      </c>
      <c r="N1129" t="n">
        <v>14</v>
      </c>
      <c r="O1129" t="n">
        <v>7.74</v>
      </c>
      <c r="P1129" t="n">
        <v>10.6</v>
      </c>
      <c r="Q1129" t="n">
        <v>6</v>
      </c>
      <c r="R1129" s="3" t="inlineStr">
        <is>
          <t>MISMATCH_NEEDS_CORRECTION</t>
        </is>
      </c>
      <c r="S1129" t="n">
        <v>7.74</v>
      </c>
      <c r="T1129" t="inlineStr">
        <is>
          <t>30-07-2026 09:42 IST</t>
        </is>
      </c>
    </row>
    <row r="1130">
      <c r="A1130" t="n">
        <v>166</v>
      </c>
      <c r="B1130" t="n">
        <v>510245</v>
      </c>
      <c r="C1130" t="inlineStr">
        <is>
          <t>Swasti Vinayaka Synthetics Ltd</t>
        </is>
      </c>
      <c r="D1130" t="n">
        <v>2017</v>
      </c>
      <c r="E1130" t="n">
        <v>3.599999904632568</v>
      </c>
      <c r="F1130" t="n">
        <v>0.13</v>
      </c>
      <c r="G1130" t="inlineStr">
        <is>
          <t>Consolidated first (v4) – needs verification for flagged rows</t>
        </is>
      </c>
      <c r="H1130" t="n">
        <v>4.114445209503174</v>
      </c>
      <c r="I1130" t="n">
        <v>1.960000038146973</v>
      </c>
      <c r="L1130" t="inlineStr">
        <is>
          <t>UNVERIFIED – tiny EPS &lt;0.5</t>
        </is>
      </c>
      <c r="M1130" t="n">
        <v>31.65</v>
      </c>
      <c r="N1130" t="n">
        <v>15.08</v>
      </c>
      <c r="O1130" t="n">
        <v>7.74</v>
      </c>
      <c r="P1130" t="n">
        <v>10.6</v>
      </c>
      <c r="Q1130" t="n">
        <v>6</v>
      </c>
      <c r="R1130" s="3" t="inlineStr">
        <is>
          <t>MISMATCH_NEEDS_CORRECTION</t>
        </is>
      </c>
      <c r="S1130" t="n">
        <v>7.74</v>
      </c>
      <c r="T1130" t="inlineStr">
        <is>
          <t>30-07-2026 09:42 IST</t>
        </is>
      </c>
    </row>
    <row r="1131">
      <c r="A1131" t="n">
        <v>166</v>
      </c>
      <c r="B1131" t="n">
        <v>510245</v>
      </c>
      <c r="C1131" t="inlineStr">
        <is>
          <t>Swasti Vinayaka Synthetics Ltd</t>
        </is>
      </c>
      <c r="D1131" t="n">
        <v>2018</v>
      </c>
      <c r="E1131" t="n">
        <v>3.599999904632568</v>
      </c>
      <c r="F1131" t="n">
        <v>0.23</v>
      </c>
      <c r="G1131" t="inlineStr">
        <is>
          <t>Consolidated first (v4) – needs verification for flagged rows</t>
        </is>
      </c>
      <c r="H1131" t="n">
        <v>4.814445018768311</v>
      </c>
      <c r="I1131" t="n">
        <v>1.905555009841919</v>
      </c>
      <c r="L1131" t="inlineStr">
        <is>
          <t>UNVERIFIED – tiny EPS &lt;0.5</t>
        </is>
      </c>
      <c r="M1131" t="n">
        <v>20.93</v>
      </c>
      <c r="N1131" t="n">
        <v>8.289999999999999</v>
      </c>
      <c r="O1131" t="n">
        <v>7.74</v>
      </c>
      <c r="P1131" t="n">
        <v>10.6</v>
      </c>
      <c r="Q1131" t="n">
        <v>6</v>
      </c>
      <c r="R1131" s="3" t="inlineStr">
        <is>
          <t>MISMATCH_NEEDS_CORRECTION</t>
        </is>
      </c>
      <c r="S1131" t="n">
        <v>7.74</v>
      </c>
      <c r="T1131" t="inlineStr">
        <is>
          <t>30-07-2026 09:42 IST</t>
        </is>
      </c>
    </row>
    <row r="1132">
      <c r="A1132" t="n">
        <v>166</v>
      </c>
      <c r="B1132" t="n">
        <v>510245</v>
      </c>
      <c r="C1132" t="inlineStr">
        <is>
          <t>Swasti Vinayaka Synthetics Ltd</t>
        </is>
      </c>
      <c r="D1132" t="n">
        <v>2019</v>
      </c>
      <c r="E1132" t="n">
        <v>3.599999904632568</v>
      </c>
      <c r="F1132" t="n">
        <v>0.28</v>
      </c>
      <c r="G1132" t="inlineStr">
        <is>
          <t>Consolidated first (v4) – needs verification for flagged rows</t>
        </is>
      </c>
      <c r="H1132" t="n">
        <v>3.220000028610229</v>
      </c>
      <c r="I1132" t="n">
        <v>1.944443941116333</v>
      </c>
      <c r="L1132" t="inlineStr">
        <is>
          <t>UNVERIFIED – tiny EPS &lt;0.5</t>
        </is>
      </c>
      <c r="M1132" t="n">
        <v>11.5</v>
      </c>
      <c r="N1132" t="n">
        <v>6.94</v>
      </c>
      <c r="O1132" t="n">
        <v>7.74</v>
      </c>
      <c r="P1132" t="n">
        <v>10.6</v>
      </c>
      <c r="Q1132" t="n">
        <v>6</v>
      </c>
      <c r="R1132" s="3" t="inlineStr">
        <is>
          <t>MISMATCH_NEEDS_CORRECTION</t>
        </is>
      </c>
      <c r="S1132" t="n">
        <v>7.74</v>
      </c>
      <c r="T1132" t="inlineStr">
        <is>
          <t>30-07-2026 09:42 IST</t>
        </is>
      </c>
    </row>
    <row r="1133">
      <c r="A1133" t="n">
        <v>166</v>
      </c>
      <c r="B1133" t="n">
        <v>510245</v>
      </c>
      <c r="C1133" t="inlineStr">
        <is>
          <t>Swasti Vinayaka Synthetics Ltd</t>
        </is>
      </c>
      <c r="D1133" t="n">
        <v>2020</v>
      </c>
      <c r="E1133" t="n">
        <v>3.599999904632568</v>
      </c>
      <c r="F1133" t="n">
        <v>0.16</v>
      </c>
      <c r="G1133" t="inlineStr">
        <is>
          <t>Consolidated first (v4) – needs verification for flagged rows</t>
        </is>
      </c>
      <c r="H1133" t="n">
        <v>11.63555812835693</v>
      </c>
      <c r="I1133" t="n">
        <v>1.594444036483765</v>
      </c>
      <c r="L1133" t="inlineStr">
        <is>
          <t>UNVERIFIED – tiny EPS &lt;0.5</t>
        </is>
      </c>
      <c r="M1133" t="n">
        <v>72.72</v>
      </c>
      <c r="N1133" t="n">
        <v>9.970000000000001</v>
      </c>
      <c r="O1133" t="n">
        <v>7.74</v>
      </c>
      <c r="P1133" t="n">
        <v>10.6</v>
      </c>
      <c r="Q1133" t="n">
        <v>6</v>
      </c>
      <c r="R1133" s="3" t="inlineStr">
        <is>
          <t>MISMATCH_NEEDS_CORRECTION</t>
        </is>
      </c>
      <c r="S1133" t="n">
        <v>7.74</v>
      </c>
      <c r="T1133" t="inlineStr">
        <is>
          <t>30-07-2026 09:42 IST</t>
        </is>
      </c>
    </row>
    <row r="1134">
      <c r="A1134" t="n">
        <v>166</v>
      </c>
      <c r="B1134" t="n">
        <v>510245</v>
      </c>
      <c r="C1134" t="inlineStr">
        <is>
          <t>Swasti Vinayaka Synthetics Ltd</t>
        </is>
      </c>
      <c r="D1134" t="n">
        <v>2021</v>
      </c>
      <c r="E1134" t="n">
        <v>3.599999904632568</v>
      </c>
      <c r="F1134" t="n">
        <v>0.17</v>
      </c>
      <c r="G1134" t="inlineStr">
        <is>
          <t>Consolidated first (v4) – needs verification for flagged rows</t>
        </is>
      </c>
      <c r="H1134" t="n">
        <v>17.12667083740234</v>
      </c>
      <c r="I1134" t="n">
        <v>4.5188889503479</v>
      </c>
      <c r="L1134" t="inlineStr">
        <is>
          <t>UNVERIFIED – tiny EPS &lt;0.5</t>
        </is>
      </c>
      <c r="M1134" t="n">
        <v>100.75</v>
      </c>
      <c r="N1134" t="n">
        <v>26.58</v>
      </c>
      <c r="O1134" t="n">
        <v>7.74</v>
      </c>
      <c r="P1134" t="n">
        <v>10.6</v>
      </c>
      <c r="Q1134" t="n">
        <v>6</v>
      </c>
      <c r="R1134" s="3" t="inlineStr">
        <is>
          <t>MISMATCH_NEEDS_CORRECTION</t>
        </is>
      </c>
      <c r="S1134" t="n">
        <v>7.74</v>
      </c>
      <c r="T1134" t="inlineStr">
        <is>
          <t>30-07-2026 09:42 IST</t>
        </is>
      </c>
    </row>
    <row r="1135">
      <c r="A1135" t="n">
        <v>166</v>
      </c>
      <c r="B1135" t="n">
        <v>510245</v>
      </c>
      <c r="C1135" t="inlineStr">
        <is>
          <t>Swasti Vinayaka Synthetics Ltd</t>
        </is>
      </c>
      <c r="D1135" t="n">
        <v>2022</v>
      </c>
      <c r="E1135" t="n">
        <v>3.599999904632568</v>
      </c>
      <c r="F1135" t="n">
        <v>0.19</v>
      </c>
      <c r="G1135" t="inlineStr">
        <is>
          <t>Consolidated first (v4) – needs verification for flagged rows</t>
        </is>
      </c>
      <c r="H1135" t="n">
        <v>15.40999984741211</v>
      </c>
      <c r="I1135" t="n">
        <v>5.300000190734863</v>
      </c>
      <c r="L1135" t="inlineStr">
        <is>
          <t>UNVERIFIED – tiny EPS &lt;0.5</t>
        </is>
      </c>
      <c r="M1135" t="n">
        <v>81.11</v>
      </c>
      <c r="N1135" t="n">
        <v>27.89</v>
      </c>
      <c r="O1135" t="n">
        <v>7.74</v>
      </c>
      <c r="P1135" t="n">
        <v>10.6</v>
      </c>
      <c r="Q1135" t="n">
        <v>6</v>
      </c>
      <c r="R1135" s="3" t="inlineStr">
        <is>
          <t>MISMATCH_NEEDS_CORRECTION</t>
        </is>
      </c>
      <c r="S1135" t="n">
        <v>7.74</v>
      </c>
      <c r="T1135" t="inlineStr">
        <is>
          <t>30-07-2026 09:42 IST</t>
        </is>
      </c>
    </row>
    <row r="1136">
      <c r="A1136" t="n">
        <v>166</v>
      </c>
      <c r="B1136" t="n">
        <v>510245</v>
      </c>
      <c r="C1136" t="inlineStr">
        <is>
          <t>Swasti Vinayaka Synthetics Ltd</t>
        </is>
      </c>
      <c r="D1136" t="n">
        <v>2023</v>
      </c>
      <c r="E1136" t="n">
        <v>3.599999904632568</v>
      </c>
      <c r="F1136" t="n">
        <v>0.22</v>
      </c>
      <c r="G1136" t="inlineStr">
        <is>
          <t>Consolidated first (v4) – needs verification for flagged rows</t>
        </is>
      </c>
      <c r="H1136" t="n">
        <v>7.929999828338623</v>
      </c>
      <c r="I1136" t="n">
        <v>4.210000038146973</v>
      </c>
      <c r="L1136" t="inlineStr">
        <is>
          <t>UNVERIFIED – tiny EPS &lt;0.5</t>
        </is>
      </c>
      <c r="M1136" t="n">
        <v>36.05</v>
      </c>
      <c r="N1136" t="n">
        <v>19.14</v>
      </c>
      <c r="O1136" t="n">
        <v>7.74</v>
      </c>
      <c r="P1136" t="n">
        <v>10.6</v>
      </c>
      <c r="Q1136" t="n">
        <v>6</v>
      </c>
      <c r="R1136" s="3" t="inlineStr">
        <is>
          <t>MISMATCH_NEEDS_CORRECTION</t>
        </is>
      </c>
      <c r="S1136" t="n">
        <v>7.74</v>
      </c>
      <c r="T1136" t="inlineStr">
        <is>
          <t>30-07-2026 09:42 IST</t>
        </is>
      </c>
    </row>
    <row r="1137">
      <c r="A1137" t="n">
        <v>166</v>
      </c>
      <c r="B1137" t="n">
        <v>510245</v>
      </c>
      <c r="C1137" t="inlineStr">
        <is>
          <t>Swasti Vinayaka Synthetics Ltd</t>
        </is>
      </c>
      <c r="D1137" t="n">
        <v>2024</v>
      </c>
      <c r="E1137" t="n">
        <v>3.599999904632568</v>
      </c>
      <c r="F1137" t="n">
        <v>0.22</v>
      </c>
      <c r="G1137" t="inlineStr">
        <is>
          <t>Consolidated first (v4) – needs verification for flagged rows</t>
        </is>
      </c>
      <c r="H1137" t="n">
        <v>10.60000038146973</v>
      </c>
      <c r="I1137" t="n">
        <v>6</v>
      </c>
      <c r="L1137" t="inlineStr">
        <is>
          <t>UNVERIFIED – tiny EPS &lt;0.5</t>
        </is>
      </c>
      <c r="M1137" t="n">
        <v>48.18</v>
      </c>
      <c r="N1137" t="n">
        <v>27.27</v>
      </c>
      <c r="O1137" t="n">
        <v>7.74</v>
      </c>
      <c r="P1137" t="n">
        <v>10.6</v>
      </c>
      <c r="Q1137" t="n">
        <v>6</v>
      </c>
      <c r="R1137" s="3" t="inlineStr">
        <is>
          <t>MISMATCH_NEEDS_CORRECTION</t>
        </is>
      </c>
      <c r="S1137" t="n">
        <v>7.74</v>
      </c>
      <c r="T1137" t="inlineStr">
        <is>
          <t>30-07-2026 09:42 IST</t>
        </is>
      </c>
    </row>
    <row r="1138">
      <c r="A1138" t="n">
        <v>166</v>
      </c>
      <c r="B1138" t="n">
        <v>510245</v>
      </c>
      <c r="C1138" t="inlineStr">
        <is>
          <t>Swasti Vinayaka Synthetics Ltd</t>
        </is>
      </c>
      <c r="D1138" t="n">
        <v>2025</v>
      </c>
      <c r="E1138" t="n">
        <v>3.599999904632568</v>
      </c>
      <c r="F1138" t="n">
        <v>0.27</v>
      </c>
      <c r="G1138" t="inlineStr">
        <is>
          <t>Consolidated first (v4) – needs verification for flagged rows</t>
        </is>
      </c>
      <c r="H1138" t="n">
        <v>7.119999885559082</v>
      </c>
      <c r="I1138" t="n">
        <v>4.010000228881836</v>
      </c>
      <c r="L1138" t="inlineStr">
        <is>
          <t>UNVERIFIED – tiny EPS &lt;0.5</t>
        </is>
      </c>
      <c r="M1138" t="n">
        <v>26.37</v>
      </c>
      <c r="N1138" t="n">
        <v>14.85</v>
      </c>
      <c r="O1138" t="n">
        <v>7.74</v>
      </c>
      <c r="P1138" t="n">
        <v>10.6</v>
      </c>
      <c r="Q1138" t="n">
        <v>6</v>
      </c>
      <c r="R1138" s="3" t="inlineStr">
        <is>
          <t>MISMATCH_NEEDS_CORRECTION</t>
        </is>
      </c>
      <c r="S1138" t="n">
        <v>7.74</v>
      </c>
      <c r="T1138" t="inlineStr">
        <is>
          <t>30-07-2026 09:42 IST</t>
        </is>
      </c>
    </row>
    <row r="1139">
      <c r="A1139" t="n">
        <v>166</v>
      </c>
      <c r="B1139" t="n">
        <v>510245</v>
      </c>
      <c r="C1139" t="inlineStr">
        <is>
          <t>Swasti Vinayaka Synthetics Ltd</t>
        </is>
      </c>
      <c r="D1139" t="n">
        <v>2026</v>
      </c>
      <c r="E1139" t="n">
        <v>3.599999904632568</v>
      </c>
      <c r="F1139" t="n">
        <v>0.34</v>
      </c>
      <c r="G1139" t="inlineStr">
        <is>
          <t>Consolidated first (v4) – needs verification for flagged rows</t>
        </is>
      </c>
      <c r="H1139" t="n">
        <v>4.730000019073486</v>
      </c>
      <c r="I1139" t="n">
        <v>3</v>
      </c>
      <c r="L1139" t="inlineStr">
        <is>
          <t>UNVERIFIED – tiny EPS &lt;0.5</t>
        </is>
      </c>
      <c r="M1139" t="n">
        <v>13.91</v>
      </c>
      <c r="N1139" t="n">
        <v>8.82</v>
      </c>
      <c r="O1139" t="n">
        <v>7.74</v>
      </c>
      <c r="P1139" t="n">
        <v>10.6</v>
      </c>
      <c r="Q1139" t="n">
        <v>6</v>
      </c>
      <c r="R1139" s="3" t="inlineStr">
        <is>
          <t>MISMATCH_NEEDS_CORRECTION</t>
        </is>
      </c>
      <c r="S1139" t="n">
        <v>7.74</v>
      </c>
      <c r="T1139" t="inlineStr">
        <is>
          <t>30-07-2026 09:42 IST</t>
        </is>
      </c>
    </row>
    <row r="1140">
      <c r="A1140" t="n">
        <v>174</v>
      </c>
      <c r="B1140" t="n">
        <v>511066</v>
      </c>
      <c r="C1140" t="inlineStr">
        <is>
          <t>Sakthi Finance Ltd</t>
        </is>
      </c>
      <c r="D1140" t="n">
        <v>2015</v>
      </c>
      <c r="E1140" t="n">
        <v>27.69000053405762</v>
      </c>
      <c r="G1140" t="inlineStr">
        <is>
          <t>Consolidated first (v4) – needs verification for flagged rows</t>
        </is>
      </c>
      <c r="H1140" t="n">
        <v>29.85000038146973</v>
      </c>
      <c r="I1140" t="n">
        <v>14</v>
      </c>
      <c r="L1140" t="inlineStr">
        <is>
          <t>INCOMPLETE</t>
        </is>
      </c>
      <c r="O1140" t="n">
        <v>58.48</v>
      </c>
      <c r="P1140" t="n">
        <v>103.75</v>
      </c>
      <c r="Q1140" t="n">
        <v>46.5</v>
      </c>
      <c r="R1140" s="3" t="inlineStr">
        <is>
          <t>MISMATCH_NEEDS_CORRECTION</t>
        </is>
      </c>
      <c r="S1140" t="n">
        <v>58.48</v>
      </c>
      <c r="T1140" t="inlineStr">
        <is>
          <t>30-07-2026 09:42 IST</t>
        </is>
      </c>
    </row>
    <row r="1141">
      <c r="A1141" t="n">
        <v>174</v>
      </c>
      <c r="B1141" t="n">
        <v>511066</v>
      </c>
      <c r="C1141" t="inlineStr">
        <is>
          <t>Sakthi Finance Ltd</t>
        </is>
      </c>
      <c r="D1141" t="n">
        <v>2016</v>
      </c>
      <c r="E1141" t="n">
        <v>27.69000053405762</v>
      </c>
      <c r="G1141" t="inlineStr">
        <is>
          <t>Consolidated first (v4) – needs verification for flagged rows</t>
        </is>
      </c>
      <c r="H1141" t="n">
        <v>49.5</v>
      </c>
      <c r="I1141" t="n">
        <v>15.64999961853027</v>
      </c>
      <c r="L1141" t="inlineStr">
        <is>
          <t>INCOMPLETE</t>
        </is>
      </c>
      <c r="O1141" t="n">
        <v>58.48</v>
      </c>
      <c r="P1141" t="n">
        <v>103.75</v>
      </c>
      <c r="Q1141" t="n">
        <v>46.5</v>
      </c>
      <c r="R1141" s="3" t="inlineStr">
        <is>
          <t>MISMATCH_NEEDS_CORRECTION</t>
        </is>
      </c>
      <c r="S1141" t="n">
        <v>58.48</v>
      </c>
      <c r="T1141" t="inlineStr">
        <is>
          <t>30-07-2026 09:42 IST</t>
        </is>
      </c>
    </row>
    <row r="1142">
      <c r="A1142" t="n">
        <v>174</v>
      </c>
      <c r="B1142" t="n">
        <v>511066</v>
      </c>
      <c r="C1142" t="inlineStr">
        <is>
          <t>Sakthi Finance Ltd</t>
        </is>
      </c>
      <c r="D1142" t="n">
        <v>2017</v>
      </c>
      <c r="E1142" t="n">
        <v>27.69000053405762</v>
      </c>
      <c r="G1142" t="inlineStr">
        <is>
          <t>Consolidated first (v4) – needs verification for flagged rows</t>
        </is>
      </c>
      <c r="H1142" t="n">
        <v>51</v>
      </c>
      <c r="I1142" t="n">
        <v>28.14999961853027</v>
      </c>
      <c r="L1142" t="inlineStr">
        <is>
          <t>INCOMPLETE</t>
        </is>
      </c>
      <c r="O1142" t="n">
        <v>58.48</v>
      </c>
      <c r="P1142" t="n">
        <v>103.75</v>
      </c>
      <c r="Q1142" t="n">
        <v>46.5</v>
      </c>
      <c r="R1142" s="3" t="inlineStr">
        <is>
          <t>MISMATCH_NEEDS_CORRECTION</t>
        </is>
      </c>
      <c r="S1142" t="n">
        <v>58.48</v>
      </c>
      <c r="T1142" t="inlineStr">
        <is>
          <t>30-07-2026 09:42 IST</t>
        </is>
      </c>
    </row>
    <row r="1143">
      <c r="A1143" t="n">
        <v>174</v>
      </c>
      <c r="B1143" t="n">
        <v>511066</v>
      </c>
      <c r="C1143" t="inlineStr">
        <is>
          <t>Sakthi Finance Ltd</t>
        </is>
      </c>
      <c r="D1143" t="n">
        <v>2018</v>
      </c>
      <c r="E1143" t="n">
        <v>27.69000053405762</v>
      </c>
      <c r="G1143" t="inlineStr">
        <is>
          <t>Consolidated first (v4) – needs verification for flagged rows</t>
        </is>
      </c>
      <c r="H1143" t="n">
        <v>48.09999847412109</v>
      </c>
      <c r="I1143" t="n">
        <v>18.29999923706055</v>
      </c>
      <c r="L1143" t="inlineStr">
        <is>
          <t>INCOMPLETE</t>
        </is>
      </c>
      <c r="O1143" t="n">
        <v>58.48</v>
      </c>
      <c r="P1143" t="n">
        <v>103.75</v>
      </c>
      <c r="Q1143" t="n">
        <v>46.5</v>
      </c>
      <c r="R1143" s="3" t="inlineStr">
        <is>
          <t>MISMATCH_NEEDS_CORRECTION</t>
        </is>
      </c>
      <c r="S1143" t="n">
        <v>58.48</v>
      </c>
      <c r="T1143" t="inlineStr">
        <is>
          <t>30-07-2026 09:42 IST</t>
        </is>
      </c>
    </row>
    <row r="1144">
      <c r="A1144" t="n">
        <v>174</v>
      </c>
      <c r="B1144" t="n">
        <v>511066</v>
      </c>
      <c r="C1144" t="inlineStr">
        <is>
          <t>Sakthi Finance Ltd</t>
        </is>
      </c>
      <c r="D1144" t="n">
        <v>2019</v>
      </c>
      <c r="E1144" t="n">
        <v>27.69000053405762</v>
      </c>
      <c r="G1144" t="inlineStr">
        <is>
          <t>Consolidated first (v4) – needs verification for flagged rows</t>
        </is>
      </c>
      <c r="H1144" t="n">
        <v>21.85000038146973</v>
      </c>
      <c r="I1144" t="n">
        <v>11.94999980926514</v>
      </c>
      <c r="L1144" t="inlineStr">
        <is>
          <t>INCOMPLETE</t>
        </is>
      </c>
      <c r="O1144" t="n">
        <v>58.48</v>
      </c>
      <c r="P1144" t="n">
        <v>103.75</v>
      </c>
      <c r="Q1144" t="n">
        <v>46.5</v>
      </c>
      <c r="R1144" s="3" t="inlineStr">
        <is>
          <t>MISMATCH_NEEDS_CORRECTION</t>
        </is>
      </c>
      <c r="S1144" t="n">
        <v>58.48</v>
      </c>
      <c r="T1144" t="inlineStr">
        <is>
          <t>30-07-2026 09:42 IST</t>
        </is>
      </c>
    </row>
    <row r="1145">
      <c r="A1145" t="n">
        <v>174</v>
      </c>
      <c r="B1145" t="n">
        <v>511066</v>
      </c>
      <c r="C1145" t="inlineStr">
        <is>
          <t>Sakthi Finance Ltd</t>
        </is>
      </c>
      <c r="D1145" t="n">
        <v>2020</v>
      </c>
      <c r="E1145" t="n">
        <v>27.69000053405762</v>
      </c>
      <c r="G1145" t="inlineStr">
        <is>
          <t>Consolidated first (v4) – needs verification for flagged rows</t>
        </is>
      </c>
      <c r="H1145" t="n">
        <v>18.25</v>
      </c>
      <c r="I1145" t="n">
        <v>10.02000045776367</v>
      </c>
      <c r="L1145" t="inlineStr">
        <is>
          <t>INCOMPLETE</t>
        </is>
      </c>
      <c r="O1145" t="n">
        <v>58.48</v>
      </c>
      <c r="P1145" t="n">
        <v>103.75</v>
      </c>
      <c r="Q1145" t="n">
        <v>46.5</v>
      </c>
      <c r="R1145" s="3" t="inlineStr">
        <is>
          <t>MISMATCH_NEEDS_CORRECTION</t>
        </is>
      </c>
      <c r="S1145" t="n">
        <v>58.48</v>
      </c>
      <c r="T1145" t="inlineStr">
        <is>
          <t>30-07-2026 09:42 IST</t>
        </is>
      </c>
    </row>
    <row r="1146">
      <c r="A1146" t="n">
        <v>174</v>
      </c>
      <c r="B1146" t="n">
        <v>511066</v>
      </c>
      <c r="C1146" t="inlineStr">
        <is>
          <t>Sakthi Finance Ltd</t>
        </is>
      </c>
      <c r="D1146" t="n">
        <v>2021</v>
      </c>
      <c r="E1146" t="n">
        <v>27.69000053405762</v>
      </c>
      <c r="G1146" t="inlineStr">
        <is>
          <t>Consolidated first (v4) – needs verification for flagged rows</t>
        </is>
      </c>
      <c r="H1146" t="n">
        <v>32.5</v>
      </c>
      <c r="I1146" t="n">
        <v>12.05000019073486</v>
      </c>
      <c r="L1146" t="inlineStr">
        <is>
          <t>INCOMPLETE</t>
        </is>
      </c>
      <c r="O1146" t="n">
        <v>58.48</v>
      </c>
      <c r="P1146" t="n">
        <v>103.75</v>
      </c>
      <c r="Q1146" t="n">
        <v>46.5</v>
      </c>
      <c r="R1146" s="3" t="inlineStr">
        <is>
          <t>MISMATCH_NEEDS_CORRECTION</t>
        </is>
      </c>
      <c r="S1146" t="n">
        <v>58.48</v>
      </c>
      <c r="T1146" t="inlineStr">
        <is>
          <t>30-07-2026 09:42 IST</t>
        </is>
      </c>
    </row>
    <row r="1147">
      <c r="A1147" t="n">
        <v>174</v>
      </c>
      <c r="B1147" t="n">
        <v>511066</v>
      </c>
      <c r="C1147" t="inlineStr">
        <is>
          <t>Sakthi Finance Ltd</t>
        </is>
      </c>
      <c r="D1147" t="n">
        <v>2022</v>
      </c>
      <c r="E1147" t="n">
        <v>27.69000053405762</v>
      </c>
      <c r="G1147" t="inlineStr">
        <is>
          <t>Consolidated first (v4) – needs verification for flagged rows</t>
        </is>
      </c>
      <c r="H1147" t="n">
        <v>40.79999923706055</v>
      </c>
      <c r="I1147" t="n">
        <v>19.04999923706055</v>
      </c>
      <c r="L1147" t="inlineStr">
        <is>
          <t>INCOMPLETE</t>
        </is>
      </c>
      <c r="O1147" t="n">
        <v>58.48</v>
      </c>
      <c r="P1147" t="n">
        <v>103.75</v>
      </c>
      <c r="Q1147" t="n">
        <v>46.5</v>
      </c>
      <c r="R1147" s="3" t="inlineStr">
        <is>
          <t>MISMATCH_NEEDS_CORRECTION</t>
        </is>
      </c>
      <c r="S1147" t="n">
        <v>58.48</v>
      </c>
      <c r="T1147" t="inlineStr">
        <is>
          <t>30-07-2026 09:42 IST</t>
        </is>
      </c>
    </row>
    <row r="1148">
      <c r="A1148" t="n">
        <v>174</v>
      </c>
      <c r="B1148" t="n">
        <v>511066</v>
      </c>
      <c r="C1148" t="inlineStr">
        <is>
          <t>Sakthi Finance Ltd</t>
        </is>
      </c>
      <c r="D1148" t="n">
        <v>2023</v>
      </c>
      <c r="E1148" t="n">
        <v>27.69000053405762</v>
      </c>
      <c r="G1148" t="inlineStr">
        <is>
          <t>Consolidated first (v4) – needs verification for flagged rows</t>
        </is>
      </c>
      <c r="H1148" t="n">
        <v>55</v>
      </c>
      <c r="I1148" t="n">
        <v>25.21999931335449</v>
      </c>
      <c r="L1148" t="inlineStr">
        <is>
          <t>INCOMPLETE</t>
        </is>
      </c>
      <c r="O1148" t="n">
        <v>58.48</v>
      </c>
      <c r="P1148" t="n">
        <v>103.75</v>
      </c>
      <c r="Q1148" t="n">
        <v>46.5</v>
      </c>
      <c r="R1148" s="3" t="inlineStr">
        <is>
          <t>MISMATCH_NEEDS_CORRECTION</t>
        </is>
      </c>
      <c r="S1148" t="n">
        <v>58.48</v>
      </c>
      <c r="T1148" t="inlineStr">
        <is>
          <t>30-07-2026 09:42 IST</t>
        </is>
      </c>
    </row>
    <row r="1149">
      <c r="A1149" t="n">
        <v>174</v>
      </c>
      <c r="B1149" t="n">
        <v>511066</v>
      </c>
      <c r="C1149" t="inlineStr">
        <is>
          <t>Sakthi Finance Ltd</t>
        </is>
      </c>
      <c r="D1149" t="n">
        <v>2024</v>
      </c>
      <c r="E1149" t="n">
        <v>27.69000053405762</v>
      </c>
      <c r="G1149" t="inlineStr">
        <is>
          <t>Consolidated first (v4) – needs verification for flagged rows</t>
        </is>
      </c>
      <c r="H1149" t="n">
        <v>103.75</v>
      </c>
      <c r="I1149" t="n">
        <v>46.5</v>
      </c>
      <c r="L1149" t="inlineStr">
        <is>
          <t>INCOMPLETE</t>
        </is>
      </c>
      <c r="O1149" t="n">
        <v>58.48</v>
      </c>
      <c r="P1149" t="n">
        <v>103.75</v>
      </c>
      <c r="Q1149" t="n">
        <v>46.5</v>
      </c>
      <c r="R1149" s="3" t="inlineStr">
        <is>
          <t>MISMATCH_NEEDS_CORRECTION</t>
        </is>
      </c>
      <c r="S1149" t="n">
        <v>58.48</v>
      </c>
      <c r="T1149" t="inlineStr">
        <is>
          <t>30-07-2026 09:42 IST</t>
        </is>
      </c>
    </row>
    <row r="1150">
      <c r="A1150" t="n">
        <v>174</v>
      </c>
      <c r="B1150" t="n">
        <v>511066</v>
      </c>
      <c r="C1150" t="inlineStr">
        <is>
          <t>Sakthi Finance Ltd</t>
        </is>
      </c>
      <c r="D1150" t="n">
        <v>2025</v>
      </c>
      <c r="E1150" t="n">
        <v>27.69000053405762</v>
      </c>
      <c r="G1150" t="inlineStr">
        <is>
          <t>Consolidated first (v4) – needs verification for flagged rows</t>
        </is>
      </c>
      <c r="H1150" t="n">
        <v>64.87999725341797</v>
      </c>
      <c r="I1150" t="n">
        <v>35</v>
      </c>
      <c r="L1150" t="inlineStr">
        <is>
          <t>INCOMPLETE</t>
        </is>
      </c>
      <c r="O1150" t="n">
        <v>58.48</v>
      </c>
      <c r="P1150" t="n">
        <v>103.75</v>
      </c>
      <c r="Q1150" t="n">
        <v>46.5</v>
      </c>
      <c r="R1150" s="3" t="inlineStr">
        <is>
          <t>MISMATCH_NEEDS_CORRECTION</t>
        </is>
      </c>
      <c r="S1150" t="n">
        <v>58.48</v>
      </c>
      <c r="T1150" t="inlineStr">
        <is>
          <t>30-07-2026 09:42 IST</t>
        </is>
      </c>
    </row>
    <row r="1151">
      <c r="A1151" t="n">
        <v>174</v>
      </c>
      <c r="B1151" t="n">
        <v>511066</v>
      </c>
      <c r="C1151" t="inlineStr">
        <is>
          <t>Sakthi Finance Ltd</t>
        </is>
      </c>
      <c r="D1151" t="n">
        <v>2026</v>
      </c>
      <c r="E1151" t="n">
        <v>27.69000053405762</v>
      </c>
      <c r="G1151" t="inlineStr">
        <is>
          <t>Consolidated first (v4) – needs verification for flagged rows</t>
        </is>
      </c>
      <c r="H1151" t="n">
        <v>42.79999923706055</v>
      </c>
      <c r="I1151" t="n">
        <v>20.20000076293945</v>
      </c>
      <c r="L1151" t="inlineStr">
        <is>
          <t>INCOMPLETE</t>
        </is>
      </c>
      <c r="O1151" t="n">
        <v>58.48</v>
      </c>
      <c r="P1151" t="n">
        <v>103.75</v>
      </c>
      <c r="Q1151" t="n">
        <v>46.5</v>
      </c>
      <c r="R1151" s="3" t="inlineStr">
        <is>
          <t>MISMATCH_NEEDS_CORRECTION</t>
        </is>
      </c>
      <c r="S1151" t="n">
        <v>58.48</v>
      </c>
      <c r="T1151" t="inlineStr">
        <is>
          <t>30-07-2026 09:42 IST</t>
        </is>
      </c>
    </row>
    <row r="1152">
      <c r="A1152" t="n">
        <v>175</v>
      </c>
      <c r="B1152" t="n">
        <v>511131</v>
      </c>
      <c r="C1152" t="inlineStr">
        <is>
          <t>Kamanwala Housing Construction Ltd</t>
        </is>
      </c>
      <c r="D1152" t="n">
        <v>2015</v>
      </c>
      <c r="E1152" t="n">
        <v>15.48999977111816</v>
      </c>
      <c r="F1152" t="n">
        <v>1.19</v>
      </c>
      <c r="G1152" t="inlineStr">
        <is>
          <t>Consolidated first (v4) – needs verification for flagged rows</t>
        </is>
      </c>
      <c r="H1152" t="n">
        <v>23</v>
      </c>
      <c r="I1152" t="n">
        <v>14.64999961853027</v>
      </c>
      <c r="L1152" t="inlineStr">
        <is>
          <t>OK</t>
        </is>
      </c>
      <c r="M1152" t="n">
        <v>19.33</v>
      </c>
      <c r="N1152" t="n">
        <v>12.31</v>
      </c>
      <c r="O1152" t="n">
        <v>14.77</v>
      </c>
      <c r="P1152" t="n">
        <v>23.64</v>
      </c>
      <c r="Q1152" t="n">
        <v>14.2</v>
      </c>
      <c r="R1152" s="2" t="inlineStr">
        <is>
          <t>VERIFIED_OK</t>
        </is>
      </c>
      <c r="S1152" t="n">
        <v>14.77</v>
      </c>
      <c r="T1152" t="inlineStr">
        <is>
          <t>30-07-2026 09:42 IST</t>
        </is>
      </c>
    </row>
    <row r="1153">
      <c r="A1153" t="n">
        <v>175</v>
      </c>
      <c r="B1153" t="n">
        <v>511131</v>
      </c>
      <c r="C1153" t="inlineStr">
        <is>
          <t>Kamanwala Housing Construction Ltd</t>
        </is>
      </c>
      <c r="D1153" t="n">
        <v>2016</v>
      </c>
      <c r="E1153" t="n">
        <v>15.48999977111816</v>
      </c>
      <c r="F1153" t="n">
        <v>-7.65</v>
      </c>
      <c r="G1153" t="inlineStr">
        <is>
          <t>Consolidated first (v4) – needs verification for flagged rows</t>
        </is>
      </c>
      <c r="H1153" t="n">
        <v>22.70000076293945</v>
      </c>
      <c r="I1153" t="n">
        <v>12.60000038146973</v>
      </c>
      <c r="L1153" t="inlineStr">
        <is>
          <t>UNVERIFIED – negative EPS</t>
        </is>
      </c>
      <c r="M1153" t="n">
        <v>-2.97</v>
      </c>
      <c r="N1153" t="n">
        <v>-1.65</v>
      </c>
      <c r="O1153" t="n">
        <v>14.77</v>
      </c>
      <c r="P1153" t="n">
        <v>23.64</v>
      </c>
      <c r="Q1153" t="n">
        <v>14.2</v>
      </c>
      <c r="R1153" s="2" t="inlineStr">
        <is>
          <t>VERIFIED_OK</t>
        </is>
      </c>
      <c r="S1153" t="n">
        <v>14.77</v>
      </c>
      <c r="T1153" t="inlineStr">
        <is>
          <t>30-07-2026 09:42 IST</t>
        </is>
      </c>
    </row>
    <row r="1154">
      <c r="A1154" t="n">
        <v>175</v>
      </c>
      <c r="B1154" t="n">
        <v>511131</v>
      </c>
      <c r="C1154" t="inlineStr">
        <is>
          <t>Kamanwala Housing Construction Ltd</t>
        </is>
      </c>
      <c r="D1154" t="n">
        <v>2017</v>
      </c>
      <c r="E1154" t="n">
        <v>15.48999977111816</v>
      </c>
      <c r="F1154" t="n">
        <v>-0.06</v>
      </c>
      <c r="G1154" t="inlineStr">
        <is>
          <t>Consolidated first (v4) – needs verification for flagged rows</t>
        </is>
      </c>
      <c r="H1154" t="n">
        <v>18.64999961853027</v>
      </c>
      <c r="I1154" t="n">
        <v>11.60000038146973</v>
      </c>
      <c r="L1154" t="inlineStr">
        <is>
          <t>UNVERIFIED – negative EPS</t>
        </is>
      </c>
      <c r="M1154" t="n">
        <v>-310.83</v>
      </c>
      <c r="N1154" t="n">
        <v>-193.33</v>
      </c>
      <c r="O1154" t="n">
        <v>14.77</v>
      </c>
      <c r="P1154" t="n">
        <v>23.64</v>
      </c>
      <c r="Q1154" t="n">
        <v>14.2</v>
      </c>
      <c r="R1154" s="2" t="inlineStr">
        <is>
          <t>VERIFIED_OK</t>
        </is>
      </c>
      <c r="S1154" t="n">
        <v>14.77</v>
      </c>
      <c r="T1154" t="inlineStr">
        <is>
          <t>30-07-2026 09:42 IST</t>
        </is>
      </c>
    </row>
    <row r="1155">
      <c r="A1155" t="n">
        <v>175</v>
      </c>
      <c r="B1155" t="n">
        <v>511131</v>
      </c>
      <c r="C1155" t="inlineStr">
        <is>
          <t>Kamanwala Housing Construction Ltd</t>
        </is>
      </c>
      <c r="D1155" t="n">
        <v>2018</v>
      </c>
      <c r="E1155" t="n">
        <v>15.48999977111816</v>
      </c>
      <c r="F1155" t="n">
        <v>0.11</v>
      </c>
      <c r="G1155" t="inlineStr">
        <is>
          <t>Consolidated first (v4) – needs verification for flagged rows</t>
        </is>
      </c>
      <c r="H1155" t="n">
        <v>27.25</v>
      </c>
      <c r="I1155" t="n">
        <v>5.699999809265137</v>
      </c>
      <c r="L1155" t="inlineStr">
        <is>
          <t>UNVERIFIED – tiny EPS &lt;0.5</t>
        </is>
      </c>
      <c r="M1155" t="n">
        <v>247.73</v>
      </c>
      <c r="N1155" t="n">
        <v>51.82</v>
      </c>
      <c r="O1155" t="n">
        <v>14.77</v>
      </c>
      <c r="P1155" t="n">
        <v>23.64</v>
      </c>
      <c r="Q1155" t="n">
        <v>14.2</v>
      </c>
      <c r="R1155" s="2" t="inlineStr">
        <is>
          <t>VERIFIED_OK</t>
        </is>
      </c>
      <c r="S1155" t="n">
        <v>14.77</v>
      </c>
      <c r="T1155" t="inlineStr">
        <is>
          <t>30-07-2026 09:42 IST</t>
        </is>
      </c>
    </row>
    <row r="1156">
      <c r="A1156" t="n">
        <v>175</v>
      </c>
      <c r="B1156" t="n">
        <v>511131</v>
      </c>
      <c r="C1156" t="inlineStr">
        <is>
          <t>Kamanwala Housing Construction Ltd</t>
        </is>
      </c>
      <c r="D1156" t="n">
        <v>2019</v>
      </c>
      <c r="E1156" t="n">
        <v>15.48999977111816</v>
      </c>
      <c r="F1156" t="n">
        <v>-0.28</v>
      </c>
      <c r="G1156" t="inlineStr">
        <is>
          <t>Consolidated first (v4) – needs verification for flagged rows</t>
        </is>
      </c>
      <c r="H1156" t="n">
        <v>12</v>
      </c>
      <c r="I1156" t="n">
        <v>4.230000019073486</v>
      </c>
      <c r="L1156" t="inlineStr">
        <is>
          <t>UNVERIFIED – negative EPS</t>
        </is>
      </c>
      <c r="M1156" t="n">
        <v>-42.86</v>
      </c>
      <c r="N1156" t="n">
        <v>-15.11</v>
      </c>
      <c r="O1156" t="n">
        <v>14.77</v>
      </c>
      <c r="P1156" t="n">
        <v>23.64</v>
      </c>
      <c r="Q1156" t="n">
        <v>14.2</v>
      </c>
      <c r="R1156" s="2" t="inlineStr">
        <is>
          <t>VERIFIED_OK</t>
        </is>
      </c>
      <c r="S1156" t="n">
        <v>14.77</v>
      </c>
      <c r="T1156" t="inlineStr">
        <is>
          <t>30-07-2026 09:42 IST</t>
        </is>
      </c>
    </row>
    <row r="1157">
      <c r="A1157" t="n">
        <v>175</v>
      </c>
      <c r="B1157" t="n">
        <v>511131</v>
      </c>
      <c r="C1157" t="inlineStr">
        <is>
          <t>Kamanwala Housing Construction Ltd</t>
        </is>
      </c>
      <c r="D1157" t="n">
        <v>2020</v>
      </c>
      <c r="E1157" t="n">
        <v>15.48999977111816</v>
      </c>
      <c r="F1157" t="n">
        <v>0.09</v>
      </c>
      <c r="G1157" t="inlineStr">
        <is>
          <t>Consolidated first (v4) – needs verification for flagged rows</t>
        </is>
      </c>
      <c r="H1157" t="n">
        <v>6.840000152587891</v>
      </c>
      <c r="I1157" t="n">
        <v>2.869999885559082</v>
      </c>
      <c r="L1157" t="inlineStr">
        <is>
          <t>UNVERIFIED – tiny EPS &lt;0.5</t>
        </is>
      </c>
      <c r="M1157" t="n">
        <v>76</v>
      </c>
      <c r="N1157" t="n">
        <v>31.89</v>
      </c>
      <c r="O1157" t="n">
        <v>14.77</v>
      </c>
      <c r="P1157" t="n">
        <v>23.64</v>
      </c>
      <c r="Q1157" t="n">
        <v>14.2</v>
      </c>
      <c r="R1157" s="2" t="inlineStr">
        <is>
          <t>VERIFIED_OK</t>
        </is>
      </c>
      <c r="S1157" t="n">
        <v>14.77</v>
      </c>
      <c r="T1157" t="inlineStr">
        <is>
          <t>30-07-2026 09:42 IST</t>
        </is>
      </c>
    </row>
    <row r="1158">
      <c r="A1158" t="n">
        <v>175</v>
      </c>
      <c r="B1158" t="n">
        <v>511131</v>
      </c>
      <c r="C1158" t="inlineStr">
        <is>
          <t>Kamanwala Housing Construction Ltd</t>
        </is>
      </c>
      <c r="D1158" t="n">
        <v>2021</v>
      </c>
      <c r="E1158" t="n">
        <v>15.48999977111816</v>
      </c>
      <c r="F1158" t="n">
        <v>-0.12</v>
      </c>
      <c r="G1158" t="inlineStr">
        <is>
          <t>Consolidated first (v4) – needs verification for flagged rows</t>
        </is>
      </c>
      <c r="H1158" t="n">
        <v>13.30000019073486</v>
      </c>
      <c r="I1158" t="n">
        <v>3.799999952316284</v>
      </c>
      <c r="L1158" t="inlineStr">
        <is>
          <t>UNVERIFIED – negative EPS</t>
        </is>
      </c>
      <c r="M1158" t="n">
        <v>-110.83</v>
      </c>
      <c r="N1158" t="n">
        <v>-31.67</v>
      </c>
      <c r="O1158" t="n">
        <v>14.77</v>
      </c>
      <c r="P1158" t="n">
        <v>23.64</v>
      </c>
      <c r="Q1158" t="n">
        <v>14.2</v>
      </c>
      <c r="R1158" s="2" t="inlineStr">
        <is>
          <t>VERIFIED_OK</t>
        </is>
      </c>
      <c r="S1158" t="n">
        <v>14.77</v>
      </c>
      <c r="T1158" t="inlineStr">
        <is>
          <t>30-07-2026 09:42 IST</t>
        </is>
      </c>
    </row>
    <row r="1159">
      <c r="A1159" t="n">
        <v>175</v>
      </c>
      <c r="B1159" t="n">
        <v>511131</v>
      </c>
      <c r="C1159" t="inlineStr">
        <is>
          <t>Kamanwala Housing Construction Ltd</t>
        </is>
      </c>
      <c r="D1159" t="n">
        <v>2022</v>
      </c>
      <c r="E1159" t="n">
        <v>15.48999977111816</v>
      </c>
      <c r="F1159" t="n">
        <v>0.08</v>
      </c>
      <c r="G1159" t="inlineStr">
        <is>
          <t>Consolidated first (v4) – needs verification for flagged rows</t>
        </is>
      </c>
      <c r="H1159" t="n">
        <v>21.35000038146973</v>
      </c>
      <c r="I1159" t="n">
        <v>7.550000190734863</v>
      </c>
      <c r="L1159" t="inlineStr">
        <is>
          <t>UNVERIFIED – tiny EPS &lt;0.5</t>
        </is>
      </c>
      <c r="M1159" t="n">
        <v>266.88</v>
      </c>
      <c r="N1159" t="n">
        <v>94.38</v>
      </c>
      <c r="O1159" t="n">
        <v>14.77</v>
      </c>
      <c r="P1159" t="n">
        <v>23.64</v>
      </c>
      <c r="Q1159" t="n">
        <v>14.2</v>
      </c>
      <c r="R1159" s="2" t="inlineStr">
        <is>
          <t>VERIFIED_OK</t>
        </is>
      </c>
      <c r="S1159" t="n">
        <v>14.77</v>
      </c>
      <c r="T1159" t="inlineStr">
        <is>
          <t>30-07-2026 09:42 IST</t>
        </is>
      </c>
    </row>
    <row r="1160">
      <c r="A1160" t="n">
        <v>175</v>
      </c>
      <c r="B1160" t="n">
        <v>511131</v>
      </c>
      <c r="C1160" t="inlineStr">
        <is>
          <t>Kamanwala Housing Construction Ltd</t>
        </is>
      </c>
      <c r="D1160" t="n">
        <v>2023</v>
      </c>
      <c r="E1160" t="n">
        <v>15.48999977111816</v>
      </c>
      <c r="F1160" t="n">
        <v>-5.83</v>
      </c>
      <c r="G1160" t="inlineStr">
        <is>
          <t>Consolidated first (v4) – needs verification for flagged rows</t>
        </is>
      </c>
      <c r="H1160" t="n">
        <v>15.5</v>
      </c>
      <c r="I1160" t="n">
        <v>7.119999885559082</v>
      </c>
      <c r="L1160" t="inlineStr">
        <is>
          <t>UNVERIFIED – negative EPS</t>
        </is>
      </c>
      <c r="M1160" t="n">
        <v>-2.66</v>
      </c>
      <c r="N1160" t="n">
        <v>-1.22</v>
      </c>
      <c r="O1160" t="n">
        <v>14.77</v>
      </c>
      <c r="P1160" t="n">
        <v>23.64</v>
      </c>
      <c r="Q1160" t="n">
        <v>14.2</v>
      </c>
      <c r="R1160" s="2" t="inlineStr">
        <is>
          <t>VERIFIED_OK</t>
        </is>
      </c>
      <c r="S1160" t="n">
        <v>14.77</v>
      </c>
      <c r="T1160" t="inlineStr">
        <is>
          <t>30-07-2026 09:42 IST</t>
        </is>
      </c>
    </row>
    <row r="1161">
      <c r="A1161" t="n">
        <v>175</v>
      </c>
      <c r="B1161" t="n">
        <v>511131</v>
      </c>
      <c r="C1161" t="inlineStr">
        <is>
          <t>Kamanwala Housing Construction Ltd</t>
        </is>
      </c>
      <c r="D1161" t="n">
        <v>2024</v>
      </c>
      <c r="E1161" t="n">
        <v>15.48999977111816</v>
      </c>
      <c r="F1161" t="n">
        <v>-1.64</v>
      </c>
      <c r="G1161" t="inlineStr">
        <is>
          <t>Consolidated first (v4) – needs verification for flagged rows</t>
        </is>
      </c>
      <c r="H1161" t="n">
        <v>23.63999938964844</v>
      </c>
      <c r="I1161" t="n">
        <v>13.32999992370605</v>
      </c>
      <c r="L1161" t="inlineStr">
        <is>
          <t>UNVERIFIED – negative EPS</t>
        </is>
      </c>
      <c r="M1161" t="n">
        <v>-14.41</v>
      </c>
      <c r="N1161" t="n">
        <v>-8.130000000000001</v>
      </c>
      <c r="O1161" t="n">
        <v>14.77</v>
      </c>
      <c r="P1161" t="n">
        <v>23.64</v>
      </c>
      <c r="Q1161" t="n">
        <v>14.2</v>
      </c>
      <c r="R1161" s="2" t="inlineStr">
        <is>
          <t>VERIFIED_OK</t>
        </is>
      </c>
      <c r="S1161" t="n">
        <v>14.77</v>
      </c>
      <c r="T1161" t="inlineStr">
        <is>
          <t>30-07-2026 09:42 IST</t>
        </is>
      </c>
    </row>
    <row r="1162">
      <c r="A1162" t="n">
        <v>175</v>
      </c>
      <c r="B1162" t="n">
        <v>511131</v>
      </c>
      <c r="C1162" t="inlineStr">
        <is>
          <t>Kamanwala Housing Construction Ltd</t>
        </is>
      </c>
      <c r="D1162" t="n">
        <v>2025</v>
      </c>
      <c r="E1162" t="n">
        <v>15.48999977111816</v>
      </c>
      <c r="F1162" t="n">
        <v>32.31</v>
      </c>
      <c r="G1162" t="inlineStr">
        <is>
          <t>Consolidated first (v4) – needs verification for flagged rows</t>
        </is>
      </c>
      <c r="H1162" t="n">
        <v>28.8799991607666</v>
      </c>
      <c r="I1162" t="n">
        <v>10.22000026702881</v>
      </c>
      <c r="L1162" t="inlineStr">
        <is>
          <t>OK</t>
        </is>
      </c>
      <c r="M1162" t="n">
        <v>0.89</v>
      </c>
      <c r="N1162" t="n">
        <v>0.32</v>
      </c>
      <c r="O1162" t="n">
        <v>14.77</v>
      </c>
      <c r="P1162" t="n">
        <v>23.64</v>
      </c>
      <c r="Q1162" t="n">
        <v>14.2</v>
      </c>
      <c r="R1162" s="2" t="inlineStr">
        <is>
          <t>VERIFIED_OK</t>
        </is>
      </c>
      <c r="S1162" t="n">
        <v>14.77</v>
      </c>
      <c r="T1162" t="inlineStr">
        <is>
          <t>30-07-2026 09:42 IST</t>
        </is>
      </c>
    </row>
    <row r="1163">
      <c r="A1163" t="n">
        <v>175</v>
      </c>
      <c r="B1163" t="n">
        <v>511131</v>
      </c>
      <c r="C1163" t="inlineStr">
        <is>
          <t>Kamanwala Housing Construction Ltd</t>
        </is>
      </c>
      <c r="D1163" t="n">
        <v>2026</v>
      </c>
      <c r="E1163" t="n">
        <v>15.48999977111816</v>
      </c>
      <c r="F1163" t="n">
        <v>-2.03</v>
      </c>
      <c r="G1163" t="inlineStr">
        <is>
          <t>Consolidated first (v4) – needs verification for flagged rows</t>
        </is>
      </c>
      <c r="H1163" t="n">
        <v>19</v>
      </c>
      <c r="I1163" t="n">
        <v>14</v>
      </c>
      <c r="L1163" t="inlineStr">
        <is>
          <t>UNVERIFIED – negative EPS</t>
        </is>
      </c>
      <c r="M1163" t="n">
        <v>-9.359999999999999</v>
      </c>
      <c r="N1163" t="n">
        <v>-6.9</v>
      </c>
      <c r="O1163" t="n">
        <v>14.77</v>
      </c>
      <c r="P1163" t="n">
        <v>23.64</v>
      </c>
      <c r="Q1163" t="n">
        <v>14.2</v>
      </c>
      <c r="R1163" s="2" t="inlineStr">
        <is>
          <t>VERIFIED_OK</t>
        </is>
      </c>
      <c r="S1163" t="n">
        <v>14.77</v>
      </c>
      <c r="T1163" t="inlineStr">
        <is>
          <t>30-07-2026 09:42 IST</t>
        </is>
      </c>
    </row>
    <row r="1164">
      <c r="A1164" t="n">
        <v>176</v>
      </c>
      <c r="B1164" t="n">
        <v>511147</v>
      </c>
      <c r="C1164" t="inlineStr">
        <is>
          <t>Wall Street Finance Ltd</t>
        </is>
      </c>
      <c r="D1164" t="n">
        <v>2015</v>
      </c>
      <c r="E1164" t="n">
        <v>63.86000061035156</v>
      </c>
      <c r="F1164" t="n">
        <v>1.17</v>
      </c>
      <c r="G1164" t="inlineStr">
        <is>
          <t>Consolidated first (v4) – needs verification for flagged rows</t>
        </is>
      </c>
      <c r="H1164" t="n">
        <v>37.95000076293945</v>
      </c>
      <c r="I1164" t="n">
        <v>19.70000076293945</v>
      </c>
      <c r="L1164" t="inlineStr">
        <is>
          <t>OK</t>
        </is>
      </c>
      <c r="M1164" t="n">
        <v>32.44</v>
      </c>
      <c r="N1164" t="n">
        <v>16.84</v>
      </c>
      <c r="O1164" t="n">
        <v>101.46</v>
      </c>
      <c r="P1164" t="n">
        <v>146.45</v>
      </c>
      <c r="Q1164" t="n">
        <v>60.92</v>
      </c>
      <c r="R1164" s="3" t="inlineStr">
        <is>
          <t>MISMATCH_NEEDS_CORRECTION</t>
        </is>
      </c>
      <c r="S1164" t="n">
        <v>101.46</v>
      </c>
      <c r="T1164" t="inlineStr">
        <is>
          <t>30-07-2026 09:42 IST</t>
        </is>
      </c>
    </row>
    <row r="1165">
      <c r="A1165" t="n">
        <v>176</v>
      </c>
      <c r="B1165" t="n">
        <v>511147</v>
      </c>
      <c r="C1165" t="inlineStr">
        <is>
          <t>Wall Street Finance Ltd</t>
        </is>
      </c>
      <c r="D1165" t="n">
        <v>2016</v>
      </c>
      <c r="E1165" t="n">
        <v>63.86000061035156</v>
      </c>
      <c r="F1165" t="n">
        <v>1.14</v>
      </c>
      <c r="G1165" t="inlineStr">
        <is>
          <t>Consolidated first (v4) – needs verification for flagged rows</t>
        </is>
      </c>
      <c r="H1165" t="n">
        <v>38.75</v>
      </c>
      <c r="I1165" t="n">
        <v>22.25</v>
      </c>
      <c r="L1165" t="inlineStr">
        <is>
          <t>OK</t>
        </is>
      </c>
      <c r="M1165" t="n">
        <v>33.99</v>
      </c>
      <c r="N1165" t="n">
        <v>19.52</v>
      </c>
      <c r="O1165" t="n">
        <v>101.46</v>
      </c>
      <c r="P1165" t="n">
        <v>146.45</v>
      </c>
      <c r="Q1165" t="n">
        <v>60.92</v>
      </c>
      <c r="R1165" s="3" t="inlineStr">
        <is>
          <t>MISMATCH_NEEDS_CORRECTION</t>
        </is>
      </c>
      <c r="S1165" t="n">
        <v>101.46</v>
      </c>
      <c r="T1165" t="inlineStr">
        <is>
          <t>30-07-2026 09:42 IST</t>
        </is>
      </c>
    </row>
    <row r="1166">
      <c r="A1166" t="n">
        <v>176</v>
      </c>
      <c r="B1166" t="n">
        <v>511147</v>
      </c>
      <c r="C1166" t="inlineStr">
        <is>
          <t>Wall Street Finance Ltd</t>
        </is>
      </c>
      <c r="D1166" t="n">
        <v>2017</v>
      </c>
      <c r="E1166" t="n">
        <v>63.86000061035156</v>
      </c>
      <c r="F1166" t="n">
        <v>0.54</v>
      </c>
      <c r="G1166" t="inlineStr">
        <is>
          <t>Consolidated first (v4) – needs verification for flagged rows</t>
        </is>
      </c>
      <c r="H1166" t="n">
        <v>47.15000152587891</v>
      </c>
      <c r="I1166" t="n">
        <v>23.29999923706055</v>
      </c>
      <c r="L1166" t="inlineStr">
        <is>
          <t>OK</t>
        </is>
      </c>
      <c r="M1166" t="n">
        <v>87.31</v>
      </c>
      <c r="N1166" t="n">
        <v>43.15</v>
      </c>
      <c r="O1166" t="n">
        <v>101.46</v>
      </c>
      <c r="P1166" t="n">
        <v>146.45</v>
      </c>
      <c r="Q1166" t="n">
        <v>60.92</v>
      </c>
      <c r="R1166" s="3" t="inlineStr">
        <is>
          <t>MISMATCH_NEEDS_CORRECTION</t>
        </is>
      </c>
      <c r="S1166" t="n">
        <v>101.46</v>
      </c>
      <c r="T1166" t="inlineStr">
        <is>
          <t>30-07-2026 09:42 IST</t>
        </is>
      </c>
    </row>
    <row r="1167">
      <c r="A1167" t="n">
        <v>176</v>
      </c>
      <c r="B1167" t="n">
        <v>511147</v>
      </c>
      <c r="C1167" t="inlineStr">
        <is>
          <t>Wall Street Finance Ltd</t>
        </is>
      </c>
      <c r="D1167" t="n">
        <v>2018</v>
      </c>
      <c r="E1167" t="n">
        <v>63.86000061035156</v>
      </c>
      <c r="F1167" t="n">
        <v>23.5</v>
      </c>
      <c r="G1167" t="inlineStr">
        <is>
          <t>Consolidated first (v4) – needs verification for flagged rows</t>
        </is>
      </c>
      <c r="H1167" t="n">
        <v>45.04999923706055</v>
      </c>
      <c r="I1167" t="n">
        <v>22.75</v>
      </c>
      <c r="L1167" t="inlineStr">
        <is>
          <t>OK</t>
        </is>
      </c>
      <c r="M1167" t="n">
        <v>1.92</v>
      </c>
      <c r="N1167" t="n">
        <v>0.97</v>
      </c>
      <c r="O1167" t="n">
        <v>101.46</v>
      </c>
      <c r="P1167" t="n">
        <v>146.45</v>
      </c>
      <c r="Q1167" t="n">
        <v>60.92</v>
      </c>
      <c r="R1167" s="3" t="inlineStr">
        <is>
          <t>MISMATCH_NEEDS_CORRECTION</t>
        </is>
      </c>
      <c r="S1167" t="n">
        <v>101.46</v>
      </c>
      <c r="T1167" t="inlineStr">
        <is>
          <t>30-07-2026 09:42 IST</t>
        </is>
      </c>
    </row>
    <row r="1168">
      <c r="A1168" t="n">
        <v>176</v>
      </c>
      <c r="B1168" t="n">
        <v>511147</v>
      </c>
      <c r="C1168" t="inlineStr">
        <is>
          <t>Wall Street Finance Ltd</t>
        </is>
      </c>
      <c r="D1168" t="n">
        <v>2019</v>
      </c>
      <c r="E1168" t="n">
        <v>63.86000061035156</v>
      </c>
      <c r="F1168" t="n">
        <v>0.1</v>
      </c>
      <c r="G1168" t="inlineStr">
        <is>
          <t>Consolidated first (v4) – needs verification for flagged rows</t>
        </is>
      </c>
      <c r="H1168" t="n">
        <v>32.70000076293945</v>
      </c>
      <c r="I1168" t="n">
        <v>16.29999923706055</v>
      </c>
      <c r="L1168" t="inlineStr">
        <is>
          <t>UNVERIFIED – tiny EPS &lt;0.5</t>
        </is>
      </c>
      <c r="M1168" t="n">
        <v>327</v>
      </c>
      <c r="N1168" t="n">
        <v>163</v>
      </c>
      <c r="O1168" t="n">
        <v>101.46</v>
      </c>
      <c r="P1168" t="n">
        <v>146.45</v>
      </c>
      <c r="Q1168" t="n">
        <v>60.92</v>
      </c>
      <c r="R1168" s="3" t="inlineStr">
        <is>
          <t>MISMATCH_NEEDS_CORRECTION</t>
        </is>
      </c>
      <c r="S1168" t="n">
        <v>101.46</v>
      </c>
      <c r="T1168" t="inlineStr">
        <is>
          <t>30-07-2026 09:42 IST</t>
        </is>
      </c>
    </row>
    <row r="1169">
      <c r="A1169" t="n">
        <v>176</v>
      </c>
      <c r="B1169" t="n">
        <v>511147</v>
      </c>
      <c r="C1169" t="inlineStr">
        <is>
          <t>Wall Street Finance Ltd</t>
        </is>
      </c>
      <c r="D1169" t="n">
        <v>2020</v>
      </c>
      <c r="E1169" t="n">
        <v>63.86000061035156</v>
      </c>
      <c r="F1169" t="n">
        <v>-0.45</v>
      </c>
      <c r="G1169" t="inlineStr">
        <is>
          <t>Consolidated first (v4) – needs verification for flagged rows</t>
        </is>
      </c>
      <c r="H1169" t="n">
        <v>21.64999961853027</v>
      </c>
      <c r="I1169" t="n">
        <v>11.89999961853027</v>
      </c>
      <c r="L1169" t="inlineStr">
        <is>
          <t>UNVERIFIED – negative EPS</t>
        </is>
      </c>
      <c r="M1169" t="n">
        <v>-48.11</v>
      </c>
      <c r="N1169" t="n">
        <v>-26.44</v>
      </c>
      <c r="O1169" t="n">
        <v>101.46</v>
      </c>
      <c r="P1169" t="n">
        <v>146.45</v>
      </c>
      <c r="Q1169" t="n">
        <v>60.92</v>
      </c>
      <c r="R1169" s="3" t="inlineStr">
        <is>
          <t>MISMATCH_NEEDS_CORRECTION</t>
        </is>
      </c>
      <c r="S1169" t="n">
        <v>101.46</v>
      </c>
      <c r="T1169" t="inlineStr">
        <is>
          <t>30-07-2026 09:42 IST</t>
        </is>
      </c>
    </row>
    <row r="1170">
      <c r="A1170" t="n">
        <v>176</v>
      </c>
      <c r="B1170" t="n">
        <v>511147</v>
      </c>
      <c r="C1170" t="inlineStr">
        <is>
          <t>Wall Street Finance Ltd</t>
        </is>
      </c>
      <c r="D1170" t="n">
        <v>2021</v>
      </c>
      <c r="E1170" t="n">
        <v>63.86000061035156</v>
      </c>
      <c r="F1170" t="n">
        <v>-4.44</v>
      </c>
      <c r="G1170" t="inlineStr">
        <is>
          <t>Consolidated first (v4) – needs verification for flagged rows</t>
        </is>
      </c>
      <c r="H1170" t="n">
        <v>27.5</v>
      </c>
      <c r="I1170" t="n">
        <v>13.75</v>
      </c>
      <c r="L1170" t="inlineStr">
        <is>
          <t>UNVERIFIED – negative EPS</t>
        </is>
      </c>
      <c r="M1170" t="n">
        <v>-6.19</v>
      </c>
      <c r="N1170" t="n">
        <v>-3.1</v>
      </c>
      <c r="O1170" t="n">
        <v>101.46</v>
      </c>
      <c r="P1170" t="n">
        <v>146.45</v>
      </c>
      <c r="Q1170" t="n">
        <v>60.92</v>
      </c>
      <c r="R1170" s="3" t="inlineStr">
        <is>
          <t>MISMATCH_NEEDS_CORRECTION</t>
        </is>
      </c>
      <c r="S1170" t="n">
        <v>101.46</v>
      </c>
      <c r="T1170" t="inlineStr">
        <is>
          <t>30-07-2026 09:42 IST</t>
        </is>
      </c>
    </row>
    <row r="1171">
      <c r="A1171" t="n">
        <v>176</v>
      </c>
      <c r="B1171" t="n">
        <v>511147</v>
      </c>
      <c r="C1171" t="inlineStr">
        <is>
          <t>Wall Street Finance Ltd</t>
        </is>
      </c>
      <c r="D1171" t="n">
        <v>2022</v>
      </c>
      <c r="E1171" t="n">
        <v>63.86000061035156</v>
      </c>
      <c r="G1171" t="inlineStr">
        <is>
          <t>Consolidated first (v4) – needs verification for flagged rows</t>
        </is>
      </c>
      <c r="H1171" t="n">
        <v>40</v>
      </c>
      <c r="I1171" t="n">
        <v>20.60000038146973</v>
      </c>
      <c r="L1171" t="inlineStr">
        <is>
          <t>INCOMPLETE</t>
        </is>
      </c>
      <c r="O1171" t="n">
        <v>101.46</v>
      </c>
      <c r="P1171" t="n">
        <v>146.45</v>
      </c>
      <c r="Q1171" t="n">
        <v>60.92</v>
      </c>
      <c r="R1171" s="3" t="inlineStr">
        <is>
          <t>MISMATCH_NEEDS_CORRECTION</t>
        </is>
      </c>
      <c r="S1171" t="n">
        <v>101.46</v>
      </c>
      <c r="T1171" t="inlineStr">
        <is>
          <t>30-07-2026 09:42 IST</t>
        </is>
      </c>
    </row>
    <row r="1172">
      <c r="A1172" t="n">
        <v>176</v>
      </c>
      <c r="B1172" t="n">
        <v>511147</v>
      </c>
      <c r="C1172" t="inlineStr">
        <is>
          <t>Wall Street Finance Ltd</t>
        </is>
      </c>
      <c r="D1172" t="n">
        <v>2023</v>
      </c>
      <c r="E1172" t="n">
        <v>63.86000061035156</v>
      </c>
      <c r="G1172" t="inlineStr">
        <is>
          <t>Consolidated first (v4) – needs verification for flagged rows</t>
        </is>
      </c>
      <c r="H1172" t="n">
        <v>66.15000152587891</v>
      </c>
      <c r="I1172" t="n">
        <v>26.5</v>
      </c>
      <c r="L1172" t="inlineStr">
        <is>
          <t>INCOMPLETE</t>
        </is>
      </c>
      <c r="O1172" t="n">
        <v>101.46</v>
      </c>
      <c r="P1172" t="n">
        <v>146.45</v>
      </c>
      <c r="Q1172" t="n">
        <v>60.92</v>
      </c>
      <c r="R1172" s="3" t="inlineStr">
        <is>
          <t>MISMATCH_NEEDS_CORRECTION</t>
        </is>
      </c>
      <c r="S1172" t="n">
        <v>101.46</v>
      </c>
      <c r="T1172" t="inlineStr">
        <is>
          <t>30-07-2026 09:42 IST</t>
        </is>
      </c>
    </row>
    <row r="1173">
      <c r="A1173" t="n">
        <v>176</v>
      </c>
      <c r="B1173" t="n">
        <v>511147</v>
      </c>
      <c r="C1173" t="inlineStr">
        <is>
          <t>Wall Street Finance Ltd</t>
        </is>
      </c>
      <c r="D1173" t="n">
        <v>2024</v>
      </c>
      <c r="E1173" t="n">
        <v>63.86000061035156</v>
      </c>
      <c r="G1173" t="inlineStr">
        <is>
          <t>Consolidated first (v4) – needs verification for flagged rows</t>
        </is>
      </c>
      <c r="H1173" t="n">
        <v>146.4499969482422</v>
      </c>
      <c r="I1173" t="n">
        <v>59.25</v>
      </c>
      <c r="L1173" t="inlineStr">
        <is>
          <t>INCOMPLETE</t>
        </is>
      </c>
      <c r="O1173" t="n">
        <v>101.46</v>
      </c>
      <c r="P1173" t="n">
        <v>146.45</v>
      </c>
      <c r="Q1173" t="n">
        <v>60.92</v>
      </c>
      <c r="R1173" s="3" t="inlineStr">
        <is>
          <t>MISMATCH_NEEDS_CORRECTION</t>
        </is>
      </c>
      <c r="S1173" t="n">
        <v>101.46</v>
      </c>
      <c r="T1173" t="inlineStr">
        <is>
          <t>30-07-2026 09:42 IST</t>
        </is>
      </c>
    </row>
    <row r="1174">
      <c r="A1174" t="n">
        <v>176</v>
      </c>
      <c r="B1174" t="n">
        <v>511147</v>
      </c>
      <c r="C1174" t="inlineStr">
        <is>
          <t>Wall Street Finance Ltd</t>
        </is>
      </c>
      <c r="D1174" t="n">
        <v>2025</v>
      </c>
      <c r="E1174" t="n">
        <v>63.86000061035156</v>
      </c>
      <c r="G1174" t="inlineStr">
        <is>
          <t>Consolidated first (v4) – needs verification for flagged rows</t>
        </is>
      </c>
      <c r="H1174" t="n">
        <v>125.5</v>
      </c>
      <c r="I1174" t="n">
        <v>57.25</v>
      </c>
      <c r="L1174" t="inlineStr">
        <is>
          <t>INCOMPLETE</t>
        </is>
      </c>
      <c r="O1174" t="n">
        <v>101.46</v>
      </c>
      <c r="P1174" t="n">
        <v>146.45</v>
      </c>
      <c r="Q1174" t="n">
        <v>60.92</v>
      </c>
      <c r="R1174" s="3" t="inlineStr">
        <is>
          <t>MISMATCH_NEEDS_CORRECTION</t>
        </is>
      </c>
      <c r="S1174" t="n">
        <v>101.46</v>
      </c>
      <c r="T1174" t="inlineStr">
        <is>
          <t>30-07-2026 09:42 IST</t>
        </is>
      </c>
    </row>
    <row r="1175">
      <c r="A1175" t="n">
        <v>176</v>
      </c>
      <c r="B1175" t="n">
        <v>511147</v>
      </c>
      <c r="C1175" t="inlineStr">
        <is>
          <t>Wall Street Finance Ltd</t>
        </is>
      </c>
      <c r="D1175" t="n">
        <v>2026</v>
      </c>
      <c r="E1175" t="n">
        <v>63.86000061035156</v>
      </c>
      <c r="G1175" t="inlineStr">
        <is>
          <t>Consolidated first (v4) – needs verification for flagged rows</t>
        </is>
      </c>
      <c r="H1175" t="n">
        <v>72</v>
      </c>
      <c r="I1175" t="n">
        <v>53.79999923706055</v>
      </c>
      <c r="L1175" t="inlineStr">
        <is>
          <t>INCOMPLETE</t>
        </is>
      </c>
      <c r="O1175" t="n">
        <v>101.46</v>
      </c>
      <c r="P1175" t="n">
        <v>146.45</v>
      </c>
      <c r="Q1175" t="n">
        <v>60.92</v>
      </c>
      <c r="R1175" s="3" t="inlineStr">
        <is>
          <t>MISMATCH_NEEDS_CORRECTION</t>
        </is>
      </c>
      <c r="S1175" t="n">
        <v>101.46</v>
      </c>
      <c r="T1175" t="inlineStr">
        <is>
          <t>30-07-2026 09:42 IST</t>
        </is>
      </c>
    </row>
    <row r="1176">
      <c r="A1176" t="n">
        <v>178</v>
      </c>
      <c r="B1176" t="n">
        <v>511218</v>
      </c>
      <c r="C1176" t="inlineStr">
        <is>
          <t>Shree Rama Multi Tech Ltd</t>
        </is>
      </c>
      <c r="D1176" t="n">
        <v>2015</v>
      </c>
      <c r="E1176" t="n">
        <v>1037.949951171875</v>
      </c>
      <c r="F1176" t="n">
        <v>8.130000000000001</v>
      </c>
      <c r="G1176" t="inlineStr">
        <is>
          <t>Consolidated first (v4) – needs verification for flagged rows</t>
        </is>
      </c>
      <c r="H1176" t="n">
        <v>250.6734924316406</v>
      </c>
      <c r="I1176" t="n">
        <v>148.3892059326172</v>
      </c>
      <c r="L1176" t="inlineStr">
        <is>
          <t>OK</t>
        </is>
      </c>
      <c r="M1176" t="n">
        <v>30.83</v>
      </c>
      <c r="N1176" t="n">
        <v>18.25</v>
      </c>
      <c r="O1176" t="n">
        <v>39.02</v>
      </c>
      <c r="P1176" t="n">
        <v>71.98999999999999</v>
      </c>
      <c r="Q1176" t="n">
        <v>37.62</v>
      </c>
      <c r="R1176" s="3" t="inlineStr">
        <is>
          <t>MISMATCH_NEEDS_CORRECTION</t>
        </is>
      </c>
      <c r="S1176" t="n">
        <v>39.02</v>
      </c>
      <c r="T1176" t="inlineStr">
        <is>
          <t>30-07-2026 09:42 IST</t>
        </is>
      </c>
    </row>
    <row r="1177">
      <c r="A1177" t="n">
        <v>178</v>
      </c>
      <c r="B1177" t="n">
        <v>511218</v>
      </c>
      <c r="C1177" t="inlineStr">
        <is>
          <t>Shree Rama Multi Tech Ltd</t>
        </is>
      </c>
      <c r="D1177" t="n">
        <v>2016</v>
      </c>
      <c r="E1177" t="n">
        <v>1037.949951171875</v>
      </c>
      <c r="F1177" t="n">
        <v>9.35</v>
      </c>
      <c r="G1177" t="inlineStr">
        <is>
          <t>Consolidated first (v4) – needs verification for flagged rows</t>
        </is>
      </c>
      <c r="H1177" t="n">
        <v>258.1952514648438</v>
      </c>
      <c r="I1177" t="n">
        <v>143.5175933837891</v>
      </c>
      <c r="L1177" t="inlineStr">
        <is>
          <t>OK</t>
        </is>
      </c>
      <c r="M1177" t="n">
        <v>27.61</v>
      </c>
      <c r="N1177" t="n">
        <v>15.35</v>
      </c>
      <c r="O1177" t="n">
        <v>39.02</v>
      </c>
      <c r="P1177" t="n">
        <v>71.98999999999999</v>
      </c>
      <c r="Q1177" t="n">
        <v>37.62</v>
      </c>
      <c r="R1177" s="3" t="inlineStr">
        <is>
          <t>MISMATCH_NEEDS_CORRECTION</t>
        </is>
      </c>
      <c r="S1177" t="n">
        <v>39.02</v>
      </c>
      <c r="T1177" t="inlineStr">
        <is>
          <t>30-07-2026 09:42 IST</t>
        </is>
      </c>
    </row>
    <row r="1178">
      <c r="A1178" t="n">
        <v>178</v>
      </c>
      <c r="B1178" t="n">
        <v>511218</v>
      </c>
      <c r="C1178" t="inlineStr">
        <is>
          <t>Shree Rama Multi Tech Ltd</t>
        </is>
      </c>
      <c r="D1178" t="n">
        <v>2017</v>
      </c>
      <c r="E1178" t="n">
        <v>1037.949951171875</v>
      </c>
      <c r="F1178" t="n">
        <v>10</v>
      </c>
      <c r="G1178" t="inlineStr">
        <is>
          <t>Consolidated first (v4) – needs verification for flagged rows</t>
        </is>
      </c>
      <c r="H1178" t="n">
        <v>291.2247619628906</v>
      </c>
      <c r="I1178" t="n">
        <v>171.6754913330078</v>
      </c>
      <c r="L1178" t="inlineStr">
        <is>
          <t>OK</t>
        </is>
      </c>
      <c r="M1178" t="n">
        <v>29.12</v>
      </c>
      <c r="N1178" t="n">
        <v>17.17</v>
      </c>
      <c r="O1178" t="n">
        <v>39.02</v>
      </c>
      <c r="P1178" t="n">
        <v>71.98999999999999</v>
      </c>
      <c r="Q1178" t="n">
        <v>37.62</v>
      </c>
      <c r="R1178" s="3" t="inlineStr">
        <is>
          <t>MISMATCH_NEEDS_CORRECTION</t>
        </is>
      </c>
      <c r="S1178" t="n">
        <v>39.02</v>
      </c>
      <c r="T1178" t="inlineStr">
        <is>
          <t>30-07-2026 09:42 IST</t>
        </is>
      </c>
    </row>
    <row r="1179">
      <c r="A1179" t="n">
        <v>178</v>
      </c>
      <c r="B1179" t="n">
        <v>511218</v>
      </c>
      <c r="C1179" t="inlineStr">
        <is>
          <t>Shree Rama Multi Tech Ltd</t>
        </is>
      </c>
      <c r="D1179" t="n">
        <v>2018</v>
      </c>
      <c r="E1179" t="n">
        <v>1037.949951171875</v>
      </c>
      <c r="F1179" t="n">
        <v>20.14</v>
      </c>
      <c r="G1179" t="inlineStr">
        <is>
          <t>Consolidated first (v4) – needs verification for flagged rows</t>
        </is>
      </c>
      <c r="H1179" t="n">
        <v>325.5403747558594</v>
      </c>
      <c r="I1179" t="n">
        <v>176.0599365234375</v>
      </c>
      <c r="L1179" t="inlineStr">
        <is>
          <t>OK</t>
        </is>
      </c>
      <c r="M1179" t="n">
        <v>16.16</v>
      </c>
      <c r="N1179" t="n">
        <v>8.74</v>
      </c>
      <c r="O1179" t="n">
        <v>39.02</v>
      </c>
      <c r="P1179" t="n">
        <v>71.98999999999999</v>
      </c>
      <c r="Q1179" t="n">
        <v>37.62</v>
      </c>
      <c r="R1179" s="3" t="inlineStr">
        <is>
          <t>MISMATCH_NEEDS_CORRECTION</t>
        </is>
      </c>
      <c r="S1179" t="n">
        <v>39.02</v>
      </c>
      <c r="T1179" t="inlineStr">
        <is>
          <t>30-07-2026 09:42 IST</t>
        </is>
      </c>
    </row>
    <row r="1180">
      <c r="A1180" t="n">
        <v>178</v>
      </c>
      <c r="B1180" t="n">
        <v>511218</v>
      </c>
      <c r="C1180" t="inlineStr">
        <is>
          <t>Shree Rama Multi Tech Ltd</t>
        </is>
      </c>
      <c r="D1180" t="n">
        <v>2019</v>
      </c>
      <c r="E1180" t="n">
        <v>1037.949951171875</v>
      </c>
      <c r="F1180" t="n">
        <v>20.36</v>
      </c>
      <c r="G1180" t="inlineStr">
        <is>
          <t>Consolidated first (v4) – needs verification for flagged rows</t>
        </is>
      </c>
      <c r="H1180" t="n">
        <v>252.6903381347656</v>
      </c>
      <c r="I1180" t="n">
        <v>177.1804046630859</v>
      </c>
      <c r="L1180" t="inlineStr">
        <is>
          <t>OK</t>
        </is>
      </c>
      <c r="M1180" t="n">
        <v>12.41</v>
      </c>
      <c r="N1180" t="n">
        <v>8.699999999999999</v>
      </c>
      <c r="O1180" t="n">
        <v>39.02</v>
      </c>
      <c r="P1180" t="n">
        <v>71.98999999999999</v>
      </c>
      <c r="Q1180" t="n">
        <v>37.62</v>
      </c>
      <c r="R1180" s="3" t="inlineStr">
        <is>
          <t>MISMATCH_NEEDS_CORRECTION</t>
        </is>
      </c>
      <c r="S1180" t="n">
        <v>39.02</v>
      </c>
      <c r="T1180" t="inlineStr">
        <is>
          <t>30-07-2026 09:42 IST</t>
        </is>
      </c>
    </row>
    <row r="1181">
      <c r="A1181" t="n">
        <v>178</v>
      </c>
      <c r="B1181" t="n">
        <v>511218</v>
      </c>
      <c r="C1181" t="inlineStr">
        <is>
          <t>Shree Rama Multi Tech Ltd</t>
        </is>
      </c>
      <c r="D1181" t="n">
        <v>2020</v>
      </c>
      <c r="E1181" t="n">
        <v>1037.949951171875</v>
      </c>
      <c r="F1181" t="n">
        <v>19.86</v>
      </c>
      <c r="G1181" t="inlineStr">
        <is>
          <t>Consolidated first (v4) – needs verification for flagged rows</t>
        </is>
      </c>
      <c r="H1181" t="n">
        <v>266.3600769042969</v>
      </c>
      <c r="I1181" t="n">
        <v>85.74031066894531</v>
      </c>
      <c r="L1181" t="inlineStr">
        <is>
          <t>OK</t>
        </is>
      </c>
      <c r="M1181" t="n">
        <v>13.41</v>
      </c>
      <c r="N1181" t="n">
        <v>4.32</v>
      </c>
      <c r="O1181" t="n">
        <v>39.02</v>
      </c>
      <c r="P1181" t="n">
        <v>71.98999999999999</v>
      </c>
      <c r="Q1181" t="n">
        <v>37.62</v>
      </c>
      <c r="R1181" s="3" t="inlineStr">
        <is>
          <t>MISMATCH_NEEDS_CORRECTION</t>
        </is>
      </c>
      <c r="S1181" t="n">
        <v>39.02</v>
      </c>
      <c r="T1181" t="inlineStr">
        <is>
          <t>30-07-2026 09:42 IST</t>
        </is>
      </c>
    </row>
    <row r="1182">
      <c r="A1182" t="n">
        <v>178</v>
      </c>
      <c r="B1182" t="n">
        <v>511218</v>
      </c>
      <c r="C1182" t="inlineStr">
        <is>
          <t>Shree Rama Multi Tech Ltd</t>
        </is>
      </c>
      <c r="D1182" t="n">
        <v>2021</v>
      </c>
      <c r="E1182" t="n">
        <v>1037.949951171875</v>
      </c>
      <c r="F1182" t="n">
        <v>17.71</v>
      </c>
      <c r="G1182" t="inlineStr">
        <is>
          <t>Consolidated first (v4) – needs verification for flagged rows</t>
        </is>
      </c>
      <c r="H1182" t="n">
        <v>339.2300109863281</v>
      </c>
      <c r="I1182" t="n">
        <v>211.9199981689453</v>
      </c>
      <c r="L1182" t="inlineStr">
        <is>
          <t>OK</t>
        </is>
      </c>
      <c r="M1182" t="n">
        <v>19.15</v>
      </c>
      <c r="N1182" t="n">
        <v>11.97</v>
      </c>
      <c r="O1182" t="n">
        <v>39.02</v>
      </c>
      <c r="P1182" t="n">
        <v>71.98999999999999</v>
      </c>
      <c r="Q1182" t="n">
        <v>37.62</v>
      </c>
      <c r="R1182" s="3" t="inlineStr">
        <is>
          <t>MISMATCH_NEEDS_CORRECTION</t>
        </is>
      </c>
      <c r="S1182" t="n">
        <v>39.02</v>
      </c>
      <c r="T1182" t="inlineStr">
        <is>
          <t>30-07-2026 09:42 IST</t>
        </is>
      </c>
    </row>
    <row r="1183">
      <c r="A1183" t="n">
        <v>178</v>
      </c>
      <c r="B1183" t="n">
        <v>511218</v>
      </c>
      <c r="C1183" t="inlineStr">
        <is>
          <t>Shree Rama Multi Tech Ltd</t>
        </is>
      </c>
      <c r="D1183" t="n">
        <v>2022</v>
      </c>
      <c r="E1183" t="n">
        <v>1037.949951171875</v>
      </c>
      <c r="F1183" t="n">
        <v>20.12</v>
      </c>
      <c r="G1183" t="inlineStr">
        <is>
          <t>Consolidated first (v4) – needs verification for flagged rows</t>
        </is>
      </c>
      <c r="H1183" t="n">
        <v>301.8500061035156</v>
      </c>
      <c r="I1183" t="n">
        <v>200.5</v>
      </c>
      <c r="L1183" t="inlineStr">
        <is>
          <t>OK</t>
        </is>
      </c>
      <c r="M1183" t="n">
        <v>15</v>
      </c>
      <c r="N1183" t="n">
        <v>9.970000000000001</v>
      </c>
      <c r="O1183" t="n">
        <v>39.02</v>
      </c>
      <c r="P1183" t="n">
        <v>71.98999999999999</v>
      </c>
      <c r="Q1183" t="n">
        <v>37.62</v>
      </c>
      <c r="R1183" s="3" t="inlineStr">
        <is>
          <t>MISMATCH_NEEDS_CORRECTION</t>
        </is>
      </c>
      <c r="S1183" t="n">
        <v>39.02</v>
      </c>
      <c r="T1183" t="inlineStr">
        <is>
          <t>30-07-2026 09:42 IST</t>
        </is>
      </c>
    </row>
    <row r="1184">
      <c r="A1184" t="n">
        <v>178</v>
      </c>
      <c r="B1184" t="n">
        <v>511218</v>
      </c>
      <c r="C1184" t="inlineStr">
        <is>
          <t>Shree Rama Multi Tech Ltd</t>
        </is>
      </c>
      <c r="D1184" t="n">
        <v>2023</v>
      </c>
      <c r="E1184" t="n">
        <v>1037.949951171875</v>
      </c>
      <c r="F1184" t="n">
        <v>32.11</v>
      </c>
      <c r="G1184" t="inlineStr">
        <is>
          <t>Consolidated first (v4) – needs verification for flagged rows</t>
        </is>
      </c>
      <c r="H1184" t="n">
        <v>425.9100036621094</v>
      </c>
      <c r="I1184" t="n">
        <v>238</v>
      </c>
      <c r="L1184" t="inlineStr">
        <is>
          <t>OK</t>
        </is>
      </c>
      <c r="M1184" t="n">
        <v>13.26</v>
      </c>
      <c r="N1184" t="n">
        <v>7.41</v>
      </c>
      <c r="O1184" t="n">
        <v>39.02</v>
      </c>
      <c r="P1184" t="n">
        <v>71.98999999999999</v>
      </c>
      <c r="Q1184" t="n">
        <v>37.62</v>
      </c>
      <c r="R1184" s="3" t="inlineStr">
        <is>
          <t>MISMATCH_NEEDS_CORRECTION</t>
        </is>
      </c>
      <c r="S1184" t="n">
        <v>39.02</v>
      </c>
      <c r="T1184" t="inlineStr">
        <is>
          <t>30-07-2026 09:42 IST</t>
        </is>
      </c>
    </row>
    <row r="1185">
      <c r="A1185" t="n">
        <v>178</v>
      </c>
      <c r="B1185" t="n">
        <v>511218</v>
      </c>
      <c r="C1185" t="inlineStr">
        <is>
          <t>Shree Rama Multi Tech Ltd</t>
        </is>
      </c>
      <c r="D1185" t="n">
        <v>2024</v>
      </c>
      <c r="E1185" t="n">
        <v>1037.949951171875</v>
      </c>
      <c r="F1185" t="n">
        <v>39.2</v>
      </c>
      <c r="G1185" t="inlineStr">
        <is>
          <t>Consolidated first (v4) – needs verification for flagged rows</t>
        </is>
      </c>
      <c r="H1185" t="n">
        <v>730.4299926757812</v>
      </c>
      <c r="I1185" t="n">
        <v>403.2799987792969</v>
      </c>
      <c r="L1185" t="inlineStr">
        <is>
          <t>OK</t>
        </is>
      </c>
      <c r="M1185" t="n">
        <v>18.63</v>
      </c>
      <c r="N1185" t="n">
        <v>10.29</v>
      </c>
      <c r="O1185" t="n">
        <v>39.02</v>
      </c>
      <c r="P1185" t="n">
        <v>71.98999999999999</v>
      </c>
      <c r="Q1185" t="n">
        <v>37.62</v>
      </c>
      <c r="R1185" s="3" t="inlineStr">
        <is>
          <t>MISMATCH_NEEDS_CORRECTION</t>
        </is>
      </c>
      <c r="S1185" t="n">
        <v>39.02</v>
      </c>
      <c r="T1185" t="inlineStr">
        <is>
          <t>30-07-2026 09:42 IST</t>
        </is>
      </c>
    </row>
    <row r="1186">
      <c r="A1186" t="n">
        <v>178</v>
      </c>
      <c r="B1186" t="n">
        <v>511218</v>
      </c>
      <c r="C1186" t="inlineStr">
        <is>
          <t>Shree Rama Multi Tech Ltd</t>
        </is>
      </c>
      <c r="D1186" t="n">
        <v>2025</v>
      </c>
      <c r="E1186" t="n">
        <v>1037.949951171875</v>
      </c>
      <c r="F1186" t="n">
        <v>50.81</v>
      </c>
      <c r="G1186" t="inlineStr">
        <is>
          <t>Consolidated first (v4) – needs verification for flagged rows</t>
        </is>
      </c>
      <c r="H1186" t="n">
        <v>1000</v>
      </c>
      <c r="I1186" t="n">
        <v>508.9500122070312</v>
      </c>
      <c r="L1186" t="inlineStr">
        <is>
          <t>OK</t>
        </is>
      </c>
      <c r="M1186" t="n">
        <v>19.68</v>
      </c>
      <c r="N1186" t="n">
        <v>10.02</v>
      </c>
      <c r="O1186" t="n">
        <v>39.02</v>
      </c>
      <c r="P1186" t="n">
        <v>71.98999999999999</v>
      </c>
      <c r="Q1186" t="n">
        <v>37.62</v>
      </c>
      <c r="R1186" s="3" t="inlineStr">
        <is>
          <t>MISMATCH_NEEDS_CORRECTION</t>
        </is>
      </c>
      <c r="S1186" t="n">
        <v>39.02</v>
      </c>
      <c r="T1186" t="inlineStr">
        <is>
          <t>30-07-2026 09:42 IST</t>
        </is>
      </c>
    </row>
    <row r="1187">
      <c r="A1187" t="n">
        <v>178</v>
      </c>
      <c r="B1187" t="n">
        <v>511218</v>
      </c>
      <c r="C1187" t="inlineStr">
        <is>
          <t>Shree Rama Multi Tech Ltd</t>
        </is>
      </c>
      <c r="D1187" t="n">
        <v>2026</v>
      </c>
      <c r="E1187" t="n">
        <v>1037.949951171875</v>
      </c>
      <c r="F1187" t="n">
        <v>53.28</v>
      </c>
      <c r="G1187" t="inlineStr">
        <is>
          <t>Consolidated first (v4) – needs verification for flagged rows</t>
        </is>
      </c>
      <c r="H1187" t="n">
        <v>1108</v>
      </c>
      <c r="I1187" t="n">
        <v>864</v>
      </c>
      <c r="L1187" t="inlineStr">
        <is>
          <t>OK</t>
        </is>
      </c>
      <c r="M1187" t="n">
        <v>20.8</v>
      </c>
      <c r="N1187" t="n">
        <v>16.22</v>
      </c>
      <c r="O1187" t="n">
        <v>39.02</v>
      </c>
      <c r="P1187" t="n">
        <v>71.98999999999999</v>
      </c>
      <c r="Q1187" t="n">
        <v>37.62</v>
      </c>
      <c r="R1187" s="3" t="inlineStr">
        <is>
          <t>MISMATCH_NEEDS_CORRECTION</t>
        </is>
      </c>
      <c r="S1187" t="n">
        <v>39.02</v>
      </c>
      <c r="T1187" t="inlineStr">
        <is>
          <t>30-07-2026 09:42 IST</t>
        </is>
      </c>
    </row>
    <row r="1188">
      <c r="A1188" t="n">
        <v>179</v>
      </c>
      <c r="B1188" t="n">
        <v>511243</v>
      </c>
      <c r="C1188" t="inlineStr">
        <is>
          <t>Cholamandalam Financial Holdings Ltd</t>
        </is>
      </c>
      <c r="D1188" t="n">
        <v>2015</v>
      </c>
      <c r="E1188" t="n">
        <v>1784.800048828125</v>
      </c>
      <c r="F1188" t="n">
        <v>6.18</v>
      </c>
      <c r="G1188" t="inlineStr">
        <is>
          <t>Consolidated first (v4) – needs verification for flagged rows</t>
        </is>
      </c>
      <c r="H1188" t="n">
        <v>147.8000030517578</v>
      </c>
      <c r="I1188" t="n">
        <v>95</v>
      </c>
      <c r="L1188" t="inlineStr">
        <is>
          <t>OK</t>
        </is>
      </c>
      <c r="M1188" t="n">
        <v>23.92</v>
      </c>
      <c r="N1188" t="n">
        <v>15.37</v>
      </c>
      <c r="O1188" t="n">
        <v>1507.3</v>
      </c>
      <c r="P1188" t="n">
        <v>2064</v>
      </c>
      <c r="Q1188" t="n">
        <v>1305</v>
      </c>
      <c r="R1188" s="3" t="inlineStr">
        <is>
          <t>MISMATCH_NEEDS_CORRECTION</t>
        </is>
      </c>
      <c r="S1188" t="n">
        <v>1507.3</v>
      </c>
      <c r="T1188" t="inlineStr">
        <is>
          <t>30-07-2026 09:42 IST</t>
        </is>
      </c>
    </row>
    <row r="1189">
      <c r="A1189" t="n">
        <v>179</v>
      </c>
      <c r="B1189" t="n">
        <v>511243</v>
      </c>
      <c r="C1189" t="inlineStr">
        <is>
          <t>Cholamandalam Financial Holdings Ltd</t>
        </is>
      </c>
      <c r="D1189" t="n">
        <v>2016</v>
      </c>
      <c r="E1189" t="n">
        <v>1784.800048828125</v>
      </c>
      <c r="F1189" t="n">
        <v>7.36</v>
      </c>
      <c r="G1189" t="inlineStr">
        <is>
          <t>Consolidated first (v4) – needs verification for flagged rows</t>
        </is>
      </c>
      <c r="H1189" t="n">
        <v>248.7799987792969</v>
      </c>
      <c r="I1189" t="n">
        <v>116.5</v>
      </c>
      <c r="L1189" t="inlineStr">
        <is>
          <t>OK</t>
        </is>
      </c>
      <c r="M1189" t="n">
        <v>33.8</v>
      </c>
      <c r="N1189" t="n">
        <v>15.83</v>
      </c>
      <c r="O1189" t="n">
        <v>1507.3</v>
      </c>
      <c r="P1189" t="n">
        <v>2064</v>
      </c>
      <c r="Q1189" t="n">
        <v>1305</v>
      </c>
      <c r="R1189" s="3" t="inlineStr">
        <is>
          <t>MISMATCH_NEEDS_CORRECTION</t>
        </is>
      </c>
      <c r="S1189" t="n">
        <v>1507.3</v>
      </c>
      <c r="T1189" t="inlineStr">
        <is>
          <t>30-07-2026 09:42 IST</t>
        </is>
      </c>
    </row>
    <row r="1190">
      <c r="A1190" t="n">
        <v>179</v>
      </c>
      <c r="B1190" t="n">
        <v>511243</v>
      </c>
      <c r="C1190" t="inlineStr">
        <is>
          <t>Cholamandalam Financial Holdings Ltd</t>
        </is>
      </c>
      <c r="D1190" t="n">
        <v>2017</v>
      </c>
      <c r="E1190" t="n">
        <v>1784.800048828125</v>
      </c>
      <c r="F1190" t="n">
        <v>9.210000000000001</v>
      </c>
      <c r="G1190" t="inlineStr">
        <is>
          <t>Consolidated first (v4) – needs verification for flagged rows</t>
        </is>
      </c>
      <c r="H1190" t="n">
        <v>271.010009765625</v>
      </c>
      <c r="I1190" t="n">
        <v>182.2299957275391</v>
      </c>
      <c r="L1190" t="inlineStr">
        <is>
          <t>OK</t>
        </is>
      </c>
      <c r="M1190" t="n">
        <v>29.43</v>
      </c>
      <c r="N1190" t="n">
        <v>19.79</v>
      </c>
      <c r="O1190" t="n">
        <v>1507.3</v>
      </c>
      <c r="P1190" t="n">
        <v>2064</v>
      </c>
      <c r="Q1190" t="n">
        <v>1305</v>
      </c>
      <c r="R1190" s="3" t="inlineStr">
        <is>
          <t>MISMATCH_NEEDS_CORRECTION</t>
        </is>
      </c>
      <c r="S1190" t="n">
        <v>1507.3</v>
      </c>
      <c r="T1190" t="inlineStr">
        <is>
          <t>30-07-2026 09:42 IST</t>
        </is>
      </c>
    </row>
    <row r="1191">
      <c r="A1191" t="n">
        <v>179</v>
      </c>
      <c r="B1191" t="n">
        <v>511243</v>
      </c>
      <c r="C1191" t="inlineStr">
        <is>
          <t>Cholamandalam Financial Holdings Ltd</t>
        </is>
      </c>
      <c r="D1191" t="n">
        <v>2018</v>
      </c>
      <c r="E1191" t="n">
        <v>1784.800048828125</v>
      </c>
      <c r="F1191" t="n">
        <v>11.76</v>
      </c>
      <c r="G1191" t="inlineStr">
        <is>
          <t>Consolidated first (v4) – needs verification for flagged rows</t>
        </is>
      </c>
      <c r="H1191" t="n">
        <v>352.1499938964844</v>
      </c>
      <c r="I1191" t="n">
        <v>207.75</v>
      </c>
      <c r="L1191" t="inlineStr">
        <is>
          <t>OK</t>
        </is>
      </c>
      <c r="M1191" t="n">
        <v>29.94</v>
      </c>
      <c r="N1191" t="n">
        <v>17.67</v>
      </c>
      <c r="O1191" t="n">
        <v>1507.3</v>
      </c>
      <c r="P1191" t="n">
        <v>2064</v>
      </c>
      <c r="Q1191" t="n">
        <v>1305</v>
      </c>
      <c r="R1191" s="3" t="inlineStr">
        <is>
          <t>MISMATCH_NEEDS_CORRECTION</t>
        </is>
      </c>
      <c r="S1191" t="n">
        <v>1507.3</v>
      </c>
      <c r="T1191" t="inlineStr">
        <is>
          <t>30-07-2026 09:42 IST</t>
        </is>
      </c>
    </row>
    <row r="1192">
      <c r="A1192" t="n">
        <v>179</v>
      </c>
      <c r="B1192" t="n">
        <v>511243</v>
      </c>
      <c r="C1192" t="inlineStr">
        <is>
          <t>Cholamandalam Financial Holdings Ltd</t>
        </is>
      </c>
      <c r="D1192" t="n">
        <v>2019</v>
      </c>
      <c r="E1192" t="n">
        <v>1784.800048828125</v>
      </c>
      <c r="F1192" t="n">
        <v>15.32</v>
      </c>
      <c r="G1192" t="inlineStr">
        <is>
          <t>Consolidated first (v4) – needs verification for flagged rows</t>
        </is>
      </c>
      <c r="H1192" t="n">
        <v>333.8999938964844</v>
      </c>
      <c r="I1192" t="n">
        <v>218.2899932861328</v>
      </c>
      <c r="L1192" t="inlineStr">
        <is>
          <t>OK</t>
        </is>
      </c>
      <c r="M1192" t="n">
        <v>21.8</v>
      </c>
      <c r="N1192" t="n">
        <v>14.25</v>
      </c>
      <c r="O1192" t="n">
        <v>1507.3</v>
      </c>
      <c r="P1192" t="n">
        <v>2064</v>
      </c>
      <c r="Q1192" t="n">
        <v>1305</v>
      </c>
      <c r="R1192" s="3" t="inlineStr">
        <is>
          <t>MISMATCH_NEEDS_CORRECTION</t>
        </is>
      </c>
      <c r="S1192" t="n">
        <v>1507.3</v>
      </c>
      <c r="T1192" t="inlineStr">
        <is>
          <t>30-07-2026 09:42 IST</t>
        </is>
      </c>
    </row>
    <row r="1193">
      <c r="A1193" t="n">
        <v>179</v>
      </c>
      <c r="B1193" t="n">
        <v>511243</v>
      </c>
      <c r="C1193" t="inlineStr">
        <is>
          <t>Cholamandalam Financial Holdings Ltd</t>
        </is>
      </c>
      <c r="D1193" t="n">
        <v>2020</v>
      </c>
      <c r="E1193" t="n">
        <v>1784.800048828125</v>
      </c>
      <c r="F1193" t="n">
        <v>12.86</v>
      </c>
      <c r="G1193" t="inlineStr">
        <is>
          <t>Consolidated first (v4) – needs verification for flagged rows</t>
        </is>
      </c>
      <c r="H1193" t="n">
        <v>394.2999877929688</v>
      </c>
      <c r="I1193" t="n">
        <v>117.4000015258789</v>
      </c>
      <c r="L1193" t="inlineStr">
        <is>
          <t>OK</t>
        </is>
      </c>
      <c r="M1193" t="n">
        <v>30.66</v>
      </c>
      <c r="N1193" t="n">
        <v>9.130000000000001</v>
      </c>
      <c r="O1193" t="n">
        <v>1507.3</v>
      </c>
      <c r="P1193" t="n">
        <v>2064</v>
      </c>
      <c r="Q1193" t="n">
        <v>1305</v>
      </c>
      <c r="R1193" s="3" t="inlineStr">
        <is>
          <t>MISMATCH_NEEDS_CORRECTION</t>
        </is>
      </c>
      <c r="S1193" t="n">
        <v>1507.3</v>
      </c>
      <c r="T1193" t="inlineStr">
        <is>
          <t>30-07-2026 09:42 IST</t>
        </is>
      </c>
    </row>
    <row r="1194">
      <c r="A1194" t="n">
        <v>179</v>
      </c>
      <c r="B1194" t="n">
        <v>511243</v>
      </c>
      <c r="C1194" t="inlineStr">
        <is>
          <t>Cholamandalam Financial Holdings Ltd</t>
        </is>
      </c>
      <c r="D1194" t="n">
        <v>2021</v>
      </c>
      <c r="E1194" t="n">
        <v>1784.800048828125</v>
      </c>
      <c r="F1194" t="n">
        <v>18.55</v>
      </c>
      <c r="G1194" t="inlineStr">
        <is>
          <t>Consolidated first (v4) – needs verification for flagged rows</t>
        </is>
      </c>
      <c r="H1194" t="n">
        <v>667.5</v>
      </c>
      <c r="I1194" t="n">
        <v>391</v>
      </c>
      <c r="L1194" t="inlineStr">
        <is>
          <t>OK</t>
        </is>
      </c>
      <c r="M1194" t="n">
        <v>35.98</v>
      </c>
      <c r="N1194" t="n">
        <v>21.08</v>
      </c>
      <c r="O1194" t="n">
        <v>1507.3</v>
      </c>
      <c r="P1194" t="n">
        <v>2064</v>
      </c>
      <c r="Q1194" t="n">
        <v>1305</v>
      </c>
      <c r="R1194" s="3" t="inlineStr">
        <is>
          <t>MISMATCH_NEEDS_CORRECTION</t>
        </is>
      </c>
      <c r="S1194" t="n">
        <v>1507.3</v>
      </c>
      <c r="T1194" t="inlineStr">
        <is>
          <t>30-07-2026 09:42 IST</t>
        </is>
      </c>
    </row>
    <row r="1195">
      <c r="A1195" t="n">
        <v>179</v>
      </c>
      <c r="B1195" t="n">
        <v>511243</v>
      </c>
      <c r="C1195" t="inlineStr">
        <is>
          <t>Cholamandalam Financial Holdings Ltd</t>
        </is>
      </c>
      <c r="D1195" t="n">
        <v>2022</v>
      </c>
      <c r="E1195" t="n">
        <v>1784.800048828125</v>
      </c>
      <c r="F1195" t="n">
        <v>26.23</v>
      </c>
      <c r="G1195" t="inlineStr">
        <is>
          <t>Consolidated first (v4) – needs verification for flagged rows</t>
        </is>
      </c>
      <c r="H1195" t="n">
        <v>817.9500122070312</v>
      </c>
      <c r="I1195" t="n">
        <v>519.5999755859375</v>
      </c>
      <c r="L1195" t="inlineStr">
        <is>
          <t>OK</t>
        </is>
      </c>
      <c r="M1195" t="n">
        <v>31.18</v>
      </c>
      <c r="N1195" t="n">
        <v>19.81</v>
      </c>
      <c r="O1195" t="n">
        <v>1507.3</v>
      </c>
      <c r="P1195" t="n">
        <v>2064</v>
      </c>
      <c r="Q1195" t="n">
        <v>1305</v>
      </c>
      <c r="R1195" s="3" t="inlineStr">
        <is>
          <t>MISMATCH_NEEDS_CORRECTION</t>
        </is>
      </c>
      <c r="S1195" t="n">
        <v>1507.3</v>
      </c>
      <c r="T1195" t="inlineStr">
        <is>
          <t>30-07-2026 09:42 IST</t>
        </is>
      </c>
    </row>
    <row r="1196">
      <c r="A1196" t="n">
        <v>179</v>
      </c>
      <c r="B1196" t="n">
        <v>511243</v>
      </c>
      <c r="C1196" t="inlineStr">
        <is>
          <t>Cholamandalam Financial Holdings Ltd</t>
        </is>
      </c>
      <c r="D1196" t="n">
        <v>2023</v>
      </c>
      <c r="E1196" t="n">
        <v>1784.800048828125</v>
      </c>
      <c r="F1196" t="n">
        <v>32.42</v>
      </c>
      <c r="G1196" t="inlineStr">
        <is>
          <t>Consolidated first (v4) – needs verification for flagged rows</t>
        </is>
      </c>
      <c r="H1196" t="n">
        <v>1284.449951171875</v>
      </c>
      <c r="I1196" t="n">
        <v>658</v>
      </c>
      <c r="L1196" t="inlineStr">
        <is>
          <t>OK</t>
        </is>
      </c>
      <c r="M1196" t="n">
        <v>39.62</v>
      </c>
      <c r="N1196" t="n">
        <v>20.3</v>
      </c>
      <c r="O1196" t="n">
        <v>1507.3</v>
      </c>
      <c r="P1196" t="n">
        <v>2064</v>
      </c>
      <c r="Q1196" t="n">
        <v>1305</v>
      </c>
      <c r="R1196" s="3" t="inlineStr">
        <is>
          <t>MISMATCH_NEEDS_CORRECTION</t>
        </is>
      </c>
      <c r="S1196" t="n">
        <v>1507.3</v>
      </c>
      <c r="T1196" t="inlineStr">
        <is>
          <t>30-07-2026 09:42 IST</t>
        </is>
      </c>
    </row>
    <row r="1197">
      <c r="A1197" t="n">
        <v>179</v>
      </c>
      <c r="B1197" t="n">
        <v>511243</v>
      </c>
      <c r="C1197" t="inlineStr">
        <is>
          <t>Cholamandalam Financial Holdings Ltd</t>
        </is>
      </c>
      <c r="D1197" t="n">
        <v>2024</v>
      </c>
      <c r="E1197" t="n">
        <v>1784.800048828125</v>
      </c>
      <c r="F1197" t="n">
        <v>40.72</v>
      </c>
      <c r="G1197" t="inlineStr">
        <is>
          <t>Consolidated first (v4) – needs verification for flagged rows</t>
        </is>
      </c>
      <c r="H1197" t="n">
        <v>1650</v>
      </c>
      <c r="I1197" t="n">
        <v>1011.5</v>
      </c>
      <c r="L1197" t="inlineStr">
        <is>
          <t>OK</t>
        </is>
      </c>
      <c r="M1197" t="n">
        <v>40.52</v>
      </c>
      <c r="N1197" t="n">
        <v>24.84</v>
      </c>
      <c r="O1197" t="n">
        <v>1507.3</v>
      </c>
      <c r="P1197" t="n">
        <v>2064</v>
      </c>
      <c r="Q1197" t="n">
        <v>1305</v>
      </c>
      <c r="R1197" s="3" t="inlineStr">
        <is>
          <t>MISMATCH_NEEDS_CORRECTION</t>
        </is>
      </c>
      <c r="S1197" t="n">
        <v>1507.3</v>
      </c>
      <c r="T1197" t="inlineStr">
        <is>
          <t>30-07-2026 09:42 IST</t>
        </is>
      </c>
    </row>
    <row r="1198">
      <c r="A1198" t="n">
        <v>179</v>
      </c>
      <c r="B1198" t="n">
        <v>511243</v>
      </c>
      <c r="C1198" t="inlineStr">
        <is>
          <t>Cholamandalam Financial Holdings Ltd</t>
        </is>
      </c>
      <c r="D1198" t="n">
        <v>2025</v>
      </c>
      <c r="E1198" t="n">
        <v>1784.800048828125</v>
      </c>
      <c r="F1198" t="n">
        <v>50.69</v>
      </c>
      <c r="G1198" t="inlineStr">
        <is>
          <t>Consolidated first (v4) – needs verification for flagged rows</t>
        </is>
      </c>
      <c r="H1198" t="n">
        <v>1780.900024414062</v>
      </c>
      <c r="I1198" t="n">
        <v>1169.050048828125</v>
      </c>
      <c r="L1198" t="inlineStr">
        <is>
          <t>OK</t>
        </is>
      </c>
      <c r="M1198" t="n">
        <v>35.13</v>
      </c>
      <c r="N1198" t="n">
        <v>23.06</v>
      </c>
      <c r="O1198" t="n">
        <v>1507.3</v>
      </c>
      <c r="P1198" t="n">
        <v>2064</v>
      </c>
      <c r="Q1198" t="n">
        <v>1305</v>
      </c>
      <c r="R1198" s="3" t="inlineStr">
        <is>
          <t>MISMATCH_NEEDS_CORRECTION</t>
        </is>
      </c>
      <c r="S1198" t="n">
        <v>1507.3</v>
      </c>
      <c r="T1198" t="inlineStr">
        <is>
          <t>30-07-2026 09:42 IST</t>
        </is>
      </c>
    </row>
    <row r="1199">
      <c r="A1199" t="n">
        <v>179</v>
      </c>
      <c r="B1199" t="n">
        <v>511243</v>
      </c>
      <c r="C1199" t="inlineStr">
        <is>
          <t>Cholamandalam Financial Holdings Ltd</t>
        </is>
      </c>
      <c r="D1199" t="n">
        <v>2026</v>
      </c>
      <c r="E1199" t="n">
        <v>1784.800048828125</v>
      </c>
      <c r="F1199" t="n">
        <v>61.41</v>
      </c>
      <c r="G1199" t="inlineStr">
        <is>
          <t>Consolidated first (v4) – needs verification for flagged rows</t>
        </is>
      </c>
      <c r="H1199" t="n">
        <v>1874.650024414062</v>
      </c>
      <c r="I1199" t="n">
        <v>1299.800048828125</v>
      </c>
      <c r="L1199" t="inlineStr">
        <is>
          <t>OK</t>
        </is>
      </c>
      <c r="M1199" t="n">
        <v>30.53</v>
      </c>
      <c r="N1199" t="n">
        <v>21.17</v>
      </c>
      <c r="O1199" t="n">
        <v>1507.3</v>
      </c>
      <c r="P1199" t="n">
        <v>2064</v>
      </c>
      <c r="Q1199" t="n">
        <v>1305</v>
      </c>
      <c r="R1199" s="3" t="inlineStr">
        <is>
          <t>MISMATCH_NEEDS_CORRECTION</t>
        </is>
      </c>
      <c r="S1199" t="n">
        <v>1507.3</v>
      </c>
      <c r="T1199" t="inlineStr">
        <is>
          <t>30-07-2026 09:42 IST</t>
        </is>
      </c>
    </row>
    <row r="1200">
      <c r="A1200" t="n">
        <v>181</v>
      </c>
      <c r="B1200" t="n">
        <v>511355</v>
      </c>
      <c r="C1200" t="inlineStr">
        <is>
          <t>India Infoline Ltd</t>
        </is>
      </c>
      <c r="D1200" t="n">
        <v>2015</v>
      </c>
      <c r="E1200" t="n">
        <v>19.90999984741211</v>
      </c>
      <c r="F1200" t="n">
        <v>0.23</v>
      </c>
      <c r="G1200" t="inlineStr">
        <is>
          <t>Consolidated first (v4) – needs verification for flagged rows</t>
        </is>
      </c>
      <c r="H1200" t="n">
        <v>4.380000114440918</v>
      </c>
      <c r="I1200" t="n">
        <v>2.279999971389771</v>
      </c>
      <c r="L1200" t="inlineStr">
        <is>
          <t>UNVERIFIED – tiny EPS &lt;0.5</t>
        </is>
      </c>
      <c r="M1200" t="n">
        <v>19.04</v>
      </c>
      <c r="N1200" t="n">
        <v>9.91</v>
      </c>
      <c r="O1200" t="n">
        <v>22.5</v>
      </c>
      <c r="P1200" t="n">
        <v>26.43</v>
      </c>
      <c r="Q1200" t="n">
        <v>16.7</v>
      </c>
      <c r="R1200" s="3" t="inlineStr">
        <is>
          <t>MISMATCH_NEEDS_CORRECTION</t>
        </is>
      </c>
      <c r="S1200" t="n">
        <v>22.5</v>
      </c>
      <c r="T1200" t="inlineStr">
        <is>
          <t>30-07-2026 09:42 IST</t>
        </is>
      </c>
    </row>
    <row r="1201">
      <c r="A1201" t="n">
        <v>181</v>
      </c>
      <c r="B1201" t="n">
        <v>511355</v>
      </c>
      <c r="C1201" t="inlineStr">
        <is>
          <t>India Infoline Ltd</t>
        </is>
      </c>
      <c r="D1201" t="n">
        <v>2016</v>
      </c>
      <c r="E1201" t="n">
        <v>19.90999984741211</v>
      </c>
      <c r="F1201" t="n">
        <v>0.15</v>
      </c>
      <c r="G1201" t="inlineStr">
        <is>
          <t>Consolidated first (v4) – needs verification for flagged rows</t>
        </is>
      </c>
      <c r="H1201" t="n">
        <v>4.510000228881836</v>
      </c>
      <c r="I1201" t="n">
        <v>2.549999952316284</v>
      </c>
      <c r="L1201" t="inlineStr">
        <is>
          <t>UNVERIFIED – tiny EPS &lt;0.5</t>
        </is>
      </c>
      <c r="M1201" t="n">
        <v>30.07</v>
      </c>
      <c r="N1201" t="n">
        <v>17</v>
      </c>
      <c r="O1201" t="n">
        <v>22.5</v>
      </c>
      <c r="P1201" t="n">
        <v>26.43</v>
      </c>
      <c r="Q1201" t="n">
        <v>16.7</v>
      </c>
      <c r="R1201" s="3" t="inlineStr">
        <is>
          <t>MISMATCH_NEEDS_CORRECTION</t>
        </is>
      </c>
      <c r="S1201" t="n">
        <v>22.5</v>
      </c>
      <c r="T1201" t="inlineStr">
        <is>
          <t>30-07-2026 09:42 IST</t>
        </is>
      </c>
    </row>
    <row r="1202">
      <c r="A1202" t="n">
        <v>181</v>
      </c>
      <c r="B1202" t="n">
        <v>511355</v>
      </c>
      <c r="C1202" t="inlineStr">
        <is>
          <t>India Infoline Ltd</t>
        </is>
      </c>
      <c r="D1202" t="n">
        <v>2017</v>
      </c>
      <c r="E1202" t="n">
        <v>19.90999984741211</v>
      </c>
      <c r="F1202" t="n">
        <v>0.25</v>
      </c>
      <c r="G1202" t="inlineStr">
        <is>
          <t>Consolidated first (v4) – needs verification for flagged rows</t>
        </is>
      </c>
      <c r="H1202" t="n">
        <v>6.340000152587891</v>
      </c>
      <c r="I1202" t="n">
        <v>2.740000009536743</v>
      </c>
      <c r="L1202" t="inlineStr">
        <is>
          <t>UNVERIFIED – tiny EPS &lt;0.5</t>
        </is>
      </c>
      <c r="M1202" t="n">
        <v>25.36</v>
      </c>
      <c r="N1202" t="n">
        <v>10.96</v>
      </c>
      <c r="O1202" t="n">
        <v>22.5</v>
      </c>
      <c r="P1202" t="n">
        <v>26.43</v>
      </c>
      <c r="Q1202" t="n">
        <v>16.7</v>
      </c>
      <c r="R1202" s="3" t="inlineStr">
        <is>
          <t>MISMATCH_NEEDS_CORRECTION</t>
        </is>
      </c>
      <c r="S1202" t="n">
        <v>22.5</v>
      </c>
      <c r="T1202" t="inlineStr">
        <is>
          <t>30-07-2026 09:42 IST</t>
        </is>
      </c>
    </row>
    <row r="1203">
      <c r="A1203" t="n">
        <v>181</v>
      </c>
      <c r="B1203" t="n">
        <v>511355</v>
      </c>
      <c r="C1203" t="inlineStr">
        <is>
          <t>India Infoline Ltd</t>
        </is>
      </c>
      <c r="D1203" t="n">
        <v>2018</v>
      </c>
      <c r="E1203" t="n">
        <v>19.90999984741211</v>
      </c>
      <c r="F1203" t="n">
        <v>0.37</v>
      </c>
      <c r="G1203" t="inlineStr">
        <is>
          <t>Consolidated first (v4) – needs verification for flagged rows</t>
        </is>
      </c>
      <c r="H1203" t="n">
        <v>7.449999809265137</v>
      </c>
      <c r="I1203" t="n">
        <v>2.910000085830688</v>
      </c>
      <c r="L1203" t="inlineStr">
        <is>
          <t>UNVERIFIED – tiny EPS &lt;0.5</t>
        </is>
      </c>
      <c r="M1203" t="n">
        <v>20.14</v>
      </c>
      <c r="N1203" t="n">
        <v>7.86</v>
      </c>
      <c r="O1203" t="n">
        <v>22.5</v>
      </c>
      <c r="P1203" t="n">
        <v>26.43</v>
      </c>
      <c r="Q1203" t="n">
        <v>16.7</v>
      </c>
      <c r="R1203" s="3" t="inlineStr">
        <is>
          <t>MISMATCH_NEEDS_CORRECTION</t>
        </is>
      </c>
      <c r="S1203" t="n">
        <v>22.5</v>
      </c>
      <c r="T1203" t="inlineStr">
        <is>
          <t>30-07-2026 09:42 IST</t>
        </is>
      </c>
    </row>
    <row r="1204">
      <c r="A1204" t="n">
        <v>181</v>
      </c>
      <c r="B1204" t="n">
        <v>511355</v>
      </c>
      <c r="C1204" t="inlineStr">
        <is>
          <t>India Infoline Ltd</t>
        </is>
      </c>
      <c r="D1204" t="n">
        <v>2019</v>
      </c>
      <c r="E1204" t="n">
        <v>19.90999984741211</v>
      </c>
      <c r="F1204" t="n">
        <v>0.06</v>
      </c>
      <c r="G1204" t="inlineStr">
        <is>
          <t>Consolidated first (v4) – needs verification for flagged rows</t>
        </is>
      </c>
      <c r="H1204" t="n">
        <v>3.279999971389771</v>
      </c>
      <c r="I1204" t="n">
        <v>2.089999914169312</v>
      </c>
      <c r="L1204" t="inlineStr">
        <is>
          <t>UNVERIFIED – tiny EPS &lt;0.5</t>
        </is>
      </c>
      <c r="M1204" t="n">
        <v>54.67</v>
      </c>
      <c r="N1204" t="n">
        <v>34.83</v>
      </c>
      <c r="O1204" t="n">
        <v>22.5</v>
      </c>
      <c r="P1204" t="n">
        <v>26.43</v>
      </c>
      <c r="Q1204" t="n">
        <v>16.7</v>
      </c>
      <c r="R1204" s="3" t="inlineStr">
        <is>
          <t>MISMATCH_NEEDS_CORRECTION</t>
        </is>
      </c>
      <c r="S1204" t="n">
        <v>22.5</v>
      </c>
      <c r="T1204" t="inlineStr">
        <is>
          <t>30-07-2026 09:42 IST</t>
        </is>
      </c>
    </row>
    <row r="1205">
      <c r="A1205" t="n">
        <v>181</v>
      </c>
      <c r="B1205" t="n">
        <v>511355</v>
      </c>
      <c r="C1205" t="inlineStr">
        <is>
          <t>India Infoline Ltd</t>
        </is>
      </c>
      <c r="D1205" t="n">
        <v>2020</v>
      </c>
      <c r="E1205" t="n">
        <v>19.90999984741211</v>
      </c>
      <c r="G1205" t="inlineStr">
        <is>
          <t>Consolidated first (v4) – needs verification for flagged rows</t>
        </is>
      </c>
      <c r="H1205" t="n">
        <v>5.170000076293945</v>
      </c>
      <c r="I1205" t="n">
        <v>2.049999952316284</v>
      </c>
      <c r="L1205" t="inlineStr">
        <is>
          <t>INCOMPLETE</t>
        </is>
      </c>
      <c r="O1205" t="n">
        <v>22.5</v>
      </c>
      <c r="P1205" t="n">
        <v>26.43</v>
      </c>
      <c r="Q1205" t="n">
        <v>16.7</v>
      </c>
      <c r="R1205" s="3" t="inlineStr">
        <is>
          <t>MISMATCH_NEEDS_CORRECTION</t>
        </is>
      </c>
      <c r="S1205" t="n">
        <v>22.5</v>
      </c>
      <c r="T1205" t="inlineStr">
        <is>
          <t>30-07-2026 09:42 IST</t>
        </is>
      </c>
    </row>
    <row r="1206">
      <c r="A1206" t="n">
        <v>181</v>
      </c>
      <c r="B1206" t="n">
        <v>511355</v>
      </c>
      <c r="C1206" t="inlineStr">
        <is>
          <t>India Infoline Ltd</t>
        </is>
      </c>
      <c r="D1206" t="n">
        <v>2021</v>
      </c>
      <c r="E1206" t="n">
        <v>19.90999984741211</v>
      </c>
      <c r="F1206" t="n">
        <v>-0.12</v>
      </c>
      <c r="G1206" t="inlineStr">
        <is>
          <t>Consolidated first (v4) – needs verification for flagged rows</t>
        </is>
      </c>
      <c r="H1206" t="n">
        <v>11.81999969482422</v>
      </c>
      <c r="I1206" t="n">
        <v>4.090000152587891</v>
      </c>
      <c r="L1206" t="inlineStr">
        <is>
          <t>UNVERIFIED – negative EPS</t>
        </is>
      </c>
      <c r="M1206" t="n">
        <v>-98.5</v>
      </c>
      <c r="N1206" t="n">
        <v>-34.08</v>
      </c>
      <c r="O1206" t="n">
        <v>22.5</v>
      </c>
      <c r="P1206" t="n">
        <v>26.43</v>
      </c>
      <c r="Q1206" t="n">
        <v>16.7</v>
      </c>
      <c r="R1206" s="3" t="inlineStr">
        <is>
          <t>MISMATCH_NEEDS_CORRECTION</t>
        </is>
      </c>
      <c r="S1206" t="n">
        <v>22.5</v>
      </c>
      <c r="T1206" t="inlineStr">
        <is>
          <t>30-07-2026 09:42 IST</t>
        </is>
      </c>
    </row>
    <row r="1207">
      <c r="A1207" t="n">
        <v>181</v>
      </c>
      <c r="B1207" t="n">
        <v>511355</v>
      </c>
      <c r="C1207" t="inlineStr">
        <is>
          <t>India Infoline Ltd</t>
        </is>
      </c>
      <c r="D1207" t="n">
        <v>2022</v>
      </c>
      <c r="E1207" t="n">
        <v>19.90999984741211</v>
      </c>
      <c r="F1207" t="n">
        <v>0.12</v>
      </c>
      <c r="G1207" t="inlineStr">
        <is>
          <t>Consolidated first (v4) – needs verification for flagged rows</t>
        </is>
      </c>
      <c r="H1207" t="n">
        <v>13.89999961853027</v>
      </c>
      <c r="I1207" t="n">
        <v>7.309999942779541</v>
      </c>
      <c r="L1207" t="inlineStr">
        <is>
          <t>UNVERIFIED – tiny EPS &lt;0.5</t>
        </is>
      </c>
      <c r="M1207" t="n">
        <v>115.83</v>
      </c>
      <c r="N1207" t="n">
        <v>60.92</v>
      </c>
      <c r="O1207" t="n">
        <v>22.5</v>
      </c>
      <c r="P1207" t="n">
        <v>26.43</v>
      </c>
      <c r="Q1207" t="n">
        <v>16.7</v>
      </c>
      <c r="R1207" s="3" t="inlineStr">
        <is>
          <t>MISMATCH_NEEDS_CORRECTION</t>
        </is>
      </c>
      <c r="S1207" t="n">
        <v>22.5</v>
      </c>
      <c r="T1207" t="inlineStr">
        <is>
          <t>30-07-2026 09:42 IST</t>
        </is>
      </c>
    </row>
    <row r="1208">
      <c r="A1208" t="n">
        <v>181</v>
      </c>
      <c r="B1208" t="n">
        <v>511355</v>
      </c>
      <c r="C1208" t="inlineStr">
        <is>
          <t>India Infoline Ltd</t>
        </is>
      </c>
      <c r="D1208" t="n">
        <v>2023</v>
      </c>
      <c r="E1208" t="n">
        <v>19.90999984741211</v>
      </c>
      <c r="F1208" t="n">
        <v>0.33</v>
      </c>
      <c r="G1208" t="inlineStr">
        <is>
          <t>Consolidated first (v4) – needs verification for flagged rows</t>
        </is>
      </c>
      <c r="H1208" t="n">
        <v>16.89999961853027</v>
      </c>
      <c r="I1208" t="n">
        <v>7.559999942779541</v>
      </c>
      <c r="L1208" t="inlineStr">
        <is>
          <t>UNVERIFIED – tiny EPS &lt;0.5</t>
        </is>
      </c>
      <c r="M1208" t="n">
        <v>51.21</v>
      </c>
      <c r="N1208" t="n">
        <v>22.91</v>
      </c>
      <c r="O1208" t="n">
        <v>22.5</v>
      </c>
      <c r="P1208" t="n">
        <v>26.43</v>
      </c>
      <c r="Q1208" t="n">
        <v>16.7</v>
      </c>
      <c r="R1208" s="3" t="inlineStr">
        <is>
          <t>MISMATCH_NEEDS_CORRECTION</t>
        </is>
      </c>
      <c r="S1208" t="n">
        <v>22.5</v>
      </c>
      <c r="T1208" t="inlineStr">
        <is>
          <t>30-07-2026 09:42 IST</t>
        </is>
      </c>
    </row>
    <row r="1209">
      <c r="A1209" t="n">
        <v>181</v>
      </c>
      <c r="B1209" t="n">
        <v>511355</v>
      </c>
      <c r="C1209" t="inlineStr">
        <is>
          <t>India Infoline Ltd</t>
        </is>
      </c>
      <c r="D1209" t="n">
        <v>2024</v>
      </c>
      <c r="E1209" t="n">
        <v>19.90999984741211</v>
      </c>
      <c r="F1209" t="n">
        <v>0.7</v>
      </c>
      <c r="G1209" t="inlineStr">
        <is>
          <t>Consolidated first (v4) – needs verification for flagged rows</t>
        </is>
      </c>
      <c r="H1209" t="n">
        <v>26.43000030517578</v>
      </c>
      <c r="I1209" t="n">
        <v>14.14999961853027</v>
      </c>
      <c r="L1209" t="inlineStr">
        <is>
          <t>OK</t>
        </is>
      </c>
      <c r="M1209" t="n">
        <v>37.76</v>
      </c>
      <c r="N1209" t="n">
        <v>20.21</v>
      </c>
      <c r="O1209" t="n">
        <v>22.5</v>
      </c>
      <c r="P1209" t="n">
        <v>26.43</v>
      </c>
      <c r="Q1209" t="n">
        <v>16.7</v>
      </c>
      <c r="R1209" s="3" t="inlineStr">
        <is>
          <t>MISMATCH_NEEDS_CORRECTION</t>
        </is>
      </c>
      <c r="S1209" t="n">
        <v>22.5</v>
      </c>
      <c r="T1209" t="inlineStr">
        <is>
          <t>30-07-2026 09:42 IST</t>
        </is>
      </c>
    </row>
    <row r="1210">
      <c r="A1210" t="n">
        <v>181</v>
      </c>
      <c r="B1210" t="n">
        <v>511355</v>
      </c>
      <c r="C1210" t="inlineStr">
        <is>
          <t>India Infoline Ltd</t>
        </is>
      </c>
      <c r="D1210" t="n">
        <v>2025</v>
      </c>
      <c r="E1210" t="n">
        <v>19.90999984741211</v>
      </c>
      <c r="F1210" t="n">
        <v>0.26</v>
      </c>
      <c r="G1210" t="inlineStr">
        <is>
          <t>Consolidated first (v4) – needs verification for flagged rows</t>
        </is>
      </c>
      <c r="H1210" t="n">
        <v>20.06999969482422</v>
      </c>
      <c r="I1210" t="n">
        <v>13.5</v>
      </c>
      <c r="L1210" t="inlineStr">
        <is>
          <t>UNVERIFIED – tiny EPS &lt;0.5</t>
        </is>
      </c>
      <c r="M1210" t="n">
        <v>77.19</v>
      </c>
      <c r="N1210" t="n">
        <v>51.92</v>
      </c>
      <c r="O1210" t="n">
        <v>22.5</v>
      </c>
      <c r="P1210" t="n">
        <v>26.43</v>
      </c>
      <c r="Q1210" t="n">
        <v>16.7</v>
      </c>
      <c r="R1210" s="3" t="inlineStr">
        <is>
          <t>MISMATCH_NEEDS_CORRECTION</t>
        </is>
      </c>
      <c r="S1210" t="n">
        <v>22.5</v>
      </c>
      <c r="T1210" t="inlineStr">
        <is>
          <t>30-07-2026 09:42 IST</t>
        </is>
      </c>
    </row>
    <row r="1211">
      <c r="A1211" t="n">
        <v>181</v>
      </c>
      <c r="B1211" t="n">
        <v>511355</v>
      </c>
      <c r="C1211" t="inlineStr">
        <is>
          <t>India Infoline Ltd</t>
        </is>
      </c>
      <c r="D1211" t="n">
        <v>2026</v>
      </c>
      <c r="E1211" t="n">
        <v>19.90999984741211</v>
      </c>
      <c r="F1211" t="n">
        <v>-0.21</v>
      </c>
      <c r="G1211" t="inlineStr">
        <is>
          <t>Consolidated first (v4) – needs verification for flagged rows</t>
        </is>
      </c>
      <c r="H1211" t="n">
        <v>19.90999984741211</v>
      </c>
      <c r="I1211" t="n">
        <v>9.140000343322754</v>
      </c>
      <c r="L1211" t="inlineStr">
        <is>
          <t>UNVERIFIED – negative EPS</t>
        </is>
      </c>
      <c r="M1211" t="n">
        <v>-94.81</v>
      </c>
      <c r="N1211" t="n">
        <v>-43.52</v>
      </c>
      <c r="O1211" t="n">
        <v>22.5</v>
      </c>
      <c r="P1211" t="n">
        <v>26.43</v>
      </c>
      <c r="Q1211" t="n">
        <v>16.7</v>
      </c>
      <c r="R1211" s="3" t="inlineStr">
        <is>
          <t>MISMATCH_NEEDS_CORRECTION</t>
        </is>
      </c>
      <c r="S1211" t="n">
        <v>22.5</v>
      </c>
      <c r="T1211" t="inlineStr">
        <is>
          <t>30-07-2026 09:42 IST</t>
        </is>
      </c>
    </row>
    <row r="1212">
      <c r="A1212" t="n">
        <v>182</v>
      </c>
      <c r="B1212" t="n">
        <v>511389</v>
      </c>
      <c r="C1212" t="inlineStr">
        <is>
          <t>Video Electronics</t>
        </is>
      </c>
      <c r="D1212" t="n">
        <v>2015</v>
      </c>
      <c r="E1212" t="n">
        <v>7.25</v>
      </c>
      <c r="F1212" t="n">
        <v>-65.37</v>
      </c>
      <c r="G1212" t="inlineStr">
        <is>
          <t>Consolidated first (v4) – needs verification for flagged rows</t>
        </is>
      </c>
      <c r="H1212" t="n">
        <v>199.8000030517578</v>
      </c>
      <c r="I1212" t="n">
        <v>115</v>
      </c>
      <c r="L1212" t="inlineStr">
        <is>
          <t>UNVERIFIED – negative EPS</t>
        </is>
      </c>
      <c r="M1212" t="n">
        <v>-3.06</v>
      </c>
      <c r="N1212" t="n">
        <v>-1.76</v>
      </c>
      <c r="O1212">
        <f>IFERROR(VLOOKUP(B1212,BSE_500_LIVE!A:E,3,FALSE),"")</f>
        <v/>
      </c>
      <c r="P1212">
        <f>IFERROR(VLOOKUP(B1212,BSE_500_LIVE!A:E,4,FALSE),"")</f>
        <v/>
      </c>
      <c r="Q1212">
        <f>IFERROR(VLOOKUP(B1212,BSE_500_LIVE!A:E,5,FALSE),"")</f>
        <v/>
      </c>
      <c r="R1212">
        <f>IF(OR(E1212="",O1212=""),"PENDING_FETCH",IF(ABS(E1212-O1212)/E1212&gt;0.005,"MISMATCH_NEEDS_CORRECTION","VERIFIED_OK"))</f>
        <v/>
      </c>
      <c r="S1212">
        <f>IF(O1212&lt;&gt;"",O1212,E1212)</f>
        <v/>
      </c>
      <c r="T1212">
        <f>IFERROR(VLOOKUP(B1212,BSE_500_LIVE!A:F,6,FALSE),"")</f>
        <v/>
      </c>
    </row>
    <row r="1213">
      <c r="A1213" t="n">
        <v>182</v>
      </c>
      <c r="B1213" t="n">
        <v>511389</v>
      </c>
      <c r="C1213" t="inlineStr">
        <is>
          <t>Video Electronics</t>
        </is>
      </c>
      <c r="D1213" t="n">
        <v>2016</v>
      </c>
      <c r="E1213" t="n">
        <v>7.25</v>
      </c>
      <c r="G1213" t="inlineStr">
        <is>
          <t>Consolidated first (v4) – needs verification for flagged rows</t>
        </is>
      </c>
      <c r="H1213" t="n">
        <v>128</v>
      </c>
      <c r="I1213" t="n">
        <v>95</v>
      </c>
      <c r="L1213" t="inlineStr">
        <is>
          <t>INCOMPLETE</t>
        </is>
      </c>
      <c r="O1213">
        <f>IFERROR(VLOOKUP(B1213,BSE_500_LIVE!A:E,3,FALSE),"")</f>
        <v/>
      </c>
      <c r="P1213">
        <f>IFERROR(VLOOKUP(B1213,BSE_500_LIVE!A:E,4,FALSE),"")</f>
        <v/>
      </c>
      <c r="Q1213">
        <f>IFERROR(VLOOKUP(B1213,BSE_500_LIVE!A:E,5,FALSE),"")</f>
        <v/>
      </c>
      <c r="R1213">
        <f>IF(OR(E1213="",O1213=""),"PENDING_FETCH",IF(ABS(E1213-O1213)/E1213&gt;0.005,"MISMATCH_NEEDS_CORRECTION","VERIFIED_OK"))</f>
        <v/>
      </c>
      <c r="S1213">
        <f>IF(O1213&lt;&gt;"",O1213,E1213)</f>
        <v/>
      </c>
      <c r="T1213">
        <f>IFERROR(VLOOKUP(B1213,BSE_500_LIVE!A:F,6,FALSE),"")</f>
        <v/>
      </c>
    </row>
    <row r="1214">
      <c r="A1214" t="n">
        <v>182</v>
      </c>
      <c r="B1214" t="n">
        <v>511389</v>
      </c>
      <c r="C1214" t="inlineStr">
        <is>
          <t>Video Electronics</t>
        </is>
      </c>
      <c r="D1214" t="n">
        <v>2017</v>
      </c>
      <c r="E1214" t="n">
        <v>7.25</v>
      </c>
      <c r="F1214" t="n">
        <v>-79</v>
      </c>
      <c r="G1214" t="inlineStr">
        <is>
          <t>Consolidated first (v4) – needs verification for flagged rows</t>
        </is>
      </c>
      <c r="H1214" t="n">
        <v>110</v>
      </c>
      <c r="I1214" t="n">
        <v>12.60000038146973</v>
      </c>
      <c r="L1214" t="inlineStr">
        <is>
          <t>UNVERIFIED – negative EPS</t>
        </is>
      </c>
      <c r="M1214" t="n">
        <v>-1.39</v>
      </c>
      <c r="N1214" t="n">
        <v>-0.16</v>
      </c>
      <c r="O1214">
        <f>IFERROR(VLOOKUP(B1214,BSE_500_LIVE!A:E,3,FALSE),"")</f>
        <v/>
      </c>
      <c r="P1214">
        <f>IFERROR(VLOOKUP(B1214,BSE_500_LIVE!A:E,4,FALSE),"")</f>
        <v/>
      </c>
      <c r="Q1214">
        <f>IFERROR(VLOOKUP(B1214,BSE_500_LIVE!A:E,5,FALSE),"")</f>
        <v/>
      </c>
      <c r="R1214">
        <f>IF(OR(E1214="",O1214=""),"PENDING_FETCH",IF(ABS(E1214-O1214)/E1214&gt;0.005,"MISMATCH_NEEDS_CORRECTION","VERIFIED_OK"))</f>
        <v/>
      </c>
      <c r="S1214">
        <f>IF(O1214&lt;&gt;"",O1214,E1214)</f>
        <v/>
      </c>
      <c r="T1214">
        <f>IFERROR(VLOOKUP(B1214,BSE_500_LIVE!A:F,6,FALSE),"")</f>
        <v/>
      </c>
    </row>
    <row r="1215">
      <c r="A1215" t="n">
        <v>182</v>
      </c>
      <c r="B1215" t="n">
        <v>511389</v>
      </c>
      <c r="C1215" t="inlineStr">
        <is>
          <t>Video Electronics</t>
        </is>
      </c>
      <c r="D1215" t="n">
        <v>2018</v>
      </c>
      <c r="E1215" t="n">
        <v>7.25</v>
      </c>
      <c r="F1215" t="n">
        <v>-198.93</v>
      </c>
      <c r="G1215" t="inlineStr">
        <is>
          <t>Consolidated first (v4) – needs verification for flagged rows</t>
        </is>
      </c>
      <c r="H1215" t="n">
        <v>27.29999923706055</v>
      </c>
      <c r="I1215" t="n">
        <v>2.589999914169312</v>
      </c>
      <c r="L1215" t="inlineStr">
        <is>
          <t>UNVERIFIED – negative EPS</t>
        </is>
      </c>
      <c r="M1215" t="n">
        <v>-0.14</v>
      </c>
      <c r="N1215" t="n">
        <v>-0.01</v>
      </c>
      <c r="O1215">
        <f>IFERROR(VLOOKUP(B1215,BSE_500_LIVE!A:E,3,FALSE),"")</f>
        <v/>
      </c>
      <c r="P1215">
        <f>IFERROR(VLOOKUP(B1215,BSE_500_LIVE!A:E,4,FALSE),"")</f>
        <v/>
      </c>
      <c r="Q1215">
        <f>IFERROR(VLOOKUP(B1215,BSE_500_LIVE!A:E,5,FALSE),"")</f>
        <v/>
      </c>
      <c r="R1215">
        <f>IF(OR(E1215="",O1215=""),"PENDING_FETCH",IF(ABS(E1215-O1215)/E1215&gt;0.005,"MISMATCH_NEEDS_CORRECTION","VERIFIED_OK"))</f>
        <v/>
      </c>
      <c r="S1215">
        <f>IF(O1215&lt;&gt;"",O1215,E1215)</f>
        <v/>
      </c>
      <c r="T1215">
        <f>IFERROR(VLOOKUP(B1215,BSE_500_LIVE!A:F,6,FALSE),"")</f>
        <v/>
      </c>
    </row>
    <row r="1216">
      <c r="A1216" t="n">
        <v>182</v>
      </c>
      <c r="B1216" t="n">
        <v>511389</v>
      </c>
      <c r="C1216" t="inlineStr">
        <is>
          <t>Video Electronics</t>
        </is>
      </c>
      <c r="D1216" t="n">
        <v>2019</v>
      </c>
      <c r="E1216" t="n">
        <v>7.25</v>
      </c>
      <c r="F1216" t="n">
        <v>-222.68</v>
      </c>
      <c r="G1216" t="inlineStr">
        <is>
          <t>Consolidated first (v4) – needs verification for flagged rows</t>
        </is>
      </c>
      <c r="H1216" t="n">
        <v>4.769999980926514</v>
      </c>
      <c r="I1216" t="n">
        <v>1.190000057220459</v>
      </c>
      <c r="L1216" t="inlineStr">
        <is>
          <t>UNVERIFIED – negative EPS</t>
        </is>
      </c>
      <c r="M1216" t="n">
        <v>-0.02</v>
      </c>
      <c r="N1216" t="n">
        <v>-0.01</v>
      </c>
      <c r="O1216">
        <f>IFERROR(VLOOKUP(B1216,BSE_500_LIVE!A:E,3,FALSE),"")</f>
        <v/>
      </c>
      <c r="P1216">
        <f>IFERROR(VLOOKUP(B1216,BSE_500_LIVE!A:E,4,FALSE),"")</f>
        <v/>
      </c>
      <c r="Q1216">
        <f>IFERROR(VLOOKUP(B1216,BSE_500_LIVE!A:E,5,FALSE),"")</f>
        <v/>
      </c>
      <c r="R1216">
        <f>IF(OR(E1216="",O1216=""),"PENDING_FETCH",IF(ABS(E1216-O1216)/E1216&gt;0.005,"MISMATCH_NEEDS_CORRECTION","VERIFIED_OK"))</f>
        <v/>
      </c>
      <c r="S1216">
        <f>IF(O1216&lt;&gt;"",O1216,E1216)</f>
        <v/>
      </c>
      <c r="T1216">
        <f>IFERROR(VLOOKUP(B1216,BSE_500_LIVE!A:F,6,FALSE),"")</f>
        <v/>
      </c>
    </row>
    <row r="1217">
      <c r="A1217" t="n">
        <v>182</v>
      </c>
      <c r="B1217" t="n">
        <v>511389</v>
      </c>
      <c r="C1217" t="inlineStr">
        <is>
          <t>Video Electronics</t>
        </is>
      </c>
      <c r="D1217" t="n">
        <v>2020</v>
      </c>
      <c r="E1217" t="n">
        <v>7.25</v>
      </c>
      <c r="G1217" t="inlineStr">
        <is>
          <t>Consolidated first (v4) – needs verification for flagged rows</t>
        </is>
      </c>
      <c r="H1217" t="n">
        <v>9.180000305175781</v>
      </c>
      <c r="I1217" t="n">
        <v>1</v>
      </c>
      <c r="L1217" t="inlineStr">
        <is>
          <t>INCOMPLETE</t>
        </is>
      </c>
      <c r="O1217">
        <f>IFERROR(VLOOKUP(B1217,BSE_500_LIVE!A:E,3,FALSE),"")</f>
        <v/>
      </c>
      <c r="P1217">
        <f>IFERROR(VLOOKUP(B1217,BSE_500_LIVE!A:E,4,FALSE),"")</f>
        <v/>
      </c>
      <c r="Q1217">
        <f>IFERROR(VLOOKUP(B1217,BSE_500_LIVE!A:E,5,FALSE),"")</f>
        <v/>
      </c>
      <c r="R1217">
        <f>IF(OR(E1217="",O1217=""),"PENDING_FETCH",IF(ABS(E1217-O1217)/E1217&gt;0.005,"MISMATCH_NEEDS_CORRECTION","VERIFIED_OK"))</f>
        <v/>
      </c>
      <c r="S1217">
        <f>IF(O1217&lt;&gt;"",O1217,E1217)</f>
        <v/>
      </c>
      <c r="T1217">
        <f>IFERROR(VLOOKUP(B1217,BSE_500_LIVE!A:F,6,FALSE),"")</f>
        <v/>
      </c>
    </row>
    <row r="1218">
      <c r="A1218" t="n">
        <v>182</v>
      </c>
      <c r="B1218" t="n">
        <v>511389</v>
      </c>
      <c r="C1218" t="inlineStr">
        <is>
          <t>Video Electronics</t>
        </is>
      </c>
      <c r="D1218" t="n">
        <v>2021</v>
      </c>
      <c r="E1218" t="n">
        <v>7.25</v>
      </c>
      <c r="G1218" t="inlineStr">
        <is>
          <t>Consolidated first (v4) – needs verification for flagged rows</t>
        </is>
      </c>
      <c r="H1218" t="n">
        <v>7.800000190734863</v>
      </c>
      <c r="I1218" t="n">
        <v>3.720000028610229</v>
      </c>
      <c r="L1218" t="inlineStr">
        <is>
          <t>INCOMPLETE</t>
        </is>
      </c>
      <c r="O1218">
        <f>IFERROR(VLOOKUP(B1218,BSE_500_LIVE!A:E,3,FALSE),"")</f>
        <v/>
      </c>
      <c r="P1218">
        <f>IFERROR(VLOOKUP(B1218,BSE_500_LIVE!A:E,4,FALSE),"")</f>
        <v/>
      </c>
      <c r="Q1218">
        <f>IFERROR(VLOOKUP(B1218,BSE_500_LIVE!A:E,5,FALSE),"")</f>
        <v/>
      </c>
      <c r="R1218">
        <f>IF(OR(E1218="",O1218=""),"PENDING_FETCH",IF(ABS(E1218-O1218)/E1218&gt;0.005,"MISMATCH_NEEDS_CORRECTION","VERIFIED_OK"))</f>
        <v/>
      </c>
      <c r="S1218">
        <f>IF(O1218&lt;&gt;"",O1218,E1218)</f>
        <v/>
      </c>
      <c r="T1218">
        <f>IFERROR(VLOOKUP(B1218,BSE_500_LIVE!A:F,6,FALSE),"")</f>
        <v/>
      </c>
    </row>
    <row r="1219">
      <c r="A1219" t="n">
        <v>182</v>
      </c>
      <c r="B1219" t="n">
        <v>511389</v>
      </c>
      <c r="C1219" t="inlineStr">
        <is>
          <t>Video Electronics</t>
        </is>
      </c>
      <c r="D1219" t="n">
        <v>2022</v>
      </c>
      <c r="E1219" t="n">
        <v>7.25</v>
      </c>
      <c r="G1219" t="inlineStr">
        <is>
          <t>Consolidated first (v4) – needs verification for flagged rows</t>
        </is>
      </c>
      <c r="H1219" t="n">
        <v>7.25</v>
      </c>
      <c r="I1219" t="n">
        <v>7.25</v>
      </c>
      <c r="L1219" t="inlineStr">
        <is>
          <t>INCOMPLETE</t>
        </is>
      </c>
      <c r="O1219">
        <f>IFERROR(VLOOKUP(B1219,BSE_500_LIVE!A:E,3,FALSE),"")</f>
        <v/>
      </c>
      <c r="P1219">
        <f>IFERROR(VLOOKUP(B1219,BSE_500_LIVE!A:E,4,FALSE),"")</f>
        <v/>
      </c>
      <c r="Q1219">
        <f>IFERROR(VLOOKUP(B1219,BSE_500_LIVE!A:E,5,FALSE),"")</f>
        <v/>
      </c>
      <c r="R1219">
        <f>IF(OR(E1219="",O1219=""),"PENDING_FETCH",IF(ABS(E1219-O1219)/E1219&gt;0.005,"MISMATCH_NEEDS_CORRECTION","VERIFIED_OK"))</f>
        <v/>
      </c>
      <c r="S1219">
        <f>IF(O1219&lt;&gt;"",O1219,E1219)</f>
        <v/>
      </c>
      <c r="T1219">
        <f>IFERROR(VLOOKUP(B1219,BSE_500_LIVE!A:F,6,FALSE),"")</f>
        <v/>
      </c>
    </row>
    <row r="1220">
      <c r="A1220" t="n">
        <v>182</v>
      </c>
      <c r="B1220" t="n">
        <v>511389</v>
      </c>
      <c r="C1220" t="inlineStr">
        <is>
          <t>Video Electronics</t>
        </is>
      </c>
      <c r="D1220" t="n">
        <v>2023</v>
      </c>
      <c r="E1220" t="n">
        <v>7.25</v>
      </c>
      <c r="G1220" t="inlineStr">
        <is>
          <t>Consolidated first (v4) – needs verification for flagged rows</t>
        </is>
      </c>
      <c r="H1220" t="n">
        <v>7.25</v>
      </c>
      <c r="I1220" t="n">
        <v>7.25</v>
      </c>
      <c r="L1220" t="inlineStr">
        <is>
          <t>INCOMPLETE</t>
        </is>
      </c>
      <c r="O1220">
        <f>IFERROR(VLOOKUP(B1220,BSE_500_LIVE!A:E,3,FALSE),"")</f>
        <v/>
      </c>
      <c r="P1220">
        <f>IFERROR(VLOOKUP(B1220,BSE_500_LIVE!A:E,4,FALSE),"")</f>
        <v/>
      </c>
      <c r="Q1220">
        <f>IFERROR(VLOOKUP(B1220,BSE_500_LIVE!A:E,5,FALSE),"")</f>
        <v/>
      </c>
      <c r="R1220">
        <f>IF(OR(E1220="",O1220=""),"PENDING_FETCH",IF(ABS(E1220-O1220)/E1220&gt;0.005,"MISMATCH_NEEDS_CORRECTION","VERIFIED_OK"))</f>
        <v/>
      </c>
      <c r="S1220">
        <f>IF(O1220&lt;&gt;"",O1220,E1220)</f>
        <v/>
      </c>
      <c r="T1220">
        <f>IFERROR(VLOOKUP(B1220,BSE_500_LIVE!A:F,6,FALSE),"")</f>
        <v/>
      </c>
    </row>
    <row r="1221">
      <c r="A1221" t="n">
        <v>182</v>
      </c>
      <c r="B1221" t="n">
        <v>511389</v>
      </c>
      <c r="C1221" t="inlineStr">
        <is>
          <t>Video Electronics</t>
        </is>
      </c>
      <c r="D1221" t="n">
        <v>2024</v>
      </c>
      <c r="E1221" t="n">
        <v>7.25</v>
      </c>
      <c r="G1221" t="inlineStr">
        <is>
          <t>Consolidated first (v4) – needs verification for flagged rows</t>
        </is>
      </c>
      <c r="H1221" t="n">
        <v>7.25</v>
      </c>
      <c r="I1221" t="n">
        <v>7.25</v>
      </c>
      <c r="L1221" t="inlineStr">
        <is>
          <t>INCOMPLETE</t>
        </is>
      </c>
      <c r="O1221">
        <f>IFERROR(VLOOKUP(B1221,BSE_500_LIVE!A:E,3,FALSE),"")</f>
        <v/>
      </c>
      <c r="P1221">
        <f>IFERROR(VLOOKUP(B1221,BSE_500_LIVE!A:E,4,FALSE),"")</f>
        <v/>
      </c>
      <c r="Q1221">
        <f>IFERROR(VLOOKUP(B1221,BSE_500_LIVE!A:E,5,FALSE),"")</f>
        <v/>
      </c>
      <c r="R1221">
        <f>IF(OR(E1221="",O1221=""),"PENDING_FETCH",IF(ABS(E1221-O1221)/E1221&gt;0.005,"MISMATCH_NEEDS_CORRECTION","VERIFIED_OK"))</f>
        <v/>
      </c>
      <c r="S1221">
        <f>IF(O1221&lt;&gt;"",O1221,E1221)</f>
        <v/>
      </c>
      <c r="T1221">
        <f>IFERROR(VLOOKUP(B1221,BSE_500_LIVE!A:F,6,FALSE),"")</f>
        <v/>
      </c>
    </row>
    <row r="1222">
      <c r="A1222" t="n">
        <v>182</v>
      </c>
      <c r="B1222" t="n">
        <v>511389</v>
      </c>
      <c r="C1222" t="inlineStr">
        <is>
          <t>Video Electronics</t>
        </is>
      </c>
      <c r="D1222" t="n">
        <v>2025</v>
      </c>
      <c r="E1222" t="n">
        <v>7.25</v>
      </c>
      <c r="G1222" t="inlineStr">
        <is>
          <t>Consolidated first (v4) – needs verification for flagged rows</t>
        </is>
      </c>
      <c r="H1222" t="n">
        <v>7.25</v>
      </c>
      <c r="I1222" t="n">
        <v>7.25</v>
      </c>
      <c r="L1222" t="inlineStr">
        <is>
          <t>INCOMPLETE</t>
        </is>
      </c>
      <c r="O1222">
        <f>IFERROR(VLOOKUP(B1222,BSE_500_LIVE!A:E,3,FALSE),"")</f>
        <v/>
      </c>
      <c r="P1222">
        <f>IFERROR(VLOOKUP(B1222,BSE_500_LIVE!A:E,4,FALSE),"")</f>
        <v/>
      </c>
      <c r="Q1222">
        <f>IFERROR(VLOOKUP(B1222,BSE_500_LIVE!A:E,5,FALSE),"")</f>
        <v/>
      </c>
      <c r="R1222">
        <f>IF(OR(E1222="",O1222=""),"PENDING_FETCH",IF(ABS(E1222-O1222)/E1222&gt;0.005,"MISMATCH_NEEDS_CORRECTION","VERIFIED_OK"))</f>
        <v/>
      </c>
      <c r="S1222">
        <f>IF(O1222&lt;&gt;"",O1222,E1222)</f>
        <v/>
      </c>
      <c r="T1222">
        <f>IFERROR(VLOOKUP(B1222,BSE_500_LIVE!A:F,6,FALSE),"")</f>
        <v/>
      </c>
    </row>
    <row r="1223">
      <c r="A1223" t="n">
        <v>182</v>
      </c>
      <c r="B1223" t="n">
        <v>511389</v>
      </c>
      <c r="C1223" t="inlineStr">
        <is>
          <t>Video Electronics</t>
        </is>
      </c>
      <c r="D1223" t="n">
        <v>2026</v>
      </c>
      <c r="E1223" t="n">
        <v>7.25</v>
      </c>
      <c r="G1223" t="inlineStr">
        <is>
          <t>Consolidated first (v4) – needs verification for flagged rows</t>
        </is>
      </c>
      <c r="H1223" t="n">
        <v>7.25</v>
      </c>
      <c r="I1223" t="n">
        <v>7.25</v>
      </c>
      <c r="L1223" t="inlineStr">
        <is>
          <t>INCOMPLETE</t>
        </is>
      </c>
      <c r="O1223">
        <f>IFERROR(VLOOKUP(B1223,BSE_500_LIVE!A:E,3,FALSE),"")</f>
        <v/>
      </c>
      <c r="P1223">
        <f>IFERROR(VLOOKUP(B1223,BSE_500_LIVE!A:E,4,FALSE),"")</f>
        <v/>
      </c>
      <c r="Q1223">
        <f>IFERROR(VLOOKUP(B1223,BSE_500_LIVE!A:E,5,FALSE),"")</f>
        <v/>
      </c>
      <c r="R1223">
        <f>IF(OR(E1223="",O1223=""),"PENDING_FETCH",IF(ABS(E1223-O1223)/E1223&gt;0.005,"MISMATCH_NEEDS_CORRECTION","VERIFIED_OK"))</f>
        <v/>
      </c>
      <c r="S1223">
        <f>IF(O1223&lt;&gt;"",O1223,E1223)</f>
        <v/>
      </c>
      <c r="T1223">
        <f>IFERROR(VLOOKUP(B1223,BSE_500_LIVE!A:F,6,FALSE),"")</f>
        <v/>
      </c>
    </row>
    <row r="1224">
      <c r="A1224" t="n">
        <v>183</v>
      </c>
      <c r="B1224" t="n">
        <v>511413</v>
      </c>
      <c r="C1224" t="inlineStr">
        <is>
          <t>Sakura Industries</t>
        </is>
      </c>
      <c r="D1224" t="n">
        <v>2015</v>
      </c>
      <c r="E1224" t="n">
        <v>366.9500122070312</v>
      </c>
      <c r="F1224" t="n">
        <v>8.56</v>
      </c>
      <c r="G1224" t="inlineStr">
        <is>
          <t>Consolidated first (v4) – needs verification for flagged rows</t>
        </is>
      </c>
      <c r="H1224" t="n">
        <v>54.06894683837891</v>
      </c>
      <c r="I1224" t="n">
        <v>32.69883728027344</v>
      </c>
      <c r="L1224" t="inlineStr">
        <is>
          <t>OK</t>
        </is>
      </c>
      <c r="M1224" t="n">
        <v>6.32</v>
      </c>
      <c r="N1224" t="n">
        <v>3.82</v>
      </c>
      <c r="O1224">
        <f>IFERROR(VLOOKUP(B1224,BSE_500_LIVE!A:E,3,FALSE),"")</f>
        <v/>
      </c>
      <c r="P1224">
        <f>IFERROR(VLOOKUP(B1224,BSE_500_LIVE!A:E,4,FALSE),"")</f>
        <v/>
      </c>
      <c r="Q1224">
        <f>IFERROR(VLOOKUP(B1224,BSE_500_LIVE!A:E,5,FALSE),"")</f>
        <v/>
      </c>
      <c r="R1224">
        <f>IF(OR(E1224="",O1224=""),"PENDING_FETCH",IF(ABS(E1224-O1224)/E1224&gt;0.005,"MISMATCH_NEEDS_CORRECTION","VERIFIED_OK"))</f>
        <v/>
      </c>
      <c r="S1224">
        <f>IF(O1224&lt;&gt;"",O1224,E1224)</f>
        <v/>
      </c>
      <c r="T1224">
        <f>IFERROR(VLOOKUP(B1224,BSE_500_LIVE!A:F,6,FALSE),"")</f>
        <v/>
      </c>
    </row>
    <row r="1225">
      <c r="A1225" t="n">
        <v>183</v>
      </c>
      <c r="B1225" t="n">
        <v>511413</v>
      </c>
      <c r="C1225" t="inlineStr">
        <is>
          <t>Sakura Industries</t>
        </is>
      </c>
      <c r="D1225" t="n">
        <v>2016</v>
      </c>
      <c r="E1225" t="n">
        <v>366.9500122070312</v>
      </c>
      <c r="F1225" t="n">
        <v>14.25</v>
      </c>
      <c r="G1225" t="inlineStr">
        <is>
          <t>Consolidated first (v4) – needs verification for flagged rows</t>
        </is>
      </c>
      <c r="H1225" t="n">
        <v>103</v>
      </c>
      <c r="I1225" t="n">
        <v>27.20611953735352</v>
      </c>
      <c r="L1225" t="inlineStr">
        <is>
          <t>OK</t>
        </is>
      </c>
      <c r="M1225" t="n">
        <v>7.23</v>
      </c>
      <c r="N1225" t="n">
        <v>1.91</v>
      </c>
      <c r="O1225">
        <f>IFERROR(VLOOKUP(B1225,BSE_500_LIVE!A:E,3,FALSE),"")</f>
        <v/>
      </c>
      <c r="P1225">
        <f>IFERROR(VLOOKUP(B1225,BSE_500_LIVE!A:E,4,FALSE),"")</f>
        <v/>
      </c>
      <c r="Q1225">
        <f>IFERROR(VLOOKUP(B1225,BSE_500_LIVE!A:E,5,FALSE),"")</f>
        <v/>
      </c>
      <c r="R1225">
        <f>IF(OR(E1225="",O1225=""),"PENDING_FETCH",IF(ABS(E1225-O1225)/E1225&gt;0.005,"MISMATCH_NEEDS_CORRECTION","VERIFIED_OK"))</f>
        <v/>
      </c>
      <c r="S1225">
        <f>IF(O1225&lt;&gt;"",O1225,E1225)</f>
        <v/>
      </c>
      <c r="T1225">
        <f>IFERROR(VLOOKUP(B1225,BSE_500_LIVE!A:F,6,FALSE),"")</f>
        <v/>
      </c>
    </row>
    <row r="1226">
      <c r="A1226" t="n">
        <v>183</v>
      </c>
      <c r="B1226" t="n">
        <v>511413</v>
      </c>
      <c r="C1226" t="inlineStr">
        <is>
          <t>Sakura Industries</t>
        </is>
      </c>
      <c r="D1226" t="n">
        <v>2017</v>
      </c>
      <c r="E1226" t="n">
        <v>366.9500122070312</v>
      </c>
      <c r="F1226" t="n">
        <v>14.62</v>
      </c>
      <c r="G1226" t="inlineStr">
        <is>
          <t>Consolidated first (v4) – needs verification for flagged rows</t>
        </is>
      </c>
      <c r="H1226" t="n">
        <v>284.5</v>
      </c>
      <c r="I1226" t="n">
        <v>90</v>
      </c>
      <c r="L1226" t="inlineStr">
        <is>
          <t>OK</t>
        </is>
      </c>
      <c r="M1226" t="n">
        <v>19.46</v>
      </c>
      <c r="N1226" t="n">
        <v>6.16</v>
      </c>
      <c r="O1226">
        <f>IFERROR(VLOOKUP(B1226,BSE_500_LIVE!A:E,3,FALSE),"")</f>
        <v/>
      </c>
      <c r="P1226">
        <f>IFERROR(VLOOKUP(B1226,BSE_500_LIVE!A:E,4,FALSE),"")</f>
        <v/>
      </c>
      <c r="Q1226">
        <f>IFERROR(VLOOKUP(B1226,BSE_500_LIVE!A:E,5,FALSE),"")</f>
        <v/>
      </c>
      <c r="R1226">
        <f>IF(OR(E1226="",O1226=""),"PENDING_FETCH",IF(ABS(E1226-O1226)/E1226&gt;0.005,"MISMATCH_NEEDS_CORRECTION","VERIFIED_OK"))</f>
        <v/>
      </c>
      <c r="S1226">
        <f>IF(O1226&lt;&gt;"",O1226,E1226)</f>
        <v/>
      </c>
      <c r="T1226">
        <f>IFERROR(VLOOKUP(B1226,BSE_500_LIVE!A:F,6,FALSE),"")</f>
        <v/>
      </c>
    </row>
    <row r="1227">
      <c r="A1227" t="n">
        <v>183</v>
      </c>
      <c r="B1227" t="n">
        <v>511413</v>
      </c>
      <c r="C1227" t="inlineStr">
        <is>
          <t>Sakura Industries</t>
        </is>
      </c>
      <c r="D1227" t="n">
        <v>2018</v>
      </c>
      <c r="E1227" t="n">
        <v>366.9500122070312</v>
      </c>
      <c r="F1227" t="n">
        <v>36.08</v>
      </c>
      <c r="G1227" t="inlineStr">
        <is>
          <t>Consolidated first (v4) – needs verification for flagged rows</t>
        </is>
      </c>
      <c r="H1227" t="n">
        <v>286.7999877929688</v>
      </c>
      <c r="I1227" t="n">
        <v>126.5999984741211</v>
      </c>
      <c r="L1227" t="inlineStr">
        <is>
          <t>OK</t>
        </is>
      </c>
      <c r="M1227" t="n">
        <v>7.95</v>
      </c>
      <c r="N1227" t="n">
        <v>3.51</v>
      </c>
      <c r="O1227">
        <f>IFERROR(VLOOKUP(B1227,BSE_500_LIVE!A:E,3,FALSE),"")</f>
        <v/>
      </c>
      <c r="P1227">
        <f>IFERROR(VLOOKUP(B1227,BSE_500_LIVE!A:E,4,FALSE),"")</f>
        <v/>
      </c>
      <c r="Q1227">
        <f>IFERROR(VLOOKUP(B1227,BSE_500_LIVE!A:E,5,FALSE),"")</f>
        <v/>
      </c>
      <c r="R1227">
        <f>IF(OR(E1227="",O1227=""),"PENDING_FETCH",IF(ABS(E1227-O1227)/E1227&gt;0.005,"MISMATCH_NEEDS_CORRECTION","VERIFIED_OK"))</f>
        <v/>
      </c>
      <c r="S1227">
        <f>IF(O1227&lt;&gt;"",O1227,E1227)</f>
        <v/>
      </c>
      <c r="T1227">
        <f>IFERROR(VLOOKUP(B1227,BSE_500_LIVE!A:F,6,FALSE),"")</f>
        <v/>
      </c>
    </row>
    <row r="1228">
      <c r="A1228" t="n">
        <v>183</v>
      </c>
      <c r="B1228" t="n">
        <v>511413</v>
      </c>
      <c r="C1228" t="inlineStr">
        <is>
          <t>Sakura Industries</t>
        </is>
      </c>
      <c r="D1228" t="n">
        <v>2019</v>
      </c>
      <c r="E1228" t="n">
        <v>366.9500122070312</v>
      </c>
      <c r="F1228" t="n">
        <v>16.82</v>
      </c>
      <c r="G1228" t="inlineStr">
        <is>
          <t>Consolidated first (v4) – needs verification for flagged rows</t>
        </is>
      </c>
      <c r="H1228" t="n">
        <v>153.6999969482422</v>
      </c>
      <c r="I1228" t="n">
        <v>65.30000305175781</v>
      </c>
      <c r="L1228" t="inlineStr">
        <is>
          <t>OK</t>
        </is>
      </c>
      <c r="M1228" t="n">
        <v>9.140000000000001</v>
      </c>
      <c r="N1228" t="n">
        <v>3.88</v>
      </c>
      <c r="O1228">
        <f>IFERROR(VLOOKUP(B1228,BSE_500_LIVE!A:E,3,FALSE),"")</f>
        <v/>
      </c>
      <c r="P1228">
        <f>IFERROR(VLOOKUP(B1228,BSE_500_LIVE!A:E,4,FALSE),"")</f>
        <v/>
      </c>
      <c r="Q1228">
        <f>IFERROR(VLOOKUP(B1228,BSE_500_LIVE!A:E,5,FALSE),"")</f>
        <v/>
      </c>
      <c r="R1228">
        <f>IF(OR(E1228="",O1228=""),"PENDING_FETCH",IF(ABS(E1228-O1228)/E1228&gt;0.005,"MISMATCH_NEEDS_CORRECTION","VERIFIED_OK"))</f>
        <v/>
      </c>
      <c r="S1228">
        <f>IF(O1228&lt;&gt;"",O1228,E1228)</f>
        <v/>
      </c>
      <c r="T1228">
        <f>IFERROR(VLOOKUP(B1228,BSE_500_LIVE!A:F,6,FALSE),"")</f>
        <v/>
      </c>
    </row>
    <row r="1229">
      <c r="A1229" t="n">
        <v>183</v>
      </c>
      <c r="B1229" t="n">
        <v>511413</v>
      </c>
      <c r="C1229" t="inlineStr">
        <is>
          <t>Sakura Industries</t>
        </is>
      </c>
      <c r="D1229" t="n">
        <v>2020</v>
      </c>
      <c r="E1229" t="n">
        <v>366.9500122070312</v>
      </c>
      <c r="F1229" t="n">
        <v>15.92</v>
      </c>
      <c r="G1229" t="inlineStr">
        <is>
          <t>Consolidated first (v4) – needs verification for flagged rows</t>
        </is>
      </c>
      <c r="H1229" t="n">
        <v>114.4000015258789</v>
      </c>
      <c r="I1229" t="n">
        <v>44.59999847412109</v>
      </c>
      <c r="L1229" t="inlineStr">
        <is>
          <t>OK</t>
        </is>
      </c>
      <c r="M1229" t="n">
        <v>7.19</v>
      </c>
      <c r="N1229" t="n">
        <v>2.8</v>
      </c>
      <c r="O1229">
        <f>IFERROR(VLOOKUP(B1229,BSE_500_LIVE!A:E,3,FALSE),"")</f>
        <v/>
      </c>
      <c r="P1229">
        <f>IFERROR(VLOOKUP(B1229,BSE_500_LIVE!A:E,4,FALSE),"")</f>
        <v/>
      </c>
      <c r="Q1229">
        <f>IFERROR(VLOOKUP(B1229,BSE_500_LIVE!A:E,5,FALSE),"")</f>
        <v/>
      </c>
      <c r="R1229">
        <f>IF(OR(E1229="",O1229=""),"PENDING_FETCH",IF(ABS(E1229-O1229)/E1229&gt;0.005,"MISMATCH_NEEDS_CORRECTION","VERIFIED_OK"))</f>
        <v/>
      </c>
      <c r="S1229">
        <f>IF(O1229&lt;&gt;"",O1229,E1229)</f>
        <v/>
      </c>
      <c r="T1229">
        <f>IFERROR(VLOOKUP(B1229,BSE_500_LIVE!A:F,6,FALSE),"")</f>
        <v/>
      </c>
    </row>
    <row r="1230">
      <c r="A1230" t="n">
        <v>183</v>
      </c>
      <c r="B1230" t="n">
        <v>511413</v>
      </c>
      <c r="C1230" t="inlineStr">
        <is>
          <t>Sakura Industries</t>
        </is>
      </c>
      <c r="D1230" t="n">
        <v>2021</v>
      </c>
      <c r="E1230" t="n">
        <v>366.9500122070312</v>
      </c>
      <c r="F1230" t="n">
        <v>1.05</v>
      </c>
      <c r="G1230" t="inlineStr">
        <is>
          <t>Consolidated first (v4) – needs verification for flagged rows</t>
        </is>
      </c>
      <c r="H1230" t="n">
        <v>172</v>
      </c>
      <c r="I1230" t="n">
        <v>71.30000305175781</v>
      </c>
      <c r="L1230" t="inlineStr">
        <is>
          <t>OK</t>
        </is>
      </c>
      <c r="M1230" t="n">
        <v>163.81</v>
      </c>
      <c r="N1230" t="n">
        <v>67.90000000000001</v>
      </c>
      <c r="O1230">
        <f>IFERROR(VLOOKUP(B1230,BSE_500_LIVE!A:E,3,FALSE),"")</f>
        <v/>
      </c>
      <c r="P1230">
        <f>IFERROR(VLOOKUP(B1230,BSE_500_LIVE!A:E,4,FALSE),"")</f>
        <v/>
      </c>
      <c r="Q1230">
        <f>IFERROR(VLOOKUP(B1230,BSE_500_LIVE!A:E,5,FALSE),"")</f>
        <v/>
      </c>
      <c r="R1230">
        <f>IF(OR(E1230="",O1230=""),"PENDING_FETCH",IF(ABS(E1230-O1230)/E1230&gt;0.005,"MISMATCH_NEEDS_CORRECTION","VERIFIED_OK"))</f>
        <v/>
      </c>
      <c r="S1230">
        <f>IF(O1230&lt;&gt;"",O1230,E1230)</f>
        <v/>
      </c>
      <c r="T1230">
        <f>IFERROR(VLOOKUP(B1230,BSE_500_LIVE!A:F,6,FALSE),"")</f>
        <v/>
      </c>
    </row>
    <row r="1231">
      <c r="A1231" t="n">
        <v>183</v>
      </c>
      <c r="B1231" t="n">
        <v>511413</v>
      </c>
      <c r="C1231" t="inlineStr">
        <is>
          <t>Sakura Industries</t>
        </is>
      </c>
      <c r="D1231" t="n">
        <v>2022</v>
      </c>
      <c r="E1231" t="n">
        <v>366.9500122070312</v>
      </c>
      <c r="F1231" t="n">
        <v>4.25</v>
      </c>
      <c r="G1231" t="inlineStr">
        <is>
          <t>Consolidated first (v4) – needs verification for flagged rows</t>
        </is>
      </c>
      <c r="H1231" t="n">
        <v>219.3999938964844</v>
      </c>
      <c r="I1231" t="n">
        <v>131.1000061035156</v>
      </c>
      <c r="L1231" t="inlineStr">
        <is>
          <t>OK</t>
        </is>
      </c>
      <c r="M1231" t="n">
        <v>51.62</v>
      </c>
      <c r="N1231" t="n">
        <v>30.85</v>
      </c>
      <c r="O1231">
        <f>IFERROR(VLOOKUP(B1231,BSE_500_LIVE!A:E,3,FALSE),"")</f>
        <v/>
      </c>
      <c r="P1231">
        <f>IFERROR(VLOOKUP(B1231,BSE_500_LIVE!A:E,4,FALSE),"")</f>
        <v/>
      </c>
      <c r="Q1231">
        <f>IFERROR(VLOOKUP(B1231,BSE_500_LIVE!A:E,5,FALSE),"")</f>
        <v/>
      </c>
      <c r="R1231">
        <f>IF(OR(E1231="",O1231=""),"PENDING_FETCH",IF(ABS(E1231-O1231)/E1231&gt;0.005,"MISMATCH_NEEDS_CORRECTION","VERIFIED_OK"))</f>
        <v/>
      </c>
      <c r="S1231">
        <f>IF(O1231&lt;&gt;"",O1231,E1231)</f>
        <v/>
      </c>
      <c r="T1231">
        <f>IFERROR(VLOOKUP(B1231,BSE_500_LIVE!A:F,6,FALSE),"")</f>
        <v/>
      </c>
    </row>
    <row r="1232">
      <c r="A1232" t="n">
        <v>183</v>
      </c>
      <c r="B1232" t="n">
        <v>511413</v>
      </c>
      <c r="C1232" t="inlineStr">
        <is>
          <t>Sakura Industries</t>
        </is>
      </c>
      <c r="D1232" t="n">
        <v>2023</v>
      </c>
      <c r="E1232" t="n">
        <v>366.9500122070312</v>
      </c>
      <c r="F1232" t="n">
        <v>139.14</v>
      </c>
      <c r="G1232" t="inlineStr">
        <is>
          <t>Consolidated first (v4) – needs verification for flagged rows</t>
        </is>
      </c>
      <c r="H1232" t="n">
        <v>329.7999877929688</v>
      </c>
      <c r="I1232" t="n">
        <v>144.3999938964844</v>
      </c>
      <c r="L1232" t="inlineStr">
        <is>
          <t>OK</t>
        </is>
      </c>
      <c r="M1232" t="n">
        <v>2.37</v>
      </c>
      <c r="N1232" t="n">
        <v>1.04</v>
      </c>
      <c r="O1232">
        <f>IFERROR(VLOOKUP(B1232,BSE_500_LIVE!A:E,3,FALSE),"")</f>
        <v/>
      </c>
      <c r="P1232">
        <f>IFERROR(VLOOKUP(B1232,BSE_500_LIVE!A:E,4,FALSE),"")</f>
        <v/>
      </c>
      <c r="Q1232">
        <f>IFERROR(VLOOKUP(B1232,BSE_500_LIVE!A:E,5,FALSE),"")</f>
        <v/>
      </c>
      <c r="R1232">
        <f>IF(OR(E1232="",O1232=""),"PENDING_FETCH",IF(ABS(E1232-O1232)/E1232&gt;0.005,"MISMATCH_NEEDS_CORRECTION","VERIFIED_OK"))</f>
        <v/>
      </c>
      <c r="S1232">
        <f>IF(O1232&lt;&gt;"",O1232,E1232)</f>
        <v/>
      </c>
      <c r="T1232">
        <f>IFERROR(VLOOKUP(B1232,BSE_500_LIVE!A:F,6,FALSE),"")</f>
        <v/>
      </c>
    </row>
    <row r="1233">
      <c r="A1233" t="n">
        <v>183</v>
      </c>
      <c r="B1233" t="n">
        <v>511413</v>
      </c>
      <c r="C1233" t="inlineStr">
        <is>
          <t>Sakura Industries</t>
        </is>
      </c>
      <c r="D1233" t="n">
        <v>2024</v>
      </c>
      <c r="E1233" t="n">
        <v>366.9500122070312</v>
      </c>
      <c r="F1233" t="n">
        <v>21.14</v>
      </c>
      <c r="G1233" t="inlineStr">
        <is>
          <t>Consolidated first (v4) – needs verification for flagged rows</t>
        </is>
      </c>
      <c r="H1233" t="n">
        <v>621.2000122070312</v>
      </c>
      <c r="I1233" t="n">
        <v>291.8500061035156</v>
      </c>
      <c r="L1233" t="inlineStr">
        <is>
          <t>OK</t>
        </is>
      </c>
      <c r="M1233" t="n">
        <v>29.39</v>
      </c>
      <c r="N1233" t="n">
        <v>13.81</v>
      </c>
      <c r="O1233">
        <f>IFERROR(VLOOKUP(B1233,BSE_500_LIVE!A:E,3,FALSE),"")</f>
        <v/>
      </c>
      <c r="P1233">
        <f>IFERROR(VLOOKUP(B1233,BSE_500_LIVE!A:E,4,FALSE),"")</f>
        <v/>
      </c>
      <c r="Q1233">
        <f>IFERROR(VLOOKUP(B1233,BSE_500_LIVE!A:E,5,FALSE),"")</f>
        <v/>
      </c>
      <c r="R1233">
        <f>IF(OR(E1233="",O1233=""),"PENDING_FETCH",IF(ABS(E1233-O1233)/E1233&gt;0.005,"MISMATCH_NEEDS_CORRECTION","VERIFIED_OK"))</f>
        <v/>
      </c>
      <c r="S1233">
        <f>IF(O1233&lt;&gt;"",O1233,E1233)</f>
        <v/>
      </c>
      <c r="T1233">
        <f>IFERROR(VLOOKUP(B1233,BSE_500_LIVE!A:F,6,FALSE),"")</f>
        <v/>
      </c>
    </row>
    <row r="1234">
      <c r="A1234" t="n">
        <v>183</v>
      </c>
      <c r="B1234" t="n">
        <v>511413</v>
      </c>
      <c r="C1234" t="inlineStr">
        <is>
          <t>Sakura Industries</t>
        </is>
      </c>
      <c r="D1234" t="n">
        <v>2025</v>
      </c>
      <c r="E1234" t="n">
        <v>366.9500122070312</v>
      </c>
      <c r="F1234" t="n">
        <v>31.11</v>
      </c>
      <c r="G1234" t="inlineStr">
        <is>
          <t>Consolidated first (v4) – needs verification for flagged rows</t>
        </is>
      </c>
      <c r="H1234" t="n">
        <v>498</v>
      </c>
      <c r="I1234" t="n">
        <v>304.5499877929688</v>
      </c>
      <c r="L1234" t="inlineStr">
        <is>
          <t>OK</t>
        </is>
      </c>
      <c r="M1234" t="n">
        <v>16.01</v>
      </c>
      <c r="N1234" t="n">
        <v>9.789999999999999</v>
      </c>
      <c r="O1234">
        <f>IFERROR(VLOOKUP(B1234,BSE_500_LIVE!A:E,3,FALSE),"")</f>
        <v/>
      </c>
      <c r="P1234">
        <f>IFERROR(VLOOKUP(B1234,BSE_500_LIVE!A:E,4,FALSE),"")</f>
        <v/>
      </c>
      <c r="Q1234">
        <f>IFERROR(VLOOKUP(B1234,BSE_500_LIVE!A:E,5,FALSE),"")</f>
        <v/>
      </c>
      <c r="R1234">
        <f>IF(OR(E1234="",O1234=""),"PENDING_FETCH",IF(ABS(E1234-O1234)/E1234&gt;0.005,"MISMATCH_NEEDS_CORRECTION","VERIFIED_OK"))</f>
        <v/>
      </c>
      <c r="S1234">
        <f>IF(O1234&lt;&gt;"",O1234,E1234)</f>
        <v/>
      </c>
      <c r="T1234">
        <f>IFERROR(VLOOKUP(B1234,BSE_500_LIVE!A:F,6,FALSE),"")</f>
        <v/>
      </c>
    </row>
    <row r="1235">
      <c r="A1235" t="n">
        <v>183</v>
      </c>
      <c r="B1235" t="n">
        <v>511413</v>
      </c>
      <c r="C1235" t="inlineStr">
        <is>
          <t>Sakura Industries</t>
        </is>
      </c>
      <c r="D1235" t="n">
        <v>2026</v>
      </c>
      <c r="E1235" t="n">
        <v>366.9500122070312</v>
      </c>
      <c r="F1235" t="n">
        <v>16.46</v>
      </c>
      <c r="G1235" t="inlineStr">
        <is>
          <t>Consolidated first (v4) – needs verification for flagged rows</t>
        </is>
      </c>
      <c r="H1235" t="n">
        <v>412</v>
      </c>
      <c r="I1235" t="n">
        <v>301.0499877929688</v>
      </c>
      <c r="L1235" t="inlineStr">
        <is>
          <t>OK</t>
        </is>
      </c>
      <c r="M1235" t="n">
        <v>25.03</v>
      </c>
      <c r="N1235" t="n">
        <v>18.29</v>
      </c>
      <c r="O1235">
        <f>IFERROR(VLOOKUP(B1235,BSE_500_LIVE!A:E,3,FALSE),"")</f>
        <v/>
      </c>
      <c r="P1235">
        <f>IFERROR(VLOOKUP(B1235,BSE_500_LIVE!A:E,4,FALSE),"")</f>
        <v/>
      </c>
      <c r="Q1235">
        <f>IFERROR(VLOOKUP(B1235,BSE_500_LIVE!A:E,5,FALSE),"")</f>
        <v/>
      </c>
      <c r="R1235">
        <f>IF(OR(E1235="",O1235=""),"PENDING_FETCH",IF(ABS(E1235-O1235)/E1235&gt;0.005,"MISMATCH_NEEDS_CORRECTION","VERIFIED_OK"))</f>
        <v/>
      </c>
      <c r="S1235">
        <f>IF(O1235&lt;&gt;"",O1235,E1235)</f>
        <v/>
      </c>
      <c r="T1235">
        <f>IFERROR(VLOOKUP(B1235,BSE_500_LIVE!A:F,6,FALSE),"")</f>
        <v/>
      </c>
    </row>
    <row r="1236">
      <c r="A1236" t="n">
        <v>184</v>
      </c>
      <c r="B1236" t="n">
        <v>511431</v>
      </c>
      <c r="C1236" t="inlineStr">
        <is>
          <t>Vakrangee Ltd</t>
        </is>
      </c>
      <c r="D1236" t="n">
        <v>2015</v>
      </c>
      <c r="E1236" t="n">
        <v>6.079999923706055</v>
      </c>
      <c r="F1236" t="n">
        <v>3.2</v>
      </c>
      <c r="G1236" t="inlineStr">
        <is>
          <t>Consolidated first (v4) – needs verification for flagged rows</t>
        </is>
      </c>
      <c r="H1236" t="n">
        <v>89.2657470703125</v>
      </c>
      <c r="I1236" t="n">
        <v>40.32333374023438</v>
      </c>
      <c r="L1236" t="inlineStr">
        <is>
          <t>OK</t>
        </is>
      </c>
      <c r="M1236" t="n">
        <v>27.9</v>
      </c>
      <c r="N1236" t="n">
        <v>12.6</v>
      </c>
      <c r="O1236" t="n">
        <v>5.98</v>
      </c>
      <c r="P1236" t="n">
        <v>9.77</v>
      </c>
      <c r="Q1236" t="n">
        <v>4.61</v>
      </c>
      <c r="R1236" s="2" t="inlineStr">
        <is>
          <t>VERIFIED_OK</t>
        </is>
      </c>
      <c r="S1236" t="n">
        <v>5.98</v>
      </c>
      <c r="T1236" t="inlineStr">
        <is>
          <t>30-07-2026 09:42 IST</t>
        </is>
      </c>
    </row>
    <row r="1237">
      <c r="A1237" t="n">
        <v>184</v>
      </c>
      <c r="B1237" t="n">
        <v>511431</v>
      </c>
      <c r="C1237" t="inlineStr">
        <is>
          <t>Vakrangee Ltd</t>
        </is>
      </c>
      <c r="D1237" t="n">
        <v>2016</v>
      </c>
      <c r="E1237" t="n">
        <v>6.079999923706055</v>
      </c>
      <c r="F1237" t="n">
        <v>3.73</v>
      </c>
      <c r="G1237" t="inlineStr">
        <is>
          <t>Consolidated first (v4) – needs verification for flagged rows</t>
        </is>
      </c>
      <c r="H1237" t="n">
        <v>133.8520355224609</v>
      </c>
      <c r="I1237" t="n">
        <v>72.58665466308594</v>
      </c>
      <c r="L1237" t="inlineStr">
        <is>
          <t>OK</t>
        </is>
      </c>
      <c r="M1237" t="n">
        <v>35.89</v>
      </c>
      <c r="N1237" t="n">
        <v>19.46</v>
      </c>
      <c r="O1237" t="n">
        <v>5.98</v>
      </c>
      <c r="P1237" t="n">
        <v>9.77</v>
      </c>
      <c r="Q1237" t="n">
        <v>4.61</v>
      </c>
      <c r="R1237" s="2" t="inlineStr">
        <is>
          <t>VERIFIED_OK</t>
        </is>
      </c>
      <c r="S1237" t="n">
        <v>5.98</v>
      </c>
      <c r="T1237" t="inlineStr">
        <is>
          <t>30-07-2026 09:42 IST</t>
        </is>
      </c>
    </row>
    <row r="1238">
      <c r="A1238" t="n">
        <v>184</v>
      </c>
      <c r="B1238" t="n">
        <v>511431</v>
      </c>
      <c r="C1238" t="inlineStr">
        <is>
          <t>Vakrangee Ltd</t>
        </is>
      </c>
      <c r="D1238" t="n">
        <v>2017</v>
      </c>
      <c r="E1238" t="n">
        <v>6.079999923706055</v>
      </c>
      <c r="F1238" t="n">
        <v>5.02</v>
      </c>
      <c r="G1238" t="inlineStr">
        <is>
          <t>Consolidated first (v4) – needs verification for flagged rows</t>
        </is>
      </c>
      <c r="H1238" t="n">
        <v>698.8446044921875</v>
      </c>
      <c r="I1238" t="n">
        <v>125.5590744018555</v>
      </c>
      <c r="L1238" t="inlineStr">
        <is>
          <t>OK</t>
        </is>
      </c>
      <c r="M1238" t="n">
        <v>139.21</v>
      </c>
      <c r="N1238" t="n">
        <v>25.01</v>
      </c>
      <c r="O1238" t="n">
        <v>5.98</v>
      </c>
      <c r="P1238" t="n">
        <v>9.77</v>
      </c>
      <c r="Q1238" t="n">
        <v>4.61</v>
      </c>
      <c r="R1238" s="2" t="inlineStr">
        <is>
          <t>VERIFIED_OK</t>
        </is>
      </c>
      <c r="S1238" t="n">
        <v>5.98</v>
      </c>
      <c r="T1238" t="inlineStr">
        <is>
          <t>30-07-2026 09:42 IST</t>
        </is>
      </c>
    </row>
    <row r="1239">
      <c r="A1239" t="n">
        <v>184</v>
      </c>
      <c r="B1239" t="n">
        <v>511431</v>
      </c>
      <c r="C1239" t="inlineStr">
        <is>
          <t>Vakrangee Ltd</t>
        </is>
      </c>
      <c r="D1239" t="n">
        <v>2018</v>
      </c>
      <c r="E1239" t="n">
        <v>6.079999923706055</v>
      </c>
      <c r="F1239" t="n">
        <v>6.43</v>
      </c>
      <c r="G1239" t="inlineStr">
        <is>
          <t>Consolidated first (v4) – needs verification for flagged rows</t>
        </is>
      </c>
      <c r="H1239" t="n">
        <v>480.2460021972656</v>
      </c>
      <c r="I1239" t="n">
        <v>20.8255672454834</v>
      </c>
      <c r="L1239" t="inlineStr">
        <is>
          <t>OK</t>
        </is>
      </c>
      <c r="M1239" t="n">
        <v>74.69</v>
      </c>
      <c r="N1239" t="n">
        <v>3.24</v>
      </c>
      <c r="O1239" t="n">
        <v>5.98</v>
      </c>
      <c r="P1239" t="n">
        <v>9.77</v>
      </c>
      <c r="Q1239" t="n">
        <v>4.61</v>
      </c>
      <c r="R1239" s="2" t="inlineStr">
        <is>
          <t>VERIFIED_OK</t>
        </is>
      </c>
      <c r="S1239" t="n">
        <v>5.98</v>
      </c>
      <c r="T1239" t="inlineStr">
        <is>
          <t>30-07-2026 09:42 IST</t>
        </is>
      </c>
    </row>
    <row r="1240">
      <c r="A1240" t="n">
        <v>184</v>
      </c>
      <c r="B1240" t="n">
        <v>511431</v>
      </c>
      <c r="C1240" t="inlineStr">
        <is>
          <t>Vakrangee Ltd</t>
        </is>
      </c>
      <c r="D1240" t="n">
        <v>2019</v>
      </c>
      <c r="E1240" t="n">
        <v>6.079999923706055</v>
      </c>
      <c r="F1240" t="n">
        <v>0.24</v>
      </c>
      <c r="G1240" t="inlineStr">
        <is>
          <t>Consolidated first (v4) – needs verification for flagged rows</t>
        </is>
      </c>
      <c r="H1240" t="n">
        <v>66.11069488525391</v>
      </c>
      <c r="I1240" t="n">
        <v>21.19828414916992</v>
      </c>
      <c r="L1240" t="inlineStr">
        <is>
          <t>UNVERIFIED – tiny EPS &lt;0.5</t>
        </is>
      </c>
      <c r="M1240" t="n">
        <v>275.46</v>
      </c>
      <c r="N1240" t="n">
        <v>88.33</v>
      </c>
      <c r="O1240" t="n">
        <v>5.98</v>
      </c>
      <c r="P1240" t="n">
        <v>9.77</v>
      </c>
      <c r="Q1240" t="n">
        <v>4.61</v>
      </c>
      <c r="R1240" s="2" t="inlineStr">
        <is>
          <t>VERIFIED_OK</t>
        </is>
      </c>
      <c r="S1240" t="n">
        <v>5.98</v>
      </c>
      <c r="T1240" t="inlineStr">
        <is>
          <t>30-07-2026 09:42 IST</t>
        </is>
      </c>
    </row>
    <row r="1241">
      <c r="A1241" t="n">
        <v>184</v>
      </c>
      <c r="B1241" t="n">
        <v>511431</v>
      </c>
      <c r="C1241" t="inlineStr">
        <is>
          <t>Vakrangee Ltd</t>
        </is>
      </c>
      <c r="D1241" t="n">
        <v>2020</v>
      </c>
      <c r="E1241" t="n">
        <v>6.079999923706055</v>
      </c>
      <c r="F1241" t="n">
        <v>0.67</v>
      </c>
      <c r="G1241" t="inlineStr">
        <is>
          <t>Consolidated first (v4) – needs verification for flagged rows</t>
        </is>
      </c>
      <c r="H1241" t="n">
        <v>65.08572387695312</v>
      </c>
      <c r="I1241" t="n">
        <v>15.93365573883057</v>
      </c>
      <c r="L1241" t="inlineStr">
        <is>
          <t>OK</t>
        </is>
      </c>
      <c r="M1241" t="n">
        <v>97.14</v>
      </c>
      <c r="N1241" t="n">
        <v>23.78</v>
      </c>
      <c r="O1241" t="n">
        <v>5.98</v>
      </c>
      <c r="P1241" t="n">
        <v>9.77</v>
      </c>
      <c r="Q1241" t="n">
        <v>4.61</v>
      </c>
      <c r="R1241" s="2" t="inlineStr">
        <is>
          <t>VERIFIED_OK</t>
        </is>
      </c>
      <c r="S1241" t="n">
        <v>5.98</v>
      </c>
      <c r="T1241" t="inlineStr">
        <is>
          <t>30-07-2026 09:42 IST</t>
        </is>
      </c>
    </row>
    <row r="1242">
      <c r="A1242" t="n">
        <v>184</v>
      </c>
      <c r="B1242" t="n">
        <v>511431</v>
      </c>
      <c r="C1242" t="inlineStr">
        <is>
          <t>Vakrangee Ltd</t>
        </is>
      </c>
      <c r="D1242" t="n">
        <v>2021</v>
      </c>
      <c r="E1242" t="n">
        <v>6.079999923706055</v>
      </c>
      <c r="F1242" t="n">
        <v>0.59</v>
      </c>
      <c r="G1242" t="inlineStr">
        <is>
          <t>Consolidated first (v4) – needs verification for flagged rows</t>
        </is>
      </c>
      <c r="H1242" t="n">
        <v>64.66641998291016</v>
      </c>
      <c r="I1242" t="n">
        <v>27.16175842285156</v>
      </c>
      <c r="L1242" t="inlineStr">
        <is>
          <t>OK</t>
        </is>
      </c>
      <c r="M1242" t="n">
        <v>109.6</v>
      </c>
      <c r="N1242" t="n">
        <v>46.04</v>
      </c>
      <c r="O1242" t="n">
        <v>5.98</v>
      </c>
      <c r="P1242" t="n">
        <v>9.77</v>
      </c>
      <c r="Q1242" t="n">
        <v>4.61</v>
      </c>
      <c r="R1242" s="2" t="inlineStr">
        <is>
          <t>VERIFIED_OK</t>
        </is>
      </c>
      <c r="S1242" t="n">
        <v>5.98</v>
      </c>
      <c r="T1242" t="inlineStr">
        <is>
          <t>30-07-2026 09:42 IST</t>
        </is>
      </c>
    </row>
    <row r="1243">
      <c r="A1243" t="n">
        <v>184</v>
      </c>
      <c r="B1243" t="n">
        <v>511431</v>
      </c>
      <c r="C1243" t="inlineStr">
        <is>
          <t>Vakrangee Ltd</t>
        </is>
      </c>
      <c r="D1243" t="n">
        <v>2022</v>
      </c>
      <c r="E1243" t="n">
        <v>6.079999923706055</v>
      </c>
      <c r="G1243" t="inlineStr">
        <is>
          <t>Consolidated first (v4) – needs verification for flagged rows</t>
        </is>
      </c>
      <c r="H1243" t="n">
        <v>42.53633880615234</v>
      </c>
      <c r="I1243" t="n">
        <v>21.99030876159668</v>
      </c>
      <c r="L1243" t="inlineStr">
        <is>
          <t>INCOMPLETE</t>
        </is>
      </c>
      <c r="O1243" t="n">
        <v>5.98</v>
      </c>
      <c r="P1243" t="n">
        <v>9.77</v>
      </c>
      <c r="Q1243" t="n">
        <v>4.61</v>
      </c>
      <c r="R1243" s="2" t="inlineStr">
        <is>
          <t>VERIFIED_OK</t>
        </is>
      </c>
      <c r="S1243" t="n">
        <v>5.98</v>
      </c>
      <c r="T1243" t="inlineStr">
        <is>
          <t>30-07-2026 09:42 IST</t>
        </is>
      </c>
    </row>
    <row r="1244">
      <c r="A1244" t="n">
        <v>184</v>
      </c>
      <c r="B1244" t="n">
        <v>511431</v>
      </c>
      <c r="C1244" t="inlineStr">
        <is>
          <t>Vakrangee Ltd</t>
        </is>
      </c>
      <c r="D1244" t="n">
        <v>2023</v>
      </c>
      <c r="E1244" t="n">
        <v>6.079999923706055</v>
      </c>
      <c r="F1244" t="n">
        <v>0.01</v>
      </c>
      <c r="G1244" t="inlineStr">
        <is>
          <t>Consolidated first (v4) – needs verification for flagged rows</t>
        </is>
      </c>
      <c r="H1244" t="n">
        <v>26.55609321594238</v>
      </c>
      <c r="I1244" t="n">
        <v>13.69735336303711</v>
      </c>
      <c r="L1244" t="inlineStr">
        <is>
          <t>UNVERIFIED – tiny EPS &lt;0.5</t>
        </is>
      </c>
      <c r="M1244" t="n">
        <v>2655.61</v>
      </c>
      <c r="N1244" t="n">
        <v>1369.74</v>
      </c>
      <c r="O1244" t="n">
        <v>5.98</v>
      </c>
      <c r="P1244" t="n">
        <v>9.77</v>
      </c>
      <c r="Q1244" t="n">
        <v>4.61</v>
      </c>
      <c r="R1244" s="2" t="inlineStr">
        <is>
          <t>VERIFIED_OK</t>
        </is>
      </c>
      <c r="S1244" t="n">
        <v>5.98</v>
      </c>
      <c r="T1244" t="inlineStr">
        <is>
          <t>30-07-2026 09:42 IST</t>
        </is>
      </c>
    </row>
    <row r="1245">
      <c r="A1245" t="n">
        <v>184</v>
      </c>
      <c r="B1245" t="n">
        <v>511431</v>
      </c>
      <c r="C1245" t="inlineStr">
        <is>
          <t>Vakrangee Ltd</t>
        </is>
      </c>
      <c r="D1245" t="n">
        <v>2024</v>
      </c>
      <c r="E1245" t="n">
        <v>6.079999923706055</v>
      </c>
      <c r="F1245" t="n">
        <v>0.04</v>
      </c>
      <c r="G1245" t="inlineStr">
        <is>
          <t>Consolidated first (v4) – needs verification for flagged rows</t>
        </is>
      </c>
      <c r="H1245" t="n">
        <v>37.72000122070312</v>
      </c>
      <c r="I1245" t="n">
        <v>18.45000076293945</v>
      </c>
      <c r="L1245" t="inlineStr">
        <is>
          <t>UNVERIFIED – tiny EPS &lt;0.5</t>
        </is>
      </c>
      <c r="M1245" t="n">
        <v>943</v>
      </c>
      <c r="N1245" t="n">
        <v>461.25</v>
      </c>
      <c r="O1245" t="n">
        <v>5.98</v>
      </c>
      <c r="P1245" t="n">
        <v>9.77</v>
      </c>
      <c r="Q1245" t="n">
        <v>4.61</v>
      </c>
      <c r="R1245" s="2" t="inlineStr">
        <is>
          <t>VERIFIED_OK</t>
        </is>
      </c>
      <c r="S1245" t="n">
        <v>5.98</v>
      </c>
      <c r="T1245" t="inlineStr">
        <is>
          <t>30-07-2026 09:42 IST</t>
        </is>
      </c>
    </row>
    <row r="1246">
      <c r="A1246" t="n">
        <v>184</v>
      </c>
      <c r="B1246" t="n">
        <v>511431</v>
      </c>
      <c r="C1246" t="inlineStr">
        <is>
          <t>Vakrangee Ltd</t>
        </is>
      </c>
      <c r="D1246" t="n">
        <v>2025</v>
      </c>
      <c r="E1246" t="n">
        <v>6.079999923706055</v>
      </c>
      <c r="F1246" t="n">
        <v>0.06</v>
      </c>
      <c r="G1246" t="inlineStr">
        <is>
          <t>Consolidated first (v4) – needs verification for flagged rows</t>
        </is>
      </c>
      <c r="H1246" t="n">
        <v>38.16999816894531</v>
      </c>
      <c r="I1246" t="n">
        <v>7.599999904632568</v>
      </c>
      <c r="L1246" t="inlineStr">
        <is>
          <t>UNVERIFIED – tiny EPS &lt;0.5</t>
        </is>
      </c>
      <c r="M1246" t="n">
        <v>636.17</v>
      </c>
      <c r="N1246" t="n">
        <v>126.67</v>
      </c>
      <c r="O1246" t="n">
        <v>5.98</v>
      </c>
      <c r="P1246" t="n">
        <v>9.77</v>
      </c>
      <c r="Q1246" t="n">
        <v>4.61</v>
      </c>
      <c r="R1246" s="2" t="inlineStr">
        <is>
          <t>VERIFIED_OK</t>
        </is>
      </c>
      <c r="S1246" t="n">
        <v>5.98</v>
      </c>
      <c r="T1246" t="inlineStr">
        <is>
          <t>30-07-2026 09:42 IST</t>
        </is>
      </c>
    </row>
    <row r="1247">
      <c r="A1247" t="n">
        <v>184</v>
      </c>
      <c r="B1247" t="n">
        <v>511431</v>
      </c>
      <c r="C1247" t="inlineStr">
        <is>
          <t>Vakrangee Ltd</t>
        </is>
      </c>
      <c r="D1247" t="n">
        <v>2026</v>
      </c>
      <c r="E1247" t="n">
        <v>6.079999923706055</v>
      </c>
      <c r="F1247" t="n">
        <v>0.1</v>
      </c>
      <c r="G1247" t="inlineStr">
        <is>
          <t>Consolidated first (v4) – needs verification for flagged rows</t>
        </is>
      </c>
      <c r="H1247" t="n">
        <v>8.069999694824219</v>
      </c>
      <c r="I1247" t="n">
        <v>4.639999866485596</v>
      </c>
      <c r="L1247" t="inlineStr">
        <is>
          <t>UNVERIFIED – tiny EPS &lt;0.5</t>
        </is>
      </c>
      <c r="M1247" t="n">
        <v>80.7</v>
      </c>
      <c r="N1247" t="n">
        <v>46.4</v>
      </c>
      <c r="O1247" t="n">
        <v>5.98</v>
      </c>
      <c r="P1247" t="n">
        <v>9.77</v>
      </c>
      <c r="Q1247" t="n">
        <v>4.61</v>
      </c>
      <c r="R1247" s="2" t="inlineStr">
        <is>
          <t>VERIFIED_OK</t>
        </is>
      </c>
      <c r="S1247" t="n">
        <v>5.98</v>
      </c>
      <c r="T1247" t="inlineStr">
        <is>
          <t>30-07-2026 09:42 IST</t>
        </is>
      </c>
    </row>
    <row r="1248">
      <c r="A1248" t="n">
        <v>186</v>
      </c>
      <c r="B1248" t="n">
        <v>511509</v>
      </c>
      <c r="C1248" t="inlineStr">
        <is>
          <t>Vysya Bank Ltd</t>
        </is>
      </c>
      <c r="D1248" t="n">
        <v>2017</v>
      </c>
      <c r="E1248" t="n">
        <v>22.86000061035156</v>
      </c>
      <c r="F1248" t="n">
        <v>2.67</v>
      </c>
      <c r="G1248" t="inlineStr">
        <is>
          <t>Consolidated first (v4) – needs verification for flagged rows</t>
        </is>
      </c>
      <c r="H1248" t="n">
        <v>100</v>
      </c>
      <c r="I1248" t="n">
        <v>40</v>
      </c>
      <c r="L1248" t="inlineStr">
        <is>
          <t>OK</t>
        </is>
      </c>
      <c r="M1248" t="n">
        <v>37.45</v>
      </c>
      <c r="N1248" t="n">
        <v>14.98</v>
      </c>
      <c r="O1248" t="n">
        <v>37.69</v>
      </c>
      <c r="P1248" t="n">
        <v>56.9</v>
      </c>
      <c r="Q1248" t="n">
        <v>31.2</v>
      </c>
      <c r="R1248" s="3" t="inlineStr">
        <is>
          <t>MISMATCH_NEEDS_CORRECTION</t>
        </is>
      </c>
      <c r="S1248" t="n">
        <v>37.69</v>
      </c>
      <c r="T1248" t="inlineStr">
        <is>
          <t>30-07-2026 09:42 IST</t>
        </is>
      </c>
    </row>
    <row r="1249">
      <c r="A1249" t="n">
        <v>186</v>
      </c>
      <c r="B1249" t="n">
        <v>511509</v>
      </c>
      <c r="C1249" t="inlineStr">
        <is>
          <t>Vysya Bank Ltd</t>
        </is>
      </c>
      <c r="D1249" t="n">
        <v>2018</v>
      </c>
      <c r="E1249" t="n">
        <v>22.86000061035156</v>
      </c>
      <c r="F1249" t="n">
        <v>3.17</v>
      </c>
      <c r="G1249" t="inlineStr">
        <is>
          <t>Consolidated first (v4) – needs verification for flagged rows</t>
        </is>
      </c>
      <c r="H1249" t="n">
        <v>84.19999694824219</v>
      </c>
      <c r="I1249" t="n">
        <v>43.25</v>
      </c>
      <c r="L1249" t="inlineStr">
        <is>
          <t>OK</t>
        </is>
      </c>
      <c r="M1249" t="n">
        <v>26.56</v>
      </c>
      <c r="N1249" t="n">
        <v>13.64</v>
      </c>
      <c r="O1249" t="n">
        <v>37.69</v>
      </c>
      <c r="P1249" t="n">
        <v>56.9</v>
      </c>
      <c r="Q1249" t="n">
        <v>31.2</v>
      </c>
      <c r="R1249" s="3" t="inlineStr">
        <is>
          <t>MISMATCH_NEEDS_CORRECTION</t>
        </is>
      </c>
      <c r="S1249" t="n">
        <v>37.69</v>
      </c>
      <c r="T1249" t="inlineStr">
        <is>
          <t>30-07-2026 09:42 IST</t>
        </is>
      </c>
    </row>
    <row r="1250">
      <c r="A1250" t="n">
        <v>186</v>
      </c>
      <c r="B1250" t="n">
        <v>511509</v>
      </c>
      <c r="C1250" t="inlineStr">
        <is>
          <t>Vysya Bank Ltd</t>
        </is>
      </c>
      <c r="D1250" t="n">
        <v>2019</v>
      </c>
      <c r="E1250" t="n">
        <v>22.86000061035156</v>
      </c>
      <c r="F1250" t="n">
        <v>1.82</v>
      </c>
      <c r="G1250" t="inlineStr">
        <is>
          <t>Consolidated first (v4) – needs verification for flagged rows</t>
        </is>
      </c>
      <c r="H1250" t="n">
        <v>76.55000305175781</v>
      </c>
      <c r="I1250" t="n">
        <v>23.35000038146973</v>
      </c>
      <c r="L1250" t="inlineStr">
        <is>
          <t>OK</t>
        </is>
      </c>
      <c r="M1250" t="n">
        <v>42.06</v>
      </c>
      <c r="N1250" t="n">
        <v>12.83</v>
      </c>
      <c r="O1250" t="n">
        <v>37.69</v>
      </c>
      <c r="P1250" t="n">
        <v>56.9</v>
      </c>
      <c r="Q1250" t="n">
        <v>31.2</v>
      </c>
      <c r="R1250" s="3" t="inlineStr">
        <is>
          <t>MISMATCH_NEEDS_CORRECTION</t>
        </is>
      </c>
      <c r="S1250" t="n">
        <v>37.69</v>
      </c>
      <c r="T1250" t="inlineStr">
        <is>
          <t>30-07-2026 09:42 IST</t>
        </is>
      </c>
    </row>
    <row r="1251">
      <c r="A1251" t="n">
        <v>186</v>
      </c>
      <c r="B1251" t="n">
        <v>511509</v>
      </c>
      <c r="C1251" t="inlineStr">
        <is>
          <t>Vysya Bank Ltd</t>
        </is>
      </c>
      <c r="D1251" t="n">
        <v>2020</v>
      </c>
      <c r="E1251" t="n">
        <v>22.86000061035156</v>
      </c>
      <c r="F1251" t="n">
        <v>3.45</v>
      </c>
      <c r="G1251" t="inlineStr">
        <is>
          <t>Consolidated first (v4) – needs verification for flagged rows</t>
        </is>
      </c>
      <c r="H1251" t="n">
        <v>61.40000152587891</v>
      </c>
      <c r="I1251" t="n">
        <v>17.5</v>
      </c>
      <c r="L1251" t="inlineStr">
        <is>
          <t>OK</t>
        </is>
      </c>
      <c r="M1251" t="n">
        <v>17.8</v>
      </c>
      <c r="N1251" t="n">
        <v>5.07</v>
      </c>
      <c r="O1251" t="n">
        <v>37.69</v>
      </c>
      <c r="P1251" t="n">
        <v>56.9</v>
      </c>
      <c r="Q1251" t="n">
        <v>31.2</v>
      </c>
      <c r="R1251" s="3" t="inlineStr">
        <is>
          <t>MISMATCH_NEEDS_CORRECTION</t>
        </is>
      </c>
      <c r="S1251" t="n">
        <v>37.69</v>
      </c>
      <c r="T1251" t="inlineStr">
        <is>
          <t>30-07-2026 09:42 IST</t>
        </is>
      </c>
    </row>
    <row r="1252">
      <c r="A1252" t="n">
        <v>186</v>
      </c>
      <c r="B1252" t="n">
        <v>511509</v>
      </c>
      <c r="C1252" t="inlineStr">
        <is>
          <t>Vysya Bank Ltd</t>
        </is>
      </c>
      <c r="D1252" t="n">
        <v>2021</v>
      </c>
      <c r="E1252" t="n">
        <v>22.86000061035156</v>
      </c>
      <c r="F1252" t="n">
        <v>4.23</v>
      </c>
      <c r="G1252" t="inlineStr">
        <is>
          <t>Consolidated first (v4) – needs verification for flagged rows</t>
        </is>
      </c>
      <c r="H1252" t="n">
        <v>115.0999984741211</v>
      </c>
      <c r="I1252" t="n">
        <v>47</v>
      </c>
      <c r="L1252" t="inlineStr">
        <is>
          <t>OK</t>
        </is>
      </c>
      <c r="M1252" t="n">
        <v>27.21</v>
      </c>
      <c r="N1252" t="n">
        <v>11.11</v>
      </c>
      <c r="O1252" t="n">
        <v>37.69</v>
      </c>
      <c r="P1252" t="n">
        <v>56.9</v>
      </c>
      <c r="Q1252" t="n">
        <v>31.2</v>
      </c>
      <c r="R1252" s="3" t="inlineStr">
        <is>
          <t>MISMATCH_NEEDS_CORRECTION</t>
        </is>
      </c>
      <c r="S1252" t="n">
        <v>37.69</v>
      </c>
      <c r="T1252" t="inlineStr">
        <is>
          <t>30-07-2026 09:42 IST</t>
        </is>
      </c>
    </row>
    <row r="1253">
      <c r="A1253" t="n">
        <v>186</v>
      </c>
      <c r="B1253" t="n">
        <v>511509</v>
      </c>
      <c r="C1253" t="inlineStr">
        <is>
          <t>Vysya Bank Ltd</t>
        </is>
      </c>
      <c r="D1253" t="n">
        <v>2022</v>
      </c>
      <c r="E1253" t="n">
        <v>22.86000061035156</v>
      </c>
      <c r="F1253" t="n">
        <v>1.54</v>
      </c>
      <c r="G1253" t="inlineStr">
        <is>
          <t>Consolidated first (v4) – needs verification for flagged rows</t>
        </is>
      </c>
      <c r="H1253" t="n">
        <v>76.94999694824219</v>
      </c>
      <c r="I1253" t="n">
        <v>26.25</v>
      </c>
      <c r="L1253" t="inlineStr">
        <is>
          <t>OK</t>
        </is>
      </c>
      <c r="M1253" t="n">
        <v>49.97</v>
      </c>
      <c r="N1253" t="n">
        <v>17.05</v>
      </c>
      <c r="O1253" t="n">
        <v>37.69</v>
      </c>
      <c r="P1253" t="n">
        <v>56.9</v>
      </c>
      <c r="Q1253" t="n">
        <v>31.2</v>
      </c>
      <c r="R1253" s="3" t="inlineStr">
        <is>
          <t>MISMATCH_NEEDS_CORRECTION</t>
        </is>
      </c>
      <c r="S1253" t="n">
        <v>37.69</v>
      </c>
      <c r="T1253" t="inlineStr">
        <is>
          <t>30-07-2026 09:42 IST</t>
        </is>
      </c>
    </row>
    <row r="1254">
      <c r="A1254" t="n">
        <v>186</v>
      </c>
      <c r="B1254" t="n">
        <v>511509</v>
      </c>
      <c r="C1254" t="inlineStr">
        <is>
          <t>Vysya Bank Ltd</t>
        </is>
      </c>
      <c r="D1254" t="n">
        <v>2023</v>
      </c>
      <c r="E1254" t="n">
        <v>22.86000061035156</v>
      </c>
      <c r="F1254" t="n">
        <v>1.78</v>
      </c>
      <c r="G1254" t="inlineStr">
        <is>
          <t>Consolidated first (v4) – needs verification for flagged rows</t>
        </is>
      </c>
      <c r="H1254" t="n">
        <v>38.5</v>
      </c>
      <c r="I1254" t="n">
        <v>18.11000061035156</v>
      </c>
      <c r="L1254" t="inlineStr">
        <is>
          <t>OK</t>
        </is>
      </c>
      <c r="M1254" t="n">
        <v>21.63</v>
      </c>
      <c r="N1254" t="n">
        <v>10.17</v>
      </c>
      <c r="O1254" t="n">
        <v>37.69</v>
      </c>
      <c r="P1254" t="n">
        <v>56.9</v>
      </c>
      <c r="Q1254" t="n">
        <v>31.2</v>
      </c>
      <c r="R1254" s="3" t="inlineStr">
        <is>
          <t>MISMATCH_NEEDS_CORRECTION</t>
        </is>
      </c>
      <c r="S1254" t="n">
        <v>37.69</v>
      </c>
      <c r="T1254" t="inlineStr">
        <is>
          <t>30-07-2026 09:42 IST</t>
        </is>
      </c>
    </row>
    <row r="1255">
      <c r="A1255" t="n">
        <v>186</v>
      </c>
      <c r="B1255" t="n">
        <v>511509</v>
      </c>
      <c r="C1255" t="inlineStr">
        <is>
          <t>Vysya Bank Ltd</t>
        </is>
      </c>
      <c r="D1255" t="n">
        <v>2024</v>
      </c>
      <c r="E1255" t="n">
        <v>22.86000061035156</v>
      </c>
      <c r="F1255" t="n">
        <v>1.7</v>
      </c>
      <c r="G1255" t="inlineStr">
        <is>
          <t>Consolidated first (v4) – needs verification for flagged rows</t>
        </is>
      </c>
      <c r="H1255" t="n">
        <v>56</v>
      </c>
      <c r="I1255" t="n">
        <v>31.20000076293945</v>
      </c>
      <c r="L1255" t="inlineStr">
        <is>
          <t>OK</t>
        </is>
      </c>
      <c r="M1255" t="n">
        <v>32.94</v>
      </c>
      <c r="N1255" t="n">
        <v>18.35</v>
      </c>
      <c r="O1255" t="n">
        <v>37.69</v>
      </c>
      <c r="P1255" t="n">
        <v>56.9</v>
      </c>
      <c r="Q1255" t="n">
        <v>31.2</v>
      </c>
      <c r="R1255" s="3" t="inlineStr">
        <is>
          <t>MISMATCH_NEEDS_CORRECTION</t>
        </is>
      </c>
      <c r="S1255" t="n">
        <v>37.69</v>
      </c>
      <c r="T1255" t="inlineStr">
        <is>
          <t>30-07-2026 09:42 IST</t>
        </is>
      </c>
    </row>
    <row r="1256">
      <c r="A1256" t="n">
        <v>186</v>
      </c>
      <c r="B1256" t="n">
        <v>511509</v>
      </c>
      <c r="C1256" t="inlineStr">
        <is>
          <t>Vysya Bank Ltd</t>
        </is>
      </c>
      <c r="D1256" t="n">
        <v>2025</v>
      </c>
      <c r="E1256" t="n">
        <v>22.86000061035156</v>
      </c>
      <c r="F1256" t="n">
        <v>4.24</v>
      </c>
      <c r="G1256" t="inlineStr">
        <is>
          <t>Consolidated first (v4) – needs verification for flagged rows</t>
        </is>
      </c>
      <c r="H1256" t="n">
        <v>56.90000152587891</v>
      </c>
      <c r="I1256" t="n">
        <v>25.20999908447266</v>
      </c>
      <c r="L1256" t="inlineStr">
        <is>
          <t>OK</t>
        </is>
      </c>
      <c r="M1256" t="n">
        <v>13.42</v>
      </c>
      <c r="N1256" t="n">
        <v>5.95</v>
      </c>
      <c r="O1256" t="n">
        <v>37.69</v>
      </c>
      <c r="P1256" t="n">
        <v>56.9</v>
      </c>
      <c r="Q1256" t="n">
        <v>31.2</v>
      </c>
      <c r="R1256" s="3" t="inlineStr">
        <is>
          <t>MISMATCH_NEEDS_CORRECTION</t>
        </is>
      </c>
      <c r="S1256" t="n">
        <v>37.69</v>
      </c>
      <c r="T1256" t="inlineStr">
        <is>
          <t>30-07-2026 09:42 IST</t>
        </is>
      </c>
    </row>
    <row r="1257">
      <c r="A1257" t="n">
        <v>186</v>
      </c>
      <c r="B1257" t="n">
        <v>511509</v>
      </c>
      <c r="C1257" t="inlineStr">
        <is>
          <t>Vysya Bank Ltd</t>
        </is>
      </c>
      <c r="D1257" t="n">
        <v>2026</v>
      </c>
      <c r="E1257" t="n">
        <v>22.86000061035156</v>
      </c>
      <c r="F1257" t="n">
        <v>-0.77</v>
      </c>
      <c r="G1257" t="inlineStr">
        <is>
          <t>Consolidated first (v4) – needs verification for flagged rows</t>
        </is>
      </c>
      <c r="H1257" t="n">
        <v>33.40000152587891</v>
      </c>
      <c r="I1257" t="n">
        <v>20.35000038146973</v>
      </c>
      <c r="L1257" t="inlineStr">
        <is>
          <t>UNVERIFIED – negative EPS</t>
        </is>
      </c>
      <c r="M1257" t="n">
        <v>-43.38</v>
      </c>
      <c r="N1257" t="n">
        <v>-26.43</v>
      </c>
      <c r="O1257" t="n">
        <v>37.69</v>
      </c>
      <c r="P1257" t="n">
        <v>56.9</v>
      </c>
      <c r="Q1257" t="n">
        <v>31.2</v>
      </c>
      <c r="R1257" s="3" t="inlineStr">
        <is>
          <t>MISMATCH_NEEDS_CORRECTION</t>
        </is>
      </c>
      <c r="S1257" t="n">
        <v>37.69</v>
      </c>
      <c r="T1257" t="inlineStr">
        <is>
          <t>30-07-2026 09:42 IST</t>
        </is>
      </c>
    </row>
    <row r="1258">
      <c r="A1258" t="n">
        <v>187</v>
      </c>
      <c r="B1258" t="n">
        <v>511593</v>
      </c>
      <c r="C1258" t="inlineStr">
        <is>
          <t>Libord Finance Ltd</t>
        </is>
      </c>
      <c r="D1258" t="n">
        <v>2015</v>
      </c>
      <c r="E1258" t="n">
        <v>16.29999923706055</v>
      </c>
      <c r="F1258" t="n">
        <v>0.12</v>
      </c>
      <c r="G1258" t="inlineStr">
        <is>
          <t>Consolidated first (v4) – needs verification for flagged rows</t>
        </is>
      </c>
      <c r="H1258" t="n">
        <v>11.30000019073486</v>
      </c>
      <c r="I1258" t="n">
        <v>4.5</v>
      </c>
      <c r="L1258" t="inlineStr">
        <is>
          <t>UNVERIFIED – tiny EPS &lt;0.5</t>
        </is>
      </c>
      <c r="M1258" t="n">
        <v>94.17</v>
      </c>
      <c r="N1258" t="n">
        <v>37.5</v>
      </c>
      <c r="O1258" t="n">
        <v>20.79</v>
      </c>
      <c r="P1258" t="n">
        <v>34.79</v>
      </c>
      <c r="Q1258" t="n">
        <v>8.01</v>
      </c>
      <c r="R1258" s="3" t="inlineStr">
        <is>
          <t>MISMATCH_NEEDS_CORRECTION</t>
        </is>
      </c>
      <c r="S1258" t="n">
        <v>20.79</v>
      </c>
      <c r="T1258" t="inlineStr">
        <is>
          <t>30-07-2026 09:42 IST</t>
        </is>
      </c>
    </row>
    <row r="1259">
      <c r="A1259" t="n">
        <v>187</v>
      </c>
      <c r="B1259" t="n">
        <v>511593</v>
      </c>
      <c r="C1259" t="inlineStr">
        <is>
          <t>Libord Finance Ltd</t>
        </is>
      </c>
      <c r="D1259" t="n">
        <v>2016</v>
      </c>
      <c r="E1259" t="n">
        <v>16.29999923706055</v>
      </c>
      <c r="F1259" t="n">
        <v>0.32</v>
      </c>
      <c r="G1259" t="inlineStr">
        <is>
          <t>Consolidated first (v4) – needs verification for flagged rows</t>
        </is>
      </c>
      <c r="H1259" t="n">
        <v>14.30000019073486</v>
      </c>
      <c r="I1259" t="n">
        <v>6.650000095367432</v>
      </c>
      <c r="L1259" t="inlineStr">
        <is>
          <t>UNVERIFIED – tiny EPS &lt;0.5</t>
        </is>
      </c>
      <c r="M1259" t="n">
        <v>44.69</v>
      </c>
      <c r="N1259" t="n">
        <v>20.78</v>
      </c>
      <c r="O1259" t="n">
        <v>20.79</v>
      </c>
      <c r="P1259" t="n">
        <v>34.79</v>
      </c>
      <c r="Q1259" t="n">
        <v>8.01</v>
      </c>
      <c r="R1259" s="3" t="inlineStr">
        <is>
          <t>MISMATCH_NEEDS_CORRECTION</t>
        </is>
      </c>
      <c r="S1259" t="n">
        <v>20.79</v>
      </c>
      <c r="T1259" t="inlineStr">
        <is>
          <t>30-07-2026 09:42 IST</t>
        </is>
      </c>
    </row>
    <row r="1260">
      <c r="A1260" t="n">
        <v>187</v>
      </c>
      <c r="B1260" t="n">
        <v>511593</v>
      </c>
      <c r="C1260" t="inlineStr">
        <is>
          <t>Libord Finance Ltd</t>
        </is>
      </c>
      <c r="D1260" t="n">
        <v>2017</v>
      </c>
      <c r="E1260" t="n">
        <v>16.29999923706055</v>
      </c>
      <c r="F1260" t="n">
        <v>0.26</v>
      </c>
      <c r="G1260" t="inlineStr">
        <is>
          <t>Consolidated first (v4) – needs verification for flagged rows</t>
        </is>
      </c>
      <c r="H1260" t="n">
        <v>13.81999969482422</v>
      </c>
      <c r="I1260" t="n">
        <v>6.900000095367432</v>
      </c>
      <c r="L1260" t="inlineStr">
        <is>
          <t>UNVERIFIED – tiny EPS &lt;0.5</t>
        </is>
      </c>
      <c r="M1260" t="n">
        <v>53.15</v>
      </c>
      <c r="N1260" t="n">
        <v>26.54</v>
      </c>
      <c r="O1260" t="n">
        <v>20.79</v>
      </c>
      <c r="P1260" t="n">
        <v>34.79</v>
      </c>
      <c r="Q1260" t="n">
        <v>8.01</v>
      </c>
      <c r="R1260" s="3" t="inlineStr">
        <is>
          <t>MISMATCH_NEEDS_CORRECTION</t>
        </is>
      </c>
      <c r="S1260" t="n">
        <v>20.79</v>
      </c>
      <c r="T1260" t="inlineStr">
        <is>
          <t>30-07-2026 09:42 IST</t>
        </is>
      </c>
    </row>
    <row r="1261">
      <c r="A1261" t="n">
        <v>187</v>
      </c>
      <c r="B1261" t="n">
        <v>511593</v>
      </c>
      <c r="C1261" t="inlineStr">
        <is>
          <t>Libord Finance Ltd</t>
        </is>
      </c>
      <c r="D1261" t="n">
        <v>2018</v>
      </c>
      <c r="E1261" t="n">
        <v>16.29999923706055</v>
      </c>
      <c r="F1261" t="n">
        <v>0.49</v>
      </c>
      <c r="G1261" t="inlineStr">
        <is>
          <t>Consolidated first (v4) – needs verification for flagged rows</t>
        </is>
      </c>
      <c r="H1261" t="n">
        <v>16.19000053405762</v>
      </c>
      <c r="I1261" t="n">
        <v>5.889999866485596</v>
      </c>
      <c r="L1261" t="inlineStr">
        <is>
          <t>UNVERIFIED – tiny EPS &lt;0.5</t>
        </is>
      </c>
      <c r="M1261" t="n">
        <v>33.04</v>
      </c>
      <c r="N1261" t="n">
        <v>12.02</v>
      </c>
      <c r="O1261" t="n">
        <v>20.79</v>
      </c>
      <c r="P1261" t="n">
        <v>34.79</v>
      </c>
      <c r="Q1261" t="n">
        <v>8.01</v>
      </c>
      <c r="R1261" s="3" t="inlineStr">
        <is>
          <t>MISMATCH_NEEDS_CORRECTION</t>
        </is>
      </c>
      <c r="S1261" t="n">
        <v>20.79</v>
      </c>
      <c r="T1261" t="inlineStr">
        <is>
          <t>30-07-2026 09:42 IST</t>
        </is>
      </c>
    </row>
    <row r="1262">
      <c r="A1262" t="n">
        <v>187</v>
      </c>
      <c r="B1262" t="n">
        <v>511593</v>
      </c>
      <c r="C1262" t="inlineStr">
        <is>
          <t>Libord Finance Ltd</t>
        </is>
      </c>
      <c r="D1262" t="n">
        <v>2019</v>
      </c>
      <c r="E1262" t="n">
        <v>16.29999923706055</v>
      </c>
      <c r="F1262" t="n">
        <v>0.01</v>
      </c>
      <c r="G1262" t="inlineStr">
        <is>
          <t>Consolidated first (v4) – needs verification for flagged rows</t>
        </is>
      </c>
      <c r="H1262" t="n">
        <v>10.60000038146973</v>
      </c>
      <c r="I1262" t="n">
        <v>5.699999809265137</v>
      </c>
      <c r="L1262" t="inlineStr">
        <is>
          <t>UNVERIFIED – tiny EPS &lt;0.5</t>
        </is>
      </c>
      <c r="M1262" t="n">
        <v>1060</v>
      </c>
      <c r="N1262" t="n">
        <v>570</v>
      </c>
      <c r="O1262" t="n">
        <v>20.79</v>
      </c>
      <c r="P1262" t="n">
        <v>34.79</v>
      </c>
      <c r="Q1262" t="n">
        <v>8.01</v>
      </c>
      <c r="R1262" s="3" t="inlineStr">
        <is>
          <t>MISMATCH_NEEDS_CORRECTION</t>
        </is>
      </c>
      <c r="S1262" t="n">
        <v>20.79</v>
      </c>
      <c r="T1262" t="inlineStr">
        <is>
          <t>30-07-2026 09:42 IST</t>
        </is>
      </c>
    </row>
    <row r="1263">
      <c r="A1263" t="n">
        <v>187</v>
      </c>
      <c r="B1263" t="n">
        <v>511593</v>
      </c>
      <c r="C1263" t="inlineStr">
        <is>
          <t>Libord Finance Ltd</t>
        </is>
      </c>
      <c r="D1263" t="n">
        <v>2020</v>
      </c>
      <c r="E1263" t="n">
        <v>16.29999923706055</v>
      </c>
      <c r="F1263" t="n">
        <v>0.17</v>
      </c>
      <c r="G1263" t="inlineStr">
        <is>
          <t>Consolidated first (v4) – needs verification for flagged rows</t>
        </is>
      </c>
      <c r="H1263" t="n">
        <v>5.420000076293945</v>
      </c>
      <c r="I1263" t="n">
        <v>1.679999947547913</v>
      </c>
      <c r="L1263" t="inlineStr">
        <is>
          <t>UNVERIFIED – tiny EPS &lt;0.5</t>
        </is>
      </c>
      <c r="M1263" t="n">
        <v>31.88</v>
      </c>
      <c r="N1263" t="n">
        <v>9.880000000000001</v>
      </c>
      <c r="O1263" t="n">
        <v>20.79</v>
      </c>
      <c r="P1263" t="n">
        <v>34.79</v>
      </c>
      <c r="Q1263" t="n">
        <v>8.01</v>
      </c>
      <c r="R1263" s="3" t="inlineStr">
        <is>
          <t>MISMATCH_NEEDS_CORRECTION</t>
        </is>
      </c>
      <c r="S1263" t="n">
        <v>20.79</v>
      </c>
      <c r="T1263" t="inlineStr">
        <is>
          <t>30-07-2026 09:42 IST</t>
        </is>
      </c>
    </row>
    <row r="1264">
      <c r="A1264" t="n">
        <v>187</v>
      </c>
      <c r="B1264" t="n">
        <v>511593</v>
      </c>
      <c r="C1264" t="inlineStr">
        <is>
          <t>Libord Finance Ltd</t>
        </is>
      </c>
      <c r="D1264" t="n">
        <v>2021</v>
      </c>
      <c r="E1264" t="n">
        <v>16.29999923706055</v>
      </c>
      <c r="F1264" t="n">
        <v>0.06</v>
      </c>
      <c r="G1264" t="inlineStr">
        <is>
          <t>Consolidated first (v4) – needs verification for flagged rows</t>
        </is>
      </c>
      <c r="H1264" t="n">
        <v>8</v>
      </c>
      <c r="I1264" t="n">
        <v>3.410000085830688</v>
      </c>
      <c r="L1264" t="inlineStr">
        <is>
          <t>UNVERIFIED – tiny EPS &lt;0.5</t>
        </is>
      </c>
      <c r="M1264" t="n">
        <v>133.33</v>
      </c>
      <c r="N1264" t="n">
        <v>56.83</v>
      </c>
      <c r="O1264" t="n">
        <v>20.79</v>
      </c>
      <c r="P1264" t="n">
        <v>34.79</v>
      </c>
      <c r="Q1264" t="n">
        <v>8.01</v>
      </c>
      <c r="R1264" s="3" t="inlineStr">
        <is>
          <t>MISMATCH_NEEDS_CORRECTION</t>
        </is>
      </c>
      <c r="S1264" t="n">
        <v>20.79</v>
      </c>
      <c r="T1264" t="inlineStr">
        <is>
          <t>30-07-2026 09:42 IST</t>
        </is>
      </c>
    </row>
    <row r="1265">
      <c r="A1265" t="n">
        <v>187</v>
      </c>
      <c r="B1265" t="n">
        <v>511593</v>
      </c>
      <c r="C1265" t="inlineStr">
        <is>
          <t>Libord Finance Ltd</t>
        </is>
      </c>
      <c r="D1265" t="n">
        <v>2022</v>
      </c>
      <c r="E1265" t="n">
        <v>16.29999923706055</v>
      </c>
      <c r="F1265" t="n">
        <v>0.05</v>
      </c>
      <c r="G1265" t="inlineStr">
        <is>
          <t>Consolidated first (v4) – needs verification for flagged rows</t>
        </is>
      </c>
      <c r="H1265" t="n">
        <v>11.01000022888184</v>
      </c>
      <c r="I1265" t="n">
        <v>4.559999942779541</v>
      </c>
      <c r="L1265" t="inlineStr">
        <is>
          <t>UNVERIFIED – tiny EPS &lt;0.5</t>
        </is>
      </c>
      <c r="M1265" t="n">
        <v>220.2</v>
      </c>
      <c r="N1265" t="n">
        <v>91.2</v>
      </c>
      <c r="O1265" t="n">
        <v>20.79</v>
      </c>
      <c r="P1265" t="n">
        <v>34.79</v>
      </c>
      <c r="Q1265" t="n">
        <v>8.01</v>
      </c>
      <c r="R1265" s="3" t="inlineStr">
        <is>
          <t>MISMATCH_NEEDS_CORRECTION</t>
        </is>
      </c>
      <c r="S1265" t="n">
        <v>20.79</v>
      </c>
      <c r="T1265" t="inlineStr">
        <is>
          <t>30-07-2026 09:42 IST</t>
        </is>
      </c>
    </row>
    <row r="1266">
      <c r="A1266" t="n">
        <v>187</v>
      </c>
      <c r="B1266" t="n">
        <v>511593</v>
      </c>
      <c r="C1266" t="inlineStr">
        <is>
          <t>Libord Finance Ltd</t>
        </is>
      </c>
      <c r="D1266" t="n">
        <v>2023</v>
      </c>
      <c r="E1266" t="n">
        <v>16.29999923706055</v>
      </c>
      <c r="F1266" t="n">
        <v>0.05</v>
      </c>
      <c r="G1266" t="inlineStr">
        <is>
          <t>Consolidated first (v4) – needs verification for flagged rows</t>
        </is>
      </c>
      <c r="H1266" t="n">
        <v>9.960000038146973</v>
      </c>
      <c r="I1266" t="n">
        <v>4.579999923706055</v>
      </c>
      <c r="L1266" t="inlineStr">
        <is>
          <t>UNVERIFIED – tiny EPS &lt;0.5</t>
        </is>
      </c>
      <c r="M1266" t="n">
        <v>199.2</v>
      </c>
      <c r="N1266" t="n">
        <v>91.59999999999999</v>
      </c>
      <c r="O1266" t="n">
        <v>20.79</v>
      </c>
      <c r="P1266" t="n">
        <v>34.79</v>
      </c>
      <c r="Q1266" t="n">
        <v>8.01</v>
      </c>
      <c r="R1266" s="3" t="inlineStr">
        <is>
          <t>MISMATCH_NEEDS_CORRECTION</t>
        </is>
      </c>
      <c r="S1266" t="n">
        <v>20.79</v>
      </c>
      <c r="T1266" t="inlineStr">
        <is>
          <t>30-07-2026 09:42 IST</t>
        </is>
      </c>
    </row>
    <row r="1267">
      <c r="A1267" t="n">
        <v>187</v>
      </c>
      <c r="B1267" t="n">
        <v>511593</v>
      </c>
      <c r="C1267" t="inlineStr">
        <is>
          <t>Libord Finance Ltd</t>
        </is>
      </c>
      <c r="D1267" t="n">
        <v>2024</v>
      </c>
      <c r="E1267" t="n">
        <v>16.29999923706055</v>
      </c>
      <c r="F1267" t="n">
        <v>0.13</v>
      </c>
      <c r="G1267" t="inlineStr">
        <is>
          <t>Consolidated first (v4) – needs verification for flagged rows</t>
        </is>
      </c>
      <c r="H1267" t="n">
        <v>34.79000091552734</v>
      </c>
      <c r="I1267" t="n">
        <v>6.769999980926514</v>
      </c>
      <c r="L1267" t="inlineStr">
        <is>
          <t>UNVERIFIED – tiny EPS &lt;0.5</t>
        </is>
      </c>
      <c r="M1267" t="n">
        <v>267.62</v>
      </c>
      <c r="N1267" t="n">
        <v>52.08</v>
      </c>
      <c r="O1267" t="n">
        <v>20.79</v>
      </c>
      <c r="P1267" t="n">
        <v>34.79</v>
      </c>
      <c r="Q1267" t="n">
        <v>8.01</v>
      </c>
      <c r="R1267" s="3" t="inlineStr">
        <is>
          <t>MISMATCH_NEEDS_CORRECTION</t>
        </is>
      </c>
      <c r="S1267" t="n">
        <v>20.79</v>
      </c>
      <c r="T1267" t="inlineStr">
        <is>
          <t>30-07-2026 09:42 IST</t>
        </is>
      </c>
    </row>
    <row r="1268">
      <c r="A1268" t="n">
        <v>187</v>
      </c>
      <c r="B1268" t="n">
        <v>511593</v>
      </c>
      <c r="C1268" t="inlineStr">
        <is>
          <t>Libord Finance Ltd</t>
        </is>
      </c>
      <c r="D1268" t="n">
        <v>2025</v>
      </c>
      <c r="E1268" t="n">
        <v>16.29999923706055</v>
      </c>
      <c r="G1268" t="inlineStr">
        <is>
          <t>Consolidated first (v4) – needs verification for flagged rows</t>
        </is>
      </c>
      <c r="H1268" t="n">
        <v>31.88999938964844</v>
      </c>
      <c r="I1268" t="n">
        <v>13.5</v>
      </c>
      <c r="L1268" t="inlineStr">
        <is>
          <t>INCOMPLETE</t>
        </is>
      </c>
      <c r="O1268" t="n">
        <v>20.79</v>
      </c>
      <c r="P1268" t="n">
        <v>34.79</v>
      </c>
      <c r="Q1268" t="n">
        <v>8.01</v>
      </c>
      <c r="R1268" s="3" t="inlineStr">
        <is>
          <t>MISMATCH_NEEDS_CORRECTION</t>
        </is>
      </c>
      <c r="S1268" t="n">
        <v>20.79</v>
      </c>
      <c r="T1268" t="inlineStr">
        <is>
          <t>30-07-2026 09:42 IST</t>
        </is>
      </c>
    </row>
    <row r="1269">
      <c r="A1269" t="n">
        <v>187</v>
      </c>
      <c r="B1269" t="n">
        <v>511593</v>
      </c>
      <c r="C1269" t="inlineStr">
        <is>
          <t>Libord Finance Ltd</t>
        </is>
      </c>
      <c r="D1269" t="n">
        <v>2026</v>
      </c>
      <c r="E1269" t="n">
        <v>16.29999923706055</v>
      </c>
      <c r="G1269" t="inlineStr">
        <is>
          <t>Consolidated first (v4) – needs verification for flagged rows</t>
        </is>
      </c>
      <c r="H1269" t="n">
        <v>19.95000076293945</v>
      </c>
      <c r="I1269" t="n">
        <v>14.5</v>
      </c>
      <c r="L1269" t="inlineStr">
        <is>
          <t>INCOMPLETE</t>
        </is>
      </c>
      <c r="O1269" t="n">
        <v>20.79</v>
      </c>
      <c r="P1269" t="n">
        <v>34.79</v>
      </c>
      <c r="Q1269" t="n">
        <v>8.01</v>
      </c>
      <c r="R1269" s="3" t="inlineStr">
        <is>
          <t>MISMATCH_NEEDS_CORRECTION</t>
        </is>
      </c>
      <c r="S1269" t="n">
        <v>20.79</v>
      </c>
      <c r="T1269" t="inlineStr">
        <is>
          <t>30-07-2026 09:42 IST</t>
        </is>
      </c>
    </row>
    <row r="1270">
      <c r="A1270" t="n">
        <v>189</v>
      </c>
      <c r="B1270" t="n">
        <v>511626</v>
      </c>
      <c r="C1270" t="inlineStr">
        <is>
          <t>Reliance Home Finance Ltd</t>
        </is>
      </c>
      <c r="D1270" t="n">
        <v>2015</v>
      </c>
      <c r="E1270" t="n">
        <v>78.20999908447266</v>
      </c>
      <c r="F1270" t="n">
        <v>-7.27</v>
      </c>
      <c r="G1270" t="inlineStr">
        <is>
          <t>Consolidated first (v4) – needs verification for flagged rows</t>
        </is>
      </c>
      <c r="H1270" t="n">
        <v>15.22000026702881</v>
      </c>
      <c r="I1270" t="n">
        <v>5.110000133514404</v>
      </c>
      <c r="L1270" t="inlineStr">
        <is>
          <t>UNVERIFIED – negative EPS</t>
        </is>
      </c>
      <c r="M1270" t="n">
        <v>-2.09</v>
      </c>
      <c r="N1270" t="n">
        <v>-0.7</v>
      </c>
      <c r="O1270" t="n">
        <v>18</v>
      </c>
      <c r="P1270" t="n">
        <v>31</v>
      </c>
      <c r="Q1270" t="n">
        <v>13.86</v>
      </c>
      <c r="R1270" s="3" t="inlineStr">
        <is>
          <t>MISMATCH_NEEDS_CORRECTION</t>
        </is>
      </c>
      <c r="S1270" t="n">
        <v>18</v>
      </c>
      <c r="T1270" t="inlineStr">
        <is>
          <t>30-07-2026 09:42 IST</t>
        </is>
      </c>
    </row>
    <row r="1271">
      <c r="A1271" t="n">
        <v>189</v>
      </c>
      <c r="B1271" t="n">
        <v>511626</v>
      </c>
      <c r="C1271" t="inlineStr">
        <is>
          <t>Reliance Home Finance Ltd</t>
        </is>
      </c>
      <c r="D1271" t="n">
        <v>2016</v>
      </c>
      <c r="E1271" t="n">
        <v>78.20999908447266</v>
      </c>
      <c r="F1271" t="n">
        <v>-0.85</v>
      </c>
      <c r="G1271" t="inlineStr">
        <is>
          <t>Consolidated first (v4) – needs verification for flagged rows</t>
        </is>
      </c>
      <c r="H1271" t="n">
        <v>15.15999984741211</v>
      </c>
      <c r="I1271" t="n">
        <v>6.480000019073486</v>
      </c>
      <c r="L1271" t="inlineStr">
        <is>
          <t>UNVERIFIED – negative EPS</t>
        </is>
      </c>
      <c r="M1271" t="n">
        <v>-17.84</v>
      </c>
      <c r="N1271" t="n">
        <v>-7.62</v>
      </c>
      <c r="O1271" t="n">
        <v>18</v>
      </c>
      <c r="P1271" t="n">
        <v>31</v>
      </c>
      <c r="Q1271" t="n">
        <v>13.86</v>
      </c>
      <c r="R1271" s="3" t="inlineStr">
        <is>
          <t>MISMATCH_NEEDS_CORRECTION</t>
        </is>
      </c>
      <c r="S1271" t="n">
        <v>18</v>
      </c>
      <c r="T1271" t="inlineStr">
        <is>
          <t>30-07-2026 09:42 IST</t>
        </is>
      </c>
    </row>
    <row r="1272">
      <c r="A1272" t="n">
        <v>189</v>
      </c>
      <c r="B1272" t="n">
        <v>511626</v>
      </c>
      <c r="C1272" t="inlineStr">
        <is>
          <t>Reliance Home Finance Ltd</t>
        </is>
      </c>
      <c r="D1272" t="n">
        <v>2017</v>
      </c>
      <c r="E1272" t="n">
        <v>78.20999908447266</v>
      </c>
      <c r="F1272" t="n">
        <v>-0.06</v>
      </c>
      <c r="G1272" t="inlineStr">
        <is>
          <t>Consolidated first (v4) – needs verification for flagged rows</t>
        </is>
      </c>
      <c r="H1272" t="n">
        <v>19.70000076293945</v>
      </c>
      <c r="I1272" t="n">
        <v>10.10000038146973</v>
      </c>
      <c r="L1272" t="inlineStr">
        <is>
          <t>UNVERIFIED – negative EPS</t>
        </is>
      </c>
      <c r="M1272" t="n">
        <v>-328.33</v>
      </c>
      <c r="N1272" t="n">
        <v>-168.33</v>
      </c>
      <c r="O1272" t="n">
        <v>18</v>
      </c>
      <c r="P1272" t="n">
        <v>31</v>
      </c>
      <c r="Q1272" t="n">
        <v>13.86</v>
      </c>
      <c r="R1272" s="3" t="inlineStr">
        <is>
          <t>MISMATCH_NEEDS_CORRECTION</t>
        </is>
      </c>
      <c r="S1272" t="n">
        <v>18</v>
      </c>
      <c r="T1272" t="inlineStr">
        <is>
          <t>30-07-2026 09:42 IST</t>
        </is>
      </c>
    </row>
    <row r="1273">
      <c r="A1273" t="n">
        <v>189</v>
      </c>
      <c r="B1273" t="n">
        <v>511626</v>
      </c>
      <c r="C1273" t="inlineStr">
        <is>
          <t>Reliance Home Finance Ltd</t>
        </is>
      </c>
      <c r="D1273" t="n">
        <v>2018</v>
      </c>
      <c r="E1273" t="n">
        <v>78.20999908447266</v>
      </c>
      <c r="F1273" t="n">
        <v>0.45</v>
      </c>
      <c r="G1273" t="inlineStr">
        <is>
          <t>Consolidated first (v4) – needs verification for flagged rows</t>
        </is>
      </c>
      <c r="H1273" t="n">
        <v>16.5</v>
      </c>
      <c r="I1273" t="n">
        <v>12.06999969482422</v>
      </c>
      <c r="L1273" t="inlineStr">
        <is>
          <t>UNVERIFIED – tiny EPS &lt;0.5</t>
        </is>
      </c>
      <c r="M1273" t="n">
        <v>36.67</v>
      </c>
      <c r="N1273" t="n">
        <v>26.82</v>
      </c>
      <c r="O1273" t="n">
        <v>18</v>
      </c>
      <c r="P1273" t="n">
        <v>31</v>
      </c>
      <c r="Q1273" t="n">
        <v>13.86</v>
      </c>
      <c r="R1273" s="3" t="inlineStr">
        <is>
          <t>MISMATCH_NEEDS_CORRECTION</t>
        </is>
      </c>
      <c r="S1273" t="n">
        <v>18</v>
      </c>
      <c r="T1273" t="inlineStr">
        <is>
          <t>30-07-2026 09:42 IST</t>
        </is>
      </c>
    </row>
    <row r="1274">
      <c r="A1274" t="n">
        <v>189</v>
      </c>
      <c r="B1274" t="n">
        <v>511626</v>
      </c>
      <c r="C1274" t="inlineStr">
        <is>
          <t>Reliance Home Finance Ltd</t>
        </is>
      </c>
      <c r="D1274" t="n">
        <v>2019</v>
      </c>
      <c r="E1274" t="n">
        <v>78.20999908447266</v>
      </c>
      <c r="F1274" t="n">
        <v>0.36</v>
      </c>
      <c r="G1274" t="inlineStr">
        <is>
          <t>Consolidated first (v4) – needs verification for flagged rows</t>
        </is>
      </c>
      <c r="H1274" t="n">
        <v>13.5</v>
      </c>
      <c r="I1274" t="n">
        <v>7.190000057220459</v>
      </c>
      <c r="L1274" t="inlineStr">
        <is>
          <t>UNVERIFIED – tiny EPS &lt;0.5</t>
        </is>
      </c>
      <c r="M1274" t="n">
        <v>37.5</v>
      </c>
      <c r="N1274" t="n">
        <v>19.97</v>
      </c>
      <c r="O1274" t="n">
        <v>18</v>
      </c>
      <c r="P1274" t="n">
        <v>31</v>
      </c>
      <c r="Q1274" t="n">
        <v>13.86</v>
      </c>
      <c r="R1274" s="3" t="inlineStr">
        <is>
          <t>MISMATCH_NEEDS_CORRECTION</t>
        </is>
      </c>
      <c r="S1274" t="n">
        <v>18</v>
      </c>
      <c r="T1274" t="inlineStr">
        <is>
          <t>30-07-2026 09:42 IST</t>
        </is>
      </c>
    </row>
    <row r="1275">
      <c r="A1275" t="n">
        <v>189</v>
      </c>
      <c r="B1275" t="n">
        <v>511626</v>
      </c>
      <c r="C1275" t="inlineStr">
        <is>
          <t>Reliance Home Finance Ltd</t>
        </is>
      </c>
      <c r="D1275" t="n">
        <v>2020</v>
      </c>
      <c r="E1275" t="n">
        <v>78.20999908447266</v>
      </c>
      <c r="F1275" t="n">
        <v>0.16</v>
      </c>
      <c r="G1275" t="inlineStr">
        <is>
          <t>Consolidated first (v4) – needs verification for flagged rows</t>
        </is>
      </c>
      <c r="H1275" t="n">
        <v>17</v>
      </c>
      <c r="I1275" t="n">
        <v>5.800000190734863</v>
      </c>
      <c r="L1275" t="inlineStr">
        <is>
          <t>UNVERIFIED – tiny EPS &lt;0.5</t>
        </is>
      </c>
      <c r="M1275" t="n">
        <v>106.25</v>
      </c>
      <c r="N1275" t="n">
        <v>36.25</v>
      </c>
      <c r="O1275" t="n">
        <v>18</v>
      </c>
      <c r="P1275" t="n">
        <v>31</v>
      </c>
      <c r="Q1275" t="n">
        <v>13.86</v>
      </c>
      <c r="R1275" s="3" t="inlineStr">
        <is>
          <t>MISMATCH_NEEDS_CORRECTION</t>
        </is>
      </c>
      <c r="S1275" t="n">
        <v>18</v>
      </c>
      <c r="T1275" t="inlineStr">
        <is>
          <t>30-07-2026 09:42 IST</t>
        </is>
      </c>
    </row>
    <row r="1276">
      <c r="A1276" t="n">
        <v>189</v>
      </c>
      <c r="B1276" t="n">
        <v>511626</v>
      </c>
      <c r="C1276" t="inlineStr">
        <is>
          <t>Reliance Home Finance Ltd</t>
        </is>
      </c>
      <c r="D1276" t="n">
        <v>2021</v>
      </c>
      <c r="E1276" t="n">
        <v>78.20999908447266</v>
      </c>
      <c r="F1276" t="n">
        <v>0.3</v>
      </c>
      <c r="G1276" t="inlineStr">
        <is>
          <t>Consolidated first (v4) – needs verification for flagged rows</t>
        </is>
      </c>
      <c r="H1276" t="n">
        <v>23</v>
      </c>
      <c r="I1276" t="n">
        <v>14.05000019073486</v>
      </c>
      <c r="L1276" t="inlineStr">
        <is>
          <t>UNVERIFIED – tiny EPS &lt;0.5</t>
        </is>
      </c>
      <c r="M1276" t="n">
        <v>76.67</v>
      </c>
      <c r="N1276" t="n">
        <v>46.83</v>
      </c>
      <c r="O1276" t="n">
        <v>18</v>
      </c>
      <c r="P1276" t="n">
        <v>31</v>
      </c>
      <c r="Q1276" t="n">
        <v>13.86</v>
      </c>
      <c r="R1276" s="3" t="inlineStr">
        <is>
          <t>MISMATCH_NEEDS_CORRECTION</t>
        </is>
      </c>
      <c r="S1276" t="n">
        <v>18</v>
      </c>
      <c r="T1276" t="inlineStr">
        <is>
          <t>30-07-2026 09:42 IST</t>
        </is>
      </c>
    </row>
    <row r="1277">
      <c r="A1277" t="n">
        <v>189</v>
      </c>
      <c r="B1277" t="n">
        <v>511626</v>
      </c>
      <c r="C1277" t="inlineStr">
        <is>
          <t>Reliance Home Finance Ltd</t>
        </is>
      </c>
      <c r="D1277" t="n">
        <v>2022</v>
      </c>
      <c r="E1277" t="n">
        <v>78.20999908447266</v>
      </c>
      <c r="F1277" t="n">
        <v>0.42</v>
      </c>
      <c r="G1277" t="inlineStr">
        <is>
          <t>Consolidated first (v4) – needs verification for flagged rows</t>
        </is>
      </c>
      <c r="H1277" t="n">
        <v>27.60000038146973</v>
      </c>
      <c r="I1277" t="n">
        <v>6.099999904632568</v>
      </c>
      <c r="L1277" t="inlineStr">
        <is>
          <t>UNVERIFIED – tiny EPS &lt;0.5</t>
        </is>
      </c>
      <c r="M1277" t="n">
        <v>65.70999999999999</v>
      </c>
      <c r="N1277" t="n">
        <v>14.52</v>
      </c>
      <c r="O1277" t="n">
        <v>18</v>
      </c>
      <c r="P1277" t="n">
        <v>31</v>
      </c>
      <c r="Q1277" t="n">
        <v>13.86</v>
      </c>
      <c r="R1277" s="3" t="inlineStr">
        <is>
          <t>MISMATCH_NEEDS_CORRECTION</t>
        </is>
      </c>
      <c r="S1277" t="n">
        <v>18</v>
      </c>
      <c r="T1277" t="inlineStr">
        <is>
          <t>30-07-2026 09:42 IST</t>
        </is>
      </c>
    </row>
    <row r="1278">
      <c r="A1278" t="n">
        <v>189</v>
      </c>
      <c r="B1278" t="n">
        <v>511626</v>
      </c>
      <c r="C1278" t="inlineStr">
        <is>
          <t>Reliance Home Finance Ltd</t>
        </is>
      </c>
      <c r="D1278" t="n">
        <v>2023</v>
      </c>
      <c r="E1278" t="n">
        <v>78.20999908447266</v>
      </c>
      <c r="F1278" t="n">
        <v>0.53</v>
      </c>
      <c r="G1278" t="inlineStr">
        <is>
          <t>Consolidated first (v4) – needs verification for flagged rows</t>
        </is>
      </c>
      <c r="H1278" t="n">
        <v>20</v>
      </c>
      <c r="I1278" t="n">
        <v>5.860000133514404</v>
      </c>
      <c r="L1278" t="inlineStr">
        <is>
          <t>OK</t>
        </is>
      </c>
      <c r="M1278" t="n">
        <v>37.74</v>
      </c>
      <c r="N1278" t="n">
        <v>11.06</v>
      </c>
      <c r="O1278" t="n">
        <v>18</v>
      </c>
      <c r="P1278" t="n">
        <v>31</v>
      </c>
      <c r="Q1278" t="n">
        <v>13.86</v>
      </c>
      <c r="R1278" s="3" t="inlineStr">
        <is>
          <t>MISMATCH_NEEDS_CORRECTION</t>
        </is>
      </c>
      <c r="S1278" t="n">
        <v>18</v>
      </c>
      <c r="T1278" t="inlineStr">
        <is>
          <t>30-07-2026 09:42 IST</t>
        </is>
      </c>
    </row>
    <row r="1279">
      <c r="A1279" t="n">
        <v>189</v>
      </c>
      <c r="B1279" t="n">
        <v>511626</v>
      </c>
      <c r="C1279" t="inlineStr">
        <is>
          <t>Reliance Home Finance Ltd</t>
        </is>
      </c>
      <c r="D1279" t="n">
        <v>2024</v>
      </c>
      <c r="E1279" t="n">
        <v>78.20999908447266</v>
      </c>
      <c r="F1279" t="n">
        <v>0.39</v>
      </c>
      <c r="G1279" t="inlineStr">
        <is>
          <t>Consolidated first (v4) – needs verification for flagged rows</t>
        </is>
      </c>
      <c r="H1279" t="n">
        <v>31</v>
      </c>
      <c r="I1279" t="n">
        <v>13.85999965667725</v>
      </c>
      <c r="L1279" t="inlineStr">
        <is>
          <t>UNVERIFIED – tiny EPS &lt;0.5</t>
        </is>
      </c>
      <c r="M1279" t="n">
        <v>79.48999999999999</v>
      </c>
      <c r="N1279" t="n">
        <v>35.54</v>
      </c>
      <c r="O1279" t="n">
        <v>18</v>
      </c>
      <c r="P1279" t="n">
        <v>31</v>
      </c>
      <c r="Q1279" t="n">
        <v>13.86</v>
      </c>
      <c r="R1279" s="3" t="inlineStr">
        <is>
          <t>MISMATCH_NEEDS_CORRECTION</t>
        </is>
      </c>
      <c r="S1279" t="n">
        <v>18</v>
      </c>
      <c r="T1279" t="inlineStr">
        <is>
          <t>30-07-2026 09:42 IST</t>
        </is>
      </c>
    </row>
    <row r="1280">
      <c r="A1280" t="n">
        <v>189</v>
      </c>
      <c r="B1280" t="n">
        <v>511626</v>
      </c>
      <c r="C1280" t="inlineStr">
        <is>
          <t>Reliance Home Finance Ltd</t>
        </is>
      </c>
      <c r="D1280" t="n">
        <v>2025</v>
      </c>
      <c r="E1280" t="n">
        <v>78.20999908447266</v>
      </c>
      <c r="F1280" t="n">
        <v>2.58</v>
      </c>
      <c r="G1280" t="inlineStr">
        <is>
          <t>Consolidated first (v4) – needs verification for flagged rows</t>
        </is>
      </c>
      <c r="H1280" t="n">
        <v>263.7000122070312</v>
      </c>
      <c r="I1280" t="n">
        <v>11.80000019073486</v>
      </c>
      <c r="L1280" t="inlineStr">
        <is>
          <t>OK</t>
        </is>
      </c>
      <c r="M1280" t="n">
        <v>102.21</v>
      </c>
      <c r="N1280" t="n">
        <v>4.57</v>
      </c>
      <c r="O1280" t="n">
        <v>18</v>
      </c>
      <c r="P1280" t="n">
        <v>31</v>
      </c>
      <c r="Q1280" t="n">
        <v>13.86</v>
      </c>
      <c r="R1280" s="3" t="inlineStr">
        <is>
          <t>MISMATCH_NEEDS_CORRECTION</t>
        </is>
      </c>
      <c r="S1280" t="n">
        <v>18</v>
      </c>
      <c r="T1280" t="inlineStr">
        <is>
          <t>30-07-2026 09:42 IST</t>
        </is>
      </c>
    </row>
    <row r="1281">
      <c r="A1281" t="n">
        <v>189</v>
      </c>
      <c r="B1281" t="n">
        <v>511626</v>
      </c>
      <c r="C1281" t="inlineStr">
        <is>
          <t>Reliance Home Finance Ltd</t>
        </is>
      </c>
      <c r="D1281" t="n">
        <v>2026</v>
      </c>
      <c r="E1281" t="n">
        <v>78.20999908447266</v>
      </c>
      <c r="F1281" t="n">
        <v>6.46</v>
      </c>
      <c r="G1281" t="inlineStr">
        <is>
          <t>Consolidated first (v4) – needs verification for flagged rows</t>
        </is>
      </c>
      <c r="H1281" t="n">
        <v>148.8999938964844</v>
      </c>
      <c r="I1281" t="n">
        <v>49.61999893188477</v>
      </c>
      <c r="L1281" t="inlineStr">
        <is>
          <t>OK</t>
        </is>
      </c>
      <c r="M1281" t="n">
        <v>23.05</v>
      </c>
      <c r="N1281" t="n">
        <v>7.68</v>
      </c>
      <c r="O1281" t="n">
        <v>18</v>
      </c>
      <c r="P1281" t="n">
        <v>31</v>
      </c>
      <c r="Q1281" t="n">
        <v>13.86</v>
      </c>
      <c r="R1281" s="3" t="inlineStr">
        <is>
          <t>MISMATCH_NEEDS_CORRECTION</t>
        </is>
      </c>
      <c r="S1281" t="n">
        <v>18</v>
      </c>
      <c r="T1281" t="inlineStr">
        <is>
          <t>30-07-2026 09:42 IST</t>
        </is>
      </c>
    </row>
    <row r="1282">
      <c r="A1282" t="n">
        <v>190</v>
      </c>
      <c r="B1282" t="n">
        <v>511672</v>
      </c>
      <c r="C1282" t="inlineStr">
        <is>
          <t>Scan Steels Ltd</t>
        </is>
      </c>
      <c r="D1282" t="n">
        <v>2015</v>
      </c>
      <c r="E1282" t="n">
        <v>48.52999877929688</v>
      </c>
      <c r="G1282" t="inlineStr">
        <is>
          <t>Consolidated first (v4) – needs verification for flagged rows</t>
        </is>
      </c>
      <c r="H1282" t="n">
        <v>56.70000076293945</v>
      </c>
      <c r="I1282" t="n">
        <v>26.60000038146973</v>
      </c>
      <c r="L1282" t="inlineStr">
        <is>
          <t>INCOMPLETE</t>
        </is>
      </c>
      <c r="O1282" t="n">
        <v>61.9</v>
      </c>
      <c r="P1282" t="n">
        <v>94.90000000000001</v>
      </c>
      <c r="Q1282" t="n">
        <v>42</v>
      </c>
      <c r="R1282" s="3" t="inlineStr">
        <is>
          <t>MISMATCH_NEEDS_CORRECTION</t>
        </is>
      </c>
      <c r="S1282" t="n">
        <v>61.9</v>
      </c>
      <c r="T1282" t="inlineStr">
        <is>
          <t>30-07-2026 09:42 IST</t>
        </is>
      </c>
    </row>
    <row r="1283">
      <c r="A1283" t="n">
        <v>190</v>
      </c>
      <c r="B1283" t="n">
        <v>511672</v>
      </c>
      <c r="C1283" t="inlineStr">
        <is>
          <t>Scan Steels Ltd</t>
        </is>
      </c>
      <c r="D1283" t="n">
        <v>2016</v>
      </c>
      <c r="E1283" t="n">
        <v>48.52999877929688</v>
      </c>
      <c r="G1283" t="inlineStr">
        <is>
          <t>Consolidated first (v4) – needs verification for flagged rows</t>
        </is>
      </c>
      <c r="H1283" t="n">
        <v>37.70000076293945</v>
      </c>
      <c r="I1283" t="n">
        <v>12.75</v>
      </c>
      <c r="L1283" t="inlineStr">
        <is>
          <t>INCOMPLETE</t>
        </is>
      </c>
      <c r="O1283" t="n">
        <v>61.9</v>
      </c>
      <c r="P1283" t="n">
        <v>94.90000000000001</v>
      </c>
      <c r="Q1283" t="n">
        <v>42</v>
      </c>
      <c r="R1283" s="3" t="inlineStr">
        <is>
          <t>MISMATCH_NEEDS_CORRECTION</t>
        </is>
      </c>
      <c r="S1283" t="n">
        <v>61.9</v>
      </c>
      <c r="T1283" t="inlineStr">
        <is>
          <t>30-07-2026 09:42 IST</t>
        </is>
      </c>
    </row>
    <row r="1284">
      <c r="A1284" t="n">
        <v>190</v>
      </c>
      <c r="B1284" t="n">
        <v>511672</v>
      </c>
      <c r="C1284" t="inlineStr">
        <is>
          <t>Scan Steels Ltd</t>
        </is>
      </c>
      <c r="D1284" t="n">
        <v>2017</v>
      </c>
      <c r="E1284" t="n">
        <v>48.52999877929688</v>
      </c>
      <c r="G1284" t="inlineStr">
        <is>
          <t>Consolidated first (v4) – needs verification for flagged rows</t>
        </is>
      </c>
      <c r="H1284" t="n">
        <v>24.79999923706055</v>
      </c>
      <c r="I1284" t="n">
        <v>8.159999847412109</v>
      </c>
      <c r="L1284" t="inlineStr">
        <is>
          <t>INCOMPLETE</t>
        </is>
      </c>
      <c r="O1284" t="n">
        <v>61.9</v>
      </c>
      <c r="P1284" t="n">
        <v>94.90000000000001</v>
      </c>
      <c r="Q1284" t="n">
        <v>42</v>
      </c>
      <c r="R1284" s="3" t="inlineStr">
        <is>
          <t>MISMATCH_NEEDS_CORRECTION</t>
        </is>
      </c>
      <c r="S1284" t="n">
        <v>61.9</v>
      </c>
      <c r="T1284" t="inlineStr">
        <is>
          <t>30-07-2026 09:42 IST</t>
        </is>
      </c>
    </row>
    <row r="1285">
      <c r="A1285" t="n">
        <v>190</v>
      </c>
      <c r="B1285" t="n">
        <v>511672</v>
      </c>
      <c r="C1285" t="inlineStr">
        <is>
          <t>Scan Steels Ltd</t>
        </is>
      </c>
      <c r="D1285" t="n">
        <v>2018</v>
      </c>
      <c r="E1285" t="n">
        <v>48.52999877929688</v>
      </c>
      <c r="G1285" t="inlineStr">
        <is>
          <t>Consolidated first (v4) – needs verification for flagged rows</t>
        </is>
      </c>
      <c r="H1285" t="n">
        <v>58.70000076293945</v>
      </c>
      <c r="I1285" t="n">
        <v>17.64999961853027</v>
      </c>
      <c r="L1285" t="inlineStr">
        <is>
          <t>INCOMPLETE</t>
        </is>
      </c>
      <c r="O1285" t="n">
        <v>61.9</v>
      </c>
      <c r="P1285" t="n">
        <v>94.90000000000001</v>
      </c>
      <c r="Q1285" t="n">
        <v>42</v>
      </c>
      <c r="R1285" s="3" t="inlineStr">
        <is>
          <t>MISMATCH_NEEDS_CORRECTION</t>
        </is>
      </c>
      <c r="S1285" t="n">
        <v>61.9</v>
      </c>
      <c r="T1285" t="inlineStr">
        <is>
          <t>30-07-2026 09:42 IST</t>
        </is>
      </c>
    </row>
    <row r="1286">
      <c r="A1286" t="n">
        <v>190</v>
      </c>
      <c r="B1286" t="n">
        <v>511672</v>
      </c>
      <c r="C1286" t="inlineStr">
        <is>
          <t>Scan Steels Ltd</t>
        </is>
      </c>
      <c r="D1286" t="n">
        <v>2019</v>
      </c>
      <c r="E1286" t="n">
        <v>48.52999877929688</v>
      </c>
      <c r="G1286" t="inlineStr">
        <is>
          <t>Consolidated first (v4) – needs verification for flagged rows</t>
        </is>
      </c>
      <c r="H1286" t="n">
        <v>60.75</v>
      </c>
      <c r="I1286" t="n">
        <v>16.10000038146973</v>
      </c>
      <c r="L1286" t="inlineStr">
        <is>
          <t>INCOMPLETE</t>
        </is>
      </c>
      <c r="O1286" t="n">
        <v>61.9</v>
      </c>
      <c r="P1286" t="n">
        <v>94.90000000000001</v>
      </c>
      <c r="Q1286" t="n">
        <v>42</v>
      </c>
      <c r="R1286" s="3" t="inlineStr">
        <is>
          <t>MISMATCH_NEEDS_CORRECTION</t>
        </is>
      </c>
      <c r="S1286" t="n">
        <v>61.9</v>
      </c>
      <c r="T1286" t="inlineStr">
        <is>
          <t>30-07-2026 09:42 IST</t>
        </is>
      </c>
    </row>
    <row r="1287">
      <c r="A1287" t="n">
        <v>190</v>
      </c>
      <c r="B1287" t="n">
        <v>511672</v>
      </c>
      <c r="C1287" t="inlineStr">
        <is>
          <t>Scan Steels Ltd</t>
        </is>
      </c>
      <c r="D1287" t="n">
        <v>2020</v>
      </c>
      <c r="E1287" t="n">
        <v>48.52999877929688</v>
      </c>
      <c r="G1287" t="inlineStr">
        <is>
          <t>Consolidated first (v4) – needs verification for flagged rows</t>
        </is>
      </c>
      <c r="H1287" t="n">
        <v>24</v>
      </c>
      <c r="I1287" t="n">
        <v>14.14999961853027</v>
      </c>
      <c r="L1287" t="inlineStr">
        <is>
          <t>INCOMPLETE</t>
        </is>
      </c>
      <c r="O1287" t="n">
        <v>61.9</v>
      </c>
      <c r="P1287" t="n">
        <v>94.90000000000001</v>
      </c>
      <c r="Q1287" t="n">
        <v>42</v>
      </c>
      <c r="R1287" s="3" t="inlineStr">
        <is>
          <t>MISMATCH_NEEDS_CORRECTION</t>
        </is>
      </c>
      <c r="S1287" t="n">
        <v>61.9</v>
      </c>
      <c r="T1287" t="inlineStr">
        <is>
          <t>30-07-2026 09:42 IST</t>
        </is>
      </c>
    </row>
    <row r="1288">
      <c r="A1288" t="n">
        <v>190</v>
      </c>
      <c r="B1288" t="n">
        <v>511672</v>
      </c>
      <c r="C1288" t="inlineStr">
        <is>
          <t>Scan Steels Ltd</t>
        </is>
      </c>
      <c r="D1288" t="n">
        <v>2021</v>
      </c>
      <c r="E1288" t="n">
        <v>48.52999877929688</v>
      </c>
      <c r="G1288" t="inlineStr">
        <is>
          <t>Consolidated first (v4) – needs verification for flagged rows</t>
        </is>
      </c>
      <c r="H1288" t="n">
        <v>70.25</v>
      </c>
      <c r="I1288" t="n">
        <v>17.20000076293945</v>
      </c>
      <c r="L1288" t="inlineStr">
        <is>
          <t>INCOMPLETE</t>
        </is>
      </c>
      <c r="O1288" t="n">
        <v>61.9</v>
      </c>
      <c r="P1288" t="n">
        <v>94.90000000000001</v>
      </c>
      <c r="Q1288" t="n">
        <v>42</v>
      </c>
      <c r="R1288" s="3" t="inlineStr">
        <is>
          <t>MISMATCH_NEEDS_CORRECTION</t>
        </is>
      </c>
      <c r="S1288" t="n">
        <v>61.9</v>
      </c>
      <c r="T1288" t="inlineStr">
        <is>
          <t>30-07-2026 09:42 IST</t>
        </is>
      </c>
    </row>
    <row r="1289">
      <c r="A1289" t="n">
        <v>190</v>
      </c>
      <c r="B1289" t="n">
        <v>511672</v>
      </c>
      <c r="C1289" t="inlineStr">
        <is>
          <t>Scan Steels Ltd</t>
        </is>
      </c>
      <c r="D1289" t="n">
        <v>2022</v>
      </c>
      <c r="E1289" t="n">
        <v>48.52999877929688</v>
      </c>
      <c r="G1289" t="inlineStr">
        <is>
          <t>Consolidated first (v4) – needs verification for flagged rows</t>
        </is>
      </c>
      <c r="H1289" t="n">
        <v>55</v>
      </c>
      <c r="I1289" t="n">
        <v>27.20000076293945</v>
      </c>
      <c r="L1289" t="inlineStr">
        <is>
          <t>INCOMPLETE</t>
        </is>
      </c>
      <c r="O1289" t="n">
        <v>61.9</v>
      </c>
      <c r="P1289" t="n">
        <v>94.90000000000001</v>
      </c>
      <c r="Q1289" t="n">
        <v>42</v>
      </c>
      <c r="R1289" s="3" t="inlineStr">
        <is>
          <t>MISMATCH_NEEDS_CORRECTION</t>
        </is>
      </c>
      <c r="S1289" t="n">
        <v>61.9</v>
      </c>
      <c r="T1289" t="inlineStr">
        <is>
          <t>30-07-2026 09:42 IST</t>
        </is>
      </c>
    </row>
    <row r="1290">
      <c r="A1290" t="n">
        <v>190</v>
      </c>
      <c r="B1290" t="n">
        <v>511672</v>
      </c>
      <c r="C1290" t="inlineStr">
        <is>
          <t>Scan Steels Ltd</t>
        </is>
      </c>
      <c r="D1290" t="n">
        <v>2023</v>
      </c>
      <c r="E1290" t="n">
        <v>48.52999877929688</v>
      </c>
      <c r="F1290" t="n">
        <v>2.93</v>
      </c>
      <c r="G1290" t="inlineStr">
        <is>
          <t>Consolidated first (v4) – needs verification for flagged rows</t>
        </is>
      </c>
      <c r="H1290" t="n">
        <v>81</v>
      </c>
      <c r="I1290" t="n">
        <v>27.5</v>
      </c>
      <c r="L1290" t="inlineStr">
        <is>
          <t>OK</t>
        </is>
      </c>
      <c r="M1290" t="n">
        <v>27.65</v>
      </c>
      <c r="N1290" t="n">
        <v>9.390000000000001</v>
      </c>
      <c r="O1290" t="n">
        <v>61.9</v>
      </c>
      <c r="P1290" t="n">
        <v>94.90000000000001</v>
      </c>
      <c r="Q1290" t="n">
        <v>42</v>
      </c>
      <c r="R1290" s="3" t="inlineStr">
        <is>
          <t>MISMATCH_NEEDS_CORRECTION</t>
        </is>
      </c>
      <c r="S1290" t="n">
        <v>61.9</v>
      </c>
      <c r="T1290" t="inlineStr">
        <is>
          <t>30-07-2026 09:42 IST</t>
        </is>
      </c>
    </row>
    <row r="1291">
      <c r="A1291" t="n">
        <v>190</v>
      </c>
      <c r="B1291" t="n">
        <v>511672</v>
      </c>
      <c r="C1291" t="inlineStr">
        <is>
          <t>Scan Steels Ltd</t>
        </is>
      </c>
      <c r="D1291" t="n">
        <v>2024</v>
      </c>
      <c r="E1291" t="n">
        <v>48.52999877929688</v>
      </c>
      <c r="F1291" t="n">
        <v>4.02</v>
      </c>
      <c r="G1291" t="inlineStr">
        <is>
          <t>Consolidated first (v4) – needs verification for flagged rows</t>
        </is>
      </c>
      <c r="H1291" t="n">
        <v>94.90000152587891</v>
      </c>
      <c r="I1291" t="n">
        <v>42</v>
      </c>
      <c r="L1291" t="inlineStr">
        <is>
          <t>OK</t>
        </is>
      </c>
      <c r="M1291" t="n">
        <v>23.61</v>
      </c>
      <c r="N1291" t="n">
        <v>10.45</v>
      </c>
      <c r="O1291" t="n">
        <v>61.9</v>
      </c>
      <c r="P1291" t="n">
        <v>94.90000000000001</v>
      </c>
      <c r="Q1291" t="n">
        <v>42</v>
      </c>
      <c r="R1291" s="3" t="inlineStr">
        <is>
          <t>MISMATCH_NEEDS_CORRECTION</t>
        </is>
      </c>
      <c r="S1291" t="n">
        <v>61.9</v>
      </c>
      <c r="T1291" t="inlineStr">
        <is>
          <t>30-07-2026 09:42 IST</t>
        </is>
      </c>
    </row>
    <row r="1292">
      <c r="A1292" t="n">
        <v>190</v>
      </c>
      <c r="B1292" t="n">
        <v>511672</v>
      </c>
      <c r="C1292" t="inlineStr">
        <is>
          <t>Scan Steels Ltd</t>
        </is>
      </c>
      <c r="D1292" t="n">
        <v>2025</v>
      </c>
      <c r="E1292" t="n">
        <v>48.52999877929688</v>
      </c>
      <c r="F1292" t="n">
        <v>3.69</v>
      </c>
      <c r="G1292" t="inlineStr">
        <is>
          <t>Consolidated first (v4) – needs verification for flagged rows</t>
        </is>
      </c>
      <c r="H1292" t="n">
        <v>48.5</v>
      </c>
      <c r="I1292" t="n">
        <v>30</v>
      </c>
      <c r="L1292" t="inlineStr">
        <is>
          <t>OK</t>
        </is>
      </c>
      <c r="M1292" t="n">
        <v>13.14</v>
      </c>
      <c r="N1292" t="n">
        <v>8.130000000000001</v>
      </c>
      <c r="O1292" t="n">
        <v>61.9</v>
      </c>
      <c r="P1292" t="n">
        <v>94.90000000000001</v>
      </c>
      <c r="Q1292" t="n">
        <v>42</v>
      </c>
      <c r="R1292" s="3" t="inlineStr">
        <is>
          <t>MISMATCH_NEEDS_CORRECTION</t>
        </is>
      </c>
      <c r="S1292" t="n">
        <v>61.9</v>
      </c>
      <c r="T1292" t="inlineStr">
        <is>
          <t>30-07-2026 09:42 IST</t>
        </is>
      </c>
    </row>
    <row r="1293">
      <c r="A1293" t="n">
        <v>190</v>
      </c>
      <c r="B1293" t="n">
        <v>511672</v>
      </c>
      <c r="C1293" t="inlineStr">
        <is>
          <t>Scan Steels Ltd</t>
        </is>
      </c>
      <c r="D1293" t="n">
        <v>2026</v>
      </c>
      <c r="E1293" t="n">
        <v>48.52999877929688</v>
      </c>
      <c r="F1293" t="n">
        <v>3.76</v>
      </c>
      <c r="G1293" t="inlineStr">
        <is>
          <t>Consolidated first (v4) – needs verification for flagged rows</t>
        </is>
      </c>
      <c r="H1293" t="n">
        <v>51.90000152587891</v>
      </c>
      <c r="I1293" t="n">
        <v>24.39999961853027</v>
      </c>
      <c r="L1293" t="inlineStr">
        <is>
          <t>OK</t>
        </is>
      </c>
      <c r="M1293" t="n">
        <v>13.8</v>
      </c>
      <c r="N1293" t="n">
        <v>6.49</v>
      </c>
      <c r="O1293" t="n">
        <v>61.9</v>
      </c>
      <c r="P1293" t="n">
        <v>94.90000000000001</v>
      </c>
      <c r="Q1293" t="n">
        <v>42</v>
      </c>
      <c r="R1293" s="3" t="inlineStr">
        <is>
          <t>MISMATCH_NEEDS_CORRECTION</t>
        </is>
      </c>
      <c r="S1293" t="n">
        <v>61.9</v>
      </c>
      <c r="T1293" t="inlineStr">
        <is>
          <t>30-07-2026 09:42 IST</t>
        </is>
      </c>
    </row>
    <row r="1294">
      <c r="A1294" t="n">
        <v>191</v>
      </c>
      <c r="B1294" t="n">
        <v>511696</v>
      </c>
      <c r="C1294" t="inlineStr">
        <is>
          <t>Chartered Capital And Investment Ltd</t>
        </is>
      </c>
      <c r="D1294" t="n">
        <v>2015</v>
      </c>
      <c r="E1294" t="n">
        <v>260.2999877929688</v>
      </c>
      <c r="F1294" t="n">
        <v>2.36</v>
      </c>
      <c r="G1294" t="inlineStr">
        <is>
          <t>Consolidated first (v4) – needs verification for flagged rows</t>
        </is>
      </c>
      <c r="H1294" t="n">
        <v>52.20000076293945</v>
      </c>
      <c r="I1294" t="n">
        <v>34.79999923706055</v>
      </c>
      <c r="L1294" t="inlineStr">
        <is>
          <t>OK</t>
        </is>
      </c>
      <c r="M1294" t="n">
        <v>22.12</v>
      </c>
      <c r="N1294" t="n">
        <v>14.75</v>
      </c>
      <c r="O1294" t="n">
        <v>221.35</v>
      </c>
      <c r="P1294" t="n">
        <v>373</v>
      </c>
      <c r="Q1294" t="n">
        <v>202.4</v>
      </c>
      <c r="R1294" s="3" t="inlineStr">
        <is>
          <t>MISMATCH_NEEDS_CORRECTION</t>
        </is>
      </c>
      <c r="S1294" t="n">
        <v>221.35</v>
      </c>
      <c r="T1294" t="inlineStr">
        <is>
          <t>30-07-2026 09:42 IST</t>
        </is>
      </c>
    </row>
    <row r="1295">
      <c r="A1295" t="n">
        <v>191</v>
      </c>
      <c r="B1295" t="n">
        <v>511696</v>
      </c>
      <c r="C1295" t="inlineStr">
        <is>
          <t>Chartered Capital And Investment Ltd</t>
        </is>
      </c>
      <c r="D1295" t="n">
        <v>2016</v>
      </c>
      <c r="E1295" t="n">
        <v>260.2999877929688</v>
      </c>
      <c r="F1295" t="n">
        <v>5.21</v>
      </c>
      <c r="G1295" t="inlineStr">
        <is>
          <t>Consolidated first (v4) – needs verification for flagged rows</t>
        </is>
      </c>
      <c r="H1295" t="n">
        <v>55.20000076293945</v>
      </c>
      <c r="I1295" t="n">
        <v>35</v>
      </c>
      <c r="L1295" t="inlineStr">
        <is>
          <t>OK</t>
        </is>
      </c>
      <c r="M1295" t="n">
        <v>10.6</v>
      </c>
      <c r="N1295" t="n">
        <v>6.72</v>
      </c>
      <c r="O1295" t="n">
        <v>221.35</v>
      </c>
      <c r="P1295" t="n">
        <v>373</v>
      </c>
      <c r="Q1295" t="n">
        <v>202.4</v>
      </c>
      <c r="R1295" s="3" t="inlineStr">
        <is>
          <t>MISMATCH_NEEDS_CORRECTION</t>
        </is>
      </c>
      <c r="S1295" t="n">
        <v>221.35</v>
      </c>
      <c r="T1295" t="inlineStr">
        <is>
          <t>30-07-2026 09:42 IST</t>
        </is>
      </c>
    </row>
    <row r="1296">
      <c r="A1296" t="n">
        <v>191</v>
      </c>
      <c r="B1296" t="n">
        <v>511696</v>
      </c>
      <c r="C1296" t="inlineStr">
        <is>
          <t>Chartered Capital And Investment Ltd</t>
        </is>
      </c>
      <c r="D1296" t="n">
        <v>2017</v>
      </c>
      <c r="E1296" t="n">
        <v>260.2999877929688</v>
      </c>
      <c r="F1296" t="n">
        <v>7.8</v>
      </c>
      <c r="G1296" t="inlineStr">
        <is>
          <t>Consolidated first (v4) – needs verification for flagged rows</t>
        </is>
      </c>
      <c r="H1296" t="n">
        <v>100.0500030517578</v>
      </c>
      <c r="I1296" t="n">
        <v>40.34999847412109</v>
      </c>
      <c r="L1296" t="inlineStr">
        <is>
          <t>OK</t>
        </is>
      </c>
      <c r="M1296" t="n">
        <v>12.83</v>
      </c>
      <c r="N1296" t="n">
        <v>5.17</v>
      </c>
      <c r="O1296" t="n">
        <v>221.35</v>
      </c>
      <c r="P1296" t="n">
        <v>373</v>
      </c>
      <c r="Q1296" t="n">
        <v>202.4</v>
      </c>
      <c r="R1296" s="3" t="inlineStr">
        <is>
          <t>MISMATCH_NEEDS_CORRECTION</t>
        </is>
      </c>
      <c r="S1296" t="n">
        <v>221.35</v>
      </c>
      <c r="T1296" t="inlineStr">
        <is>
          <t>30-07-2026 09:42 IST</t>
        </is>
      </c>
    </row>
    <row r="1297">
      <c r="A1297" t="n">
        <v>191</v>
      </c>
      <c r="B1297" t="n">
        <v>511696</v>
      </c>
      <c r="C1297" t="inlineStr">
        <is>
          <t>Chartered Capital And Investment Ltd</t>
        </is>
      </c>
      <c r="D1297" t="n">
        <v>2018</v>
      </c>
      <c r="E1297" t="n">
        <v>260.2999877929688</v>
      </c>
      <c r="F1297" t="n">
        <v>3.52</v>
      </c>
      <c r="G1297" t="inlineStr">
        <is>
          <t>Consolidated first (v4) – needs verification for flagged rows</t>
        </is>
      </c>
      <c r="H1297" t="n">
        <v>71.40000152587891</v>
      </c>
      <c r="I1297" t="n">
        <v>49</v>
      </c>
      <c r="L1297" t="inlineStr">
        <is>
          <t>OK</t>
        </is>
      </c>
      <c r="M1297" t="n">
        <v>20.28</v>
      </c>
      <c r="N1297" t="n">
        <v>13.92</v>
      </c>
      <c r="O1297" t="n">
        <v>221.35</v>
      </c>
      <c r="P1297" t="n">
        <v>373</v>
      </c>
      <c r="Q1297" t="n">
        <v>202.4</v>
      </c>
      <c r="R1297" s="3" t="inlineStr">
        <is>
          <t>MISMATCH_NEEDS_CORRECTION</t>
        </is>
      </c>
      <c r="S1297" t="n">
        <v>221.35</v>
      </c>
      <c r="T1297" t="inlineStr">
        <is>
          <t>30-07-2026 09:42 IST</t>
        </is>
      </c>
    </row>
    <row r="1298">
      <c r="A1298" t="n">
        <v>191</v>
      </c>
      <c r="B1298" t="n">
        <v>511696</v>
      </c>
      <c r="C1298" t="inlineStr">
        <is>
          <t>Chartered Capital And Investment Ltd</t>
        </is>
      </c>
      <c r="D1298" t="n">
        <v>2019</v>
      </c>
      <c r="E1298" t="n">
        <v>260.2999877929688</v>
      </c>
      <c r="F1298" t="n">
        <v>1.93</v>
      </c>
      <c r="G1298" t="inlineStr">
        <is>
          <t>Consolidated first (v4) – needs verification for flagged rows</t>
        </is>
      </c>
      <c r="H1298" t="n">
        <v>62.40000152587891</v>
      </c>
      <c r="I1298" t="n">
        <v>48.79999923706055</v>
      </c>
      <c r="L1298" t="inlineStr">
        <is>
          <t>OK</t>
        </is>
      </c>
      <c r="M1298" t="n">
        <v>32.33</v>
      </c>
      <c r="N1298" t="n">
        <v>25.28</v>
      </c>
      <c r="O1298" t="n">
        <v>221.35</v>
      </c>
      <c r="P1298" t="n">
        <v>373</v>
      </c>
      <c r="Q1298" t="n">
        <v>202.4</v>
      </c>
      <c r="R1298" s="3" t="inlineStr">
        <is>
          <t>MISMATCH_NEEDS_CORRECTION</t>
        </is>
      </c>
      <c r="S1298" t="n">
        <v>221.35</v>
      </c>
      <c r="T1298" t="inlineStr">
        <is>
          <t>30-07-2026 09:42 IST</t>
        </is>
      </c>
    </row>
    <row r="1299">
      <c r="A1299" t="n">
        <v>191</v>
      </c>
      <c r="B1299" t="n">
        <v>511696</v>
      </c>
      <c r="C1299" t="inlineStr">
        <is>
          <t>Chartered Capital And Investment Ltd</t>
        </is>
      </c>
      <c r="D1299" t="n">
        <v>2020</v>
      </c>
      <c r="E1299" t="n">
        <v>260.2999877929688</v>
      </c>
      <c r="F1299" t="n">
        <v>-1.59</v>
      </c>
      <c r="G1299" t="inlineStr">
        <is>
          <t>Consolidated first (v4) – needs verification for flagged rows</t>
        </is>
      </c>
      <c r="H1299" t="n">
        <v>66</v>
      </c>
      <c r="I1299" t="n">
        <v>47.45000076293945</v>
      </c>
      <c r="L1299" t="inlineStr">
        <is>
          <t>UNVERIFIED – negative EPS</t>
        </is>
      </c>
      <c r="M1299" t="n">
        <v>-41.51</v>
      </c>
      <c r="N1299" t="n">
        <v>-29.84</v>
      </c>
      <c r="O1299" t="n">
        <v>221.35</v>
      </c>
      <c r="P1299" t="n">
        <v>373</v>
      </c>
      <c r="Q1299" t="n">
        <v>202.4</v>
      </c>
      <c r="R1299" s="3" t="inlineStr">
        <is>
          <t>MISMATCH_NEEDS_CORRECTION</t>
        </is>
      </c>
      <c r="S1299" t="n">
        <v>221.35</v>
      </c>
      <c r="T1299" t="inlineStr">
        <is>
          <t>30-07-2026 09:42 IST</t>
        </is>
      </c>
    </row>
    <row r="1300">
      <c r="A1300" t="n">
        <v>191</v>
      </c>
      <c r="B1300" t="n">
        <v>511696</v>
      </c>
      <c r="C1300" t="inlineStr">
        <is>
          <t>Chartered Capital And Investment Ltd</t>
        </is>
      </c>
      <c r="D1300" t="n">
        <v>2021</v>
      </c>
      <c r="E1300" t="n">
        <v>260.2999877929688</v>
      </c>
      <c r="F1300" t="n">
        <v>1.49</v>
      </c>
      <c r="G1300" t="inlineStr">
        <is>
          <t>Consolidated first (v4) – needs verification for flagged rows</t>
        </is>
      </c>
      <c r="H1300" t="n">
        <v>73.90000152587891</v>
      </c>
      <c r="I1300" t="n">
        <v>45.95000076293945</v>
      </c>
      <c r="L1300" t="inlineStr">
        <is>
          <t>OK</t>
        </is>
      </c>
      <c r="M1300" t="n">
        <v>49.6</v>
      </c>
      <c r="N1300" t="n">
        <v>30.84</v>
      </c>
      <c r="O1300" t="n">
        <v>221.35</v>
      </c>
      <c r="P1300" t="n">
        <v>373</v>
      </c>
      <c r="Q1300" t="n">
        <v>202.4</v>
      </c>
      <c r="R1300" s="3" t="inlineStr">
        <is>
          <t>MISMATCH_NEEDS_CORRECTION</t>
        </is>
      </c>
      <c r="S1300" t="n">
        <v>221.35</v>
      </c>
      <c r="T1300" t="inlineStr">
        <is>
          <t>30-07-2026 09:42 IST</t>
        </is>
      </c>
    </row>
    <row r="1301">
      <c r="A1301" t="n">
        <v>191</v>
      </c>
      <c r="B1301" t="n">
        <v>511696</v>
      </c>
      <c r="C1301" t="inlineStr">
        <is>
          <t>Chartered Capital And Investment Ltd</t>
        </is>
      </c>
      <c r="D1301" t="n">
        <v>2022</v>
      </c>
      <c r="E1301" t="n">
        <v>260.2999877929688</v>
      </c>
      <c r="F1301" t="n">
        <v>-0.07000000000000001</v>
      </c>
      <c r="G1301" t="inlineStr">
        <is>
          <t>Consolidated first (v4) – needs verification for flagged rows</t>
        </is>
      </c>
      <c r="H1301" t="n">
        <v>148.8000030517578</v>
      </c>
      <c r="I1301" t="n">
        <v>65.69999694824219</v>
      </c>
      <c r="L1301" t="inlineStr">
        <is>
          <t>UNVERIFIED – negative EPS</t>
        </is>
      </c>
      <c r="M1301" t="n">
        <v>-2125.71</v>
      </c>
      <c r="N1301" t="n">
        <v>-938.5700000000001</v>
      </c>
      <c r="O1301" t="n">
        <v>221.35</v>
      </c>
      <c r="P1301" t="n">
        <v>373</v>
      </c>
      <c r="Q1301" t="n">
        <v>202.4</v>
      </c>
      <c r="R1301" s="3" t="inlineStr">
        <is>
          <t>MISMATCH_NEEDS_CORRECTION</t>
        </is>
      </c>
      <c r="S1301" t="n">
        <v>221.35</v>
      </c>
      <c r="T1301" t="inlineStr">
        <is>
          <t>30-07-2026 09:42 IST</t>
        </is>
      </c>
    </row>
    <row r="1302">
      <c r="A1302" t="n">
        <v>191</v>
      </c>
      <c r="B1302" t="n">
        <v>511696</v>
      </c>
      <c r="C1302" t="inlineStr">
        <is>
          <t>Chartered Capital And Investment Ltd</t>
        </is>
      </c>
      <c r="D1302" t="n">
        <v>2023</v>
      </c>
      <c r="E1302" t="n">
        <v>260.2999877929688</v>
      </c>
      <c r="F1302" t="n">
        <v>1.1</v>
      </c>
      <c r="G1302" t="inlineStr">
        <is>
          <t>Consolidated first (v4) – needs verification for flagged rows</t>
        </is>
      </c>
      <c r="H1302" t="n">
        <v>270.3500061035156</v>
      </c>
      <c r="I1302" t="n">
        <v>117.0999984741211</v>
      </c>
      <c r="L1302" t="inlineStr">
        <is>
          <t>OK</t>
        </is>
      </c>
      <c r="M1302" t="n">
        <v>245.77</v>
      </c>
      <c r="N1302" t="n">
        <v>106.45</v>
      </c>
      <c r="O1302" t="n">
        <v>221.35</v>
      </c>
      <c r="P1302" t="n">
        <v>373</v>
      </c>
      <c r="Q1302" t="n">
        <v>202.4</v>
      </c>
      <c r="R1302" s="3" t="inlineStr">
        <is>
          <t>MISMATCH_NEEDS_CORRECTION</t>
        </is>
      </c>
      <c r="S1302" t="n">
        <v>221.35</v>
      </c>
      <c r="T1302" t="inlineStr">
        <is>
          <t>30-07-2026 09:42 IST</t>
        </is>
      </c>
    </row>
    <row r="1303">
      <c r="A1303" t="n">
        <v>191</v>
      </c>
      <c r="B1303" t="n">
        <v>511696</v>
      </c>
      <c r="C1303" t="inlineStr">
        <is>
          <t>Chartered Capital And Investment Ltd</t>
        </is>
      </c>
      <c r="D1303" t="n">
        <v>2024</v>
      </c>
      <c r="E1303" t="n">
        <v>260.2999877929688</v>
      </c>
      <c r="F1303" t="n">
        <v>18.03</v>
      </c>
      <c r="G1303" t="inlineStr">
        <is>
          <t>Consolidated first (v4) – needs verification for flagged rows</t>
        </is>
      </c>
      <c r="H1303" t="n">
        <v>373</v>
      </c>
      <c r="I1303" t="n">
        <v>202.3999938964844</v>
      </c>
      <c r="L1303" t="inlineStr">
        <is>
          <t>OK</t>
        </is>
      </c>
      <c r="M1303" t="n">
        <v>20.69</v>
      </c>
      <c r="N1303" t="n">
        <v>11.23</v>
      </c>
      <c r="O1303" t="n">
        <v>221.35</v>
      </c>
      <c r="P1303" t="n">
        <v>373</v>
      </c>
      <c r="Q1303" t="n">
        <v>202.4</v>
      </c>
      <c r="R1303" s="3" t="inlineStr">
        <is>
          <t>MISMATCH_NEEDS_CORRECTION</t>
        </is>
      </c>
      <c r="S1303" t="n">
        <v>221.35</v>
      </c>
      <c r="T1303" t="inlineStr">
        <is>
          <t>30-07-2026 09:42 IST</t>
        </is>
      </c>
    </row>
    <row r="1304">
      <c r="A1304" t="n">
        <v>191</v>
      </c>
      <c r="B1304" t="n">
        <v>511696</v>
      </c>
      <c r="C1304" t="inlineStr">
        <is>
          <t>Chartered Capital And Investment Ltd</t>
        </is>
      </c>
      <c r="D1304" t="n">
        <v>2025</v>
      </c>
      <c r="E1304" t="n">
        <v>260.2999877929688</v>
      </c>
      <c r="F1304" t="n">
        <v>17.9</v>
      </c>
      <c r="G1304" t="inlineStr">
        <is>
          <t>Consolidated first (v4) – needs verification for flagged rows</t>
        </is>
      </c>
      <c r="H1304" t="n">
        <v>439</v>
      </c>
      <c r="I1304" t="n">
        <v>200.0500030517578</v>
      </c>
      <c r="L1304" t="inlineStr">
        <is>
          <t>OK</t>
        </is>
      </c>
      <c r="M1304" t="n">
        <v>24.53</v>
      </c>
      <c r="N1304" t="n">
        <v>11.18</v>
      </c>
      <c r="O1304" t="n">
        <v>221.35</v>
      </c>
      <c r="P1304" t="n">
        <v>373</v>
      </c>
      <c r="Q1304" t="n">
        <v>202.4</v>
      </c>
      <c r="R1304" s="3" t="inlineStr">
        <is>
          <t>MISMATCH_NEEDS_CORRECTION</t>
        </is>
      </c>
      <c r="S1304" t="n">
        <v>221.35</v>
      </c>
      <c r="T1304" t="inlineStr">
        <is>
          <t>30-07-2026 09:42 IST</t>
        </is>
      </c>
    </row>
    <row r="1305">
      <c r="A1305" t="n">
        <v>191</v>
      </c>
      <c r="B1305" t="n">
        <v>511696</v>
      </c>
      <c r="C1305" t="inlineStr">
        <is>
          <t>Chartered Capital And Investment Ltd</t>
        </is>
      </c>
      <c r="D1305" t="n">
        <v>2026</v>
      </c>
      <c r="E1305" t="n">
        <v>260.2999877929688</v>
      </c>
      <c r="F1305" t="n">
        <v>9</v>
      </c>
      <c r="G1305" t="inlineStr">
        <is>
          <t>Consolidated first (v4) – needs verification for flagged rows</t>
        </is>
      </c>
      <c r="H1305" t="n">
        <v>292</v>
      </c>
      <c r="I1305" t="n">
        <v>225.0500030517578</v>
      </c>
      <c r="L1305" t="inlineStr">
        <is>
          <t>OK</t>
        </is>
      </c>
      <c r="M1305" t="n">
        <v>32.44</v>
      </c>
      <c r="N1305" t="n">
        <v>25.01</v>
      </c>
      <c r="O1305" t="n">
        <v>221.35</v>
      </c>
      <c r="P1305" t="n">
        <v>373</v>
      </c>
      <c r="Q1305" t="n">
        <v>202.4</v>
      </c>
      <c r="R1305" s="3" t="inlineStr">
        <is>
          <t>MISMATCH_NEEDS_CORRECTION</t>
        </is>
      </c>
      <c r="S1305" t="n">
        <v>221.35</v>
      </c>
      <c r="T1305" t="inlineStr">
        <is>
          <t>30-07-2026 09:42 IST</t>
        </is>
      </c>
    </row>
    <row r="1306">
      <c r="A1306" t="n">
        <v>192</v>
      </c>
      <c r="B1306" t="n">
        <v>511700</v>
      </c>
      <c r="C1306" t="inlineStr">
        <is>
          <t>Standard Capital Markets Ltd</t>
        </is>
      </c>
      <c r="D1306" t="n">
        <v>2015</v>
      </c>
      <c r="E1306" t="n">
        <v>0.4000000059604645</v>
      </c>
      <c r="G1306" t="inlineStr">
        <is>
          <t>Consolidated first (v4) – needs verification for flagged rows</t>
        </is>
      </c>
      <c r="L1306" t="inlineStr">
        <is>
          <t>INCOMPLETE</t>
        </is>
      </c>
      <c r="O1306" t="n">
        <v>1.54</v>
      </c>
      <c r="P1306" t="n">
        <v>3.52</v>
      </c>
      <c r="Q1306" t="n">
        <v>0.83</v>
      </c>
      <c r="R1306" s="3" t="inlineStr">
        <is>
          <t>MISMATCH_NEEDS_CORRECTION</t>
        </is>
      </c>
      <c r="S1306" t="n">
        <v>1.54</v>
      </c>
      <c r="T1306" t="inlineStr">
        <is>
          <t>30-07-2026 09:42 IST</t>
        </is>
      </c>
    </row>
    <row r="1307">
      <c r="A1307" t="n">
        <v>192</v>
      </c>
      <c r="B1307" t="n">
        <v>511700</v>
      </c>
      <c r="C1307" t="inlineStr">
        <is>
          <t>Standard Capital Markets Ltd</t>
        </is>
      </c>
      <c r="D1307" t="n">
        <v>2016</v>
      </c>
      <c r="E1307" t="n">
        <v>0.4000000059604645</v>
      </c>
      <c r="G1307" t="inlineStr">
        <is>
          <t>Consolidated first (v4) – needs verification for flagged rows</t>
        </is>
      </c>
      <c r="L1307" t="inlineStr">
        <is>
          <t>INCOMPLETE</t>
        </is>
      </c>
      <c r="O1307" t="n">
        <v>1.54</v>
      </c>
      <c r="P1307" t="n">
        <v>3.52</v>
      </c>
      <c r="Q1307" t="n">
        <v>0.83</v>
      </c>
      <c r="R1307" s="3" t="inlineStr">
        <is>
          <t>MISMATCH_NEEDS_CORRECTION</t>
        </is>
      </c>
      <c r="S1307" t="n">
        <v>1.54</v>
      </c>
      <c r="T1307" t="inlineStr">
        <is>
          <t>30-07-2026 09:42 IST</t>
        </is>
      </c>
    </row>
    <row r="1308">
      <c r="A1308" t="n">
        <v>192</v>
      </c>
      <c r="B1308" t="n">
        <v>511700</v>
      </c>
      <c r="C1308" t="inlineStr">
        <is>
          <t>Standard Capital Markets Ltd</t>
        </is>
      </c>
      <c r="D1308" t="n">
        <v>2017</v>
      </c>
      <c r="E1308" t="n">
        <v>0.4000000059604645</v>
      </c>
      <c r="G1308" t="inlineStr">
        <is>
          <t>Consolidated first (v4) – needs verification for flagged rows</t>
        </is>
      </c>
      <c r="L1308" t="inlineStr">
        <is>
          <t>INCOMPLETE</t>
        </is>
      </c>
      <c r="O1308" t="n">
        <v>1.54</v>
      </c>
      <c r="P1308" t="n">
        <v>3.52</v>
      </c>
      <c r="Q1308" t="n">
        <v>0.83</v>
      </c>
      <c r="R1308" s="3" t="inlineStr">
        <is>
          <t>MISMATCH_NEEDS_CORRECTION</t>
        </is>
      </c>
      <c r="S1308" t="n">
        <v>1.54</v>
      </c>
      <c r="T1308" t="inlineStr">
        <is>
          <t>30-07-2026 09:42 IST</t>
        </is>
      </c>
    </row>
    <row r="1309">
      <c r="A1309" t="n">
        <v>192</v>
      </c>
      <c r="B1309" t="n">
        <v>511700</v>
      </c>
      <c r="C1309" t="inlineStr">
        <is>
          <t>Standard Capital Markets Ltd</t>
        </is>
      </c>
      <c r="D1309" t="n">
        <v>2018</v>
      </c>
      <c r="E1309" t="n">
        <v>0.4000000059604645</v>
      </c>
      <c r="F1309" t="n">
        <v>0.01</v>
      </c>
      <c r="G1309" t="inlineStr">
        <is>
          <t>Consolidated first (v4) – needs verification for flagged rows</t>
        </is>
      </c>
      <c r="L1309" t="inlineStr">
        <is>
          <t>INCOMPLETE</t>
        </is>
      </c>
      <c r="O1309" t="n">
        <v>1.54</v>
      </c>
      <c r="P1309" t="n">
        <v>3.52</v>
      </c>
      <c r="Q1309" t="n">
        <v>0.83</v>
      </c>
      <c r="R1309" s="3" t="inlineStr">
        <is>
          <t>MISMATCH_NEEDS_CORRECTION</t>
        </is>
      </c>
      <c r="S1309" t="n">
        <v>1.54</v>
      </c>
      <c r="T1309" t="inlineStr">
        <is>
          <t>30-07-2026 09:42 IST</t>
        </is>
      </c>
    </row>
    <row r="1310">
      <c r="A1310" t="n">
        <v>192</v>
      </c>
      <c r="B1310" t="n">
        <v>511700</v>
      </c>
      <c r="C1310" t="inlineStr">
        <is>
          <t>Standard Capital Markets Ltd</t>
        </is>
      </c>
      <c r="D1310" t="n">
        <v>2019</v>
      </c>
      <c r="E1310" t="n">
        <v>0.4000000059604645</v>
      </c>
      <c r="F1310" t="n">
        <v>0.01</v>
      </c>
      <c r="G1310" t="inlineStr">
        <is>
          <t>Consolidated first (v4) – needs verification for flagged rows</t>
        </is>
      </c>
      <c r="L1310" t="inlineStr">
        <is>
          <t>INCOMPLETE</t>
        </is>
      </c>
      <c r="O1310" t="n">
        <v>1.54</v>
      </c>
      <c r="P1310" t="n">
        <v>3.52</v>
      </c>
      <c r="Q1310" t="n">
        <v>0.83</v>
      </c>
      <c r="R1310" s="3" t="inlineStr">
        <is>
          <t>MISMATCH_NEEDS_CORRECTION</t>
        </is>
      </c>
      <c r="S1310" t="n">
        <v>1.54</v>
      </c>
      <c r="T1310" t="inlineStr">
        <is>
          <t>30-07-2026 09:42 IST</t>
        </is>
      </c>
    </row>
    <row r="1311">
      <c r="A1311" t="n">
        <v>192</v>
      </c>
      <c r="B1311" t="n">
        <v>511700</v>
      </c>
      <c r="C1311" t="inlineStr">
        <is>
          <t>Standard Capital Markets Ltd</t>
        </is>
      </c>
      <c r="D1311" t="n">
        <v>2020</v>
      </c>
      <c r="E1311" t="n">
        <v>0.4000000059604645</v>
      </c>
      <c r="G1311" t="inlineStr">
        <is>
          <t>Consolidated first (v4) – needs verification for flagged rows</t>
        </is>
      </c>
      <c r="L1311" t="inlineStr">
        <is>
          <t>INCOMPLETE</t>
        </is>
      </c>
      <c r="O1311" t="n">
        <v>1.54</v>
      </c>
      <c r="P1311" t="n">
        <v>3.52</v>
      </c>
      <c r="Q1311" t="n">
        <v>0.83</v>
      </c>
      <c r="R1311" s="3" t="inlineStr">
        <is>
          <t>MISMATCH_NEEDS_CORRECTION</t>
        </is>
      </c>
      <c r="S1311" t="n">
        <v>1.54</v>
      </c>
      <c r="T1311" t="inlineStr">
        <is>
          <t>30-07-2026 09:42 IST</t>
        </is>
      </c>
    </row>
    <row r="1312">
      <c r="A1312" t="n">
        <v>192</v>
      </c>
      <c r="B1312" t="n">
        <v>511700</v>
      </c>
      <c r="C1312" t="inlineStr">
        <is>
          <t>Standard Capital Markets Ltd</t>
        </is>
      </c>
      <c r="D1312" t="n">
        <v>2021</v>
      </c>
      <c r="E1312" t="n">
        <v>0.4000000059604645</v>
      </c>
      <c r="F1312" t="n">
        <v>-0.06</v>
      </c>
      <c r="G1312" t="inlineStr">
        <is>
          <t>Consolidated first (v4) – needs verification for flagged rows</t>
        </is>
      </c>
      <c r="L1312" t="inlineStr">
        <is>
          <t>INCOMPLETE</t>
        </is>
      </c>
      <c r="O1312" t="n">
        <v>1.54</v>
      </c>
      <c r="P1312" t="n">
        <v>3.52</v>
      </c>
      <c r="Q1312" t="n">
        <v>0.83</v>
      </c>
      <c r="R1312" s="3" t="inlineStr">
        <is>
          <t>MISMATCH_NEEDS_CORRECTION</t>
        </is>
      </c>
      <c r="S1312" t="n">
        <v>1.54</v>
      </c>
      <c r="T1312" t="inlineStr">
        <is>
          <t>30-07-2026 09:42 IST</t>
        </is>
      </c>
    </row>
    <row r="1313">
      <c r="A1313" t="n">
        <v>192</v>
      </c>
      <c r="B1313" t="n">
        <v>511700</v>
      </c>
      <c r="C1313" t="inlineStr">
        <is>
          <t>Standard Capital Markets Ltd</t>
        </is>
      </c>
      <c r="D1313" t="n">
        <v>2022</v>
      </c>
      <c r="E1313" t="n">
        <v>0.4000000059604645</v>
      </c>
      <c r="F1313" t="n">
        <v>0.01</v>
      </c>
      <c r="G1313" t="inlineStr">
        <is>
          <t>Consolidated first (v4) – needs verification for flagged rows</t>
        </is>
      </c>
      <c r="L1313" t="inlineStr">
        <is>
          <t>INCOMPLETE</t>
        </is>
      </c>
      <c r="O1313" t="n">
        <v>1.54</v>
      </c>
      <c r="P1313" t="n">
        <v>3.52</v>
      </c>
      <c r="Q1313" t="n">
        <v>0.83</v>
      </c>
      <c r="R1313" s="3" t="inlineStr">
        <is>
          <t>MISMATCH_NEEDS_CORRECTION</t>
        </is>
      </c>
      <c r="S1313" t="n">
        <v>1.54</v>
      </c>
      <c r="T1313" t="inlineStr">
        <is>
          <t>30-07-2026 09:42 IST</t>
        </is>
      </c>
    </row>
    <row r="1314">
      <c r="A1314" t="n">
        <v>192</v>
      </c>
      <c r="B1314" t="n">
        <v>511700</v>
      </c>
      <c r="C1314" t="inlineStr">
        <is>
          <t>Standard Capital Markets Ltd</t>
        </is>
      </c>
      <c r="D1314" t="n">
        <v>2023</v>
      </c>
      <c r="E1314" t="n">
        <v>0.4000000059604645</v>
      </c>
      <c r="F1314" t="n">
        <v>0.02</v>
      </c>
      <c r="G1314" t="inlineStr">
        <is>
          <t>Consolidated first (v4) – needs verification for flagged rows</t>
        </is>
      </c>
      <c r="H1314" t="n">
        <v>3.200000047683716</v>
      </c>
      <c r="L1314" t="inlineStr">
        <is>
          <t>UNVERIFIED – tiny EPS &lt;0.5</t>
        </is>
      </c>
      <c r="M1314" t="n">
        <v>160</v>
      </c>
      <c r="O1314" t="n">
        <v>1.54</v>
      </c>
      <c r="P1314" t="n">
        <v>3.52</v>
      </c>
      <c r="Q1314" t="n">
        <v>0.83</v>
      </c>
      <c r="R1314" s="3" t="inlineStr">
        <is>
          <t>MISMATCH_NEEDS_CORRECTION</t>
        </is>
      </c>
      <c r="S1314" t="n">
        <v>1.54</v>
      </c>
      <c r="T1314" t="inlineStr">
        <is>
          <t>30-07-2026 09:42 IST</t>
        </is>
      </c>
    </row>
    <row r="1315">
      <c r="A1315" t="n">
        <v>192</v>
      </c>
      <c r="B1315" t="n">
        <v>511700</v>
      </c>
      <c r="C1315" t="inlineStr">
        <is>
          <t>Standard Capital Markets Ltd</t>
        </is>
      </c>
      <c r="D1315" t="n">
        <v>2024</v>
      </c>
      <c r="E1315" t="n">
        <v>0.4000000059604645</v>
      </c>
      <c r="F1315" t="n">
        <v>0.07000000000000001</v>
      </c>
      <c r="G1315" t="inlineStr">
        <is>
          <t>Consolidated first (v4) – needs verification for flagged rows</t>
        </is>
      </c>
      <c r="H1315" t="n">
        <v>3.519999980926514</v>
      </c>
      <c r="L1315" t="inlineStr">
        <is>
          <t>UNVERIFIED – tiny EPS &lt;0.5</t>
        </is>
      </c>
      <c r="M1315" t="n">
        <v>50.29</v>
      </c>
      <c r="O1315" t="n">
        <v>1.54</v>
      </c>
      <c r="P1315" t="n">
        <v>3.52</v>
      </c>
      <c r="Q1315" t="n">
        <v>0.83</v>
      </c>
      <c r="R1315" s="3" t="inlineStr">
        <is>
          <t>MISMATCH_NEEDS_CORRECTION</t>
        </is>
      </c>
      <c r="S1315" t="n">
        <v>1.54</v>
      </c>
      <c r="T1315" t="inlineStr">
        <is>
          <t>30-07-2026 09:42 IST</t>
        </is>
      </c>
    </row>
    <row r="1316">
      <c r="A1316" t="n">
        <v>192</v>
      </c>
      <c r="B1316" t="n">
        <v>511700</v>
      </c>
      <c r="C1316" t="inlineStr">
        <is>
          <t>Standard Capital Markets Ltd</t>
        </is>
      </c>
      <c r="D1316" t="n">
        <v>2025</v>
      </c>
      <c r="E1316" t="n">
        <v>0.4000000059604645</v>
      </c>
      <c r="F1316" t="n">
        <v>0.16</v>
      </c>
      <c r="G1316" t="inlineStr">
        <is>
          <t>Consolidated first (v4) – needs verification for flagged rows</t>
        </is>
      </c>
      <c r="L1316" t="inlineStr">
        <is>
          <t>INCOMPLETE</t>
        </is>
      </c>
      <c r="O1316" t="n">
        <v>1.54</v>
      </c>
      <c r="P1316" t="n">
        <v>3.52</v>
      </c>
      <c r="Q1316" t="n">
        <v>0.83</v>
      </c>
      <c r="R1316" s="3" t="inlineStr">
        <is>
          <t>MISMATCH_NEEDS_CORRECTION</t>
        </is>
      </c>
      <c r="S1316" t="n">
        <v>1.54</v>
      </c>
      <c r="T1316" t="inlineStr">
        <is>
          <t>30-07-2026 09:42 IST</t>
        </is>
      </c>
    </row>
    <row r="1317">
      <c r="A1317" t="n">
        <v>192</v>
      </c>
      <c r="B1317" t="n">
        <v>511700</v>
      </c>
      <c r="C1317" t="inlineStr">
        <is>
          <t>Standard Capital Markets Ltd</t>
        </is>
      </c>
      <c r="D1317" t="n">
        <v>2026</v>
      </c>
      <c r="E1317" t="n">
        <v>0.4000000059604645</v>
      </c>
      <c r="F1317" t="n">
        <v>0.33</v>
      </c>
      <c r="G1317" t="inlineStr">
        <is>
          <t>Consolidated first (v4) – needs verification for flagged rows</t>
        </is>
      </c>
      <c r="L1317" t="inlineStr">
        <is>
          <t>INCOMPLETE</t>
        </is>
      </c>
      <c r="O1317" t="n">
        <v>1.54</v>
      </c>
      <c r="P1317" t="n">
        <v>3.52</v>
      </c>
      <c r="Q1317" t="n">
        <v>0.83</v>
      </c>
      <c r="R1317" s="3" t="inlineStr">
        <is>
          <t>MISMATCH_NEEDS_CORRECTION</t>
        </is>
      </c>
      <c r="S1317" t="n">
        <v>1.54</v>
      </c>
      <c r="T1317" t="inlineStr">
        <is>
          <t>30-07-2026 09:42 IST</t>
        </is>
      </c>
    </row>
    <row r="1318">
      <c r="A1318" t="n">
        <v>194</v>
      </c>
      <c r="B1318" t="n">
        <v>511760</v>
      </c>
      <c r="C1318" t="inlineStr">
        <is>
          <t>Marg Ltd</t>
        </is>
      </c>
      <c r="D1318" t="n">
        <v>2015</v>
      </c>
      <c r="E1318" t="n">
        <v>0.4000000059604645</v>
      </c>
      <c r="F1318" t="n">
        <v>-0.01</v>
      </c>
      <c r="G1318" t="inlineStr">
        <is>
          <t>Consolidated first (v4) – needs verification for flagged rows</t>
        </is>
      </c>
      <c r="L1318" t="inlineStr">
        <is>
          <t>INCOMPLETE</t>
        </is>
      </c>
      <c r="O1318" t="n">
        <v>0.98</v>
      </c>
      <c r="P1318" t="n">
        <v>1.39</v>
      </c>
      <c r="Q1318" t="n">
        <v>0.66</v>
      </c>
      <c r="R1318" s="3" t="inlineStr">
        <is>
          <t>MISMATCH_NEEDS_CORRECTION</t>
        </is>
      </c>
      <c r="S1318" t="n">
        <v>0.98</v>
      </c>
      <c r="T1318" t="inlineStr">
        <is>
          <t>30-07-2026 09:42 IST</t>
        </is>
      </c>
    </row>
    <row r="1319">
      <c r="A1319" t="n">
        <v>194</v>
      </c>
      <c r="B1319" t="n">
        <v>511760</v>
      </c>
      <c r="C1319" t="inlineStr">
        <is>
          <t>Marg Ltd</t>
        </is>
      </c>
      <c r="D1319" t="n">
        <v>2016</v>
      </c>
      <c r="E1319" t="n">
        <v>0.4000000059604645</v>
      </c>
      <c r="F1319" t="n">
        <v>-0.01</v>
      </c>
      <c r="G1319" t="inlineStr">
        <is>
          <t>Consolidated first (v4) – needs verification for flagged rows</t>
        </is>
      </c>
      <c r="L1319" t="inlineStr">
        <is>
          <t>INCOMPLETE</t>
        </is>
      </c>
      <c r="O1319" t="n">
        <v>0.98</v>
      </c>
      <c r="P1319" t="n">
        <v>1.39</v>
      </c>
      <c r="Q1319" t="n">
        <v>0.66</v>
      </c>
      <c r="R1319" s="3" t="inlineStr">
        <is>
          <t>MISMATCH_NEEDS_CORRECTION</t>
        </is>
      </c>
      <c r="S1319" t="n">
        <v>0.98</v>
      </c>
      <c r="T1319" t="inlineStr">
        <is>
          <t>30-07-2026 09:42 IST</t>
        </is>
      </c>
    </row>
    <row r="1320">
      <c r="A1320" t="n">
        <v>194</v>
      </c>
      <c r="B1320" t="n">
        <v>511760</v>
      </c>
      <c r="C1320" t="inlineStr">
        <is>
          <t>Marg Ltd</t>
        </is>
      </c>
      <c r="D1320" t="n">
        <v>2017</v>
      </c>
      <c r="E1320" t="n">
        <v>0.4000000059604645</v>
      </c>
      <c r="F1320" t="n">
        <v>-0.01</v>
      </c>
      <c r="G1320" t="inlineStr">
        <is>
          <t>Consolidated first (v4) – needs verification for flagged rows</t>
        </is>
      </c>
      <c r="L1320" t="inlineStr">
        <is>
          <t>INCOMPLETE</t>
        </is>
      </c>
      <c r="O1320" t="n">
        <v>0.98</v>
      </c>
      <c r="P1320" t="n">
        <v>1.39</v>
      </c>
      <c r="Q1320" t="n">
        <v>0.66</v>
      </c>
      <c r="R1320" s="3" t="inlineStr">
        <is>
          <t>MISMATCH_NEEDS_CORRECTION</t>
        </is>
      </c>
      <c r="S1320" t="n">
        <v>0.98</v>
      </c>
      <c r="T1320" t="inlineStr">
        <is>
          <t>30-07-2026 09:42 IST</t>
        </is>
      </c>
    </row>
    <row r="1321">
      <c r="A1321" t="n">
        <v>194</v>
      </c>
      <c r="B1321" t="n">
        <v>511760</v>
      </c>
      <c r="C1321" t="inlineStr">
        <is>
          <t>Marg Ltd</t>
        </is>
      </c>
      <c r="D1321" t="n">
        <v>2018</v>
      </c>
      <c r="E1321" t="n">
        <v>0.4000000059604645</v>
      </c>
      <c r="F1321" t="n">
        <v>-0.02</v>
      </c>
      <c r="G1321" t="inlineStr">
        <is>
          <t>Consolidated first (v4) – needs verification for flagged rows</t>
        </is>
      </c>
      <c r="L1321" t="inlineStr">
        <is>
          <t>INCOMPLETE</t>
        </is>
      </c>
      <c r="O1321" t="n">
        <v>0.98</v>
      </c>
      <c r="P1321" t="n">
        <v>1.39</v>
      </c>
      <c r="Q1321" t="n">
        <v>0.66</v>
      </c>
      <c r="R1321" s="3" t="inlineStr">
        <is>
          <t>MISMATCH_NEEDS_CORRECTION</t>
        </is>
      </c>
      <c r="S1321" t="n">
        <v>0.98</v>
      </c>
      <c r="T1321" t="inlineStr">
        <is>
          <t>30-07-2026 09:42 IST</t>
        </is>
      </c>
    </row>
    <row r="1322">
      <c r="A1322" t="n">
        <v>194</v>
      </c>
      <c r="B1322" t="n">
        <v>511760</v>
      </c>
      <c r="C1322" t="inlineStr">
        <is>
          <t>Marg Ltd</t>
        </is>
      </c>
      <c r="D1322" t="n">
        <v>2019</v>
      </c>
      <c r="E1322" t="n">
        <v>0.4000000059604645</v>
      </c>
      <c r="F1322" t="n">
        <v>-0.27</v>
      </c>
      <c r="G1322" t="inlineStr">
        <is>
          <t>Consolidated first (v4) – needs verification for flagged rows</t>
        </is>
      </c>
      <c r="L1322" t="inlineStr">
        <is>
          <t>INCOMPLETE</t>
        </is>
      </c>
      <c r="O1322" t="n">
        <v>0.98</v>
      </c>
      <c r="P1322" t="n">
        <v>1.39</v>
      </c>
      <c r="Q1322" t="n">
        <v>0.66</v>
      </c>
      <c r="R1322" s="3" t="inlineStr">
        <is>
          <t>MISMATCH_NEEDS_CORRECTION</t>
        </is>
      </c>
      <c r="S1322" t="n">
        <v>0.98</v>
      </c>
      <c r="T1322" t="inlineStr">
        <is>
          <t>30-07-2026 09:42 IST</t>
        </is>
      </c>
    </row>
    <row r="1323">
      <c r="A1323" t="n">
        <v>194</v>
      </c>
      <c r="B1323" t="n">
        <v>511760</v>
      </c>
      <c r="C1323" t="inlineStr">
        <is>
          <t>Marg Ltd</t>
        </is>
      </c>
      <c r="D1323" t="n">
        <v>2020</v>
      </c>
      <c r="E1323" t="n">
        <v>0.4000000059604645</v>
      </c>
      <c r="F1323" t="n">
        <v>-0.19</v>
      </c>
      <c r="G1323" t="inlineStr">
        <is>
          <t>Consolidated first (v4) – needs verification for flagged rows</t>
        </is>
      </c>
      <c r="L1323" t="inlineStr">
        <is>
          <t>INCOMPLETE</t>
        </is>
      </c>
      <c r="O1323" t="n">
        <v>0.98</v>
      </c>
      <c r="P1323" t="n">
        <v>1.39</v>
      </c>
      <c r="Q1323" t="n">
        <v>0.66</v>
      </c>
      <c r="R1323" s="3" t="inlineStr">
        <is>
          <t>MISMATCH_NEEDS_CORRECTION</t>
        </is>
      </c>
      <c r="S1323" t="n">
        <v>0.98</v>
      </c>
      <c r="T1323" t="inlineStr">
        <is>
          <t>30-07-2026 09:42 IST</t>
        </is>
      </c>
    </row>
    <row r="1324">
      <c r="A1324" t="n">
        <v>194</v>
      </c>
      <c r="B1324" t="n">
        <v>511760</v>
      </c>
      <c r="C1324" t="inlineStr">
        <is>
          <t>Marg Ltd</t>
        </is>
      </c>
      <c r="D1324" t="n">
        <v>2021</v>
      </c>
      <c r="E1324" t="n">
        <v>0.4000000059604645</v>
      </c>
      <c r="F1324" t="n">
        <v>-0.11</v>
      </c>
      <c r="G1324" t="inlineStr">
        <is>
          <t>Consolidated first (v4) – needs verification for flagged rows</t>
        </is>
      </c>
      <c r="L1324" t="inlineStr">
        <is>
          <t>INCOMPLETE</t>
        </is>
      </c>
      <c r="O1324" t="n">
        <v>0.98</v>
      </c>
      <c r="P1324" t="n">
        <v>1.39</v>
      </c>
      <c r="Q1324" t="n">
        <v>0.66</v>
      </c>
      <c r="R1324" s="3" t="inlineStr">
        <is>
          <t>MISMATCH_NEEDS_CORRECTION</t>
        </is>
      </c>
      <c r="S1324" t="n">
        <v>0.98</v>
      </c>
      <c r="T1324" t="inlineStr">
        <is>
          <t>30-07-2026 09:42 IST</t>
        </is>
      </c>
    </row>
    <row r="1325">
      <c r="A1325" t="n">
        <v>194</v>
      </c>
      <c r="B1325" t="n">
        <v>511760</v>
      </c>
      <c r="C1325" t="inlineStr">
        <is>
          <t>Marg Ltd</t>
        </is>
      </c>
      <c r="D1325" t="n">
        <v>2022</v>
      </c>
      <c r="E1325" t="n">
        <v>0.4000000059604645</v>
      </c>
      <c r="G1325" t="inlineStr">
        <is>
          <t>Consolidated first (v4) – needs verification for flagged rows</t>
        </is>
      </c>
      <c r="H1325" t="n">
        <v>1.389999985694885</v>
      </c>
      <c r="L1325" t="inlineStr">
        <is>
          <t>INCOMPLETE</t>
        </is>
      </c>
      <c r="O1325" t="n">
        <v>0.98</v>
      </c>
      <c r="P1325" t="n">
        <v>1.39</v>
      </c>
      <c r="Q1325" t="n">
        <v>0.66</v>
      </c>
      <c r="R1325" s="3" t="inlineStr">
        <is>
          <t>MISMATCH_NEEDS_CORRECTION</t>
        </is>
      </c>
      <c r="S1325" t="n">
        <v>0.98</v>
      </c>
      <c r="T1325" t="inlineStr">
        <is>
          <t>30-07-2026 09:42 IST</t>
        </is>
      </c>
    </row>
    <row r="1326">
      <c r="A1326" t="n">
        <v>194</v>
      </c>
      <c r="B1326" t="n">
        <v>511760</v>
      </c>
      <c r="C1326" t="inlineStr">
        <is>
          <t>Marg Ltd</t>
        </is>
      </c>
      <c r="D1326" t="n">
        <v>2023</v>
      </c>
      <c r="E1326" t="n">
        <v>0.4000000059604645</v>
      </c>
      <c r="F1326" t="n">
        <v>0.01</v>
      </c>
      <c r="G1326" t="inlineStr">
        <is>
          <t>Consolidated first (v4) – needs verification for flagged rows</t>
        </is>
      </c>
      <c r="L1326" t="inlineStr">
        <is>
          <t>INCOMPLETE</t>
        </is>
      </c>
      <c r="O1326" t="n">
        <v>0.98</v>
      </c>
      <c r="P1326" t="n">
        <v>1.39</v>
      </c>
      <c r="Q1326" t="n">
        <v>0.66</v>
      </c>
      <c r="R1326" s="3" t="inlineStr">
        <is>
          <t>MISMATCH_NEEDS_CORRECTION</t>
        </is>
      </c>
      <c r="S1326" t="n">
        <v>0.98</v>
      </c>
      <c r="T1326" t="inlineStr">
        <is>
          <t>30-07-2026 09:42 IST</t>
        </is>
      </c>
    </row>
    <row r="1327">
      <c r="A1327" t="n">
        <v>194</v>
      </c>
      <c r="B1327" t="n">
        <v>511760</v>
      </c>
      <c r="C1327" t="inlineStr">
        <is>
          <t>Marg Ltd</t>
        </is>
      </c>
      <c r="D1327" t="n">
        <v>2024</v>
      </c>
      <c r="E1327" t="n">
        <v>0.4000000059604645</v>
      </c>
      <c r="F1327" t="n">
        <v>0.25</v>
      </c>
      <c r="G1327" t="inlineStr">
        <is>
          <t>Consolidated first (v4) – needs verification for flagged rows</t>
        </is>
      </c>
      <c r="H1327" t="n">
        <v>1.389999985694885</v>
      </c>
      <c r="L1327" t="inlineStr">
        <is>
          <t>UNVERIFIED – tiny EPS &lt;0.5</t>
        </is>
      </c>
      <c r="M1327" t="n">
        <v>5.56</v>
      </c>
      <c r="O1327" t="n">
        <v>0.98</v>
      </c>
      <c r="P1327" t="n">
        <v>1.39</v>
      </c>
      <c r="Q1327" t="n">
        <v>0.66</v>
      </c>
      <c r="R1327" s="3" t="inlineStr">
        <is>
          <t>MISMATCH_NEEDS_CORRECTION</t>
        </is>
      </c>
      <c r="S1327" t="n">
        <v>0.98</v>
      </c>
      <c r="T1327" t="inlineStr">
        <is>
          <t>30-07-2026 09:42 IST</t>
        </is>
      </c>
    </row>
    <row r="1328">
      <c r="A1328" t="n">
        <v>194</v>
      </c>
      <c r="B1328" t="n">
        <v>511760</v>
      </c>
      <c r="C1328" t="inlineStr">
        <is>
          <t>Marg Ltd</t>
        </is>
      </c>
      <c r="D1328" t="n">
        <v>2025</v>
      </c>
      <c r="E1328" t="n">
        <v>0.4000000059604645</v>
      </c>
      <c r="G1328" t="inlineStr">
        <is>
          <t>Consolidated first (v4) – needs verification for flagged rows</t>
        </is>
      </c>
      <c r="H1328" t="n">
        <v>1.220000028610229</v>
      </c>
      <c r="L1328" t="inlineStr">
        <is>
          <t>INCOMPLETE</t>
        </is>
      </c>
      <c r="O1328" t="n">
        <v>0.98</v>
      </c>
      <c r="P1328" t="n">
        <v>1.39</v>
      </c>
      <c r="Q1328" t="n">
        <v>0.66</v>
      </c>
      <c r="R1328" s="3" t="inlineStr">
        <is>
          <t>MISMATCH_NEEDS_CORRECTION</t>
        </is>
      </c>
      <c r="S1328" t="n">
        <v>0.98</v>
      </c>
      <c r="T1328" t="inlineStr">
        <is>
          <t>30-07-2026 09:42 IST</t>
        </is>
      </c>
    </row>
    <row r="1329">
      <c r="A1329" t="n">
        <v>194</v>
      </c>
      <c r="B1329" t="n">
        <v>511760</v>
      </c>
      <c r="C1329" t="inlineStr">
        <is>
          <t>Marg Ltd</t>
        </is>
      </c>
      <c r="D1329" t="n">
        <v>2026</v>
      </c>
      <c r="E1329" t="n">
        <v>0.4000000059604645</v>
      </c>
      <c r="G1329" t="inlineStr">
        <is>
          <t>Consolidated first (v4) – needs verification for flagged rows</t>
        </is>
      </c>
      <c r="L1329" t="inlineStr">
        <is>
          <t>INCOMPLETE</t>
        </is>
      </c>
      <c r="O1329" t="n">
        <v>0.98</v>
      </c>
      <c r="P1329" t="n">
        <v>1.39</v>
      </c>
      <c r="Q1329" t="n">
        <v>0.66</v>
      </c>
      <c r="R1329" s="3" t="inlineStr">
        <is>
          <t>MISMATCH_NEEDS_CORRECTION</t>
        </is>
      </c>
      <c r="S1329" t="n">
        <v>0.98</v>
      </c>
      <c r="T1329" t="inlineStr">
        <is>
          <t>30-07-2026 09:42 IST</t>
        </is>
      </c>
    </row>
    <row r="1330">
      <c r="A1330" t="n">
        <v>196</v>
      </c>
      <c r="B1330" t="n">
        <v>511768</v>
      </c>
      <c r="C1330" t="inlineStr">
        <is>
          <t>Master Trust Ltd</t>
        </is>
      </c>
      <c r="D1330" t="n">
        <v>2015</v>
      </c>
      <c r="E1330" t="n">
        <v>83.90000152587891</v>
      </c>
      <c r="F1330" t="n">
        <v>0.86</v>
      </c>
      <c r="G1330" t="inlineStr">
        <is>
          <t>Consolidated first (v4) – needs verification for flagged rows</t>
        </is>
      </c>
      <c r="H1330" t="n">
        <v>23</v>
      </c>
      <c r="I1330" t="n">
        <v>13.05000019073486</v>
      </c>
      <c r="L1330" t="inlineStr">
        <is>
          <t>OK</t>
        </is>
      </c>
      <c r="M1330" t="n">
        <v>26.74</v>
      </c>
      <c r="N1330" t="n">
        <v>15.17</v>
      </c>
      <c r="O1330" t="n">
        <v>783.25</v>
      </c>
      <c r="P1330" t="n">
        <v>1035</v>
      </c>
      <c r="Q1330" t="n">
        <v>156</v>
      </c>
      <c r="R1330" s="3" t="inlineStr">
        <is>
          <t>MISMATCH_NEEDS_CORRECTION</t>
        </is>
      </c>
      <c r="S1330" t="n">
        <v>783.25</v>
      </c>
      <c r="T1330" t="inlineStr">
        <is>
          <t>30-07-2026 09:42 IST</t>
        </is>
      </c>
    </row>
    <row r="1331">
      <c r="A1331" t="n">
        <v>196</v>
      </c>
      <c r="B1331" t="n">
        <v>511768</v>
      </c>
      <c r="C1331" t="inlineStr">
        <is>
          <t>Master Trust Ltd</t>
        </is>
      </c>
      <c r="D1331" t="n">
        <v>2016</v>
      </c>
      <c r="E1331" t="n">
        <v>83.90000152587891</v>
      </c>
      <c r="F1331" t="n">
        <v>0.33</v>
      </c>
      <c r="G1331" t="inlineStr">
        <is>
          <t>Consolidated first (v4) – needs verification for flagged rows</t>
        </is>
      </c>
      <c r="H1331" t="n">
        <v>22</v>
      </c>
      <c r="I1331" t="n">
        <v>11.17500019073486</v>
      </c>
      <c r="L1331" t="inlineStr">
        <is>
          <t>UNVERIFIED – tiny EPS &lt;0.5</t>
        </is>
      </c>
      <c r="M1331" t="n">
        <v>66.67</v>
      </c>
      <c r="N1331" t="n">
        <v>33.86</v>
      </c>
      <c r="O1331" t="n">
        <v>783.25</v>
      </c>
      <c r="P1331" t="n">
        <v>1035</v>
      </c>
      <c r="Q1331" t="n">
        <v>156</v>
      </c>
      <c r="R1331" s="3" t="inlineStr">
        <is>
          <t>MISMATCH_NEEDS_CORRECTION</t>
        </is>
      </c>
      <c r="S1331" t="n">
        <v>783.25</v>
      </c>
      <c r="T1331" t="inlineStr">
        <is>
          <t>30-07-2026 09:42 IST</t>
        </is>
      </c>
    </row>
    <row r="1332">
      <c r="A1332" t="n">
        <v>196</v>
      </c>
      <c r="B1332" t="n">
        <v>511768</v>
      </c>
      <c r="C1332" t="inlineStr">
        <is>
          <t>Master Trust Ltd</t>
        </is>
      </c>
      <c r="D1332" t="n">
        <v>2017</v>
      </c>
      <c r="E1332" t="n">
        <v>83.90000152587891</v>
      </c>
      <c r="F1332" t="n">
        <v>0.54</v>
      </c>
      <c r="G1332" t="inlineStr">
        <is>
          <t>Consolidated first (v4) – needs verification for flagged rows</t>
        </is>
      </c>
      <c r="H1332" t="n">
        <v>40.45000076293945</v>
      </c>
      <c r="I1332" t="n">
        <v>11</v>
      </c>
      <c r="L1332" t="inlineStr">
        <is>
          <t>OK</t>
        </is>
      </c>
      <c r="M1332" t="n">
        <v>74.91</v>
      </c>
      <c r="N1332" t="n">
        <v>20.37</v>
      </c>
      <c r="O1332" t="n">
        <v>783.25</v>
      </c>
      <c r="P1332" t="n">
        <v>1035</v>
      </c>
      <c r="Q1332" t="n">
        <v>156</v>
      </c>
      <c r="R1332" s="3" t="inlineStr">
        <is>
          <t>MISMATCH_NEEDS_CORRECTION</t>
        </is>
      </c>
      <c r="S1332" t="n">
        <v>783.25</v>
      </c>
      <c r="T1332" t="inlineStr">
        <is>
          <t>30-07-2026 09:42 IST</t>
        </is>
      </c>
    </row>
    <row r="1333">
      <c r="A1333" t="n">
        <v>196</v>
      </c>
      <c r="B1333" t="n">
        <v>511768</v>
      </c>
      <c r="C1333" t="inlineStr">
        <is>
          <t>Master Trust Ltd</t>
        </is>
      </c>
      <c r="D1333" t="n">
        <v>2018</v>
      </c>
      <c r="E1333" t="n">
        <v>83.90000152587891</v>
      </c>
      <c r="F1333" t="n">
        <v>0.92</v>
      </c>
      <c r="G1333" t="inlineStr">
        <is>
          <t>Consolidated first (v4) – needs verification for flagged rows</t>
        </is>
      </c>
      <c r="H1333" t="n">
        <v>57.22499847412109</v>
      </c>
      <c r="I1333" t="n">
        <v>14.72500038146973</v>
      </c>
      <c r="L1333" t="inlineStr">
        <is>
          <t>OK</t>
        </is>
      </c>
      <c r="M1333" t="n">
        <v>62.2</v>
      </c>
      <c r="N1333" t="n">
        <v>16.01</v>
      </c>
      <c r="O1333" t="n">
        <v>783.25</v>
      </c>
      <c r="P1333" t="n">
        <v>1035</v>
      </c>
      <c r="Q1333" t="n">
        <v>156</v>
      </c>
      <c r="R1333" s="3" t="inlineStr">
        <is>
          <t>MISMATCH_NEEDS_CORRECTION</t>
        </is>
      </c>
      <c r="S1333" t="n">
        <v>783.25</v>
      </c>
      <c r="T1333" t="inlineStr">
        <is>
          <t>30-07-2026 09:42 IST</t>
        </is>
      </c>
    </row>
    <row r="1334">
      <c r="A1334" t="n">
        <v>196</v>
      </c>
      <c r="B1334" t="n">
        <v>511768</v>
      </c>
      <c r="C1334" t="inlineStr">
        <is>
          <t>Master Trust Ltd</t>
        </is>
      </c>
      <c r="D1334" t="n">
        <v>2019</v>
      </c>
      <c r="E1334" t="n">
        <v>83.90000152587891</v>
      </c>
      <c r="F1334" t="n">
        <v>1.53</v>
      </c>
      <c r="G1334" t="inlineStr">
        <is>
          <t>Consolidated first (v4) – needs verification for flagged rows</t>
        </is>
      </c>
      <c r="H1334" t="n">
        <v>22.60000038146973</v>
      </c>
      <c r="I1334" t="n">
        <v>11.30000019073486</v>
      </c>
      <c r="L1334" t="inlineStr">
        <is>
          <t>OK</t>
        </is>
      </c>
      <c r="M1334" t="n">
        <v>14.77</v>
      </c>
      <c r="N1334" t="n">
        <v>7.39</v>
      </c>
      <c r="O1334" t="n">
        <v>783.25</v>
      </c>
      <c r="P1334" t="n">
        <v>1035</v>
      </c>
      <c r="Q1334" t="n">
        <v>156</v>
      </c>
      <c r="R1334" s="3" t="inlineStr">
        <is>
          <t>MISMATCH_NEEDS_CORRECTION</t>
        </is>
      </c>
      <c r="S1334" t="n">
        <v>783.25</v>
      </c>
      <c r="T1334" t="inlineStr">
        <is>
          <t>30-07-2026 09:42 IST</t>
        </is>
      </c>
    </row>
    <row r="1335">
      <c r="A1335" t="n">
        <v>196</v>
      </c>
      <c r="B1335" t="n">
        <v>511768</v>
      </c>
      <c r="C1335" t="inlineStr">
        <is>
          <t>Master Trust Ltd</t>
        </is>
      </c>
      <c r="D1335" t="n">
        <v>2020</v>
      </c>
      <c r="E1335" t="n">
        <v>83.90000152587891</v>
      </c>
      <c r="F1335" t="n">
        <v>1.13</v>
      </c>
      <c r="G1335" t="inlineStr">
        <is>
          <t>Consolidated first (v4) – needs verification for flagged rows</t>
        </is>
      </c>
      <c r="H1335" t="n">
        <v>27.29999923706055</v>
      </c>
      <c r="I1335" t="n">
        <v>11.05000019073486</v>
      </c>
      <c r="L1335" t="inlineStr">
        <is>
          <t>OK</t>
        </is>
      </c>
      <c r="M1335" t="n">
        <v>24.16</v>
      </c>
      <c r="N1335" t="n">
        <v>9.779999999999999</v>
      </c>
      <c r="O1335" t="n">
        <v>783.25</v>
      </c>
      <c r="P1335" t="n">
        <v>1035</v>
      </c>
      <c r="Q1335" t="n">
        <v>156</v>
      </c>
      <c r="R1335" s="3" t="inlineStr">
        <is>
          <t>MISMATCH_NEEDS_CORRECTION</t>
        </is>
      </c>
      <c r="S1335" t="n">
        <v>783.25</v>
      </c>
      <c r="T1335" t="inlineStr">
        <is>
          <t>30-07-2026 09:42 IST</t>
        </is>
      </c>
    </row>
    <row r="1336">
      <c r="A1336" t="n">
        <v>196</v>
      </c>
      <c r="B1336" t="n">
        <v>511768</v>
      </c>
      <c r="C1336" t="inlineStr">
        <is>
          <t>Master Trust Ltd</t>
        </is>
      </c>
      <c r="D1336" t="n">
        <v>2021</v>
      </c>
      <c r="E1336" t="n">
        <v>83.90000152587891</v>
      </c>
      <c r="F1336" t="n">
        <v>3.16</v>
      </c>
      <c r="G1336" t="inlineStr">
        <is>
          <t>Consolidated first (v4) – needs verification for flagged rows</t>
        </is>
      </c>
      <c r="H1336" t="n">
        <v>186.1499938964844</v>
      </c>
      <c r="I1336" t="n">
        <v>19.25</v>
      </c>
      <c r="L1336" t="inlineStr">
        <is>
          <t>OK</t>
        </is>
      </c>
      <c r="M1336" t="n">
        <v>58.91</v>
      </c>
      <c r="N1336" t="n">
        <v>6.09</v>
      </c>
      <c r="O1336" t="n">
        <v>783.25</v>
      </c>
      <c r="P1336" t="n">
        <v>1035</v>
      </c>
      <c r="Q1336" t="n">
        <v>156</v>
      </c>
      <c r="R1336" s="3" t="inlineStr">
        <is>
          <t>MISMATCH_NEEDS_CORRECTION</t>
        </is>
      </c>
      <c r="S1336" t="n">
        <v>783.25</v>
      </c>
      <c r="T1336" t="inlineStr">
        <is>
          <t>30-07-2026 09:42 IST</t>
        </is>
      </c>
    </row>
    <row r="1337">
      <c r="A1337" t="n">
        <v>196</v>
      </c>
      <c r="B1337" t="n">
        <v>511768</v>
      </c>
      <c r="C1337" t="inlineStr">
        <is>
          <t>Master Trust Ltd</t>
        </is>
      </c>
      <c r="D1337" t="n">
        <v>2022</v>
      </c>
      <c r="E1337" t="n">
        <v>83.90000152587891</v>
      </c>
      <c r="F1337" t="n">
        <v>5.07</v>
      </c>
      <c r="G1337" t="inlineStr">
        <is>
          <t>Consolidated first (v4) – needs verification for flagged rows</t>
        </is>
      </c>
      <c r="H1337" t="n">
        <v>242</v>
      </c>
      <c r="I1337" t="n">
        <v>91</v>
      </c>
      <c r="L1337" t="inlineStr">
        <is>
          <t>OK</t>
        </is>
      </c>
      <c r="M1337" t="n">
        <v>47.73</v>
      </c>
      <c r="N1337" t="n">
        <v>17.95</v>
      </c>
      <c r="O1337" t="n">
        <v>783.25</v>
      </c>
      <c r="P1337" t="n">
        <v>1035</v>
      </c>
      <c r="Q1337" t="n">
        <v>156</v>
      </c>
      <c r="R1337" s="3" t="inlineStr">
        <is>
          <t>MISMATCH_NEEDS_CORRECTION</t>
        </is>
      </c>
      <c r="S1337" t="n">
        <v>783.25</v>
      </c>
      <c r="T1337" t="inlineStr">
        <is>
          <t>30-07-2026 09:42 IST</t>
        </is>
      </c>
    </row>
    <row r="1338">
      <c r="A1338" t="n">
        <v>196</v>
      </c>
      <c r="B1338" t="n">
        <v>511768</v>
      </c>
      <c r="C1338" t="inlineStr">
        <is>
          <t>Master Trust Ltd</t>
        </is>
      </c>
      <c r="D1338" t="n">
        <v>2023</v>
      </c>
      <c r="E1338" t="n">
        <v>83.90000152587891</v>
      </c>
      <c r="F1338" t="n">
        <v>6.06</v>
      </c>
      <c r="G1338" t="inlineStr">
        <is>
          <t>Consolidated first (v4) – needs verification for flagged rows</t>
        </is>
      </c>
      <c r="H1338" t="n">
        <v>495.1000061035156</v>
      </c>
      <c r="I1338" t="n">
        <v>109.5</v>
      </c>
      <c r="L1338" t="inlineStr">
        <is>
          <t>OK</t>
        </is>
      </c>
      <c r="M1338" t="n">
        <v>81.7</v>
      </c>
      <c r="N1338" t="n">
        <v>18.07</v>
      </c>
      <c r="O1338" t="n">
        <v>783.25</v>
      </c>
      <c r="P1338" t="n">
        <v>1035</v>
      </c>
      <c r="Q1338" t="n">
        <v>156</v>
      </c>
      <c r="R1338" s="3" t="inlineStr">
        <is>
          <t>MISMATCH_NEEDS_CORRECTION</t>
        </is>
      </c>
      <c r="S1338" t="n">
        <v>783.25</v>
      </c>
      <c r="T1338" t="inlineStr">
        <is>
          <t>30-07-2026 09:42 IST</t>
        </is>
      </c>
    </row>
    <row r="1339">
      <c r="A1339" t="n">
        <v>196</v>
      </c>
      <c r="B1339" t="n">
        <v>511768</v>
      </c>
      <c r="C1339" t="inlineStr">
        <is>
          <t>Master Trust Ltd</t>
        </is>
      </c>
      <c r="D1339" t="n">
        <v>2024</v>
      </c>
      <c r="E1339" t="n">
        <v>83.90000152587891</v>
      </c>
      <c r="F1339" t="n">
        <v>9.93</v>
      </c>
      <c r="G1339" t="inlineStr">
        <is>
          <t>Consolidated first (v4) – needs verification for flagged rows</t>
        </is>
      </c>
      <c r="H1339" t="n">
        <v>1035</v>
      </c>
      <c r="I1339" t="n">
        <v>156</v>
      </c>
      <c r="L1339" t="inlineStr">
        <is>
          <t>OK</t>
        </is>
      </c>
      <c r="M1339" t="n">
        <v>104.23</v>
      </c>
      <c r="N1339" t="n">
        <v>15.71</v>
      </c>
      <c r="O1339" t="n">
        <v>783.25</v>
      </c>
      <c r="P1339" t="n">
        <v>1035</v>
      </c>
      <c r="Q1339" t="n">
        <v>156</v>
      </c>
      <c r="R1339" s="3" t="inlineStr">
        <is>
          <t>MISMATCH_NEEDS_CORRECTION</t>
        </is>
      </c>
      <c r="S1339" t="n">
        <v>783.25</v>
      </c>
      <c r="T1339" t="inlineStr">
        <is>
          <t>30-07-2026 09:42 IST</t>
        </is>
      </c>
    </row>
    <row r="1340">
      <c r="A1340" t="n">
        <v>196</v>
      </c>
      <c r="B1340" t="n">
        <v>511768</v>
      </c>
      <c r="C1340" t="inlineStr">
        <is>
          <t>Master Trust Ltd</t>
        </is>
      </c>
      <c r="D1340" t="n">
        <v>2025</v>
      </c>
      <c r="E1340" t="n">
        <v>83.90000152587891</v>
      </c>
      <c r="F1340" t="n">
        <v>11.69</v>
      </c>
      <c r="G1340" t="inlineStr">
        <is>
          <t>Consolidated first (v4) – needs verification for flagged rows</t>
        </is>
      </c>
      <c r="H1340" t="n">
        <v>175.3500061035156</v>
      </c>
      <c r="I1340" t="n">
        <v>100.5</v>
      </c>
      <c r="L1340" t="inlineStr">
        <is>
          <t>OK</t>
        </is>
      </c>
      <c r="M1340" t="n">
        <v>15</v>
      </c>
      <c r="N1340" t="n">
        <v>8.6</v>
      </c>
      <c r="O1340" t="n">
        <v>783.25</v>
      </c>
      <c r="P1340" t="n">
        <v>1035</v>
      </c>
      <c r="Q1340" t="n">
        <v>156</v>
      </c>
      <c r="R1340" s="3" t="inlineStr">
        <is>
          <t>MISMATCH_NEEDS_CORRECTION</t>
        </is>
      </c>
      <c r="S1340" t="n">
        <v>783.25</v>
      </c>
      <c r="T1340" t="inlineStr">
        <is>
          <t>30-07-2026 09:42 IST</t>
        </is>
      </c>
    </row>
    <row r="1341">
      <c r="A1341" t="n">
        <v>196</v>
      </c>
      <c r="B1341" t="n">
        <v>511768</v>
      </c>
      <c r="C1341" t="inlineStr">
        <is>
          <t>Master Trust Ltd</t>
        </is>
      </c>
      <c r="D1341" t="n">
        <v>2026</v>
      </c>
      <c r="E1341" t="n">
        <v>83.90000152587891</v>
      </c>
      <c r="F1341" t="n">
        <v>10.25</v>
      </c>
      <c r="G1341" t="inlineStr">
        <is>
          <t>Consolidated first (v4) – needs verification for flagged rows</t>
        </is>
      </c>
      <c r="H1341" t="n">
        <v>121</v>
      </c>
      <c r="I1341" t="n">
        <v>56</v>
      </c>
      <c r="L1341" t="inlineStr">
        <is>
          <t>OK</t>
        </is>
      </c>
      <c r="M1341" t="n">
        <v>11.8</v>
      </c>
      <c r="N1341" t="n">
        <v>5.46</v>
      </c>
      <c r="O1341" t="n">
        <v>783.25</v>
      </c>
      <c r="P1341" t="n">
        <v>1035</v>
      </c>
      <c r="Q1341" t="n">
        <v>156</v>
      </c>
      <c r="R1341" s="3" t="inlineStr">
        <is>
          <t>MISMATCH_NEEDS_CORRECTION</t>
        </is>
      </c>
      <c r="S1341" t="n">
        <v>783.25</v>
      </c>
      <c r="T1341" t="inlineStr">
        <is>
          <t>30-07-2026 09:42 IST</t>
        </is>
      </c>
    </row>
    <row r="1342">
      <c r="A1342" t="n">
        <v>201</v>
      </c>
      <c r="B1342" t="n">
        <v>512008</v>
      </c>
      <c r="C1342" t="inlineStr">
        <is>
          <t>Sahara One Media And Entertainment Ltd</t>
        </is>
      </c>
      <c r="D1342" t="n">
        <v>2015</v>
      </c>
      <c r="E1342" t="n">
        <v>196.1499938964844</v>
      </c>
      <c r="G1342" t="inlineStr">
        <is>
          <t>Consolidated first (v4) – needs verification for flagged rows</t>
        </is>
      </c>
      <c r="H1342" t="n">
        <v>5.900000095367432</v>
      </c>
      <c r="I1342" t="n">
        <v>4.875</v>
      </c>
      <c r="L1342" t="inlineStr">
        <is>
          <t>INCOMPLETE</t>
        </is>
      </c>
      <c r="O1342" t="n">
        <v>517.65</v>
      </c>
      <c r="P1342" t="n">
        <v>716.95</v>
      </c>
      <c r="Q1342" t="n">
        <v>303.1</v>
      </c>
      <c r="R1342" s="3" t="inlineStr">
        <is>
          <t>MISMATCH_NEEDS_CORRECTION</t>
        </is>
      </c>
      <c r="S1342" t="n">
        <v>517.65</v>
      </c>
      <c r="T1342" t="inlineStr">
        <is>
          <t>30-07-2026 09:42 IST</t>
        </is>
      </c>
    </row>
    <row r="1343">
      <c r="A1343" t="n">
        <v>201</v>
      </c>
      <c r="B1343" t="n">
        <v>512008</v>
      </c>
      <c r="C1343" t="inlineStr">
        <is>
          <t>Sahara One Media And Entertainment Ltd</t>
        </is>
      </c>
      <c r="D1343" t="n">
        <v>2016</v>
      </c>
      <c r="E1343" t="n">
        <v>196.1499938964844</v>
      </c>
      <c r="G1343" t="inlineStr">
        <is>
          <t>Consolidated first (v4) – needs verification for flagged rows</t>
        </is>
      </c>
      <c r="H1343" t="n">
        <v>5.699999809265137</v>
      </c>
      <c r="I1343" t="n">
        <v>4.5</v>
      </c>
      <c r="L1343" t="inlineStr">
        <is>
          <t>INCOMPLETE</t>
        </is>
      </c>
      <c r="O1343" t="n">
        <v>517.65</v>
      </c>
      <c r="P1343" t="n">
        <v>716.95</v>
      </c>
      <c r="Q1343" t="n">
        <v>303.1</v>
      </c>
      <c r="R1343" s="3" t="inlineStr">
        <is>
          <t>MISMATCH_NEEDS_CORRECTION</t>
        </is>
      </c>
      <c r="S1343" t="n">
        <v>517.65</v>
      </c>
      <c r="T1343" t="inlineStr">
        <is>
          <t>30-07-2026 09:42 IST</t>
        </is>
      </c>
    </row>
    <row r="1344">
      <c r="A1344" t="n">
        <v>201</v>
      </c>
      <c r="B1344" t="n">
        <v>512008</v>
      </c>
      <c r="C1344" t="inlineStr">
        <is>
          <t>Sahara One Media And Entertainment Ltd</t>
        </is>
      </c>
      <c r="D1344" t="n">
        <v>2017</v>
      </c>
      <c r="E1344" t="n">
        <v>196.1499938964844</v>
      </c>
      <c r="G1344" t="inlineStr">
        <is>
          <t>Consolidated first (v4) – needs verification for flagged rows</t>
        </is>
      </c>
      <c r="H1344" t="n">
        <v>6.320000171661377</v>
      </c>
      <c r="I1344" t="n">
        <v>4.5</v>
      </c>
      <c r="L1344" t="inlineStr">
        <is>
          <t>INCOMPLETE</t>
        </is>
      </c>
      <c r="O1344" t="n">
        <v>517.65</v>
      </c>
      <c r="P1344" t="n">
        <v>716.95</v>
      </c>
      <c r="Q1344" t="n">
        <v>303.1</v>
      </c>
      <c r="R1344" s="3" t="inlineStr">
        <is>
          <t>MISMATCH_NEEDS_CORRECTION</t>
        </is>
      </c>
      <c r="S1344" t="n">
        <v>517.65</v>
      </c>
      <c r="T1344" t="inlineStr">
        <is>
          <t>30-07-2026 09:42 IST</t>
        </is>
      </c>
    </row>
    <row r="1345">
      <c r="A1345" t="n">
        <v>201</v>
      </c>
      <c r="B1345" t="n">
        <v>512008</v>
      </c>
      <c r="C1345" t="inlineStr">
        <is>
          <t>Sahara One Media And Entertainment Ltd</t>
        </is>
      </c>
      <c r="D1345" t="n">
        <v>2018</v>
      </c>
      <c r="E1345" t="n">
        <v>196.1499938964844</v>
      </c>
      <c r="G1345" t="inlineStr">
        <is>
          <t>Consolidated first (v4) – needs verification for flagged rows</t>
        </is>
      </c>
      <c r="H1345" t="n">
        <v>6.320000171661377</v>
      </c>
      <c r="I1345" t="n">
        <v>6.320000171661377</v>
      </c>
      <c r="L1345" t="inlineStr">
        <is>
          <t>INCOMPLETE</t>
        </is>
      </c>
      <c r="O1345" t="n">
        <v>517.65</v>
      </c>
      <c r="P1345" t="n">
        <v>716.95</v>
      </c>
      <c r="Q1345" t="n">
        <v>303.1</v>
      </c>
      <c r="R1345" s="3" t="inlineStr">
        <is>
          <t>MISMATCH_NEEDS_CORRECTION</t>
        </is>
      </c>
      <c r="S1345" t="n">
        <v>517.65</v>
      </c>
      <c r="T1345" t="inlineStr">
        <is>
          <t>30-07-2026 09:42 IST</t>
        </is>
      </c>
    </row>
    <row r="1346">
      <c r="A1346" t="n">
        <v>201</v>
      </c>
      <c r="B1346" t="n">
        <v>512008</v>
      </c>
      <c r="C1346" t="inlineStr">
        <is>
          <t>Sahara One Media And Entertainment Ltd</t>
        </is>
      </c>
      <c r="D1346" t="n">
        <v>2019</v>
      </c>
      <c r="E1346" t="n">
        <v>196.1499938964844</v>
      </c>
      <c r="G1346" t="inlineStr">
        <is>
          <t>Consolidated first (v4) – needs verification for flagged rows</t>
        </is>
      </c>
      <c r="H1346" t="n">
        <v>6.320000171661377</v>
      </c>
      <c r="I1346" t="n">
        <v>6.320000171661377</v>
      </c>
      <c r="L1346" t="inlineStr">
        <is>
          <t>INCOMPLETE</t>
        </is>
      </c>
      <c r="O1346" t="n">
        <v>517.65</v>
      </c>
      <c r="P1346" t="n">
        <v>716.95</v>
      </c>
      <c r="Q1346" t="n">
        <v>303.1</v>
      </c>
      <c r="R1346" s="3" t="inlineStr">
        <is>
          <t>MISMATCH_NEEDS_CORRECTION</t>
        </is>
      </c>
      <c r="S1346" t="n">
        <v>517.65</v>
      </c>
      <c r="T1346" t="inlineStr">
        <is>
          <t>30-07-2026 09:42 IST</t>
        </is>
      </c>
    </row>
    <row r="1347">
      <c r="A1347" t="n">
        <v>201</v>
      </c>
      <c r="B1347" t="n">
        <v>512008</v>
      </c>
      <c r="C1347" t="inlineStr">
        <is>
          <t>Sahara One Media And Entertainment Ltd</t>
        </is>
      </c>
      <c r="D1347" t="n">
        <v>2020</v>
      </c>
      <c r="E1347" t="n">
        <v>196.1499938964844</v>
      </c>
      <c r="G1347" t="inlineStr">
        <is>
          <t>Consolidated first (v4) – needs verification for flagged rows</t>
        </is>
      </c>
      <c r="H1347" t="n">
        <v>6.510000228881836</v>
      </c>
      <c r="I1347" t="n">
        <v>6.005000114440918</v>
      </c>
      <c r="L1347" t="inlineStr">
        <is>
          <t>INCOMPLETE</t>
        </is>
      </c>
      <c r="O1347" t="n">
        <v>517.65</v>
      </c>
      <c r="P1347" t="n">
        <v>716.95</v>
      </c>
      <c r="Q1347" t="n">
        <v>303.1</v>
      </c>
      <c r="R1347" s="3" t="inlineStr">
        <is>
          <t>MISMATCH_NEEDS_CORRECTION</t>
        </is>
      </c>
      <c r="S1347" t="n">
        <v>517.65</v>
      </c>
      <c r="T1347" t="inlineStr">
        <is>
          <t>30-07-2026 09:42 IST</t>
        </is>
      </c>
    </row>
    <row r="1348">
      <c r="A1348" t="n">
        <v>201</v>
      </c>
      <c r="B1348" t="n">
        <v>512008</v>
      </c>
      <c r="C1348" t="inlineStr">
        <is>
          <t>Sahara One Media And Entertainment Ltd</t>
        </is>
      </c>
      <c r="D1348" t="n">
        <v>2021</v>
      </c>
      <c r="E1348" t="n">
        <v>196.1499938964844</v>
      </c>
      <c r="G1348" t="inlineStr">
        <is>
          <t>Consolidated first (v4) – needs verification for flagged rows</t>
        </is>
      </c>
      <c r="H1348" t="n">
        <v>10.5</v>
      </c>
      <c r="I1348" t="n">
        <v>5.5</v>
      </c>
      <c r="L1348" t="inlineStr">
        <is>
          <t>INCOMPLETE</t>
        </is>
      </c>
      <c r="O1348" t="n">
        <v>517.65</v>
      </c>
      <c r="P1348" t="n">
        <v>716.95</v>
      </c>
      <c r="Q1348" t="n">
        <v>303.1</v>
      </c>
      <c r="R1348" s="3" t="inlineStr">
        <is>
          <t>MISMATCH_NEEDS_CORRECTION</t>
        </is>
      </c>
      <c r="S1348" t="n">
        <v>517.65</v>
      </c>
      <c r="T1348" t="inlineStr">
        <is>
          <t>30-07-2026 09:42 IST</t>
        </is>
      </c>
    </row>
    <row r="1349">
      <c r="A1349" t="n">
        <v>201</v>
      </c>
      <c r="B1349" t="n">
        <v>512008</v>
      </c>
      <c r="C1349" t="inlineStr">
        <is>
          <t>Sahara One Media And Entertainment Ltd</t>
        </is>
      </c>
      <c r="D1349" t="n">
        <v>2022</v>
      </c>
      <c r="E1349" t="n">
        <v>196.1499938964844</v>
      </c>
      <c r="F1349" t="n">
        <v>0.01</v>
      </c>
      <c r="G1349" t="inlineStr">
        <is>
          <t>Consolidated first (v4) – needs verification for flagged rows</t>
        </is>
      </c>
      <c r="H1349" t="n">
        <v>32.15000152587891</v>
      </c>
      <c r="I1349" t="n">
        <v>10.5</v>
      </c>
      <c r="L1349" t="inlineStr">
        <is>
          <t>UNVERIFIED – tiny EPS &lt;0.5</t>
        </is>
      </c>
      <c r="M1349" t="n">
        <v>3215</v>
      </c>
      <c r="N1349" t="n">
        <v>1050</v>
      </c>
      <c r="O1349" t="n">
        <v>517.65</v>
      </c>
      <c r="P1349" t="n">
        <v>716.95</v>
      </c>
      <c r="Q1349" t="n">
        <v>303.1</v>
      </c>
      <c r="R1349" s="3" t="inlineStr">
        <is>
          <t>MISMATCH_NEEDS_CORRECTION</t>
        </is>
      </c>
      <c r="S1349" t="n">
        <v>517.65</v>
      </c>
      <c r="T1349" t="inlineStr">
        <is>
          <t>30-07-2026 09:42 IST</t>
        </is>
      </c>
    </row>
    <row r="1350">
      <c r="A1350" t="n">
        <v>201</v>
      </c>
      <c r="B1350" t="n">
        <v>512008</v>
      </c>
      <c r="C1350" t="inlineStr">
        <is>
          <t>Sahara One Media And Entertainment Ltd</t>
        </is>
      </c>
      <c r="D1350" t="n">
        <v>2023</v>
      </c>
      <c r="E1350" t="n">
        <v>196.1499938964844</v>
      </c>
      <c r="F1350" t="n">
        <v>0.59</v>
      </c>
      <c r="G1350" t="inlineStr">
        <is>
          <t>Consolidated first (v4) – needs verification for flagged rows</t>
        </is>
      </c>
      <c r="H1350" t="n">
        <v>193.9499969482422</v>
      </c>
      <c r="I1350" t="n">
        <v>33.75500106811523</v>
      </c>
      <c r="L1350" t="inlineStr">
        <is>
          <t>OK</t>
        </is>
      </c>
      <c r="M1350" t="n">
        <v>328.73</v>
      </c>
      <c r="N1350" t="n">
        <v>57.21</v>
      </c>
      <c r="O1350" t="n">
        <v>517.65</v>
      </c>
      <c r="P1350" t="n">
        <v>716.95</v>
      </c>
      <c r="Q1350" t="n">
        <v>303.1</v>
      </c>
      <c r="R1350" s="3" t="inlineStr">
        <is>
          <t>MISMATCH_NEEDS_CORRECTION</t>
        </is>
      </c>
      <c r="S1350" t="n">
        <v>517.65</v>
      </c>
      <c r="T1350" t="inlineStr">
        <is>
          <t>30-07-2026 09:42 IST</t>
        </is>
      </c>
    </row>
    <row r="1351">
      <c r="A1351" t="n">
        <v>201</v>
      </c>
      <c r="B1351" t="n">
        <v>512008</v>
      </c>
      <c r="C1351" t="inlineStr">
        <is>
          <t>Sahara One Media And Entertainment Ltd</t>
        </is>
      </c>
      <c r="D1351" t="n">
        <v>2024</v>
      </c>
      <c r="E1351" t="n">
        <v>196.1499938964844</v>
      </c>
      <c r="F1351" t="n">
        <v>5.41</v>
      </c>
      <c r="G1351" t="inlineStr">
        <is>
          <t>Consolidated first (v4) – needs verification for flagged rows</t>
        </is>
      </c>
      <c r="H1351" t="n">
        <v>358.4750061035156</v>
      </c>
      <c r="I1351" t="n">
        <v>151.5500030517578</v>
      </c>
      <c r="L1351" t="inlineStr">
        <is>
          <t>OK</t>
        </is>
      </c>
      <c r="M1351" t="n">
        <v>66.26000000000001</v>
      </c>
      <c r="N1351" t="n">
        <v>28.01</v>
      </c>
      <c r="O1351" t="n">
        <v>517.65</v>
      </c>
      <c r="P1351" t="n">
        <v>716.95</v>
      </c>
      <c r="Q1351" t="n">
        <v>303.1</v>
      </c>
      <c r="R1351" s="3" t="inlineStr">
        <is>
          <t>MISMATCH_NEEDS_CORRECTION</t>
        </is>
      </c>
      <c r="S1351" t="n">
        <v>517.65</v>
      </c>
      <c r="T1351" t="inlineStr">
        <is>
          <t>30-07-2026 09:42 IST</t>
        </is>
      </c>
    </row>
    <row r="1352">
      <c r="A1352" t="n">
        <v>201</v>
      </c>
      <c r="B1352" t="n">
        <v>512008</v>
      </c>
      <c r="C1352" t="inlineStr">
        <is>
          <t>Sahara One Media And Entertainment Ltd</t>
        </is>
      </c>
      <c r="D1352" t="n">
        <v>2025</v>
      </c>
      <c r="E1352" t="n">
        <v>196.1499938964844</v>
      </c>
      <c r="F1352" t="n">
        <v>10.51</v>
      </c>
      <c r="G1352" t="inlineStr">
        <is>
          <t>Consolidated first (v4) – needs verification for flagged rows</t>
        </is>
      </c>
      <c r="H1352" t="n">
        <v>373.7000122070312</v>
      </c>
      <c r="I1352" t="n">
        <v>171.3500061035156</v>
      </c>
      <c r="L1352" t="inlineStr">
        <is>
          <t>OK</t>
        </is>
      </c>
      <c r="M1352" t="n">
        <v>35.56</v>
      </c>
      <c r="N1352" t="n">
        <v>16.3</v>
      </c>
      <c r="O1352" t="n">
        <v>517.65</v>
      </c>
      <c r="P1352" t="n">
        <v>716.95</v>
      </c>
      <c r="Q1352" t="n">
        <v>303.1</v>
      </c>
      <c r="R1352" s="3" t="inlineStr">
        <is>
          <t>MISMATCH_NEEDS_CORRECTION</t>
        </is>
      </c>
      <c r="S1352" t="n">
        <v>517.65</v>
      </c>
      <c r="T1352" t="inlineStr">
        <is>
          <t>30-07-2026 09:42 IST</t>
        </is>
      </c>
    </row>
    <row r="1353">
      <c r="A1353" t="n">
        <v>201</v>
      </c>
      <c r="B1353" t="n">
        <v>512008</v>
      </c>
      <c r="C1353" t="inlineStr">
        <is>
          <t>Sahara One Media And Entertainment Ltd</t>
        </is>
      </c>
      <c r="D1353" t="n">
        <v>2026</v>
      </c>
      <c r="E1353" t="n">
        <v>196.1499938964844</v>
      </c>
      <c r="F1353" t="n">
        <v>15.66</v>
      </c>
      <c r="G1353" t="inlineStr">
        <is>
          <t>Consolidated first (v4) – needs verification for flagged rows</t>
        </is>
      </c>
      <c r="H1353" t="n">
        <v>311.8999938964844</v>
      </c>
      <c r="I1353" t="n">
        <v>171.6499938964844</v>
      </c>
      <c r="L1353" t="inlineStr">
        <is>
          <t>OK</t>
        </is>
      </c>
      <c r="M1353" t="n">
        <v>19.92</v>
      </c>
      <c r="N1353" t="n">
        <v>10.96</v>
      </c>
      <c r="O1353" t="n">
        <v>517.65</v>
      </c>
      <c r="P1353" t="n">
        <v>716.95</v>
      </c>
      <c r="Q1353" t="n">
        <v>303.1</v>
      </c>
      <c r="R1353" s="3" t="inlineStr">
        <is>
          <t>MISMATCH_NEEDS_CORRECTION</t>
        </is>
      </c>
      <c r="S1353" t="n">
        <v>517.65</v>
      </c>
      <c r="T1353" t="inlineStr">
        <is>
          <t>30-07-2026 09:42 IST</t>
        </is>
      </c>
    </row>
    <row r="1354">
      <c r="A1354" t="n">
        <v>202</v>
      </c>
      <c r="B1354" t="n">
        <v>512018</v>
      </c>
      <c r="C1354" t="inlineStr">
        <is>
          <t>CNI Research Ltd</t>
        </is>
      </c>
      <c r="D1354" t="n">
        <v>2015</v>
      </c>
      <c r="E1354" t="n">
        <v>8.010000228881836</v>
      </c>
      <c r="F1354" t="n">
        <v>0.09</v>
      </c>
      <c r="G1354" t="inlineStr">
        <is>
          <t>Consolidated first (v4) – needs verification for flagged rows</t>
        </is>
      </c>
      <c r="H1354" t="n">
        <v>12.52000045776367</v>
      </c>
      <c r="I1354" t="n">
        <v>3.220000028610229</v>
      </c>
      <c r="L1354" t="inlineStr">
        <is>
          <t>UNVERIFIED – tiny EPS &lt;0.5</t>
        </is>
      </c>
      <c r="M1354" t="n">
        <v>139.11</v>
      </c>
      <c r="N1354" t="n">
        <v>35.78</v>
      </c>
      <c r="O1354" t="n">
        <v>9.6</v>
      </c>
      <c r="P1354" t="n">
        <v>17.97</v>
      </c>
      <c r="Q1354" t="n">
        <v>2.87</v>
      </c>
      <c r="R1354" s="3" t="inlineStr">
        <is>
          <t>MISMATCH_NEEDS_CORRECTION</t>
        </is>
      </c>
      <c r="S1354" t="n">
        <v>9.6</v>
      </c>
      <c r="T1354" t="inlineStr">
        <is>
          <t>30-07-2026 09:42 IST</t>
        </is>
      </c>
    </row>
    <row r="1355">
      <c r="A1355" t="n">
        <v>202</v>
      </c>
      <c r="B1355" t="n">
        <v>512018</v>
      </c>
      <c r="C1355" t="inlineStr">
        <is>
          <t>CNI Research Ltd</t>
        </is>
      </c>
      <c r="D1355" t="n">
        <v>2016</v>
      </c>
      <c r="E1355" t="n">
        <v>8.010000228881836</v>
      </c>
      <c r="F1355" t="n">
        <v>-0.04</v>
      </c>
      <c r="G1355" t="inlineStr">
        <is>
          <t>Consolidated first (v4) – needs verification for flagged rows</t>
        </is>
      </c>
      <c r="H1355" t="n">
        <v>7</v>
      </c>
      <c r="I1355" t="n">
        <v>2.150000095367432</v>
      </c>
      <c r="L1355" t="inlineStr">
        <is>
          <t>UNVERIFIED – negative EPS</t>
        </is>
      </c>
      <c r="M1355" t="n">
        <v>-175</v>
      </c>
      <c r="N1355" t="n">
        <v>-53.75</v>
      </c>
      <c r="O1355" t="n">
        <v>9.6</v>
      </c>
      <c r="P1355" t="n">
        <v>17.97</v>
      </c>
      <c r="Q1355" t="n">
        <v>2.87</v>
      </c>
      <c r="R1355" s="3" t="inlineStr">
        <is>
          <t>MISMATCH_NEEDS_CORRECTION</t>
        </is>
      </c>
      <c r="S1355" t="n">
        <v>9.6</v>
      </c>
      <c r="T1355" t="inlineStr">
        <is>
          <t>30-07-2026 09:42 IST</t>
        </is>
      </c>
    </row>
    <row r="1356">
      <c r="A1356" t="n">
        <v>202</v>
      </c>
      <c r="B1356" t="n">
        <v>512018</v>
      </c>
      <c r="C1356" t="inlineStr">
        <is>
          <t>CNI Research Ltd</t>
        </is>
      </c>
      <c r="D1356" t="n">
        <v>2017</v>
      </c>
      <c r="E1356" t="n">
        <v>8.010000228881836</v>
      </c>
      <c r="F1356" t="n">
        <v>0.01</v>
      </c>
      <c r="G1356" t="inlineStr">
        <is>
          <t>Consolidated first (v4) – needs verification for flagged rows</t>
        </is>
      </c>
      <c r="H1356" t="n">
        <v>4.400000095367432</v>
      </c>
      <c r="I1356" t="n">
        <v>2.109999895095825</v>
      </c>
      <c r="L1356" t="inlineStr">
        <is>
          <t>UNVERIFIED – tiny EPS &lt;0.5</t>
        </is>
      </c>
      <c r="M1356" t="n">
        <v>440</v>
      </c>
      <c r="N1356" t="n">
        <v>211</v>
      </c>
      <c r="O1356" t="n">
        <v>9.6</v>
      </c>
      <c r="P1356" t="n">
        <v>17.97</v>
      </c>
      <c r="Q1356" t="n">
        <v>2.87</v>
      </c>
      <c r="R1356" s="3" t="inlineStr">
        <is>
          <t>MISMATCH_NEEDS_CORRECTION</t>
        </is>
      </c>
      <c r="S1356" t="n">
        <v>9.6</v>
      </c>
      <c r="T1356" t="inlineStr">
        <is>
          <t>30-07-2026 09:42 IST</t>
        </is>
      </c>
    </row>
    <row r="1357">
      <c r="A1357" t="n">
        <v>202</v>
      </c>
      <c r="B1357" t="n">
        <v>512018</v>
      </c>
      <c r="C1357" t="inlineStr">
        <is>
          <t>CNI Research Ltd</t>
        </is>
      </c>
      <c r="D1357" t="n">
        <v>2018</v>
      </c>
      <c r="E1357" t="n">
        <v>8.010000228881836</v>
      </c>
      <c r="F1357" t="n">
        <v>0.01</v>
      </c>
      <c r="G1357" t="inlineStr">
        <is>
          <t>Consolidated first (v4) – needs verification for flagged rows</t>
        </is>
      </c>
      <c r="H1357" t="n">
        <v>3.819999933242798</v>
      </c>
      <c r="I1357" t="n">
        <v>1.850000023841858</v>
      </c>
      <c r="L1357" t="inlineStr">
        <is>
          <t>UNVERIFIED – tiny EPS &lt;0.5</t>
        </is>
      </c>
      <c r="M1357" t="n">
        <v>382</v>
      </c>
      <c r="N1357" t="n">
        <v>185</v>
      </c>
      <c r="O1357" t="n">
        <v>9.6</v>
      </c>
      <c r="P1357" t="n">
        <v>17.97</v>
      </c>
      <c r="Q1357" t="n">
        <v>2.87</v>
      </c>
      <c r="R1357" s="3" t="inlineStr">
        <is>
          <t>MISMATCH_NEEDS_CORRECTION</t>
        </is>
      </c>
      <c r="S1357" t="n">
        <v>9.6</v>
      </c>
      <c r="T1357" t="inlineStr">
        <is>
          <t>30-07-2026 09:42 IST</t>
        </is>
      </c>
    </row>
    <row r="1358">
      <c r="A1358" t="n">
        <v>202</v>
      </c>
      <c r="B1358" t="n">
        <v>512018</v>
      </c>
      <c r="C1358" t="inlineStr">
        <is>
          <t>CNI Research Ltd</t>
        </is>
      </c>
      <c r="D1358" t="n">
        <v>2019</v>
      </c>
      <c r="E1358" t="n">
        <v>8.010000228881836</v>
      </c>
      <c r="F1358" t="n">
        <v>-0.04</v>
      </c>
      <c r="G1358" t="inlineStr">
        <is>
          <t>Consolidated first (v4) – needs verification for flagged rows</t>
        </is>
      </c>
      <c r="H1358" t="n">
        <v>2.859999895095825</v>
      </c>
      <c r="I1358" t="n">
        <v>1.620000004768372</v>
      </c>
      <c r="L1358" t="inlineStr">
        <is>
          <t>UNVERIFIED – negative EPS</t>
        </is>
      </c>
      <c r="M1358" t="n">
        <v>-71.5</v>
      </c>
      <c r="N1358" t="n">
        <v>-40.5</v>
      </c>
      <c r="O1358" t="n">
        <v>9.6</v>
      </c>
      <c r="P1358" t="n">
        <v>17.97</v>
      </c>
      <c r="Q1358" t="n">
        <v>2.87</v>
      </c>
      <c r="R1358" s="3" t="inlineStr">
        <is>
          <t>MISMATCH_NEEDS_CORRECTION</t>
        </is>
      </c>
      <c r="S1358" t="n">
        <v>9.6</v>
      </c>
      <c r="T1358" t="inlineStr">
        <is>
          <t>30-07-2026 09:42 IST</t>
        </is>
      </c>
    </row>
    <row r="1359">
      <c r="A1359" t="n">
        <v>202</v>
      </c>
      <c r="B1359" t="n">
        <v>512018</v>
      </c>
      <c r="C1359" t="inlineStr">
        <is>
          <t>CNI Research Ltd</t>
        </is>
      </c>
      <c r="D1359" t="n">
        <v>2020</v>
      </c>
      <c r="E1359" t="n">
        <v>8.010000228881836</v>
      </c>
      <c r="F1359" t="n">
        <v>-0.02</v>
      </c>
      <c r="G1359" t="inlineStr">
        <is>
          <t>Consolidated first (v4) – needs verification for flagged rows</t>
        </is>
      </c>
      <c r="H1359" t="n">
        <v>2.259999990463257</v>
      </c>
      <c r="I1359" t="n">
        <v>1.25</v>
      </c>
      <c r="L1359" t="inlineStr">
        <is>
          <t>UNVERIFIED – negative EPS</t>
        </is>
      </c>
      <c r="M1359" t="n">
        <v>-113</v>
      </c>
      <c r="N1359" t="n">
        <v>-62.5</v>
      </c>
      <c r="O1359" t="n">
        <v>9.6</v>
      </c>
      <c r="P1359" t="n">
        <v>17.97</v>
      </c>
      <c r="Q1359" t="n">
        <v>2.87</v>
      </c>
      <c r="R1359" s="3" t="inlineStr">
        <is>
          <t>MISMATCH_NEEDS_CORRECTION</t>
        </is>
      </c>
      <c r="S1359" t="n">
        <v>9.6</v>
      </c>
      <c r="T1359" t="inlineStr">
        <is>
          <t>30-07-2026 09:42 IST</t>
        </is>
      </c>
    </row>
    <row r="1360">
      <c r="A1360" t="n">
        <v>202</v>
      </c>
      <c r="B1360" t="n">
        <v>512018</v>
      </c>
      <c r="C1360" t="inlineStr">
        <is>
          <t>CNI Research Ltd</t>
        </is>
      </c>
      <c r="D1360" t="n">
        <v>2021</v>
      </c>
      <c r="E1360" t="n">
        <v>8.010000228881836</v>
      </c>
      <c r="F1360" t="n">
        <v>-0.31</v>
      </c>
      <c r="G1360" t="inlineStr">
        <is>
          <t>Consolidated first (v4) – needs verification for flagged rows</t>
        </is>
      </c>
      <c r="H1360" t="n">
        <v>3.539999961853027</v>
      </c>
      <c r="I1360" t="n">
        <v>1.370000004768372</v>
      </c>
      <c r="L1360" t="inlineStr">
        <is>
          <t>UNVERIFIED – negative EPS</t>
        </is>
      </c>
      <c r="M1360" t="n">
        <v>-11.42</v>
      </c>
      <c r="N1360" t="n">
        <v>-4.42</v>
      </c>
      <c r="O1360" t="n">
        <v>9.6</v>
      </c>
      <c r="P1360" t="n">
        <v>17.97</v>
      </c>
      <c r="Q1360" t="n">
        <v>2.87</v>
      </c>
      <c r="R1360" s="3" t="inlineStr">
        <is>
          <t>MISMATCH_NEEDS_CORRECTION</t>
        </is>
      </c>
      <c r="S1360" t="n">
        <v>9.6</v>
      </c>
      <c r="T1360" t="inlineStr">
        <is>
          <t>30-07-2026 09:42 IST</t>
        </is>
      </c>
    </row>
    <row r="1361">
      <c r="A1361" t="n">
        <v>202</v>
      </c>
      <c r="B1361" t="n">
        <v>512018</v>
      </c>
      <c r="C1361" t="inlineStr">
        <is>
          <t>CNI Research Ltd</t>
        </is>
      </c>
      <c r="D1361" t="n">
        <v>2022</v>
      </c>
      <c r="E1361" t="n">
        <v>8.010000228881836</v>
      </c>
      <c r="F1361" t="n">
        <v>0.15</v>
      </c>
      <c r="G1361" t="inlineStr">
        <is>
          <t>Consolidated first (v4) – needs verification for flagged rows</t>
        </is>
      </c>
      <c r="H1361" t="n">
        <v>4.079999923706055</v>
      </c>
      <c r="I1361" t="n">
        <v>1.899999976158142</v>
      </c>
      <c r="L1361" t="inlineStr">
        <is>
          <t>UNVERIFIED – tiny EPS &lt;0.5</t>
        </is>
      </c>
      <c r="M1361" t="n">
        <v>27.2</v>
      </c>
      <c r="N1361" t="n">
        <v>12.67</v>
      </c>
      <c r="O1361" t="n">
        <v>9.6</v>
      </c>
      <c r="P1361" t="n">
        <v>17.97</v>
      </c>
      <c r="Q1361" t="n">
        <v>2.87</v>
      </c>
      <c r="R1361" s="3" t="inlineStr">
        <is>
          <t>MISMATCH_NEEDS_CORRECTION</t>
        </is>
      </c>
      <c r="S1361" t="n">
        <v>9.6</v>
      </c>
      <c r="T1361" t="inlineStr">
        <is>
          <t>30-07-2026 09:42 IST</t>
        </is>
      </c>
    </row>
    <row r="1362">
      <c r="A1362" t="n">
        <v>202</v>
      </c>
      <c r="B1362" t="n">
        <v>512018</v>
      </c>
      <c r="C1362" t="inlineStr">
        <is>
          <t>CNI Research Ltd</t>
        </is>
      </c>
      <c r="D1362" t="n">
        <v>2023</v>
      </c>
      <c r="E1362" t="n">
        <v>8.010000228881836</v>
      </c>
      <c r="F1362" t="n">
        <v>-0.07000000000000001</v>
      </c>
      <c r="G1362" t="inlineStr">
        <is>
          <t>Consolidated first (v4) – needs verification for flagged rows</t>
        </is>
      </c>
      <c r="H1362" t="n">
        <v>3.059999942779541</v>
      </c>
      <c r="I1362" t="n">
        <v>1.610000014305115</v>
      </c>
      <c r="L1362" t="inlineStr">
        <is>
          <t>UNVERIFIED – negative EPS</t>
        </is>
      </c>
      <c r="M1362" t="n">
        <v>-43.71</v>
      </c>
      <c r="N1362" t="n">
        <v>-23</v>
      </c>
      <c r="O1362" t="n">
        <v>9.6</v>
      </c>
      <c r="P1362" t="n">
        <v>17.97</v>
      </c>
      <c r="Q1362" t="n">
        <v>2.87</v>
      </c>
      <c r="R1362" s="3" t="inlineStr">
        <is>
          <t>MISMATCH_NEEDS_CORRECTION</t>
        </is>
      </c>
      <c r="S1362" t="n">
        <v>9.6</v>
      </c>
      <c r="T1362" t="inlineStr">
        <is>
          <t>30-07-2026 09:42 IST</t>
        </is>
      </c>
    </row>
    <row r="1363">
      <c r="A1363" t="n">
        <v>202</v>
      </c>
      <c r="B1363" t="n">
        <v>512018</v>
      </c>
      <c r="C1363" t="inlineStr">
        <is>
          <t>CNI Research Ltd</t>
        </is>
      </c>
      <c r="D1363" t="n">
        <v>2024</v>
      </c>
      <c r="E1363" t="n">
        <v>8.010000228881836</v>
      </c>
      <c r="F1363" t="n">
        <v>0.07000000000000001</v>
      </c>
      <c r="G1363" t="inlineStr">
        <is>
          <t>Consolidated first (v4) – needs verification for flagged rows</t>
        </is>
      </c>
      <c r="H1363" t="n">
        <v>17.96999931335449</v>
      </c>
      <c r="I1363" t="n">
        <v>2.140000104904175</v>
      </c>
      <c r="L1363" t="inlineStr">
        <is>
          <t>UNVERIFIED – tiny EPS &lt;0.5</t>
        </is>
      </c>
      <c r="M1363" t="n">
        <v>256.71</v>
      </c>
      <c r="N1363" t="n">
        <v>30.57</v>
      </c>
      <c r="O1363" t="n">
        <v>9.6</v>
      </c>
      <c r="P1363" t="n">
        <v>17.97</v>
      </c>
      <c r="Q1363" t="n">
        <v>2.87</v>
      </c>
      <c r="R1363" s="3" t="inlineStr">
        <is>
          <t>MISMATCH_NEEDS_CORRECTION</t>
        </is>
      </c>
      <c r="S1363" t="n">
        <v>9.6</v>
      </c>
      <c r="T1363" t="inlineStr">
        <is>
          <t>30-07-2026 09:42 IST</t>
        </is>
      </c>
    </row>
    <row r="1364">
      <c r="A1364" t="n">
        <v>202</v>
      </c>
      <c r="B1364" t="n">
        <v>512018</v>
      </c>
      <c r="C1364" t="inlineStr">
        <is>
          <t>CNI Research Ltd</t>
        </is>
      </c>
      <c r="D1364" t="n">
        <v>2025</v>
      </c>
      <c r="E1364" t="n">
        <v>8.010000228881836</v>
      </c>
      <c r="F1364" t="n">
        <v>-0.34</v>
      </c>
      <c r="G1364" t="inlineStr">
        <is>
          <t>Consolidated first (v4) – needs verification for flagged rows</t>
        </is>
      </c>
      <c r="H1364" t="n">
        <v>15.94999980926514</v>
      </c>
      <c r="I1364" t="n">
        <v>7.03000020980835</v>
      </c>
      <c r="L1364" t="inlineStr">
        <is>
          <t>UNVERIFIED – negative EPS</t>
        </is>
      </c>
      <c r="M1364" t="n">
        <v>-46.91</v>
      </c>
      <c r="N1364" t="n">
        <v>-20.68</v>
      </c>
      <c r="O1364" t="n">
        <v>9.6</v>
      </c>
      <c r="P1364" t="n">
        <v>17.97</v>
      </c>
      <c r="Q1364" t="n">
        <v>2.87</v>
      </c>
      <c r="R1364" s="3" t="inlineStr">
        <is>
          <t>MISMATCH_NEEDS_CORRECTION</t>
        </is>
      </c>
      <c r="S1364" t="n">
        <v>9.6</v>
      </c>
      <c r="T1364" t="inlineStr">
        <is>
          <t>30-07-2026 09:42 IST</t>
        </is>
      </c>
    </row>
    <row r="1365">
      <c r="A1365" t="n">
        <v>202</v>
      </c>
      <c r="B1365" t="n">
        <v>512018</v>
      </c>
      <c r="C1365" t="inlineStr">
        <is>
          <t>CNI Research Ltd</t>
        </is>
      </c>
      <c r="D1365" t="n">
        <v>2026</v>
      </c>
      <c r="E1365" t="n">
        <v>8.010000228881836</v>
      </c>
      <c r="G1365" t="inlineStr">
        <is>
          <t>Consolidated first (v4) – needs verification for flagged rows</t>
        </is>
      </c>
      <c r="H1365" t="n">
        <v>9.989999771118164</v>
      </c>
      <c r="I1365" t="n">
        <v>7.010000228881836</v>
      </c>
      <c r="L1365" t="inlineStr">
        <is>
          <t>INCOMPLETE</t>
        </is>
      </c>
      <c r="O1365" t="n">
        <v>9.6</v>
      </c>
      <c r="P1365" t="n">
        <v>17.97</v>
      </c>
      <c r="Q1365" t="n">
        <v>2.87</v>
      </c>
      <c r="R1365" s="3" t="inlineStr">
        <is>
          <t>MISMATCH_NEEDS_CORRECTION</t>
        </is>
      </c>
      <c r="S1365" t="n">
        <v>9.6</v>
      </c>
      <c r="T1365" t="inlineStr">
        <is>
          <t>30-07-2026 09:42 IST</t>
        </is>
      </c>
    </row>
    <row r="1366">
      <c r="A1366" t="n">
        <v>203</v>
      </c>
      <c r="B1366" t="n">
        <v>512070</v>
      </c>
      <c r="C1366" t="inlineStr">
        <is>
          <t>Upl Ltd</t>
        </is>
      </c>
      <c r="D1366" t="n">
        <v>2015</v>
      </c>
      <c r="E1366" t="n">
        <v>608.0999755859375</v>
      </c>
      <c r="F1366" t="n">
        <v>15.82</v>
      </c>
      <c r="G1366" t="inlineStr">
        <is>
          <t>Consolidated first (v4) – needs verification for flagged rows</t>
        </is>
      </c>
      <c r="H1366" t="n">
        <v>384</v>
      </c>
      <c r="I1366" t="n">
        <v>210.4666595458984</v>
      </c>
      <c r="L1366" t="inlineStr">
        <is>
          <t>OK</t>
        </is>
      </c>
      <c r="M1366" t="n">
        <v>24.27</v>
      </c>
      <c r="N1366" t="n">
        <v>13.3</v>
      </c>
      <c r="O1366" t="n">
        <v>605.15</v>
      </c>
      <c r="P1366" t="n">
        <v>812.2</v>
      </c>
      <c r="Q1366" t="n">
        <v>563.15</v>
      </c>
      <c r="R1366" s="2" t="inlineStr">
        <is>
          <t>VERIFIED_OK</t>
        </is>
      </c>
      <c r="S1366" t="n">
        <v>605.15</v>
      </c>
      <c r="T1366" t="inlineStr">
        <is>
          <t>30-07-2026 09:42 IST</t>
        </is>
      </c>
    </row>
    <row r="1367">
      <c r="A1367" t="n">
        <v>203</v>
      </c>
      <c r="B1367" t="n">
        <v>512070</v>
      </c>
      <c r="C1367" t="inlineStr">
        <is>
          <t>Upl Ltd</t>
        </is>
      </c>
      <c r="D1367" t="n">
        <v>2016</v>
      </c>
      <c r="E1367" t="n">
        <v>608.0999755859375</v>
      </c>
      <c r="F1367" t="n">
        <v>13</v>
      </c>
      <c r="G1367" t="inlineStr">
        <is>
          <t>Consolidated first (v4) – needs verification for flagged rows</t>
        </is>
      </c>
      <c r="H1367" t="n">
        <v>486.6666564941406</v>
      </c>
      <c r="I1367" t="n">
        <v>228</v>
      </c>
      <c r="L1367" t="inlineStr">
        <is>
          <t>OK</t>
        </is>
      </c>
      <c r="M1367" t="n">
        <v>37.44</v>
      </c>
      <c r="N1367" t="n">
        <v>17.54</v>
      </c>
      <c r="O1367" t="n">
        <v>605.15</v>
      </c>
      <c r="P1367" t="n">
        <v>812.2</v>
      </c>
      <c r="Q1367" t="n">
        <v>563.15</v>
      </c>
      <c r="R1367" s="2" t="inlineStr">
        <is>
          <t>VERIFIED_OK</t>
        </is>
      </c>
      <c r="S1367" t="n">
        <v>605.15</v>
      </c>
      <c r="T1367" t="inlineStr">
        <is>
          <t>30-07-2026 09:42 IST</t>
        </is>
      </c>
    </row>
    <row r="1368">
      <c r="A1368" t="n">
        <v>203</v>
      </c>
      <c r="B1368" t="n">
        <v>512070</v>
      </c>
      <c r="C1368" t="inlineStr">
        <is>
          <t>Upl Ltd</t>
        </is>
      </c>
      <c r="D1368" t="n">
        <v>2017</v>
      </c>
      <c r="E1368" t="n">
        <v>608.0999755859375</v>
      </c>
      <c r="F1368" t="n">
        <v>20.18</v>
      </c>
      <c r="G1368" t="inlineStr">
        <is>
          <t>Consolidated first (v4) – needs verification for flagged rows</t>
        </is>
      </c>
      <c r="H1368" t="n">
        <v>601.3333129882812</v>
      </c>
      <c r="I1368" t="n">
        <v>434.8999938964844</v>
      </c>
      <c r="L1368" t="inlineStr">
        <is>
          <t>OK</t>
        </is>
      </c>
      <c r="M1368" t="n">
        <v>29.8</v>
      </c>
      <c r="N1368" t="n">
        <v>21.55</v>
      </c>
      <c r="O1368" t="n">
        <v>605.15</v>
      </c>
      <c r="P1368" t="n">
        <v>812.2</v>
      </c>
      <c r="Q1368" t="n">
        <v>563.15</v>
      </c>
      <c r="R1368" s="2" t="inlineStr">
        <is>
          <t>VERIFIED_OK</t>
        </is>
      </c>
      <c r="S1368" t="n">
        <v>605.15</v>
      </c>
      <c r="T1368" t="inlineStr">
        <is>
          <t>30-07-2026 09:42 IST</t>
        </is>
      </c>
    </row>
    <row r="1369">
      <c r="A1369" t="n">
        <v>203</v>
      </c>
      <c r="B1369" t="n">
        <v>512070</v>
      </c>
      <c r="C1369" t="inlineStr">
        <is>
          <t>Upl Ltd</t>
        </is>
      </c>
      <c r="D1369" t="n">
        <v>2018</v>
      </c>
      <c r="E1369" t="n">
        <v>608.0999755859375</v>
      </c>
      <c r="F1369" t="n">
        <v>23.57</v>
      </c>
      <c r="G1369" t="inlineStr">
        <is>
          <t>Consolidated first (v4) – needs verification for flagged rows</t>
        </is>
      </c>
      <c r="H1369" t="n">
        <v>553.3333129882812</v>
      </c>
      <c r="I1369" t="n">
        <v>358.6000061035156</v>
      </c>
      <c r="L1369" t="inlineStr">
        <is>
          <t>OK</t>
        </is>
      </c>
      <c r="M1369" t="n">
        <v>23.48</v>
      </c>
      <c r="N1369" t="n">
        <v>15.21</v>
      </c>
      <c r="O1369" t="n">
        <v>605.15</v>
      </c>
      <c r="P1369" t="n">
        <v>812.2</v>
      </c>
      <c r="Q1369" t="n">
        <v>563.15</v>
      </c>
      <c r="R1369" s="2" t="inlineStr">
        <is>
          <t>VERIFIED_OK</t>
        </is>
      </c>
      <c r="S1369" t="n">
        <v>605.15</v>
      </c>
      <c r="T1369" t="inlineStr">
        <is>
          <t>30-07-2026 09:42 IST</t>
        </is>
      </c>
    </row>
    <row r="1370">
      <c r="A1370" t="n">
        <v>203</v>
      </c>
      <c r="B1370" t="n">
        <v>512070</v>
      </c>
      <c r="C1370" t="inlineStr">
        <is>
          <t>Upl Ltd</t>
        </is>
      </c>
      <c r="D1370" t="n">
        <v>2019</v>
      </c>
      <c r="E1370" t="n">
        <v>608.0999755859375</v>
      </c>
      <c r="F1370" t="n">
        <v>17.35</v>
      </c>
      <c r="G1370" t="inlineStr">
        <is>
          <t>Consolidated first (v4) – needs verification for flagged rows</t>
        </is>
      </c>
      <c r="H1370" t="n">
        <v>709.25</v>
      </c>
      <c r="I1370" t="n">
        <v>495.7333374023438</v>
      </c>
      <c r="L1370" t="inlineStr">
        <is>
          <t>OK</t>
        </is>
      </c>
      <c r="M1370" t="n">
        <v>40.88</v>
      </c>
      <c r="N1370" t="n">
        <v>28.57</v>
      </c>
      <c r="O1370" t="n">
        <v>605.15</v>
      </c>
      <c r="P1370" t="n">
        <v>812.2</v>
      </c>
      <c r="Q1370" t="n">
        <v>563.15</v>
      </c>
      <c r="R1370" s="2" t="inlineStr">
        <is>
          <t>VERIFIED_OK</t>
        </is>
      </c>
      <c r="S1370" t="n">
        <v>605.15</v>
      </c>
      <c r="T1370" t="inlineStr">
        <is>
          <t>30-07-2026 09:42 IST</t>
        </is>
      </c>
    </row>
    <row r="1371">
      <c r="A1371" t="n">
        <v>203</v>
      </c>
      <c r="B1371" t="n">
        <v>512070</v>
      </c>
      <c r="C1371" t="inlineStr">
        <is>
          <t>Upl Ltd</t>
        </is>
      </c>
      <c r="D1371" t="n">
        <v>2020</v>
      </c>
      <c r="E1371" t="n">
        <v>608.0999755859375</v>
      </c>
      <c r="F1371" t="n">
        <v>20.66</v>
      </c>
      <c r="G1371" t="inlineStr">
        <is>
          <t>Consolidated first (v4) – needs verification for flagged rows</t>
        </is>
      </c>
      <c r="H1371" t="n">
        <v>614.7999877929688</v>
      </c>
      <c r="I1371" t="n">
        <v>240.3000030517578</v>
      </c>
      <c r="L1371" t="inlineStr">
        <is>
          <t>OK</t>
        </is>
      </c>
      <c r="M1371" t="n">
        <v>29.76</v>
      </c>
      <c r="N1371" t="n">
        <v>11.63</v>
      </c>
      <c r="O1371" t="n">
        <v>605.15</v>
      </c>
      <c r="P1371" t="n">
        <v>812.2</v>
      </c>
      <c r="Q1371" t="n">
        <v>563.15</v>
      </c>
      <c r="R1371" s="2" t="inlineStr">
        <is>
          <t>VERIFIED_OK</t>
        </is>
      </c>
      <c r="S1371" t="n">
        <v>605.15</v>
      </c>
      <c r="T1371" t="inlineStr">
        <is>
          <t>30-07-2026 09:42 IST</t>
        </is>
      </c>
    </row>
    <row r="1372">
      <c r="A1372" t="n">
        <v>203</v>
      </c>
      <c r="B1372" t="n">
        <v>512070</v>
      </c>
      <c r="C1372" t="inlineStr">
        <is>
          <t>Upl Ltd</t>
        </is>
      </c>
      <c r="D1372" t="n">
        <v>2021</v>
      </c>
      <c r="E1372" t="n">
        <v>608.0999755859375</v>
      </c>
      <c r="F1372" t="n">
        <v>33.4</v>
      </c>
      <c r="G1372" t="inlineStr">
        <is>
          <t>Consolidated first (v4) – needs verification for flagged rows</t>
        </is>
      </c>
      <c r="H1372" t="n">
        <v>864.75</v>
      </c>
      <c r="I1372" t="n">
        <v>466.5</v>
      </c>
      <c r="L1372" t="inlineStr">
        <is>
          <t>OK</t>
        </is>
      </c>
      <c r="M1372" t="n">
        <v>25.89</v>
      </c>
      <c r="N1372" t="n">
        <v>13.97</v>
      </c>
      <c r="O1372" t="n">
        <v>605.15</v>
      </c>
      <c r="P1372" t="n">
        <v>812.2</v>
      </c>
      <c r="Q1372" t="n">
        <v>563.15</v>
      </c>
      <c r="R1372" s="2" t="inlineStr">
        <is>
          <t>VERIFIED_OK</t>
        </is>
      </c>
      <c r="S1372" t="n">
        <v>605.15</v>
      </c>
      <c r="T1372" t="inlineStr">
        <is>
          <t>30-07-2026 09:42 IST</t>
        </is>
      </c>
    </row>
    <row r="1373">
      <c r="A1373" t="n">
        <v>203</v>
      </c>
      <c r="B1373" t="n">
        <v>512070</v>
      </c>
      <c r="C1373" t="inlineStr">
        <is>
          <t>Upl Ltd</t>
        </is>
      </c>
      <c r="D1373" t="n">
        <v>2022</v>
      </c>
      <c r="E1373" t="n">
        <v>608.0999755859375</v>
      </c>
      <c r="F1373" t="n">
        <v>42.18</v>
      </c>
      <c r="G1373" t="inlineStr">
        <is>
          <t>Consolidated first (v4) – needs verification for flagged rows</t>
        </is>
      </c>
      <c r="H1373" t="n">
        <v>848</v>
      </c>
      <c r="I1373" t="n">
        <v>607.7999877929688</v>
      </c>
      <c r="L1373" t="inlineStr">
        <is>
          <t>OK</t>
        </is>
      </c>
      <c r="M1373" t="n">
        <v>20.1</v>
      </c>
      <c r="N1373" t="n">
        <v>14.41</v>
      </c>
      <c r="O1373" t="n">
        <v>605.15</v>
      </c>
      <c r="P1373" t="n">
        <v>812.2</v>
      </c>
      <c r="Q1373" t="n">
        <v>563.15</v>
      </c>
      <c r="R1373" s="2" t="inlineStr">
        <is>
          <t>VERIFIED_OK</t>
        </is>
      </c>
      <c r="S1373" t="n">
        <v>605.15</v>
      </c>
      <c r="T1373" t="inlineStr">
        <is>
          <t>30-07-2026 09:42 IST</t>
        </is>
      </c>
    </row>
    <row r="1374">
      <c r="A1374" t="n">
        <v>203</v>
      </c>
      <c r="B1374" t="n">
        <v>512070</v>
      </c>
      <c r="C1374" t="inlineStr">
        <is>
          <t>Upl Ltd</t>
        </is>
      </c>
      <c r="D1374" t="n">
        <v>2023</v>
      </c>
      <c r="E1374" t="n">
        <v>608.0999755859375</v>
      </c>
      <c r="F1374" t="n">
        <v>42.28</v>
      </c>
      <c r="G1374" t="inlineStr">
        <is>
          <t>Consolidated first (v4) – needs verification for flagged rows</t>
        </is>
      </c>
      <c r="H1374" t="n">
        <v>780</v>
      </c>
      <c r="I1374" t="n">
        <v>528.3499755859375</v>
      </c>
      <c r="L1374" t="inlineStr">
        <is>
          <t>OK</t>
        </is>
      </c>
      <c r="M1374" t="n">
        <v>18.45</v>
      </c>
      <c r="N1374" t="n">
        <v>12.5</v>
      </c>
      <c r="O1374" t="n">
        <v>605.15</v>
      </c>
      <c r="P1374" t="n">
        <v>812.2</v>
      </c>
      <c r="Q1374" t="n">
        <v>563.15</v>
      </c>
      <c r="R1374" s="2" t="inlineStr">
        <is>
          <t>VERIFIED_OK</t>
        </is>
      </c>
      <c r="S1374" t="n">
        <v>605.15</v>
      </c>
      <c r="T1374" t="inlineStr">
        <is>
          <t>30-07-2026 09:42 IST</t>
        </is>
      </c>
    </row>
    <row r="1375">
      <c r="A1375" t="n">
        <v>203</v>
      </c>
      <c r="B1375" t="n">
        <v>512070</v>
      </c>
      <c r="C1375" t="inlineStr">
        <is>
          <t>Upl Ltd</t>
        </is>
      </c>
      <c r="D1375" t="n">
        <v>2024</v>
      </c>
      <c r="E1375" t="n">
        <v>608.0999755859375</v>
      </c>
      <c r="F1375" t="n">
        <v>-14.21</v>
      </c>
      <c r="G1375" t="inlineStr">
        <is>
          <t>Consolidated first (v4) – needs verification for flagged rows</t>
        </is>
      </c>
      <c r="H1375" t="n">
        <v>625</v>
      </c>
      <c r="I1375" t="n">
        <v>448</v>
      </c>
      <c r="L1375" t="inlineStr">
        <is>
          <t>UNVERIFIED – negative EPS</t>
        </is>
      </c>
      <c r="M1375" t="n">
        <v>-43.98</v>
      </c>
      <c r="N1375" t="n">
        <v>-31.53</v>
      </c>
      <c r="O1375" t="n">
        <v>605.15</v>
      </c>
      <c r="P1375" t="n">
        <v>812.2</v>
      </c>
      <c r="Q1375" t="n">
        <v>563.15</v>
      </c>
      <c r="R1375" s="2" t="inlineStr">
        <is>
          <t>VERIFIED_OK</t>
        </is>
      </c>
      <c r="S1375" t="n">
        <v>605.15</v>
      </c>
      <c r="T1375" t="inlineStr">
        <is>
          <t>30-07-2026 09:42 IST</t>
        </is>
      </c>
    </row>
    <row r="1376">
      <c r="A1376" t="n">
        <v>203</v>
      </c>
      <c r="B1376" t="n">
        <v>512070</v>
      </c>
      <c r="C1376" t="inlineStr">
        <is>
          <t>Upl Ltd</t>
        </is>
      </c>
      <c r="D1376" t="n">
        <v>2025</v>
      </c>
      <c r="E1376" t="n">
        <v>608.0999755859375</v>
      </c>
      <c r="F1376" t="n">
        <v>10.62</v>
      </c>
      <c r="G1376" t="inlineStr">
        <is>
          <t>Consolidated first (v4) – needs verification for flagged rows</t>
        </is>
      </c>
      <c r="H1376" t="n">
        <v>800.9500122070312</v>
      </c>
      <c r="I1376" t="n">
        <v>498.1000061035156</v>
      </c>
      <c r="L1376" t="inlineStr">
        <is>
          <t>OK</t>
        </is>
      </c>
      <c r="M1376" t="n">
        <v>75.42</v>
      </c>
      <c r="N1376" t="n">
        <v>46.9</v>
      </c>
      <c r="O1376" t="n">
        <v>605.15</v>
      </c>
      <c r="P1376" t="n">
        <v>812.2</v>
      </c>
      <c r="Q1376" t="n">
        <v>563.15</v>
      </c>
      <c r="R1376" s="2" t="inlineStr">
        <is>
          <t>VERIFIED_OK</t>
        </is>
      </c>
      <c r="S1376" t="n">
        <v>605.15</v>
      </c>
      <c r="T1376" t="inlineStr">
        <is>
          <t>30-07-2026 09:42 IST</t>
        </is>
      </c>
    </row>
    <row r="1377">
      <c r="A1377" t="n">
        <v>203</v>
      </c>
      <c r="B1377" t="n">
        <v>512070</v>
      </c>
      <c r="C1377" t="inlineStr">
        <is>
          <t>Upl Ltd</t>
        </is>
      </c>
      <c r="D1377" t="n">
        <v>2026</v>
      </c>
      <c r="E1377" t="n">
        <v>608.0999755859375</v>
      </c>
      <c r="F1377" t="n">
        <v>22.78</v>
      </c>
      <c r="G1377" t="inlineStr">
        <is>
          <t>Consolidated first (v4) – needs verification for flagged rows</t>
        </is>
      </c>
      <c r="H1377" t="n">
        <v>812</v>
      </c>
      <c r="I1377" t="n">
        <v>563.25</v>
      </c>
      <c r="L1377" t="inlineStr">
        <is>
          <t>OK</t>
        </is>
      </c>
      <c r="M1377" t="n">
        <v>35.65</v>
      </c>
      <c r="N1377" t="n">
        <v>24.73</v>
      </c>
      <c r="O1377" t="n">
        <v>605.15</v>
      </c>
      <c r="P1377" t="n">
        <v>812.2</v>
      </c>
      <c r="Q1377" t="n">
        <v>563.15</v>
      </c>
      <c r="R1377" s="2" t="inlineStr">
        <is>
          <t>VERIFIED_OK</t>
        </is>
      </c>
      <c r="S1377" t="n">
        <v>605.15</v>
      </c>
      <c r="T1377" t="inlineStr">
        <is>
          <t>30-07-2026 09:42 IST</t>
        </is>
      </c>
    </row>
    <row r="1378">
      <c r="A1378" t="n">
        <v>204</v>
      </c>
      <c r="B1378" t="n">
        <v>512101</v>
      </c>
      <c r="C1378" t="inlineStr">
        <is>
          <t>Triochem Products Ltd</t>
        </is>
      </c>
      <c r="D1378" t="n">
        <v>2026</v>
      </c>
      <c r="E1378" t="n">
        <v>17.39999961853027</v>
      </c>
      <c r="F1378" t="n">
        <v>325.31</v>
      </c>
      <c r="G1378" t="inlineStr">
        <is>
          <t>Consolidated first (v4) – needs verification for flagged rows</t>
        </is>
      </c>
      <c r="H1378" t="n">
        <v>17.39999961853027</v>
      </c>
      <c r="I1378" t="n">
        <v>17.39999961853027</v>
      </c>
      <c r="L1378" t="inlineStr">
        <is>
          <t>OK</t>
        </is>
      </c>
      <c r="M1378" t="n">
        <v>0.05</v>
      </c>
      <c r="N1378" t="n">
        <v>0.05</v>
      </c>
      <c r="O1378" t="n">
        <v>17.4</v>
      </c>
      <c r="P1378" t="n">
        <v>17.4</v>
      </c>
      <c r="Q1378" t="n">
        <v>17.4</v>
      </c>
      <c r="R1378" s="2" t="inlineStr">
        <is>
          <t>VERIFIED_OK</t>
        </is>
      </c>
      <c r="S1378" t="n">
        <v>17.4</v>
      </c>
      <c r="T1378" t="inlineStr">
        <is>
          <t>30-07-2026 09:42 IST</t>
        </is>
      </c>
    </row>
    <row r="1379">
      <c r="A1379" t="n">
        <v>205</v>
      </c>
      <c r="B1379" t="n">
        <v>512115</v>
      </c>
      <c r="C1379" t="inlineStr">
        <is>
          <t>Rose Merc Ltd</t>
        </is>
      </c>
      <c r="D1379" t="n">
        <v>2015</v>
      </c>
      <c r="E1379" t="n">
        <v>63.4900016784668</v>
      </c>
      <c r="G1379" t="inlineStr">
        <is>
          <t>Consolidated first (v4) – needs verification for flagged rows</t>
        </is>
      </c>
      <c r="H1379" t="n">
        <v>2.369999885559082</v>
      </c>
      <c r="I1379" t="n">
        <v>2.369999885559082</v>
      </c>
      <c r="L1379" t="inlineStr">
        <is>
          <t>INCOMPLETE</t>
        </is>
      </c>
      <c r="O1379" t="n">
        <v>121.7</v>
      </c>
      <c r="P1379" t="n">
        <v>197.75</v>
      </c>
      <c r="Q1379" t="n">
        <v>94.2</v>
      </c>
      <c r="R1379" s="3" t="inlineStr">
        <is>
          <t>MISMATCH_NEEDS_CORRECTION</t>
        </is>
      </c>
      <c r="S1379" t="n">
        <v>121.7</v>
      </c>
      <c r="T1379" t="inlineStr">
        <is>
          <t>30-07-2026 09:42 IST</t>
        </is>
      </c>
    </row>
    <row r="1380">
      <c r="A1380" t="n">
        <v>205</v>
      </c>
      <c r="B1380" t="n">
        <v>512115</v>
      </c>
      <c r="C1380" t="inlineStr">
        <is>
          <t>Rose Merc Ltd</t>
        </is>
      </c>
      <c r="D1380" t="n">
        <v>2016</v>
      </c>
      <c r="E1380" t="n">
        <v>63.4900016784668</v>
      </c>
      <c r="G1380" t="inlineStr">
        <is>
          <t>Consolidated first (v4) – needs verification for flagged rows</t>
        </is>
      </c>
      <c r="H1380" t="n">
        <v>2.369999885559082</v>
      </c>
      <c r="I1380" t="n">
        <v>2.369999885559082</v>
      </c>
      <c r="L1380" t="inlineStr">
        <is>
          <t>INCOMPLETE</t>
        </is>
      </c>
      <c r="O1380" t="n">
        <v>121.7</v>
      </c>
      <c r="P1380" t="n">
        <v>197.75</v>
      </c>
      <c r="Q1380" t="n">
        <v>94.2</v>
      </c>
      <c r="R1380" s="3" t="inlineStr">
        <is>
          <t>MISMATCH_NEEDS_CORRECTION</t>
        </is>
      </c>
      <c r="S1380" t="n">
        <v>121.7</v>
      </c>
      <c r="T1380" t="inlineStr">
        <is>
          <t>30-07-2026 09:42 IST</t>
        </is>
      </c>
    </row>
    <row r="1381">
      <c r="A1381" t="n">
        <v>205</v>
      </c>
      <c r="B1381" t="n">
        <v>512115</v>
      </c>
      <c r="C1381" t="inlineStr">
        <is>
          <t>Rose Merc Ltd</t>
        </is>
      </c>
      <c r="D1381" t="n">
        <v>2017</v>
      </c>
      <c r="E1381" t="n">
        <v>63.4900016784668</v>
      </c>
      <c r="G1381" t="inlineStr">
        <is>
          <t>Consolidated first (v4) – needs verification for flagged rows</t>
        </is>
      </c>
      <c r="H1381" t="n">
        <v>2.369999885559082</v>
      </c>
      <c r="I1381" t="n">
        <v>2.369999885559082</v>
      </c>
      <c r="L1381" t="inlineStr">
        <is>
          <t>INCOMPLETE</t>
        </is>
      </c>
      <c r="O1381" t="n">
        <v>121.7</v>
      </c>
      <c r="P1381" t="n">
        <v>197.75</v>
      </c>
      <c r="Q1381" t="n">
        <v>94.2</v>
      </c>
      <c r="R1381" s="3" t="inlineStr">
        <is>
          <t>MISMATCH_NEEDS_CORRECTION</t>
        </is>
      </c>
      <c r="S1381" t="n">
        <v>121.7</v>
      </c>
      <c r="T1381" t="inlineStr">
        <is>
          <t>30-07-2026 09:42 IST</t>
        </is>
      </c>
    </row>
    <row r="1382">
      <c r="A1382" t="n">
        <v>205</v>
      </c>
      <c r="B1382" t="n">
        <v>512115</v>
      </c>
      <c r="C1382" t="inlineStr">
        <is>
          <t>Rose Merc Ltd</t>
        </is>
      </c>
      <c r="D1382" t="n">
        <v>2018</v>
      </c>
      <c r="E1382" t="n">
        <v>63.4900016784668</v>
      </c>
      <c r="G1382" t="inlineStr">
        <is>
          <t>Consolidated first (v4) – needs verification for flagged rows</t>
        </is>
      </c>
      <c r="H1382" t="n">
        <v>2.369999885559082</v>
      </c>
      <c r="I1382" t="n">
        <v>2.369999885559082</v>
      </c>
      <c r="L1382" t="inlineStr">
        <is>
          <t>INCOMPLETE</t>
        </is>
      </c>
      <c r="O1382" t="n">
        <v>121.7</v>
      </c>
      <c r="P1382" t="n">
        <v>197.75</v>
      </c>
      <c r="Q1382" t="n">
        <v>94.2</v>
      </c>
      <c r="R1382" s="3" t="inlineStr">
        <is>
          <t>MISMATCH_NEEDS_CORRECTION</t>
        </is>
      </c>
      <c r="S1382" t="n">
        <v>121.7</v>
      </c>
      <c r="T1382" t="inlineStr">
        <is>
          <t>30-07-2026 09:42 IST</t>
        </is>
      </c>
    </row>
    <row r="1383">
      <c r="A1383" t="n">
        <v>205</v>
      </c>
      <c r="B1383" t="n">
        <v>512115</v>
      </c>
      <c r="C1383" t="inlineStr">
        <is>
          <t>Rose Merc Ltd</t>
        </is>
      </c>
      <c r="D1383" t="n">
        <v>2019</v>
      </c>
      <c r="E1383" t="n">
        <v>63.4900016784668</v>
      </c>
      <c r="G1383" t="inlineStr">
        <is>
          <t>Consolidated first (v4) – needs verification for flagged rows</t>
        </is>
      </c>
      <c r="H1383" t="n">
        <v>2.369999885559082</v>
      </c>
      <c r="I1383" t="n">
        <v>2.369999885559082</v>
      </c>
      <c r="L1383" t="inlineStr">
        <is>
          <t>INCOMPLETE</t>
        </is>
      </c>
      <c r="O1383" t="n">
        <v>121.7</v>
      </c>
      <c r="P1383" t="n">
        <v>197.75</v>
      </c>
      <c r="Q1383" t="n">
        <v>94.2</v>
      </c>
      <c r="R1383" s="3" t="inlineStr">
        <is>
          <t>MISMATCH_NEEDS_CORRECTION</t>
        </is>
      </c>
      <c r="S1383" t="n">
        <v>121.7</v>
      </c>
      <c r="T1383" t="inlineStr">
        <is>
          <t>30-07-2026 09:42 IST</t>
        </is>
      </c>
    </row>
    <row r="1384">
      <c r="A1384" t="n">
        <v>205</v>
      </c>
      <c r="B1384" t="n">
        <v>512115</v>
      </c>
      <c r="C1384" t="inlineStr">
        <is>
          <t>Rose Merc Ltd</t>
        </is>
      </c>
      <c r="D1384" t="n">
        <v>2020</v>
      </c>
      <c r="E1384" t="n">
        <v>63.4900016784668</v>
      </c>
      <c r="G1384" t="inlineStr">
        <is>
          <t>Consolidated first (v4) – needs verification for flagged rows</t>
        </is>
      </c>
      <c r="H1384" t="n">
        <v>2.369999885559082</v>
      </c>
      <c r="I1384" t="n">
        <v>2.369999885559082</v>
      </c>
      <c r="L1384" t="inlineStr">
        <is>
          <t>INCOMPLETE</t>
        </is>
      </c>
      <c r="O1384" t="n">
        <v>121.7</v>
      </c>
      <c r="P1384" t="n">
        <v>197.75</v>
      </c>
      <c r="Q1384" t="n">
        <v>94.2</v>
      </c>
      <c r="R1384" s="3" t="inlineStr">
        <is>
          <t>MISMATCH_NEEDS_CORRECTION</t>
        </is>
      </c>
      <c r="S1384" t="n">
        <v>121.7</v>
      </c>
      <c r="T1384" t="inlineStr">
        <is>
          <t>30-07-2026 09:42 IST</t>
        </is>
      </c>
    </row>
    <row r="1385">
      <c r="A1385" t="n">
        <v>205</v>
      </c>
      <c r="B1385" t="n">
        <v>512115</v>
      </c>
      <c r="C1385" t="inlineStr">
        <is>
          <t>Rose Merc Ltd</t>
        </is>
      </c>
      <c r="D1385" t="n">
        <v>2021</v>
      </c>
      <c r="E1385" t="n">
        <v>63.4900016784668</v>
      </c>
      <c r="G1385" t="inlineStr">
        <is>
          <t>Consolidated first (v4) – needs verification for flagged rows</t>
        </is>
      </c>
      <c r="H1385" t="n">
        <v>2.369999885559082</v>
      </c>
      <c r="I1385" t="n">
        <v>2.369999885559082</v>
      </c>
      <c r="L1385" t="inlineStr">
        <is>
          <t>INCOMPLETE</t>
        </is>
      </c>
      <c r="O1385" t="n">
        <v>121.7</v>
      </c>
      <c r="P1385" t="n">
        <v>197.75</v>
      </c>
      <c r="Q1385" t="n">
        <v>94.2</v>
      </c>
      <c r="R1385" s="3" t="inlineStr">
        <is>
          <t>MISMATCH_NEEDS_CORRECTION</t>
        </is>
      </c>
      <c r="S1385" t="n">
        <v>121.7</v>
      </c>
      <c r="T1385" t="inlineStr">
        <is>
          <t>30-07-2026 09:42 IST</t>
        </is>
      </c>
    </row>
    <row r="1386">
      <c r="A1386" t="n">
        <v>205</v>
      </c>
      <c r="B1386" t="n">
        <v>512115</v>
      </c>
      <c r="C1386" t="inlineStr">
        <is>
          <t>Rose Merc Ltd</t>
        </is>
      </c>
      <c r="D1386" t="n">
        <v>2022</v>
      </c>
      <c r="E1386" t="n">
        <v>63.4900016784668</v>
      </c>
      <c r="G1386" t="inlineStr">
        <is>
          <t>Consolidated first (v4) – needs verification for flagged rows</t>
        </is>
      </c>
      <c r="H1386" t="n">
        <v>37.5</v>
      </c>
      <c r="I1386" t="n">
        <v>2.369999885559082</v>
      </c>
      <c r="L1386" t="inlineStr">
        <is>
          <t>INCOMPLETE</t>
        </is>
      </c>
      <c r="O1386" t="n">
        <v>121.7</v>
      </c>
      <c r="P1386" t="n">
        <v>197.75</v>
      </c>
      <c r="Q1386" t="n">
        <v>94.2</v>
      </c>
      <c r="R1386" s="3" t="inlineStr">
        <is>
          <t>MISMATCH_NEEDS_CORRECTION</t>
        </is>
      </c>
      <c r="S1386" t="n">
        <v>121.7</v>
      </c>
      <c r="T1386" t="inlineStr">
        <is>
          <t>30-07-2026 09:42 IST</t>
        </is>
      </c>
    </row>
    <row r="1387">
      <c r="A1387" t="n">
        <v>205</v>
      </c>
      <c r="B1387" t="n">
        <v>512115</v>
      </c>
      <c r="C1387" t="inlineStr">
        <is>
          <t>Rose Merc Ltd</t>
        </is>
      </c>
      <c r="D1387" t="n">
        <v>2023</v>
      </c>
      <c r="E1387" t="n">
        <v>63.4900016784668</v>
      </c>
      <c r="F1387" t="n">
        <v>-0.76</v>
      </c>
      <c r="G1387" t="inlineStr">
        <is>
          <t>Consolidated first (v4) – needs verification for flagged rows</t>
        </is>
      </c>
      <c r="H1387" t="n">
        <v>114.8199996948242</v>
      </c>
      <c r="I1387" t="n">
        <v>22.64999961853027</v>
      </c>
      <c r="L1387" t="inlineStr">
        <is>
          <t>UNVERIFIED – negative EPS</t>
        </is>
      </c>
      <c r="M1387" t="n">
        <v>-151.08</v>
      </c>
      <c r="N1387" t="n">
        <v>-29.8</v>
      </c>
      <c r="O1387" t="n">
        <v>121.7</v>
      </c>
      <c r="P1387" t="n">
        <v>197.75</v>
      </c>
      <c r="Q1387" t="n">
        <v>94.2</v>
      </c>
      <c r="R1387" s="3" t="inlineStr">
        <is>
          <t>MISMATCH_NEEDS_CORRECTION</t>
        </is>
      </c>
      <c r="S1387" t="n">
        <v>121.7</v>
      </c>
      <c r="T1387" t="inlineStr">
        <is>
          <t>30-07-2026 09:42 IST</t>
        </is>
      </c>
    </row>
    <row r="1388">
      <c r="A1388" t="n">
        <v>205</v>
      </c>
      <c r="B1388" t="n">
        <v>512115</v>
      </c>
      <c r="C1388" t="inlineStr">
        <is>
          <t>Rose Merc Ltd</t>
        </is>
      </c>
      <c r="D1388" t="n">
        <v>2024</v>
      </c>
      <c r="E1388" t="n">
        <v>63.4900016784668</v>
      </c>
      <c r="F1388" t="n">
        <v>0.86</v>
      </c>
      <c r="G1388" t="inlineStr">
        <is>
          <t>Consolidated first (v4) – needs verification for flagged rows</t>
        </is>
      </c>
      <c r="H1388" t="n">
        <v>197.75</v>
      </c>
      <c r="I1388" t="n">
        <v>94.19999694824219</v>
      </c>
      <c r="L1388" t="inlineStr">
        <is>
          <t>OK</t>
        </is>
      </c>
      <c r="M1388" t="n">
        <v>229.94</v>
      </c>
      <c r="N1388" t="n">
        <v>109.53</v>
      </c>
      <c r="O1388" t="n">
        <v>121.7</v>
      </c>
      <c r="P1388" t="n">
        <v>197.75</v>
      </c>
      <c r="Q1388" t="n">
        <v>94.2</v>
      </c>
      <c r="R1388" s="3" t="inlineStr">
        <is>
          <t>MISMATCH_NEEDS_CORRECTION</t>
        </is>
      </c>
      <c r="S1388" t="n">
        <v>121.7</v>
      </c>
      <c r="T1388" t="inlineStr">
        <is>
          <t>30-07-2026 09:42 IST</t>
        </is>
      </c>
    </row>
    <row r="1389">
      <c r="A1389" t="n">
        <v>205</v>
      </c>
      <c r="B1389" t="n">
        <v>512115</v>
      </c>
      <c r="C1389" t="inlineStr">
        <is>
          <t>Rose Merc Ltd</t>
        </is>
      </c>
      <c r="D1389" t="n">
        <v>2025</v>
      </c>
      <c r="E1389" t="n">
        <v>63.4900016784668</v>
      </c>
      <c r="F1389" t="n">
        <v>-1.01</v>
      </c>
      <c r="G1389" t="inlineStr">
        <is>
          <t>Consolidated first (v4) – needs verification for flagged rows</t>
        </is>
      </c>
      <c r="H1389" t="n">
        <v>115.9499969482422</v>
      </c>
      <c r="I1389" t="n">
        <v>41.0099983215332</v>
      </c>
      <c r="L1389" t="inlineStr">
        <is>
          <t>UNVERIFIED – negative EPS</t>
        </is>
      </c>
      <c r="M1389" t="n">
        <v>-114.8</v>
      </c>
      <c r="N1389" t="n">
        <v>-40.6</v>
      </c>
      <c r="O1389" t="n">
        <v>121.7</v>
      </c>
      <c r="P1389" t="n">
        <v>197.75</v>
      </c>
      <c r="Q1389" t="n">
        <v>94.2</v>
      </c>
      <c r="R1389" s="3" t="inlineStr">
        <is>
          <t>MISMATCH_NEEDS_CORRECTION</t>
        </is>
      </c>
      <c r="S1389" t="n">
        <v>121.7</v>
      </c>
      <c r="T1389" t="inlineStr">
        <is>
          <t>30-07-2026 09:42 IST</t>
        </is>
      </c>
    </row>
    <row r="1390">
      <c r="A1390" t="n">
        <v>205</v>
      </c>
      <c r="B1390" t="n">
        <v>512115</v>
      </c>
      <c r="C1390" t="inlineStr">
        <is>
          <t>Rose Merc Ltd</t>
        </is>
      </c>
      <c r="D1390" t="n">
        <v>2026</v>
      </c>
      <c r="E1390" t="n">
        <v>63.4900016784668</v>
      </c>
      <c r="F1390" t="n">
        <v>9.48</v>
      </c>
      <c r="G1390" t="inlineStr">
        <is>
          <t>Consolidated first (v4) – needs verification for flagged rows</t>
        </is>
      </c>
      <c r="H1390" t="n">
        <v>91</v>
      </c>
      <c r="I1390" t="n">
        <v>54</v>
      </c>
      <c r="L1390" t="inlineStr">
        <is>
          <t>OK</t>
        </is>
      </c>
      <c r="M1390" t="n">
        <v>9.6</v>
      </c>
      <c r="N1390" t="n">
        <v>5.7</v>
      </c>
      <c r="O1390" t="n">
        <v>121.7</v>
      </c>
      <c r="P1390" t="n">
        <v>197.75</v>
      </c>
      <c r="Q1390" t="n">
        <v>94.2</v>
      </c>
      <c r="R1390" s="3" t="inlineStr">
        <is>
          <t>MISMATCH_NEEDS_CORRECTION</t>
        </is>
      </c>
      <c r="S1390" t="n">
        <v>121.7</v>
      </c>
      <c r="T1390" t="inlineStr">
        <is>
          <t>30-07-2026 09:42 IST</t>
        </is>
      </c>
    </row>
    <row r="1391">
      <c r="A1391" t="n">
        <v>206</v>
      </c>
      <c r="B1391" t="n">
        <v>512161</v>
      </c>
      <c r="C1391" t="inlineStr">
        <is>
          <t>8K Miles Software Services Ltd</t>
        </is>
      </c>
      <c r="D1391" t="n">
        <v>2015</v>
      </c>
      <c r="E1391" t="n">
        <v>17.57999992370605</v>
      </c>
      <c r="F1391" t="n">
        <v>6.88</v>
      </c>
      <c r="G1391" t="inlineStr">
        <is>
          <t>Consolidated first (v4) – needs verification for flagged rows</t>
        </is>
      </c>
      <c r="H1391" t="n">
        <v>809.1564331054688</v>
      </c>
      <c r="I1391" t="n">
        <v>215.6250457763672</v>
      </c>
      <c r="L1391" t="inlineStr">
        <is>
          <t>OK</t>
        </is>
      </c>
      <c r="M1391" t="n">
        <v>117.61</v>
      </c>
      <c r="N1391" t="n">
        <v>31.34</v>
      </c>
      <c r="O1391">
        <f>IFERROR(VLOOKUP(B1391,BSE_500_LIVE!A:E,3,FALSE),"")</f>
        <v/>
      </c>
      <c r="P1391">
        <f>IFERROR(VLOOKUP(B1391,BSE_500_LIVE!A:E,4,FALSE),"")</f>
        <v/>
      </c>
      <c r="Q1391">
        <f>IFERROR(VLOOKUP(B1391,BSE_500_LIVE!A:E,5,FALSE),"")</f>
        <v/>
      </c>
      <c r="R1391">
        <f>IF(OR(E1391="",O1391=""),"PENDING_FETCH",IF(ABS(E1391-O1391)/E1391&gt;0.005,"MISMATCH_NEEDS_CORRECTION","VERIFIED_OK"))</f>
        <v/>
      </c>
      <c r="S1391">
        <f>IF(O1391&lt;&gt;"",O1391,E1391)</f>
        <v/>
      </c>
      <c r="T1391">
        <f>IFERROR(VLOOKUP(B1391,BSE_500_LIVE!A:F,6,FALSE),"")</f>
        <v/>
      </c>
    </row>
    <row r="1392">
      <c r="A1392" t="n">
        <v>206</v>
      </c>
      <c r="B1392" t="n">
        <v>512161</v>
      </c>
      <c r="C1392" t="inlineStr">
        <is>
          <t>8K Miles Software Services Ltd</t>
        </is>
      </c>
      <c r="D1392" t="n">
        <v>2016</v>
      </c>
      <c r="E1392" t="n">
        <v>17.57999992370605</v>
      </c>
      <c r="F1392" t="n">
        <v>13.65</v>
      </c>
      <c r="G1392" t="inlineStr">
        <is>
          <t>Consolidated first (v4) – needs verification for flagged rows</t>
        </is>
      </c>
      <c r="H1392" t="n">
        <v>956.250244140625</v>
      </c>
      <c r="I1392" t="n">
        <v>478.1251220703125</v>
      </c>
      <c r="L1392" t="inlineStr">
        <is>
          <t>OK</t>
        </is>
      </c>
      <c r="M1392" t="n">
        <v>70.05</v>
      </c>
      <c r="N1392" t="n">
        <v>35.03</v>
      </c>
      <c r="O1392">
        <f>IFERROR(VLOOKUP(B1392,BSE_500_LIVE!A:E,3,FALSE),"")</f>
        <v/>
      </c>
      <c r="P1392">
        <f>IFERROR(VLOOKUP(B1392,BSE_500_LIVE!A:E,4,FALSE),"")</f>
        <v/>
      </c>
      <c r="Q1392">
        <f>IFERROR(VLOOKUP(B1392,BSE_500_LIVE!A:E,5,FALSE),"")</f>
        <v/>
      </c>
      <c r="R1392">
        <f>IF(OR(E1392="",O1392=""),"PENDING_FETCH",IF(ABS(E1392-O1392)/E1392&gt;0.005,"MISMATCH_NEEDS_CORRECTION","VERIFIED_OK"))</f>
        <v/>
      </c>
      <c r="S1392">
        <f>IF(O1392&lt;&gt;"",O1392,E1392)</f>
        <v/>
      </c>
      <c r="T1392">
        <f>IFERROR(VLOOKUP(B1392,BSE_500_LIVE!A:F,6,FALSE),"")</f>
        <v/>
      </c>
    </row>
    <row r="1393">
      <c r="A1393" t="n">
        <v>206</v>
      </c>
      <c r="B1393" t="n">
        <v>512161</v>
      </c>
      <c r="C1393" t="inlineStr">
        <is>
          <t>8K Miles Software Services Ltd</t>
        </is>
      </c>
      <c r="D1393" t="n">
        <v>2017</v>
      </c>
      <c r="E1393" t="n">
        <v>17.57999992370605</v>
      </c>
      <c r="F1393" t="n">
        <v>34.23</v>
      </c>
      <c r="G1393" t="inlineStr">
        <is>
          <t>Consolidated first (v4) – needs verification for flagged rows</t>
        </is>
      </c>
      <c r="H1393" t="n">
        <v>1024</v>
      </c>
      <c r="I1393" t="n">
        <v>364.75</v>
      </c>
      <c r="L1393" t="inlineStr">
        <is>
          <t>OK</t>
        </is>
      </c>
      <c r="M1393" t="n">
        <v>29.92</v>
      </c>
      <c r="N1393" t="n">
        <v>10.66</v>
      </c>
      <c r="O1393">
        <f>IFERROR(VLOOKUP(B1393,BSE_500_LIVE!A:E,3,FALSE),"")</f>
        <v/>
      </c>
      <c r="P1393">
        <f>IFERROR(VLOOKUP(B1393,BSE_500_LIVE!A:E,4,FALSE),"")</f>
        <v/>
      </c>
      <c r="Q1393">
        <f>IFERROR(VLOOKUP(B1393,BSE_500_LIVE!A:E,5,FALSE),"")</f>
        <v/>
      </c>
      <c r="R1393">
        <f>IF(OR(E1393="",O1393=""),"PENDING_FETCH",IF(ABS(E1393-O1393)/E1393&gt;0.005,"MISMATCH_NEEDS_CORRECTION","VERIFIED_OK"))</f>
        <v/>
      </c>
      <c r="S1393">
        <f>IF(O1393&lt;&gt;"",O1393,E1393)</f>
        <v/>
      </c>
      <c r="T1393">
        <f>IFERROR(VLOOKUP(B1393,BSE_500_LIVE!A:F,6,FALSE),"")</f>
        <v/>
      </c>
    </row>
    <row r="1394">
      <c r="A1394" t="n">
        <v>206</v>
      </c>
      <c r="B1394" t="n">
        <v>512161</v>
      </c>
      <c r="C1394" t="inlineStr">
        <is>
          <t>8K Miles Software Services Ltd</t>
        </is>
      </c>
      <c r="D1394" t="n">
        <v>2018</v>
      </c>
      <c r="E1394" t="n">
        <v>17.57999992370605</v>
      </c>
      <c r="F1394" t="n">
        <v>56.24</v>
      </c>
      <c r="G1394" t="inlineStr">
        <is>
          <t>Consolidated first (v4) – needs verification for flagged rows</t>
        </is>
      </c>
      <c r="H1394" t="n">
        <v>914.3499755859375</v>
      </c>
      <c r="I1394" t="n">
        <v>55</v>
      </c>
      <c r="L1394" t="inlineStr">
        <is>
          <t>OK</t>
        </is>
      </c>
      <c r="M1394" t="n">
        <v>16.26</v>
      </c>
      <c r="N1394" t="n">
        <v>0.98</v>
      </c>
      <c r="O1394">
        <f>IFERROR(VLOOKUP(B1394,BSE_500_LIVE!A:E,3,FALSE),"")</f>
        <v/>
      </c>
      <c r="P1394">
        <f>IFERROR(VLOOKUP(B1394,BSE_500_LIVE!A:E,4,FALSE),"")</f>
        <v/>
      </c>
      <c r="Q1394">
        <f>IFERROR(VLOOKUP(B1394,BSE_500_LIVE!A:E,5,FALSE),"")</f>
        <v/>
      </c>
      <c r="R1394">
        <f>IF(OR(E1394="",O1394=""),"PENDING_FETCH",IF(ABS(E1394-O1394)/E1394&gt;0.005,"MISMATCH_NEEDS_CORRECTION","VERIFIED_OK"))</f>
        <v/>
      </c>
      <c r="S1394">
        <f>IF(O1394&lt;&gt;"",O1394,E1394)</f>
        <v/>
      </c>
      <c r="T1394">
        <f>IFERROR(VLOOKUP(B1394,BSE_500_LIVE!A:F,6,FALSE),"")</f>
        <v/>
      </c>
    </row>
    <row r="1395">
      <c r="A1395" t="n">
        <v>206</v>
      </c>
      <c r="B1395" t="n">
        <v>512161</v>
      </c>
      <c r="C1395" t="inlineStr">
        <is>
          <t>8K Miles Software Services Ltd</t>
        </is>
      </c>
      <c r="D1395" t="n">
        <v>2019</v>
      </c>
      <c r="E1395" t="n">
        <v>17.57999992370605</v>
      </c>
      <c r="F1395" t="n">
        <v>22.52</v>
      </c>
      <c r="G1395" t="inlineStr">
        <is>
          <t>Consolidated first (v4) – needs verification for flagged rows</t>
        </is>
      </c>
      <c r="H1395" t="n">
        <v>167.3000030517578</v>
      </c>
      <c r="I1395" t="n">
        <v>32.59999847412109</v>
      </c>
      <c r="L1395" t="inlineStr">
        <is>
          <t>OK</t>
        </is>
      </c>
      <c r="M1395" t="n">
        <v>7.43</v>
      </c>
      <c r="N1395" t="n">
        <v>1.45</v>
      </c>
      <c r="O1395">
        <f>IFERROR(VLOOKUP(B1395,BSE_500_LIVE!A:E,3,FALSE),"")</f>
        <v/>
      </c>
      <c r="P1395">
        <f>IFERROR(VLOOKUP(B1395,BSE_500_LIVE!A:E,4,FALSE),"")</f>
        <v/>
      </c>
      <c r="Q1395">
        <f>IFERROR(VLOOKUP(B1395,BSE_500_LIVE!A:E,5,FALSE),"")</f>
        <v/>
      </c>
      <c r="R1395">
        <f>IF(OR(E1395="",O1395=""),"PENDING_FETCH",IF(ABS(E1395-O1395)/E1395&gt;0.005,"MISMATCH_NEEDS_CORRECTION","VERIFIED_OK"))</f>
        <v/>
      </c>
      <c r="S1395">
        <f>IF(O1395&lt;&gt;"",O1395,E1395)</f>
        <v/>
      </c>
      <c r="T1395">
        <f>IFERROR(VLOOKUP(B1395,BSE_500_LIVE!A:F,6,FALSE),"")</f>
        <v/>
      </c>
    </row>
    <row r="1396">
      <c r="A1396" t="n">
        <v>206</v>
      </c>
      <c r="B1396" t="n">
        <v>512161</v>
      </c>
      <c r="C1396" t="inlineStr">
        <is>
          <t>8K Miles Software Services Ltd</t>
        </is>
      </c>
      <c r="D1396" t="n">
        <v>2020</v>
      </c>
      <c r="E1396" t="n">
        <v>17.57999992370605</v>
      </c>
      <c r="F1396" t="n">
        <v>-164.42</v>
      </c>
      <c r="G1396" t="inlineStr">
        <is>
          <t>Consolidated first (v4) – needs verification for flagged rows</t>
        </is>
      </c>
      <c r="H1396" t="n">
        <v>111.3499984741211</v>
      </c>
      <c r="I1396" t="n">
        <v>20.29999923706055</v>
      </c>
      <c r="L1396" t="inlineStr">
        <is>
          <t>UNVERIFIED – negative EPS</t>
        </is>
      </c>
      <c r="M1396" t="n">
        <v>-0.68</v>
      </c>
      <c r="N1396" t="n">
        <v>-0.12</v>
      </c>
      <c r="O1396">
        <f>IFERROR(VLOOKUP(B1396,BSE_500_LIVE!A:E,3,FALSE),"")</f>
        <v/>
      </c>
      <c r="P1396">
        <f>IFERROR(VLOOKUP(B1396,BSE_500_LIVE!A:E,4,FALSE),"")</f>
        <v/>
      </c>
      <c r="Q1396">
        <f>IFERROR(VLOOKUP(B1396,BSE_500_LIVE!A:E,5,FALSE),"")</f>
        <v/>
      </c>
      <c r="R1396">
        <f>IF(OR(E1396="",O1396=""),"PENDING_FETCH",IF(ABS(E1396-O1396)/E1396&gt;0.005,"MISMATCH_NEEDS_CORRECTION","VERIFIED_OK"))</f>
        <v/>
      </c>
      <c r="S1396">
        <f>IF(O1396&lt;&gt;"",O1396,E1396)</f>
        <v/>
      </c>
      <c r="T1396">
        <f>IFERROR(VLOOKUP(B1396,BSE_500_LIVE!A:F,6,FALSE),"")</f>
        <v/>
      </c>
    </row>
    <row r="1397">
      <c r="A1397" t="n">
        <v>206</v>
      </c>
      <c r="B1397" t="n">
        <v>512161</v>
      </c>
      <c r="C1397" t="inlineStr">
        <is>
          <t>8K Miles Software Services Ltd</t>
        </is>
      </c>
      <c r="D1397" t="n">
        <v>2021</v>
      </c>
      <c r="E1397" t="n">
        <v>17.57999992370605</v>
      </c>
      <c r="F1397" t="n">
        <v>0.52</v>
      </c>
      <c r="G1397" t="inlineStr">
        <is>
          <t>Consolidated first (v4) – needs verification for flagged rows</t>
        </is>
      </c>
      <c r="H1397" t="n">
        <v>245.25</v>
      </c>
      <c r="I1397" t="n">
        <v>74.55000305175781</v>
      </c>
      <c r="L1397" t="inlineStr">
        <is>
          <t>OK</t>
        </is>
      </c>
      <c r="M1397" t="n">
        <v>471.63</v>
      </c>
      <c r="N1397" t="n">
        <v>143.37</v>
      </c>
      <c r="O1397">
        <f>IFERROR(VLOOKUP(B1397,BSE_500_LIVE!A:E,3,FALSE),"")</f>
        <v/>
      </c>
      <c r="P1397">
        <f>IFERROR(VLOOKUP(B1397,BSE_500_LIVE!A:E,4,FALSE),"")</f>
        <v/>
      </c>
      <c r="Q1397">
        <f>IFERROR(VLOOKUP(B1397,BSE_500_LIVE!A:E,5,FALSE),"")</f>
        <v/>
      </c>
      <c r="R1397">
        <f>IF(OR(E1397="",O1397=""),"PENDING_FETCH",IF(ABS(E1397-O1397)/E1397&gt;0.005,"MISMATCH_NEEDS_CORRECTION","VERIFIED_OK"))</f>
        <v/>
      </c>
      <c r="S1397">
        <f>IF(O1397&lt;&gt;"",O1397,E1397)</f>
        <v/>
      </c>
      <c r="T1397">
        <f>IFERROR(VLOOKUP(B1397,BSE_500_LIVE!A:F,6,FALSE),"")</f>
        <v/>
      </c>
    </row>
    <row r="1398">
      <c r="A1398" t="n">
        <v>206</v>
      </c>
      <c r="B1398" t="n">
        <v>512161</v>
      </c>
      <c r="C1398" t="inlineStr">
        <is>
          <t>8K Miles Software Services Ltd</t>
        </is>
      </c>
      <c r="D1398" t="n">
        <v>2022</v>
      </c>
      <c r="E1398" t="n">
        <v>17.57999992370605</v>
      </c>
      <c r="F1398" t="n">
        <v>-20.59</v>
      </c>
      <c r="G1398" t="inlineStr">
        <is>
          <t>Consolidated first (v4) – needs verification for flagged rows</t>
        </is>
      </c>
      <c r="H1398" t="n">
        <v>148</v>
      </c>
      <c r="I1398" t="n">
        <v>54.04999923706055</v>
      </c>
      <c r="L1398" t="inlineStr">
        <is>
          <t>UNVERIFIED – negative EPS</t>
        </is>
      </c>
      <c r="M1398" t="n">
        <v>-7.19</v>
      </c>
      <c r="N1398" t="n">
        <v>-2.63</v>
      </c>
      <c r="O1398">
        <f>IFERROR(VLOOKUP(B1398,BSE_500_LIVE!A:E,3,FALSE),"")</f>
        <v/>
      </c>
      <c r="P1398">
        <f>IFERROR(VLOOKUP(B1398,BSE_500_LIVE!A:E,4,FALSE),"")</f>
        <v/>
      </c>
      <c r="Q1398">
        <f>IFERROR(VLOOKUP(B1398,BSE_500_LIVE!A:E,5,FALSE),"")</f>
        <v/>
      </c>
      <c r="R1398">
        <f>IF(OR(E1398="",O1398=""),"PENDING_FETCH",IF(ABS(E1398-O1398)/E1398&gt;0.005,"MISMATCH_NEEDS_CORRECTION","VERIFIED_OK"))</f>
        <v/>
      </c>
      <c r="S1398">
        <f>IF(O1398&lt;&gt;"",O1398,E1398)</f>
        <v/>
      </c>
      <c r="T1398">
        <f>IFERROR(VLOOKUP(B1398,BSE_500_LIVE!A:F,6,FALSE),"")</f>
        <v/>
      </c>
    </row>
    <row r="1399">
      <c r="A1399" t="n">
        <v>206</v>
      </c>
      <c r="B1399" t="n">
        <v>512161</v>
      </c>
      <c r="C1399" t="inlineStr">
        <is>
          <t>8K Miles Software Services Ltd</t>
        </is>
      </c>
      <c r="D1399" t="n">
        <v>2023</v>
      </c>
      <c r="E1399" t="n">
        <v>17.57999992370605</v>
      </c>
      <c r="F1399" t="n">
        <v>-14.54</v>
      </c>
      <c r="G1399" t="inlineStr">
        <is>
          <t>Consolidated first (v4) – needs verification for flagged rows</t>
        </is>
      </c>
      <c r="H1399" t="n">
        <v>65.59999847412109</v>
      </c>
      <c r="I1399" t="n">
        <v>30.05999946594238</v>
      </c>
      <c r="L1399" t="inlineStr">
        <is>
          <t>UNVERIFIED – negative EPS</t>
        </is>
      </c>
      <c r="M1399" t="n">
        <v>-4.51</v>
      </c>
      <c r="N1399" t="n">
        <v>-2.07</v>
      </c>
      <c r="O1399">
        <f>IFERROR(VLOOKUP(B1399,BSE_500_LIVE!A:E,3,FALSE),"")</f>
        <v/>
      </c>
      <c r="P1399">
        <f>IFERROR(VLOOKUP(B1399,BSE_500_LIVE!A:E,4,FALSE),"")</f>
        <v/>
      </c>
      <c r="Q1399">
        <f>IFERROR(VLOOKUP(B1399,BSE_500_LIVE!A:E,5,FALSE),"")</f>
        <v/>
      </c>
      <c r="R1399">
        <f>IF(OR(E1399="",O1399=""),"PENDING_FETCH",IF(ABS(E1399-O1399)/E1399&gt;0.005,"MISMATCH_NEEDS_CORRECTION","VERIFIED_OK"))</f>
        <v/>
      </c>
      <c r="S1399">
        <f>IF(O1399&lt;&gt;"",O1399,E1399)</f>
        <v/>
      </c>
      <c r="T1399">
        <f>IFERROR(VLOOKUP(B1399,BSE_500_LIVE!A:F,6,FALSE),"")</f>
        <v/>
      </c>
    </row>
    <row r="1400">
      <c r="A1400" t="n">
        <v>206</v>
      </c>
      <c r="B1400" t="n">
        <v>512161</v>
      </c>
      <c r="C1400" t="inlineStr">
        <is>
          <t>8K Miles Software Services Ltd</t>
        </is>
      </c>
      <c r="D1400" t="n">
        <v>2024</v>
      </c>
      <c r="E1400" t="n">
        <v>17.57999992370605</v>
      </c>
      <c r="F1400" t="n">
        <v>-28.68</v>
      </c>
      <c r="G1400" t="inlineStr">
        <is>
          <t>Consolidated first (v4) – needs verification for flagged rows</t>
        </is>
      </c>
      <c r="H1400" t="n">
        <v>72.94999694824219</v>
      </c>
      <c r="I1400" t="n">
        <v>29.27000045776367</v>
      </c>
      <c r="L1400" t="inlineStr">
        <is>
          <t>UNVERIFIED – negative EPS</t>
        </is>
      </c>
      <c r="M1400" t="n">
        <v>-2.54</v>
      </c>
      <c r="N1400" t="n">
        <v>-1.02</v>
      </c>
      <c r="O1400">
        <f>IFERROR(VLOOKUP(B1400,BSE_500_LIVE!A:E,3,FALSE),"")</f>
        <v/>
      </c>
      <c r="P1400">
        <f>IFERROR(VLOOKUP(B1400,BSE_500_LIVE!A:E,4,FALSE),"")</f>
        <v/>
      </c>
      <c r="Q1400">
        <f>IFERROR(VLOOKUP(B1400,BSE_500_LIVE!A:E,5,FALSE),"")</f>
        <v/>
      </c>
      <c r="R1400">
        <f>IF(OR(E1400="",O1400=""),"PENDING_FETCH",IF(ABS(E1400-O1400)/E1400&gt;0.005,"MISMATCH_NEEDS_CORRECTION","VERIFIED_OK"))</f>
        <v/>
      </c>
      <c r="S1400">
        <f>IF(O1400&lt;&gt;"",O1400,E1400)</f>
        <v/>
      </c>
      <c r="T1400">
        <f>IFERROR(VLOOKUP(B1400,BSE_500_LIVE!A:F,6,FALSE),"")</f>
        <v/>
      </c>
    </row>
    <row r="1401">
      <c r="A1401" t="n">
        <v>206</v>
      </c>
      <c r="B1401" t="n">
        <v>512161</v>
      </c>
      <c r="C1401" t="inlineStr">
        <is>
          <t>8K Miles Software Services Ltd</t>
        </is>
      </c>
      <c r="D1401" t="n">
        <v>2025</v>
      </c>
      <c r="E1401" t="n">
        <v>17.57999992370605</v>
      </c>
      <c r="F1401" t="n">
        <v>-13.72</v>
      </c>
      <c r="G1401" t="inlineStr">
        <is>
          <t>Consolidated first (v4) – needs verification for flagged rows</t>
        </is>
      </c>
      <c r="H1401" t="n">
        <v>35.40000152587891</v>
      </c>
      <c r="I1401" t="n">
        <v>16.1299991607666</v>
      </c>
      <c r="L1401" t="inlineStr">
        <is>
          <t>UNVERIFIED – negative EPS</t>
        </is>
      </c>
      <c r="M1401" t="n">
        <v>-2.58</v>
      </c>
      <c r="N1401" t="n">
        <v>-1.18</v>
      </c>
      <c r="O1401">
        <f>IFERROR(VLOOKUP(B1401,BSE_500_LIVE!A:E,3,FALSE),"")</f>
        <v/>
      </c>
      <c r="P1401">
        <f>IFERROR(VLOOKUP(B1401,BSE_500_LIVE!A:E,4,FALSE),"")</f>
        <v/>
      </c>
      <c r="Q1401">
        <f>IFERROR(VLOOKUP(B1401,BSE_500_LIVE!A:E,5,FALSE),"")</f>
        <v/>
      </c>
      <c r="R1401">
        <f>IF(OR(E1401="",O1401=""),"PENDING_FETCH",IF(ABS(E1401-O1401)/E1401&gt;0.005,"MISMATCH_NEEDS_CORRECTION","VERIFIED_OK"))</f>
        <v/>
      </c>
      <c r="S1401">
        <f>IF(O1401&lt;&gt;"",O1401,E1401)</f>
        <v/>
      </c>
      <c r="T1401">
        <f>IFERROR(VLOOKUP(B1401,BSE_500_LIVE!A:F,6,FALSE),"")</f>
        <v/>
      </c>
    </row>
    <row r="1402">
      <c r="A1402" t="n">
        <v>206</v>
      </c>
      <c r="B1402" t="n">
        <v>512161</v>
      </c>
      <c r="C1402" t="inlineStr">
        <is>
          <t>8K Miles Software Services Ltd</t>
        </is>
      </c>
      <c r="D1402" t="n">
        <v>2026</v>
      </c>
      <c r="E1402" t="n">
        <v>17.57999992370605</v>
      </c>
      <c r="F1402" t="n">
        <v>-42.07</v>
      </c>
      <c r="G1402" t="inlineStr">
        <is>
          <t>Consolidated first (v4) – needs verification for flagged rows</t>
        </is>
      </c>
      <c r="H1402" t="n">
        <v>27.70000076293945</v>
      </c>
      <c r="I1402" t="n">
        <v>16.8799991607666</v>
      </c>
      <c r="L1402" t="inlineStr">
        <is>
          <t>UNVERIFIED – negative EPS</t>
        </is>
      </c>
      <c r="M1402" t="n">
        <v>-0.66</v>
      </c>
      <c r="N1402" t="n">
        <v>-0.4</v>
      </c>
      <c r="O1402">
        <f>IFERROR(VLOOKUP(B1402,BSE_500_LIVE!A:E,3,FALSE),"")</f>
        <v/>
      </c>
      <c r="P1402">
        <f>IFERROR(VLOOKUP(B1402,BSE_500_LIVE!A:E,4,FALSE),"")</f>
        <v/>
      </c>
      <c r="Q1402">
        <f>IFERROR(VLOOKUP(B1402,BSE_500_LIVE!A:E,5,FALSE),"")</f>
        <v/>
      </c>
      <c r="R1402">
        <f>IF(OR(E1402="",O1402=""),"PENDING_FETCH",IF(ABS(E1402-O1402)/E1402&gt;0.005,"MISMATCH_NEEDS_CORRECTION","VERIFIED_OK"))</f>
        <v/>
      </c>
      <c r="S1402">
        <f>IF(O1402&lt;&gt;"",O1402,E1402)</f>
        <v/>
      </c>
      <c r="T1402">
        <f>IFERROR(VLOOKUP(B1402,BSE_500_LIVE!A:F,6,FALSE),"")</f>
        <v/>
      </c>
    </row>
    <row r="1403">
      <c r="A1403" t="n">
        <v>207</v>
      </c>
      <c r="B1403" t="n">
        <v>512197</v>
      </c>
      <c r="C1403" t="inlineStr">
        <is>
          <t>Sita Enterprises Ltd</t>
        </is>
      </c>
      <c r="D1403" t="n">
        <v>2015</v>
      </c>
      <c r="E1403" t="n">
        <v>7.019999980926514</v>
      </c>
      <c r="F1403" t="n">
        <v>1.24</v>
      </c>
      <c r="G1403" t="inlineStr">
        <is>
          <t>Consolidated first (v4) – needs verification for flagged rows</t>
        </is>
      </c>
      <c r="H1403" t="n">
        <v>7.449999809265137</v>
      </c>
      <c r="I1403" t="n">
        <v>2.569999933242798</v>
      </c>
      <c r="L1403" t="inlineStr">
        <is>
          <t>OK</t>
        </is>
      </c>
      <c r="M1403" t="n">
        <v>6.01</v>
      </c>
      <c r="N1403" t="n">
        <v>2.07</v>
      </c>
      <c r="O1403" t="n">
        <v>3.55</v>
      </c>
      <c r="P1403" t="n">
        <v>7.19</v>
      </c>
      <c r="Q1403" t="n">
        <v>2.55</v>
      </c>
      <c r="R1403" s="3" t="inlineStr">
        <is>
          <t>MISMATCH_NEEDS_CORRECTION</t>
        </is>
      </c>
      <c r="S1403" t="n">
        <v>3.55</v>
      </c>
      <c r="T1403" t="inlineStr">
        <is>
          <t>30-07-2026 09:42 IST</t>
        </is>
      </c>
    </row>
    <row r="1404">
      <c r="A1404" t="n">
        <v>207</v>
      </c>
      <c r="B1404" t="n">
        <v>512197</v>
      </c>
      <c r="C1404" t="inlineStr">
        <is>
          <t>Sita Enterprises Ltd</t>
        </is>
      </c>
      <c r="D1404" t="n">
        <v>2016</v>
      </c>
      <c r="E1404" t="n">
        <v>7.019999980926514</v>
      </c>
      <c r="F1404" t="n">
        <v>-0.29</v>
      </c>
      <c r="G1404" t="inlineStr">
        <is>
          <t>Consolidated first (v4) – needs verification for flagged rows</t>
        </is>
      </c>
      <c r="H1404" t="n">
        <v>2.819999933242798</v>
      </c>
      <c r="I1404" t="n">
        <v>2.089999914169312</v>
      </c>
      <c r="L1404" t="inlineStr">
        <is>
          <t>UNVERIFIED – negative EPS</t>
        </is>
      </c>
      <c r="M1404" t="n">
        <v>-9.720000000000001</v>
      </c>
      <c r="N1404" t="n">
        <v>-7.21</v>
      </c>
      <c r="O1404" t="n">
        <v>3.55</v>
      </c>
      <c r="P1404" t="n">
        <v>7.19</v>
      </c>
      <c r="Q1404" t="n">
        <v>2.55</v>
      </c>
      <c r="R1404" s="3" t="inlineStr">
        <is>
          <t>MISMATCH_NEEDS_CORRECTION</t>
        </is>
      </c>
      <c r="S1404" t="n">
        <v>3.55</v>
      </c>
      <c r="T1404" t="inlineStr">
        <is>
          <t>30-07-2026 09:42 IST</t>
        </is>
      </c>
    </row>
    <row r="1405">
      <c r="A1405" t="n">
        <v>207</v>
      </c>
      <c r="B1405" t="n">
        <v>512197</v>
      </c>
      <c r="C1405" t="inlineStr">
        <is>
          <t>Sita Enterprises Ltd</t>
        </is>
      </c>
      <c r="D1405" t="n">
        <v>2017</v>
      </c>
      <c r="E1405" t="n">
        <v>7.019999980926514</v>
      </c>
      <c r="F1405" t="n">
        <v>1.49</v>
      </c>
      <c r="G1405" t="inlineStr">
        <is>
          <t>Consolidated first (v4) – needs verification for flagged rows</t>
        </is>
      </c>
      <c r="H1405" t="n">
        <v>3.569999933242798</v>
      </c>
      <c r="I1405" t="n">
        <v>2.089999914169312</v>
      </c>
      <c r="L1405" t="inlineStr">
        <is>
          <t>OK</t>
        </is>
      </c>
      <c r="M1405" t="n">
        <v>2.4</v>
      </c>
      <c r="N1405" t="n">
        <v>1.4</v>
      </c>
      <c r="O1405" t="n">
        <v>3.55</v>
      </c>
      <c r="P1405" t="n">
        <v>7.19</v>
      </c>
      <c r="Q1405" t="n">
        <v>2.55</v>
      </c>
      <c r="R1405" s="3" t="inlineStr">
        <is>
          <t>MISMATCH_NEEDS_CORRECTION</t>
        </is>
      </c>
      <c r="S1405" t="n">
        <v>3.55</v>
      </c>
      <c r="T1405" t="inlineStr">
        <is>
          <t>30-07-2026 09:42 IST</t>
        </is>
      </c>
    </row>
    <row r="1406">
      <c r="A1406" t="n">
        <v>207</v>
      </c>
      <c r="B1406" t="n">
        <v>512197</v>
      </c>
      <c r="C1406" t="inlineStr">
        <is>
          <t>Sita Enterprises Ltd</t>
        </is>
      </c>
      <c r="D1406" t="n">
        <v>2018</v>
      </c>
      <c r="E1406" t="n">
        <v>7.019999980926514</v>
      </c>
      <c r="F1406" t="n">
        <v>0.73</v>
      </c>
      <c r="G1406" t="inlineStr">
        <is>
          <t>Consolidated first (v4) – needs verification for flagged rows</t>
        </is>
      </c>
      <c r="H1406" t="n">
        <v>5.46999979019165</v>
      </c>
      <c r="I1406" t="n">
        <v>2.569999933242798</v>
      </c>
      <c r="L1406" t="inlineStr">
        <is>
          <t>OK</t>
        </is>
      </c>
      <c r="M1406" t="n">
        <v>7.49</v>
      </c>
      <c r="N1406" t="n">
        <v>3.52</v>
      </c>
      <c r="O1406" t="n">
        <v>3.55</v>
      </c>
      <c r="P1406" t="n">
        <v>7.19</v>
      </c>
      <c r="Q1406" t="n">
        <v>2.55</v>
      </c>
      <c r="R1406" s="3" t="inlineStr">
        <is>
          <t>MISMATCH_NEEDS_CORRECTION</t>
        </is>
      </c>
      <c r="S1406" t="n">
        <v>3.55</v>
      </c>
      <c r="T1406" t="inlineStr">
        <is>
          <t>30-07-2026 09:42 IST</t>
        </is>
      </c>
    </row>
    <row r="1407">
      <c r="A1407" t="n">
        <v>207</v>
      </c>
      <c r="B1407" t="n">
        <v>512197</v>
      </c>
      <c r="C1407" t="inlineStr">
        <is>
          <t>Sita Enterprises Ltd</t>
        </is>
      </c>
      <c r="D1407" t="n">
        <v>2019</v>
      </c>
      <c r="E1407" t="n">
        <v>7.019999980926514</v>
      </c>
      <c r="F1407" t="n">
        <v>-28.47</v>
      </c>
      <c r="G1407" t="inlineStr">
        <is>
          <t>Consolidated first (v4) – needs verification for flagged rows</t>
        </is>
      </c>
      <c r="H1407" t="n">
        <v>3.990000009536743</v>
      </c>
      <c r="I1407" t="n">
        <v>2.240000009536743</v>
      </c>
      <c r="L1407" t="inlineStr">
        <is>
          <t>UNVERIFIED – negative EPS</t>
        </is>
      </c>
      <c r="M1407" t="n">
        <v>-0.14</v>
      </c>
      <c r="N1407" t="n">
        <v>-0.08</v>
      </c>
      <c r="O1407" t="n">
        <v>3.55</v>
      </c>
      <c r="P1407" t="n">
        <v>7.19</v>
      </c>
      <c r="Q1407" t="n">
        <v>2.55</v>
      </c>
      <c r="R1407" s="3" t="inlineStr">
        <is>
          <t>MISMATCH_NEEDS_CORRECTION</t>
        </is>
      </c>
      <c r="S1407" t="n">
        <v>3.55</v>
      </c>
      <c r="T1407" t="inlineStr">
        <is>
          <t>30-07-2026 09:42 IST</t>
        </is>
      </c>
    </row>
    <row r="1408">
      <c r="A1408" t="n">
        <v>207</v>
      </c>
      <c r="B1408" t="n">
        <v>512197</v>
      </c>
      <c r="C1408" t="inlineStr">
        <is>
          <t>Sita Enterprises Ltd</t>
        </is>
      </c>
      <c r="D1408" t="n">
        <v>2020</v>
      </c>
      <c r="E1408" t="n">
        <v>7.019999980926514</v>
      </c>
      <c r="G1408" t="inlineStr">
        <is>
          <t>Consolidated first (v4) – needs verification for flagged rows</t>
        </is>
      </c>
      <c r="H1408" t="n">
        <v>4.570000171661377</v>
      </c>
      <c r="I1408" t="n">
        <v>3.099999904632568</v>
      </c>
      <c r="L1408" t="inlineStr">
        <is>
          <t>INCOMPLETE</t>
        </is>
      </c>
      <c r="O1408" t="n">
        <v>3.55</v>
      </c>
      <c r="P1408" t="n">
        <v>7.19</v>
      </c>
      <c r="Q1408" t="n">
        <v>2.55</v>
      </c>
      <c r="R1408" s="3" t="inlineStr">
        <is>
          <t>MISMATCH_NEEDS_CORRECTION</t>
        </is>
      </c>
      <c r="S1408" t="n">
        <v>3.55</v>
      </c>
      <c r="T1408" t="inlineStr">
        <is>
          <t>30-07-2026 09:42 IST</t>
        </is>
      </c>
    </row>
    <row r="1409">
      <c r="A1409" t="n">
        <v>207</v>
      </c>
      <c r="B1409" t="n">
        <v>512197</v>
      </c>
      <c r="C1409" t="inlineStr">
        <is>
          <t>Sita Enterprises Ltd</t>
        </is>
      </c>
      <c r="D1409" t="n">
        <v>2021</v>
      </c>
      <c r="E1409" t="n">
        <v>7.019999980926514</v>
      </c>
      <c r="G1409" t="inlineStr">
        <is>
          <t>Consolidated first (v4) – needs verification for flagged rows</t>
        </is>
      </c>
      <c r="H1409" t="n">
        <v>4.71999979019165</v>
      </c>
      <c r="I1409" t="n">
        <v>2.5</v>
      </c>
      <c r="L1409" t="inlineStr">
        <is>
          <t>INCOMPLETE</t>
        </is>
      </c>
      <c r="O1409" t="n">
        <v>3.55</v>
      </c>
      <c r="P1409" t="n">
        <v>7.19</v>
      </c>
      <c r="Q1409" t="n">
        <v>2.55</v>
      </c>
      <c r="R1409" s="3" t="inlineStr">
        <is>
          <t>MISMATCH_NEEDS_CORRECTION</t>
        </is>
      </c>
      <c r="S1409" t="n">
        <v>3.55</v>
      </c>
      <c r="T1409" t="inlineStr">
        <is>
          <t>30-07-2026 09:42 IST</t>
        </is>
      </c>
    </row>
    <row r="1410">
      <c r="A1410" t="n">
        <v>207</v>
      </c>
      <c r="B1410" t="n">
        <v>512197</v>
      </c>
      <c r="C1410" t="inlineStr">
        <is>
          <t>Sita Enterprises Ltd</t>
        </is>
      </c>
      <c r="D1410" t="n">
        <v>2022</v>
      </c>
      <c r="E1410" t="n">
        <v>7.019999980926514</v>
      </c>
      <c r="G1410" t="inlineStr">
        <is>
          <t>Consolidated first (v4) – needs verification for flagged rows</t>
        </is>
      </c>
      <c r="H1410" t="n">
        <v>6.869999885559082</v>
      </c>
      <c r="I1410" t="n">
        <v>2.029999971389771</v>
      </c>
      <c r="L1410" t="inlineStr">
        <is>
          <t>INCOMPLETE</t>
        </is>
      </c>
      <c r="O1410" t="n">
        <v>3.55</v>
      </c>
      <c r="P1410" t="n">
        <v>7.19</v>
      </c>
      <c r="Q1410" t="n">
        <v>2.55</v>
      </c>
      <c r="R1410" s="3" t="inlineStr">
        <is>
          <t>MISMATCH_NEEDS_CORRECTION</t>
        </is>
      </c>
      <c r="S1410" t="n">
        <v>3.55</v>
      </c>
      <c r="T1410" t="inlineStr">
        <is>
          <t>30-07-2026 09:42 IST</t>
        </is>
      </c>
    </row>
    <row r="1411">
      <c r="A1411" t="n">
        <v>207</v>
      </c>
      <c r="B1411" t="n">
        <v>512197</v>
      </c>
      <c r="C1411" t="inlineStr">
        <is>
          <t>Sita Enterprises Ltd</t>
        </is>
      </c>
      <c r="D1411" t="n">
        <v>2023</v>
      </c>
      <c r="E1411" t="n">
        <v>7.019999980926514</v>
      </c>
      <c r="G1411" t="inlineStr">
        <is>
          <t>Consolidated first (v4) – needs verification for flagged rows</t>
        </is>
      </c>
      <c r="H1411" t="n">
        <v>3.700000047683716</v>
      </c>
      <c r="I1411" t="n">
        <v>2</v>
      </c>
      <c r="L1411" t="inlineStr">
        <is>
          <t>INCOMPLETE</t>
        </is>
      </c>
      <c r="O1411" t="n">
        <v>3.55</v>
      </c>
      <c r="P1411" t="n">
        <v>7.19</v>
      </c>
      <c r="Q1411" t="n">
        <v>2.55</v>
      </c>
      <c r="R1411" s="3" t="inlineStr">
        <is>
          <t>MISMATCH_NEEDS_CORRECTION</t>
        </is>
      </c>
      <c r="S1411" t="n">
        <v>3.55</v>
      </c>
      <c r="T1411" t="inlineStr">
        <is>
          <t>30-07-2026 09:42 IST</t>
        </is>
      </c>
    </row>
    <row r="1412">
      <c r="A1412" t="n">
        <v>207</v>
      </c>
      <c r="B1412" t="n">
        <v>512197</v>
      </c>
      <c r="C1412" t="inlineStr">
        <is>
          <t>Sita Enterprises Ltd</t>
        </is>
      </c>
      <c r="D1412" t="n">
        <v>2024</v>
      </c>
      <c r="E1412" t="n">
        <v>7.019999980926514</v>
      </c>
      <c r="G1412" t="inlineStr">
        <is>
          <t>Consolidated first (v4) – needs verification for flagged rows</t>
        </is>
      </c>
      <c r="H1412" t="n">
        <v>7.190000057220459</v>
      </c>
      <c r="I1412" t="n">
        <v>2.549999952316284</v>
      </c>
      <c r="L1412" t="inlineStr">
        <is>
          <t>INCOMPLETE</t>
        </is>
      </c>
      <c r="O1412" t="n">
        <v>3.55</v>
      </c>
      <c r="P1412" t="n">
        <v>7.19</v>
      </c>
      <c r="Q1412" t="n">
        <v>2.55</v>
      </c>
      <c r="R1412" s="3" t="inlineStr">
        <is>
          <t>MISMATCH_NEEDS_CORRECTION</t>
        </is>
      </c>
      <c r="S1412" t="n">
        <v>3.55</v>
      </c>
      <c r="T1412" t="inlineStr">
        <is>
          <t>30-07-2026 09:42 IST</t>
        </is>
      </c>
    </row>
    <row r="1413">
      <c r="A1413" t="n">
        <v>207</v>
      </c>
      <c r="B1413" t="n">
        <v>512197</v>
      </c>
      <c r="C1413" t="inlineStr">
        <is>
          <t>Sita Enterprises Ltd</t>
        </is>
      </c>
      <c r="D1413" t="n">
        <v>2025</v>
      </c>
      <c r="E1413" t="n">
        <v>7.019999980926514</v>
      </c>
      <c r="G1413" t="inlineStr">
        <is>
          <t>Consolidated first (v4) – needs verification for flagged rows</t>
        </is>
      </c>
      <c r="H1413" t="n">
        <v>10.14999961853027</v>
      </c>
      <c r="I1413" t="n">
        <v>4.539999961853027</v>
      </c>
      <c r="L1413" t="inlineStr">
        <is>
          <t>INCOMPLETE</t>
        </is>
      </c>
      <c r="O1413" t="n">
        <v>3.55</v>
      </c>
      <c r="P1413" t="n">
        <v>7.19</v>
      </c>
      <c r="Q1413" t="n">
        <v>2.55</v>
      </c>
      <c r="R1413" s="3" t="inlineStr">
        <is>
          <t>MISMATCH_NEEDS_CORRECTION</t>
        </is>
      </c>
      <c r="S1413" t="n">
        <v>3.55</v>
      </c>
      <c r="T1413" t="inlineStr">
        <is>
          <t>30-07-2026 09:42 IST</t>
        </is>
      </c>
    </row>
    <row r="1414">
      <c r="A1414" t="n">
        <v>207</v>
      </c>
      <c r="B1414" t="n">
        <v>512197</v>
      </c>
      <c r="C1414" t="inlineStr">
        <is>
          <t>Sita Enterprises Ltd</t>
        </is>
      </c>
      <c r="D1414" t="n">
        <v>2026</v>
      </c>
      <c r="E1414" t="n">
        <v>7.019999980926514</v>
      </c>
      <c r="G1414" t="inlineStr">
        <is>
          <t>Consolidated first (v4) – needs verification for flagged rows</t>
        </is>
      </c>
      <c r="H1414" t="n">
        <v>7.150000095367432</v>
      </c>
      <c r="I1414" t="n">
        <v>3.589999914169312</v>
      </c>
      <c r="L1414" t="inlineStr">
        <is>
          <t>INCOMPLETE</t>
        </is>
      </c>
      <c r="O1414" t="n">
        <v>3.55</v>
      </c>
      <c r="P1414" t="n">
        <v>7.19</v>
      </c>
      <c r="Q1414" t="n">
        <v>2.55</v>
      </c>
      <c r="R1414" s="3" t="inlineStr">
        <is>
          <t>MISMATCH_NEEDS_CORRECTION</t>
        </is>
      </c>
      <c r="S1414" t="n">
        <v>3.55</v>
      </c>
      <c r="T1414" t="inlineStr">
        <is>
          <t>30-07-2026 09:42 IST</t>
        </is>
      </c>
    </row>
    <row r="1415">
      <c r="A1415" t="n">
        <v>208</v>
      </c>
      <c r="B1415" t="n">
        <v>512215</v>
      </c>
      <c r="C1415" t="inlineStr">
        <is>
          <t>Kriti Industries India Ltd</t>
        </is>
      </c>
      <c r="D1415" t="n">
        <v>2015</v>
      </c>
      <c r="E1415" t="n">
        <v>32.4900016784668</v>
      </c>
      <c r="F1415" t="n">
        <v>-1.75</v>
      </c>
      <c r="G1415" t="inlineStr">
        <is>
          <t>Consolidated first (v4) – needs verification for flagged rows</t>
        </is>
      </c>
      <c r="H1415" t="n">
        <v>15.46000003814697</v>
      </c>
      <c r="I1415" t="n">
        <v>11.56999969482422</v>
      </c>
      <c r="L1415" t="inlineStr">
        <is>
          <t>UNVERIFIED – negative EPS</t>
        </is>
      </c>
      <c r="M1415" t="n">
        <v>-8.83</v>
      </c>
      <c r="N1415" t="n">
        <v>-6.61</v>
      </c>
      <c r="O1415" t="n">
        <v>34</v>
      </c>
      <c r="P1415" t="n">
        <v>46.05</v>
      </c>
      <c r="Q1415" t="n">
        <v>32.49</v>
      </c>
      <c r="R1415" s="2" t="inlineStr">
        <is>
          <t>VERIFIED_OK</t>
        </is>
      </c>
      <c r="S1415" t="n">
        <v>34</v>
      </c>
      <c r="T1415" t="inlineStr">
        <is>
          <t>30-07-2026 09:42 IST</t>
        </is>
      </c>
    </row>
    <row r="1416">
      <c r="A1416" t="n">
        <v>208</v>
      </c>
      <c r="B1416" t="n">
        <v>512215</v>
      </c>
      <c r="C1416" t="inlineStr">
        <is>
          <t>Kriti Industries India Ltd</t>
        </is>
      </c>
      <c r="D1416" t="n">
        <v>2016</v>
      </c>
      <c r="E1416" t="n">
        <v>32.4900016784668</v>
      </c>
      <c r="F1416" t="n">
        <v>-2.3</v>
      </c>
      <c r="G1416" t="inlineStr">
        <is>
          <t>Consolidated first (v4) – needs verification for flagged rows</t>
        </is>
      </c>
      <c r="H1416" t="n">
        <v>54.45000076293945</v>
      </c>
      <c r="I1416" t="n">
        <v>15.46000003814697</v>
      </c>
      <c r="L1416" t="inlineStr">
        <is>
          <t>UNVERIFIED – negative EPS</t>
        </is>
      </c>
      <c r="M1416" t="n">
        <v>-23.67</v>
      </c>
      <c r="N1416" t="n">
        <v>-6.72</v>
      </c>
      <c r="O1416" t="n">
        <v>34</v>
      </c>
      <c r="P1416" t="n">
        <v>46.05</v>
      </c>
      <c r="Q1416" t="n">
        <v>32.49</v>
      </c>
      <c r="R1416" s="2" t="inlineStr">
        <is>
          <t>VERIFIED_OK</t>
        </is>
      </c>
      <c r="S1416" t="n">
        <v>34</v>
      </c>
      <c r="T1416" t="inlineStr">
        <is>
          <t>30-07-2026 09:42 IST</t>
        </is>
      </c>
    </row>
    <row r="1417">
      <c r="A1417" t="n">
        <v>208</v>
      </c>
      <c r="B1417" t="n">
        <v>512215</v>
      </c>
      <c r="C1417" t="inlineStr">
        <is>
          <t>Kriti Industries India Ltd</t>
        </is>
      </c>
      <c r="D1417" t="n">
        <v>2017</v>
      </c>
      <c r="E1417" t="n">
        <v>32.4900016784668</v>
      </c>
      <c r="F1417" t="n">
        <v>-3.35</v>
      </c>
      <c r="G1417" t="inlineStr">
        <is>
          <t>Consolidated first (v4) – needs verification for flagged rows</t>
        </is>
      </c>
      <c r="H1417" t="n">
        <v>71.69999694824219</v>
      </c>
      <c r="I1417" t="n">
        <v>42.09999847412109</v>
      </c>
      <c r="L1417" t="inlineStr">
        <is>
          <t>UNVERIFIED – negative EPS</t>
        </is>
      </c>
      <c r="M1417" t="n">
        <v>-21.4</v>
      </c>
      <c r="N1417" t="n">
        <v>-12.57</v>
      </c>
      <c r="O1417" t="n">
        <v>34</v>
      </c>
      <c r="P1417" t="n">
        <v>46.05</v>
      </c>
      <c r="Q1417" t="n">
        <v>32.49</v>
      </c>
      <c r="R1417" s="2" t="inlineStr">
        <is>
          <t>VERIFIED_OK</t>
        </is>
      </c>
      <c r="S1417" t="n">
        <v>34</v>
      </c>
      <c r="T1417" t="inlineStr">
        <is>
          <t>30-07-2026 09:42 IST</t>
        </is>
      </c>
    </row>
    <row r="1418">
      <c r="A1418" t="n">
        <v>208</v>
      </c>
      <c r="B1418" t="n">
        <v>512215</v>
      </c>
      <c r="C1418" t="inlineStr">
        <is>
          <t>Kriti Industries India Ltd</t>
        </is>
      </c>
      <c r="D1418" t="n">
        <v>2018</v>
      </c>
      <c r="E1418" t="n">
        <v>32.4900016784668</v>
      </c>
      <c r="F1418" t="n">
        <v>1.33</v>
      </c>
      <c r="G1418" t="inlineStr">
        <is>
          <t>Consolidated first (v4) – needs verification for flagged rows</t>
        </is>
      </c>
      <c r="H1418" t="n">
        <v>53</v>
      </c>
      <c r="I1418" t="n">
        <v>47.90000152587891</v>
      </c>
      <c r="L1418" t="inlineStr">
        <is>
          <t>OK</t>
        </is>
      </c>
      <c r="M1418" t="n">
        <v>39.85</v>
      </c>
      <c r="N1418" t="n">
        <v>36.02</v>
      </c>
      <c r="O1418" t="n">
        <v>34</v>
      </c>
      <c r="P1418" t="n">
        <v>46.05</v>
      </c>
      <c r="Q1418" t="n">
        <v>32.49</v>
      </c>
      <c r="R1418" s="2" t="inlineStr">
        <is>
          <t>VERIFIED_OK</t>
        </is>
      </c>
      <c r="S1418" t="n">
        <v>34</v>
      </c>
      <c r="T1418" t="inlineStr">
        <is>
          <t>30-07-2026 09:42 IST</t>
        </is>
      </c>
    </row>
    <row r="1419">
      <c r="A1419" t="n">
        <v>208</v>
      </c>
      <c r="B1419" t="n">
        <v>512215</v>
      </c>
      <c r="C1419" t="inlineStr">
        <is>
          <t>Kriti Industries India Ltd</t>
        </is>
      </c>
      <c r="D1419" t="n">
        <v>2019</v>
      </c>
      <c r="E1419" t="n">
        <v>32.4900016784668</v>
      </c>
      <c r="F1419" t="n">
        <v>1.4</v>
      </c>
      <c r="G1419" t="inlineStr">
        <is>
          <t>Consolidated first (v4) – needs verification for flagged rows</t>
        </is>
      </c>
      <c r="H1419" t="n">
        <v>95.94999694824219</v>
      </c>
      <c r="I1419" t="n">
        <v>44</v>
      </c>
      <c r="L1419" t="inlineStr">
        <is>
          <t>OK</t>
        </is>
      </c>
      <c r="M1419" t="n">
        <v>68.54000000000001</v>
      </c>
      <c r="N1419" t="n">
        <v>31.43</v>
      </c>
      <c r="O1419" t="n">
        <v>34</v>
      </c>
      <c r="P1419" t="n">
        <v>46.05</v>
      </c>
      <c r="Q1419" t="n">
        <v>32.49</v>
      </c>
      <c r="R1419" s="2" t="inlineStr">
        <is>
          <t>VERIFIED_OK</t>
        </is>
      </c>
      <c r="S1419" t="n">
        <v>34</v>
      </c>
      <c r="T1419" t="inlineStr">
        <is>
          <t>30-07-2026 09:42 IST</t>
        </is>
      </c>
    </row>
    <row r="1420">
      <c r="A1420" t="n">
        <v>208</v>
      </c>
      <c r="B1420" t="n">
        <v>512215</v>
      </c>
      <c r="C1420" t="inlineStr">
        <is>
          <t>Kriti Industries India Ltd</t>
        </is>
      </c>
      <c r="D1420" t="n">
        <v>2020</v>
      </c>
      <c r="E1420" t="n">
        <v>32.4900016784668</v>
      </c>
      <c r="F1420" t="n">
        <v>0.19</v>
      </c>
      <c r="G1420" t="inlineStr">
        <is>
          <t>Consolidated first (v4) – needs verification for flagged rows</t>
        </is>
      </c>
      <c r="H1420" t="n">
        <v>51.20000076293945</v>
      </c>
      <c r="I1420" t="n">
        <v>18.54999923706055</v>
      </c>
      <c r="L1420" t="inlineStr">
        <is>
          <t>UNVERIFIED – tiny EPS &lt;0.5</t>
        </is>
      </c>
      <c r="M1420" t="n">
        <v>269.47</v>
      </c>
      <c r="N1420" t="n">
        <v>97.63</v>
      </c>
      <c r="O1420" t="n">
        <v>34</v>
      </c>
      <c r="P1420" t="n">
        <v>46.05</v>
      </c>
      <c r="Q1420" t="n">
        <v>32.49</v>
      </c>
      <c r="R1420" s="2" t="inlineStr">
        <is>
          <t>VERIFIED_OK</t>
        </is>
      </c>
      <c r="S1420" t="n">
        <v>34</v>
      </c>
      <c r="T1420" t="inlineStr">
        <is>
          <t>30-07-2026 09:42 IST</t>
        </is>
      </c>
    </row>
    <row r="1421">
      <c r="A1421" t="n">
        <v>208</v>
      </c>
      <c r="B1421" t="n">
        <v>512215</v>
      </c>
      <c r="C1421" t="inlineStr">
        <is>
          <t>Kriti Industries India Ltd</t>
        </is>
      </c>
      <c r="D1421" t="n">
        <v>2021</v>
      </c>
      <c r="E1421" t="n">
        <v>32.4900016784668</v>
      </c>
      <c r="F1421" t="n">
        <v>-0.03</v>
      </c>
      <c r="G1421" t="inlineStr">
        <is>
          <t>Consolidated first (v4) – needs verification for flagged rows</t>
        </is>
      </c>
      <c r="H1421" t="n">
        <v>34</v>
      </c>
      <c r="I1421" t="n">
        <v>18.39999961853027</v>
      </c>
      <c r="L1421" t="inlineStr">
        <is>
          <t>UNVERIFIED – negative EPS</t>
        </is>
      </c>
      <c r="M1421" t="n">
        <v>-1133.33</v>
      </c>
      <c r="N1421" t="n">
        <v>-613.33</v>
      </c>
      <c r="O1421" t="n">
        <v>34</v>
      </c>
      <c r="P1421" t="n">
        <v>46.05</v>
      </c>
      <c r="Q1421" t="n">
        <v>32.49</v>
      </c>
      <c r="R1421" s="2" t="inlineStr">
        <is>
          <t>VERIFIED_OK</t>
        </is>
      </c>
      <c r="S1421" t="n">
        <v>34</v>
      </c>
      <c r="T1421" t="inlineStr">
        <is>
          <t>30-07-2026 09:42 IST</t>
        </is>
      </c>
    </row>
    <row r="1422">
      <c r="A1422" t="n">
        <v>208</v>
      </c>
      <c r="B1422" t="n">
        <v>512215</v>
      </c>
      <c r="C1422" t="inlineStr">
        <is>
          <t>Kriti Industries India Ltd</t>
        </is>
      </c>
      <c r="D1422" t="n">
        <v>2022</v>
      </c>
      <c r="E1422" t="n">
        <v>32.4900016784668</v>
      </c>
      <c r="F1422" t="n">
        <v>-0.03</v>
      </c>
      <c r="G1422" t="inlineStr">
        <is>
          <t>Consolidated first (v4) – needs verification for flagged rows</t>
        </is>
      </c>
      <c r="H1422" t="n">
        <v>51.40000152587891</v>
      </c>
      <c r="I1422" t="n">
        <v>19.54999923706055</v>
      </c>
      <c r="L1422" t="inlineStr">
        <is>
          <t>UNVERIFIED – negative EPS</t>
        </is>
      </c>
      <c r="M1422" t="n">
        <v>-1713.33</v>
      </c>
      <c r="N1422" t="n">
        <v>-651.67</v>
      </c>
      <c r="O1422" t="n">
        <v>34</v>
      </c>
      <c r="P1422" t="n">
        <v>46.05</v>
      </c>
      <c r="Q1422" t="n">
        <v>32.49</v>
      </c>
      <c r="R1422" s="2" t="inlineStr">
        <is>
          <t>VERIFIED_OK</t>
        </is>
      </c>
      <c r="S1422" t="n">
        <v>34</v>
      </c>
      <c r="T1422" t="inlineStr">
        <is>
          <t>30-07-2026 09:42 IST</t>
        </is>
      </c>
    </row>
    <row r="1423">
      <c r="A1423" t="n">
        <v>208</v>
      </c>
      <c r="B1423" t="n">
        <v>512215</v>
      </c>
      <c r="C1423" t="inlineStr">
        <is>
          <t>Kriti Industries India Ltd</t>
        </is>
      </c>
      <c r="D1423" t="n">
        <v>2023</v>
      </c>
      <c r="E1423" t="n">
        <v>32.4900016784668</v>
      </c>
      <c r="F1423" t="n">
        <v>-0.16</v>
      </c>
      <c r="G1423" t="inlineStr">
        <is>
          <t>Consolidated first (v4) – needs verification for flagged rows</t>
        </is>
      </c>
      <c r="H1423" t="n">
        <v>55.56000137329102</v>
      </c>
      <c r="I1423" t="n">
        <v>19.25</v>
      </c>
      <c r="L1423" t="inlineStr">
        <is>
          <t>UNVERIFIED – negative EPS</t>
        </is>
      </c>
      <c r="M1423" t="n">
        <v>-347.25</v>
      </c>
      <c r="N1423" t="n">
        <v>-120.31</v>
      </c>
      <c r="O1423" t="n">
        <v>34</v>
      </c>
      <c r="P1423" t="n">
        <v>46.05</v>
      </c>
      <c r="Q1423" t="n">
        <v>32.49</v>
      </c>
      <c r="R1423" s="2" t="inlineStr">
        <is>
          <t>VERIFIED_OK</t>
        </is>
      </c>
      <c r="S1423" t="n">
        <v>34</v>
      </c>
      <c r="T1423" t="inlineStr">
        <is>
          <t>30-07-2026 09:42 IST</t>
        </is>
      </c>
    </row>
    <row r="1424">
      <c r="A1424" t="n">
        <v>208</v>
      </c>
      <c r="B1424" t="n">
        <v>512215</v>
      </c>
      <c r="C1424" t="inlineStr">
        <is>
          <t>Kriti Industries India Ltd</t>
        </is>
      </c>
      <c r="D1424" t="n">
        <v>2024</v>
      </c>
      <c r="E1424" t="n">
        <v>32.4900016784668</v>
      </c>
      <c r="G1424" t="inlineStr">
        <is>
          <t>Consolidated first (v4) – needs verification for flagged rows</t>
        </is>
      </c>
      <c r="H1424" t="n">
        <v>46.04999923706055</v>
      </c>
      <c r="I1424" t="n">
        <v>32.4900016784668</v>
      </c>
      <c r="L1424" t="inlineStr">
        <is>
          <t>INCOMPLETE</t>
        </is>
      </c>
      <c r="O1424" t="n">
        <v>34</v>
      </c>
      <c r="P1424" t="n">
        <v>46.05</v>
      </c>
      <c r="Q1424" t="n">
        <v>32.49</v>
      </c>
      <c r="R1424" s="2" t="inlineStr">
        <is>
          <t>VERIFIED_OK</t>
        </is>
      </c>
      <c r="S1424" t="n">
        <v>34</v>
      </c>
      <c r="T1424" t="inlineStr">
        <is>
          <t>30-07-2026 09:42 IST</t>
        </is>
      </c>
    </row>
    <row r="1425">
      <c r="A1425" t="n">
        <v>208</v>
      </c>
      <c r="B1425" t="n">
        <v>512215</v>
      </c>
      <c r="C1425" t="inlineStr">
        <is>
          <t>Kriti Industries India Ltd</t>
        </is>
      </c>
      <c r="D1425" t="n">
        <v>2025</v>
      </c>
      <c r="E1425" t="n">
        <v>32.4900016784668</v>
      </c>
      <c r="G1425" t="inlineStr">
        <is>
          <t>Consolidated first (v4) – needs verification for flagged rows</t>
        </is>
      </c>
      <c r="H1425" t="n">
        <v>32.4900016784668</v>
      </c>
      <c r="I1425" t="n">
        <v>32.4900016784668</v>
      </c>
      <c r="L1425" t="inlineStr">
        <is>
          <t>INCOMPLETE</t>
        </is>
      </c>
      <c r="O1425" t="n">
        <v>34</v>
      </c>
      <c r="P1425" t="n">
        <v>46.05</v>
      </c>
      <c r="Q1425" t="n">
        <v>32.49</v>
      </c>
      <c r="R1425" s="2" t="inlineStr">
        <is>
          <t>VERIFIED_OK</t>
        </is>
      </c>
      <c r="S1425" t="n">
        <v>34</v>
      </c>
      <c r="T1425" t="inlineStr">
        <is>
          <t>30-07-2026 09:42 IST</t>
        </is>
      </c>
    </row>
    <row r="1426">
      <c r="A1426" t="n">
        <v>208</v>
      </c>
      <c r="B1426" t="n">
        <v>512215</v>
      </c>
      <c r="C1426" t="inlineStr">
        <is>
          <t>Kriti Industries India Ltd</t>
        </is>
      </c>
      <c r="D1426" t="n">
        <v>2026</v>
      </c>
      <c r="E1426" t="n">
        <v>32.4900016784668</v>
      </c>
      <c r="G1426" t="inlineStr">
        <is>
          <t>Consolidated first (v4) – needs verification for flagged rows</t>
        </is>
      </c>
      <c r="H1426" t="n">
        <v>32.4900016784668</v>
      </c>
      <c r="I1426" t="n">
        <v>32.4900016784668</v>
      </c>
      <c r="L1426" t="inlineStr">
        <is>
          <t>INCOMPLETE</t>
        </is>
      </c>
      <c r="O1426" t="n">
        <v>34</v>
      </c>
      <c r="P1426" t="n">
        <v>46.05</v>
      </c>
      <c r="Q1426" t="n">
        <v>32.49</v>
      </c>
      <c r="R1426" s="2" t="inlineStr">
        <is>
          <t>VERIFIED_OK</t>
        </is>
      </c>
      <c r="S1426" t="n">
        <v>34</v>
      </c>
      <c r="T1426" t="inlineStr">
        <is>
          <t>30-07-2026 09:42 IST</t>
        </is>
      </c>
    </row>
    <row r="1427">
      <c r="A1427" t="n">
        <v>209</v>
      </c>
      <c r="B1427" t="n">
        <v>512247</v>
      </c>
      <c r="C1427" t="inlineStr">
        <is>
          <t>Asset Alliance</t>
        </is>
      </c>
      <c r="D1427" t="n">
        <v>2015</v>
      </c>
      <c r="E1427" t="n">
        <v>2.730000019073486</v>
      </c>
      <c r="F1427" t="n">
        <v>0.06</v>
      </c>
      <c r="G1427" t="inlineStr">
        <is>
          <t>Consolidated first (v4) – needs verification for flagged rows</t>
        </is>
      </c>
      <c r="H1427" t="n">
        <v>2.066665887832642</v>
      </c>
      <c r="I1427" t="n">
        <v>1.206665992736816</v>
      </c>
      <c r="L1427" t="inlineStr">
        <is>
          <t>UNVERIFIED – tiny EPS &lt;0.5</t>
        </is>
      </c>
      <c r="M1427" t="n">
        <v>34.44</v>
      </c>
      <c r="N1427" t="n">
        <v>20.11</v>
      </c>
      <c r="O1427" t="n">
        <v>4.87</v>
      </c>
      <c r="P1427" t="n">
        <v>8.24</v>
      </c>
      <c r="Q1427" t="n">
        <v>4</v>
      </c>
      <c r="R1427" s="3" t="inlineStr">
        <is>
          <t>MISMATCH_NEEDS_CORRECTION</t>
        </is>
      </c>
      <c r="S1427" t="n">
        <v>4.87</v>
      </c>
      <c r="T1427" t="inlineStr">
        <is>
          <t>30-07-2026 09:42 IST</t>
        </is>
      </c>
    </row>
    <row r="1428">
      <c r="A1428" t="n">
        <v>209</v>
      </c>
      <c r="B1428" t="n">
        <v>512247</v>
      </c>
      <c r="C1428" t="inlineStr">
        <is>
          <t>Asset Alliance</t>
        </is>
      </c>
      <c r="D1428" t="n">
        <v>2016</v>
      </c>
      <c r="E1428" t="n">
        <v>2.730000019073486</v>
      </c>
      <c r="F1428" t="n">
        <v>-0.05</v>
      </c>
      <c r="G1428" t="inlineStr">
        <is>
          <t>Consolidated first (v4) – needs verification for flagged rows</t>
        </is>
      </c>
      <c r="H1428" t="n">
        <v>3.19333291053772</v>
      </c>
      <c r="I1428" t="n">
        <v>1.546666026115417</v>
      </c>
      <c r="L1428" t="inlineStr">
        <is>
          <t>UNVERIFIED – negative EPS</t>
        </is>
      </c>
      <c r="M1428" t="n">
        <v>-63.87</v>
      </c>
      <c r="N1428" t="n">
        <v>-30.93</v>
      </c>
      <c r="O1428" t="n">
        <v>4.87</v>
      </c>
      <c r="P1428" t="n">
        <v>8.24</v>
      </c>
      <c r="Q1428" t="n">
        <v>4</v>
      </c>
      <c r="R1428" s="3" t="inlineStr">
        <is>
          <t>MISMATCH_NEEDS_CORRECTION</t>
        </is>
      </c>
      <c r="S1428" t="n">
        <v>4.87</v>
      </c>
      <c r="T1428" t="inlineStr">
        <is>
          <t>30-07-2026 09:42 IST</t>
        </is>
      </c>
    </row>
    <row r="1429">
      <c r="A1429" t="n">
        <v>209</v>
      </c>
      <c r="B1429" t="n">
        <v>512247</v>
      </c>
      <c r="C1429" t="inlineStr">
        <is>
          <t>Asset Alliance</t>
        </is>
      </c>
      <c r="D1429" t="n">
        <v>2017</v>
      </c>
      <c r="E1429" t="n">
        <v>2.730000019073486</v>
      </c>
      <c r="F1429" t="n">
        <v>0.07000000000000001</v>
      </c>
      <c r="G1429" t="inlineStr">
        <is>
          <t>Consolidated first (v4) – needs verification for flagged rows</t>
        </is>
      </c>
      <c r="H1429" t="n">
        <v>3.866666078567505</v>
      </c>
      <c r="I1429" t="n">
        <v>1.466665983200073</v>
      </c>
      <c r="L1429" t="inlineStr">
        <is>
          <t>UNVERIFIED – tiny EPS &lt;0.5</t>
        </is>
      </c>
      <c r="M1429" t="n">
        <v>55.24</v>
      </c>
      <c r="N1429" t="n">
        <v>20.95</v>
      </c>
      <c r="O1429" t="n">
        <v>4.87</v>
      </c>
      <c r="P1429" t="n">
        <v>8.24</v>
      </c>
      <c r="Q1429" t="n">
        <v>4</v>
      </c>
      <c r="R1429" s="3" t="inlineStr">
        <is>
          <t>MISMATCH_NEEDS_CORRECTION</t>
        </is>
      </c>
      <c r="S1429" t="n">
        <v>4.87</v>
      </c>
      <c r="T1429" t="inlineStr">
        <is>
          <t>30-07-2026 09:42 IST</t>
        </is>
      </c>
    </row>
    <row r="1430">
      <c r="A1430" t="n">
        <v>209</v>
      </c>
      <c r="B1430" t="n">
        <v>512247</v>
      </c>
      <c r="C1430" t="inlineStr">
        <is>
          <t>Asset Alliance</t>
        </is>
      </c>
      <c r="D1430" t="n">
        <v>2018</v>
      </c>
      <c r="E1430" t="n">
        <v>2.730000019073486</v>
      </c>
      <c r="F1430" t="n">
        <v>0.1</v>
      </c>
      <c r="G1430" t="inlineStr">
        <is>
          <t>Consolidated first (v4) – needs verification for flagged rows</t>
        </is>
      </c>
      <c r="H1430" t="n">
        <v>2.733333110809326</v>
      </c>
      <c r="I1430" t="n">
        <v>1.646666049957275</v>
      </c>
      <c r="L1430" t="inlineStr">
        <is>
          <t>UNVERIFIED – tiny EPS &lt;0.5</t>
        </is>
      </c>
      <c r="M1430" t="n">
        <v>27.33</v>
      </c>
      <c r="N1430" t="n">
        <v>16.47</v>
      </c>
      <c r="O1430" t="n">
        <v>4.87</v>
      </c>
      <c r="P1430" t="n">
        <v>8.24</v>
      </c>
      <c r="Q1430" t="n">
        <v>4</v>
      </c>
      <c r="R1430" s="3" t="inlineStr">
        <is>
          <t>MISMATCH_NEEDS_CORRECTION</t>
        </is>
      </c>
      <c r="S1430" t="n">
        <v>4.87</v>
      </c>
      <c r="T1430" t="inlineStr">
        <is>
          <t>30-07-2026 09:42 IST</t>
        </is>
      </c>
    </row>
    <row r="1431">
      <c r="A1431" t="n">
        <v>209</v>
      </c>
      <c r="B1431" t="n">
        <v>512247</v>
      </c>
      <c r="C1431" t="inlineStr">
        <is>
          <t>Asset Alliance</t>
        </is>
      </c>
      <c r="D1431" t="n">
        <v>2019</v>
      </c>
      <c r="E1431" t="n">
        <v>2.730000019073486</v>
      </c>
      <c r="F1431" t="n">
        <v>0.08</v>
      </c>
      <c r="G1431" t="inlineStr">
        <is>
          <t>Consolidated first (v4) – needs verification for flagged rows</t>
        </is>
      </c>
      <c r="H1431" t="n">
        <v>2.586666107177734</v>
      </c>
      <c r="I1431" t="n">
        <v>1.679999947547913</v>
      </c>
      <c r="L1431" t="inlineStr">
        <is>
          <t>UNVERIFIED – tiny EPS &lt;0.5</t>
        </is>
      </c>
      <c r="M1431" t="n">
        <v>32.33</v>
      </c>
      <c r="N1431" t="n">
        <v>21</v>
      </c>
      <c r="O1431" t="n">
        <v>4.87</v>
      </c>
      <c r="P1431" t="n">
        <v>8.24</v>
      </c>
      <c r="Q1431" t="n">
        <v>4</v>
      </c>
      <c r="R1431" s="3" t="inlineStr">
        <is>
          <t>MISMATCH_NEEDS_CORRECTION</t>
        </is>
      </c>
      <c r="S1431" t="n">
        <v>4.87</v>
      </c>
      <c r="T1431" t="inlineStr">
        <is>
          <t>30-07-2026 09:42 IST</t>
        </is>
      </c>
    </row>
    <row r="1432">
      <c r="A1432" t="n">
        <v>209</v>
      </c>
      <c r="B1432" t="n">
        <v>512247</v>
      </c>
      <c r="C1432" t="inlineStr">
        <is>
          <t>Asset Alliance</t>
        </is>
      </c>
      <c r="D1432" t="n">
        <v>2020</v>
      </c>
      <c r="E1432" t="n">
        <v>2.730000019073486</v>
      </c>
      <c r="F1432" t="n">
        <v>0.03</v>
      </c>
      <c r="G1432" t="inlineStr">
        <is>
          <t>Consolidated first (v4) – needs verification for flagged rows</t>
        </is>
      </c>
      <c r="H1432" t="n">
        <v>2.259999990463257</v>
      </c>
      <c r="I1432" t="n">
        <v>1.133332967758179</v>
      </c>
      <c r="L1432" t="inlineStr">
        <is>
          <t>UNVERIFIED – tiny EPS &lt;0.5</t>
        </is>
      </c>
      <c r="M1432" t="n">
        <v>75.33</v>
      </c>
      <c r="N1432" t="n">
        <v>37.78</v>
      </c>
      <c r="O1432" t="n">
        <v>4.87</v>
      </c>
      <c r="P1432" t="n">
        <v>8.24</v>
      </c>
      <c r="Q1432" t="n">
        <v>4</v>
      </c>
      <c r="R1432" s="3" t="inlineStr">
        <is>
          <t>MISMATCH_NEEDS_CORRECTION</t>
        </is>
      </c>
      <c r="S1432" t="n">
        <v>4.87</v>
      </c>
      <c r="T1432" t="inlineStr">
        <is>
          <t>30-07-2026 09:42 IST</t>
        </is>
      </c>
    </row>
    <row r="1433">
      <c r="A1433" t="n">
        <v>209</v>
      </c>
      <c r="B1433" t="n">
        <v>512247</v>
      </c>
      <c r="C1433" t="inlineStr">
        <is>
          <t>Asset Alliance</t>
        </is>
      </c>
      <c r="D1433" t="n">
        <v>2021</v>
      </c>
      <c r="E1433" t="n">
        <v>2.730000019073486</v>
      </c>
      <c r="F1433" t="n">
        <v>0.06</v>
      </c>
      <c r="G1433" t="inlineStr">
        <is>
          <t>Consolidated first (v4) – needs verification for flagged rows</t>
        </is>
      </c>
      <c r="H1433" t="n">
        <v>8.659999847412109</v>
      </c>
      <c r="I1433" t="n">
        <v>1.480000019073486</v>
      </c>
      <c r="L1433" t="inlineStr">
        <is>
          <t>UNVERIFIED – tiny EPS &lt;0.5</t>
        </is>
      </c>
      <c r="M1433" t="n">
        <v>144.33</v>
      </c>
      <c r="N1433" t="n">
        <v>24.67</v>
      </c>
      <c r="O1433" t="n">
        <v>4.87</v>
      </c>
      <c r="P1433" t="n">
        <v>8.24</v>
      </c>
      <c r="Q1433" t="n">
        <v>4</v>
      </c>
      <c r="R1433" s="3" t="inlineStr">
        <is>
          <t>MISMATCH_NEEDS_CORRECTION</t>
        </is>
      </c>
      <c r="S1433" t="n">
        <v>4.87</v>
      </c>
      <c r="T1433" t="inlineStr">
        <is>
          <t>30-07-2026 09:42 IST</t>
        </is>
      </c>
    </row>
    <row r="1434">
      <c r="A1434" t="n">
        <v>209</v>
      </c>
      <c r="B1434" t="n">
        <v>512247</v>
      </c>
      <c r="C1434" t="inlineStr">
        <is>
          <t>Asset Alliance</t>
        </is>
      </c>
      <c r="D1434" t="n">
        <v>2022</v>
      </c>
      <c r="E1434" t="n">
        <v>2.730000019073486</v>
      </c>
      <c r="F1434" t="n">
        <v>0.11</v>
      </c>
      <c r="G1434" t="inlineStr">
        <is>
          <t>Consolidated first (v4) – needs verification for flagged rows</t>
        </is>
      </c>
      <c r="H1434" t="n">
        <v>9.539999961853027</v>
      </c>
      <c r="I1434" t="n">
        <v>3.200000047683716</v>
      </c>
      <c r="L1434" t="inlineStr">
        <is>
          <t>UNVERIFIED – tiny EPS &lt;0.5</t>
        </is>
      </c>
      <c r="M1434" t="n">
        <v>86.73</v>
      </c>
      <c r="N1434" t="n">
        <v>29.09</v>
      </c>
      <c r="O1434" t="n">
        <v>4.87</v>
      </c>
      <c r="P1434" t="n">
        <v>8.24</v>
      </c>
      <c r="Q1434" t="n">
        <v>4</v>
      </c>
      <c r="R1434" s="3" t="inlineStr">
        <is>
          <t>MISMATCH_NEEDS_CORRECTION</t>
        </is>
      </c>
      <c r="S1434" t="n">
        <v>4.87</v>
      </c>
      <c r="T1434" t="inlineStr">
        <is>
          <t>30-07-2026 09:42 IST</t>
        </is>
      </c>
    </row>
    <row r="1435">
      <c r="A1435" t="n">
        <v>209</v>
      </c>
      <c r="B1435" t="n">
        <v>512247</v>
      </c>
      <c r="C1435" t="inlineStr">
        <is>
          <t>Asset Alliance</t>
        </is>
      </c>
      <c r="D1435" t="n">
        <v>2023</v>
      </c>
      <c r="E1435" t="n">
        <v>2.730000019073486</v>
      </c>
      <c r="F1435" t="n">
        <v>0.08</v>
      </c>
      <c r="G1435" t="inlineStr">
        <is>
          <t>Consolidated first (v4) – needs verification for flagged rows</t>
        </is>
      </c>
      <c r="H1435" t="n">
        <v>5.21999979019165</v>
      </c>
      <c r="I1435" t="n">
        <v>2.486665964126587</v>
      </c>
      <c r="L1435" t="inlineStr">
        <is>
          <t>UNVERIFIED – tiny EPS &lt;0.5</t>
        </is>
      </c>
      <c r="M1435" t="n">
        <v>65.25</v>
      </c>
      <c r="N1435" t="n">
        <v>31.08</v>
      </c>
      <c r="O1435" t="n">
        <v>4.87</v>
      </c>
      <c r="P1435" t="n">
        <v>8.24</v>
      </c>
      <c r="Q1435" t="n">
        <v>4</v>
      </c>
      <c r="R1435" s="3" t="inlineStr">
        <is>
          <t>MISMATCH_NEEDS_CORRECTION</t>
        </is>
      </c>
      <c r="S1435" t="n">
        <v>4.87</v>
      </c>
      <c r="T1435" t="inlineStr">
        <is>
          <t>30-07-2026 09:42 IST</t>
        </is>
      </c>
    </row>
    <row r="1436">
      <c r="A1436" t="n">
        <v>209</v>
      </c>
      <c r="B1436" t="n">
        <v>512247</v>
      </c>
      <c r="C1436" t="inlineStr">
        <is>
          <t>Asset Alliance</t>
        </is>
      </c>
      <c r="D1436" t="n">
        <v>2024</v>
      </c>
      <c r="E1436" t="n">
        <v>2.730000019073486</v>
      </c>
      <c r="F1436" t="n">
        <v>0.17</v>
      </c>
      <c r="G1436" t="inlineStr">
        <is>
          <t>Consolidated first (v4) – needs verification for flagged rows</t>
        </is>
      </c>
      <c r="H1436" t="n">
        <v>8.239999771118164</v>
      </c>
      <c r="I1436" t="n">
        <v>4</v>
      </c>
      <c r="L1436" t="inlineStr">
        <is>
          <t>UNVERIFIED – tiny EPS &lt;0.5</t>
        </is>
      </c>
      <c r="M1436" t="n">
        <v>48.47</v>
      </c>
      <c r="N1436" t="n">
        <v>23.53</v>
      </c>
      <c r="O1436" t="n">
        <v>4.87</v>
      </c>
      <c r="P1436" t="n">
        <v>8.24</v>
      </c>
      <c r="Q1436" t="n">
        <v>4</v>
      </c>
      <c r="R1436" s="3" t="inlineStr">
        <is>
          <t>MISMATCH_NEEDS_CORRECTION</t>
        </is>
      </c>
      <c r="S1436" t="n">
        <v>4.87</v>
      </c>
      <c r="T1436" t="inlineStr">
        <is>
          <t>30-07-2026 09:42 IST</t>
        </is>
      </c>
    </row>
    <row r="1437">
      <c r="A1437" t="n">
        <v>209</v>
      </c>
      <c r="B1437" t="n">
        <v>512247</v>
      </c>
      <c r="C1437" t="inlineStr">
        <is>
          <t>Asset Alliance</t>
        </is>
      </c>
      <c r="D1437" t="n">
        <v>2025</v>
      </c>
      <c r="E1437" t="n">
        <v>2.730000019073486</v>
      </c>
      <c r="F1437" t="n">
        <v>0.09</v>
      </c>
      <c r="G1437" t="inlineStr">
        <is>
          <t>Consolidated first (v4) – needs verification for flagged rows</t>
        </is>
      </c>
      <c r="H1437" t="n">
        <v>5.090000152587891</v>
      </c>
      <c r="I1437" t="n">
        <v>2.650000095367432</v>
      </c>
      <c r="L1437" t="inlineStr">
        <is>
          <t>UNVERIFIED – tiny EPS &lt;0.5</t>
        </is>
      </c>
      <c r="M1437" t="n">
        <v>56.56</v>
      </c>
      <c r="N1437" t="n">
        <v>29.44</v>
      </c>
      <c r="O1437" t="n">
        <v>4.87</v>
      </c>
      <c r="P1437" t="n">
        <v>8.24</v>
      </c>
      <c r="Q1437" t="n">
        <v>4</v>
      </c>
      <c r="R1437" s="3" t="inlineStr">
        <is>
          <t>MISMATCH_NEEDS_CORRECTION</t>
        </is>
      </c>
      <c r="S1437" t="n">
        <v>4.87</v>
      </c>
      <c r="T1437" t="inlineStr">
        <is>
          <t>30-07-2026 09:42 IST</t>
        </is>
      </c>
    </row>
    <row r="1438">
      <c r="A1438" t="n">
        <v>209</v>
      </c>
      <c r="B1438" t="n">
        <v>512247</v>
      </c>
      <c r="C1438" t="inlineStr">
        <is>
          <t>Asset Alliance</t>
        </is>
      </c>
      <c r="D1438" t="n">
        <v>2026</v>
      </c>
      <c r="E1438" t="n">
        <v>2.730000019073486</v>
      </c>
      <c r="F1438" t="n">
        <v>0.12</v>
      </c>
      <c r="G1438" t="inlineStr">
        <is>
          <t>Consolidated first (v4) – needs verification for flagged rows</t>
        </is>
      </c>
      <c r="H1438" t="n">
        <v>3.299999952316284</v>
      </c>
      <c r="I1438" t="n">
        <v>2.269999980926514</v>
      </c>
      <c r="L1438" t="inlineStr">
        <is>
          <t>UNVERIFIED – tiny EPS &lt;0.5</t>
        </is>
      </c>
      <c r="M1438" t="n">
        <v>27.5</v>
      </c>
      <c r="N1438" t="n">
        <v>18.92</v>
      </c>
      <c r="O1438" t="n">
        <v>4.87</v>
      </c>
      <c r="P1438" t="n">
        <v>8.24</v>
      </c>
      <c r="Q1438" t="n">
        <v>4</v>
      </c>
      <c r="R1438" s="3" t="inlineStr">
        <is>
          <t>MISMATCH_NEEDS_CORRECTION</t>
        </is>
      </c>
      <c r="S1438" t="n">
        <v>4.87</v>
      </c>
      <c r="T1438" t="inlineStr">
        <is>
          <t>30-07-2026 09:42 IST</t>
        </is>
      </c>
    </row>
    <row r="1439">
      <c r="A1439" t="n">
        <v>211</v>
      </c>
      <c r="B1439" t="n">
        <v>512265</v>
      </c>
      <c r="C1439" t="inlineStr">
        <is>
          <t>Avon Mercantile Ltd</t>
        </is>
      </c>
      <c r="D1439" t="n">
        <v>2026</v>
      </c>
      <c r="E1439" t="n">
        <v>12</v>
      </c>
      <c r="F1439" t="n">
        <v>1.23</v>
      </c>
      <c r="G1439" t="inlineStr">
        <is>
          <t>Consolidated first (v4) – needs verification for flagged rows</t>
        </is>
      </c>
      <c r="H1439" t="n">
        <v>12</v>
      </c>
      <c r="I1439" t="n">
        <v>12</v>
      </c>
      <c r="L1439" t="inlineStr">
        <is>
          <t>OK</t>
        </is>
      </c>
      <c r="M1439" t="n">
        <v>9.76</v>
      </c>
      <c r="N1439" t="n">
        <v>9.76</v>
      </c>
      <c r="O1439" t="n">
        <v>12</v>
      </c>
      <c r="P1439" t="n">
        <v>12</v>
      </c>
      <c r="Q1439" t="n">
        <v>12</v>
      </c>
      <c r="R1439" s="2" t="inlineStr">
        <is>
          <t>VERIFIED_OK</t>
        </is>
      </c>
      <c r="S1439" t="n">
        <v>12</v>
      </c>
      <c r="T1439" t="inlineStr">
        <is>
          <t>30-07-2026 09:42 IST</t>
        </is>
      </c>
    </row>
    <row r="1440">
      <c r="A1440" t="n">
        <v>212</v>
      </c>
      <c r="B1440" t="n">
        <v>512279</v>
      </c>
      <c r="C1440" t="inlineStr">
        <is>
          <t>N2N Technologies Ltd</t>
        </is>
      </c>
      <c r="D1440" t="n">
        <v>2015</v>
      </c>
      <c r="E1440" t="n">
        <v>34.29999923706055</v>
      </c>
      <c r="F1440" t="n">
        <v>9.44</v>
      </c>
      <c r="G1440" t="inlineStr">
        <is>
          <t>Consolidated first (v4) – needs verification for flagged rows</t>
        </is>
      </c>
      <c r="H1440" t="n">
        <v>50.84999847412109</v>
      </c>
      <c r="I1440" t="n">
        <v>26</v>
      </c>
      <c r="L1440" t="inlineStr">
        <is>
          <t>OK</t>
        </is>
      </c>
      <c r="M1440" t="n">
        <v>5.39</v>
      </c>
      <c r="N1440" t="n">
        <v>2.75</v>
      </c>
      <c r="O1440" t="n">
        <v>22.9</v>
      </c>
      <c r="P1440" t="n">
        <v>33</v>
      </c>
      <c r="Q1440" t="n">
        <v>15.68</v>
      </c>
      <c r="R1440" s="3" t="inlineStr">
        <is>
          <t>MISMATCH_NEEDS_CORRECTION</t>
        </is>
      </c>
      <c r="S1440" t="n">
        <v>22.9</v>
      </c>
      <c r="T1440" t="inlineStr">
        <is>
          <t>30-07-2026 09:42 IST</t>
        </is>
      </c>
    </row>
    <row r="1441">
      <c r="A1441" t="n">
        <v>212</v>
      </c>
      <c r="B1441" t="n">
        <v>512279</v>
      </c>
      <c r="C1441" t="inlineStr">
        <is>
          <t>N2N Technologies Ltd</t>
        </is>
      </c>
      <c r="D1441" t="n">
        <v>2016</v>
      </c>
      <c r="E1441" t="n">
        <v>34.29999923706055</v>
      </c>
      <c r="F1441" t="n">
        <v>-24.73</v>
      </c>
      <c r="G1441" t="inlineStr">
        <is>
          <t>Consolidated first (v4) – needs verification for flagged rows</t>
        </is>
      </c>
      <c r="H1441" t="n">
        <v>65.19999694824219</v>
      </c>
      <c r="I1441" t="n">
        <v>28.89999961853027</v>
      </c>
      <c r="L1441" t="inlineStr">
        <is>
          <t>UNVERIFIED – negative EPS</t>
        </is>
      </c>
      <c r="M1441" t="n">
        <v>-2.64</v>
      </c>
      <c r="N1441" t="n">
        <v>-1.17</v>
      </c>
      <c r="O1441" t="n">
        <v>22.9</v>
      </c>
      <c r="P1441" t="n">
        <v>33</v>
      </c>
      <c r="Q1441" t="n">
        <v>15.68</v>
      </c>
      <c r="R1441" s="3" t="inlineStr">
        <is>
          <t>MISMATCH_NEEDS_CORRECTION</t>
        </is>
      </c>
      <c r="S1441" t="n">
        <v>22.9</v>
      </c>
      <c r="T1441" t="inlineStr">
        <is>
          <t>30-07-2026 09:42 IST</t>
        </is>
      </c>
    </row>
    <row r="1442">
      <c r="A1442" t="n">
        <v>212</v>
      </c>
      <c r="B1442" t="n">
        <v>512279</v>
      </c>
      <c r="C1442" t="inlineStr">
        <is>
          <t>N2N Technologies Ltd</t>
        </is>
      </c>
      <c r="D1442" t="n">
        <v>2017</v>
      </c>
      <c r="E1442" t="n">
        <v>34.29999923706055</v>
      </c>
      <c r="G1442" t="inlineStr">
        <is>
          <t>Consolidated first (v4) – needs verification for flagged rows</t>
        </is>
      </c>
      <c r="H1442" t="n">
        <v>43</v>
      </c>
      <c r="I1442" t="n">
        <v>36</v>
      </c>
      <c r="L1442" t="inlineStr">
        <is>
          <t>INCOMPLETE</t>
        </is>
      </c>
      <c r="O1442" t="n">
        <v>22.9</v>
      </c>
      <c r="P1442" t="n">
        <v>33</v>
      </c>
      <c r="Q1442" t="n">
        <v>15.68</v>
      </c>
      <c r="R1442" s="3" t="inlineStr">
        <is>
          <t>MISMATCH_NEEDS_CORRECTION</t>
        </is>
      </c>
      <c r="S1442" t="n">
        <v>22.9</v>
      </c>
      <c r="T1442" t="inlineStr">
        <is>
          <t>30-07-2026 09:42 IST</t>
        </is>
      </c>
    </row>
    <row r="1443">
      <c r="A1443" t="n">
        <v>212</v>
      </c>
      <c r="B1443" t="n">
        <v>512279</v>
      </c>
      <c r="C1443" t="inlineStr">
        <is>
          <t>N2N Technologies Ltd</t>
        </is>
      </c>
      <c r="D1443" t="n">
        <v>2018</v>
      </c>
      <c r="E1443" t="n">
        <v>34.29999923706055</v>
      </c>
      <c r="G1443" t="inlineStr">
        <is>
          <t>Consolidated first (v4) – needs verification for flagged rows</t>
        </is>
      </c>
      <c r="H1443" t="n">
        <v>36.5</v>
      </c>
      <c r="I1443" t="n">
        <v>19</v>
      </c>
      <c r="L1443" t="inlineStr">
        <is>
          <t>INCOMPLETE</t>
        </is>
      </c>
      <c r="O1443" t="n">
        <v>22.9</v>
      </c>
      <c r="P1443" t="n">
        <v>33</v>
      </c>
      <c r="Q1443" t="n">
        <v>15.68</v>
      </c>
      <c r="R1443" s="3" t="inlineStr">
        <is>
          <t>MISMATCH_NEEDS_CORRECTION</t>
        </is>
      </c>
      <c r="S1443" t="n">
        <v>22.9</v>
      </c>
      <c r="T1443" t="inlineStr">
        <is>
          <t>30-07-2026 09:42 IST</t>
        </is>
      </c>
    </row>
    <row r="1444">
      <c r="A1444" t="n">
        <v>212</v>
      </c>
      <c r="B1444" t="n">
        <v>512279</v>
      </c>
      <c r="C1444" t="inlineStr">
        <is>
          <t>N2N Technologies Ltd</t>
        </is>
      </c>
      <c r="D1444" t="n">
        <v>2019</v>
      </c>
      <c r="E1444" t="n">
        <v>34.29999923706055</v>
      </c>
      <c r="G1444" t="inlineStr">
        <is>
          <t>Consolidated first (v4) – needs verification for flagged rows</t>
        </is>
      </c>
      <c r="H1444" t="n">
        <v>19.95000076293945</v>
      </c>
      <c r="I1444" t="n">
        <v>18.04999923706055</v>
      </c>
      <c r="L1444" t="inlineStr">
        <is>
          <t>INCOMPLETE</t>
        </is>
      </c>
      <c r="O1444" t="n">
        <v>22.9</v>
      </c>
      <c r="P1444" t="n">
        <v>33</v>
      </c>
      <c r="Q1444" t="n">
        <v>15.68</v>
      </c>
      <c r="R1444" s="3" t="inlineStr">
        <is>
          <t>MISMATCH_NEEDS_CORRECTION</t>
        </is>
      </c>
      <c r="S1444" t="n">
        <v>22.9</v>
      </c>
      <c r="T1444" t="inlineStr">
        <is>
          <t>30-07-2026 09:42 IST</t>
        </is>
      </c>
    </row>
    <row r="1445">
      <c r="A1445" t="n">
        <v>212</v>
      </c>
      <c r="B1445" t="n">
        <v>512279</v>
      </c>
      <c r="C1445" t="inlineStr">
        <is>
          <t>N2N Technologies Ltd</t>
        </is>
      </c>
      <c r="D1445" t="n">
        <v>2020</v>
      </c>
      <c r="E1445" t="n">
        <v>34.29999923706055</v>
      </c>
      <c r="G1445" t="inlineStr">
        <is>
          <t>Consolidated first (v4) – needs verification for flagged rows</t>
        </is>
      </c>
      <c r="H1445" t="n">
        <v>18.04999923706055</v>
      </c>
      <c r="I1445" t="n">
        <v>3.970000028610229</v>
      </c>
      <c r="L1445" t="inlineStr">
        <is>
          <t>INCOMPLETE</t>
        </is>
      </c>
      <c r="O1445" t="n">
        <v>22.9</v>
      </c>
      <c r="P1445" t="n">
        <v>33</v>
      </c>
      <c r="Q1445" t="n">
        <v>15.68</v>
      </c>
      <c r="R1445" s="3" t="inlineStr">
        <is>
          <t>MISMATCH_NEEDS_CORRECTION</t>
        </is>
      </c>
      <c r="S1445" t="n">
        <v>22.9</v>
      </c>
      <c r="T1445" t="inlineStr">
        <is>
          <t>30-07-2026 09:42 IST</t>
        </is>
      </c>
    </row>
    <row r="1446">
      <c r="A1446" t="n">
        <v>212</v>
      </c>
      <c r="B1446" t="n">
        <v>512279</v>
      </c>
      <c r="C1446" t="inlineStr">
        <is>
          <t>N2N Technologies Ltd</t>
        </is>
      </c>
      <c r="D1446" t="n">
        <v>2021</v>
      </c>
      <c r="E1446" t="n">
        <v>34.29999923706055</v>
      </c>
      <c r="G1446" t="inlineStr">
        <is>
          <t>Consolidated first (v4) – needs verification for flagged rows</t>
        </is>
      </c>
      <c r="H1446" t="n">
        <v>13.14000034332275</v>
      </c>
      <c r="I1446" t="n">
        <v>4.179999828338623</v>
      </c>
      <c r="L1446" t="inlineStr">
        <is>
          <t>INCOMPLETE</t>
        </is>
      </c>
      <c r="O1446" t="n">
        <v>22.9</v>
      </c>
      <c r="P1446" t="n">
        <v>33</v>
      </c>
      <c r="Q1446" t="n">
        <v>15.68</v>
      </c>
      <c r="R1446" s="3" t="inlineStr">
        <is>
          <t>MISMATCH_NEEDS_CORRECTION</t>
        </is>
      </c>
      <c r="S1446" t="n">
        <v>22.9</v>
      </c>
      <c r="T1446" t="inlineStr">
        <is>
          <t>30-07-2026 09:42 IST</t>
        </is>
      </c>
    </row>
    <row r="1447">
      <c r="A1447" t="n">
        <v>212</v>
      </c>
      <c r="B1447" t="n">
        <v>512279</v>
      </c>
      <c r="C1447" t="inlineStr">
        <is>
          <t>N2N Technologies Ltd</t>
        </is>
      </c>
      <c r="D1447" t="n">
        <v>2022</v>
      </c>
      <c r="E1447" t="n">
        <v>34.29999923706055</v>
      </c>
      <c r="G1447" t="inlineStr">
        <is>
          <t>Consolidated first (v4) – needs verification for flagged rows</t>
        </is>
      </c>
      <c r="H1447" t="n">
        <v>32.29999923706055</v>
      </c>
      <c r="I1447" t="n">
        <v>7.21999979019165</v>
      </c>
      <c r="L1447" t="inlineStr">
        <is>
          <t>INCOMPLETE</t>
        </is>
      </c>
      <c r="O1447" t="n">
        <v>22.9</v>
      </c>
      <c r="P1447" t="n">
        <v>33</v>
      </c>
      <c r="Q1447" t="n">
        <v>15.68</v>
      </c>
      <c r="R1447" s="3" t="inlineStr">
        <is>
          <t>MISMATCH_NEEDS_CORRECTION</t>
        </is>
      </c>
      <c r="S1447" t="n">
        <v>22.9</v>
      </c>
      <c r="T1447" t="inlineStr">
        <is>
          <t>30-07-2026 09:42 IST</t>
        </is>
      </c>
    </row>
    <row r="1448">
      <c r="A1448" t="n">
        <v>212</v>
      </c>
      <c r="B1448" t="n">
        <v>512279</v>
      </c>
      <c r="C1448" t="inlineStr">
        <is>
          <t>N2N Technologies Ltd</t>
        </is>
      </c>
      <c r="D1448" t="n">
        <v>2023</v>
      </c>
      <c r="E1448" t="n">
        <v>34.29999923706055</v>
      </c>
      <c r="G1448" t="inlineStr">
        <is>
          <t>Consolidated first (v4) – needs verification for flagged rows</t>
        </is>
      </c>
      <c r="H1448" t="n">
        <v>22.34000015258789</v>
      </c>
      <c r="I1448" t="n">
        <v>7</v>
      </c>
      <c r="L1448" t="inlineStr">
        <is>
          <t>INCOMPLETE</t>
        </is>
      </c>
      <c r="O1448" t="n">
        <v>22.9</v>
      </c>
      <c r="P1448" t="n">
        <v>33</v>
      </c>
      <c r="Q1448" t="n">
        <v>15.68</v>
      </c>
      <c r="R1448" s="3" t="inlineStr">
        <is>
          <t>MISMATCH_NEEDS_CORRECTION</t>
        </is>
      </c>
      <c r="S1448" t="n">
        <v>22.9</v>
      </c>
      <c r="T1448" t="inlineStr">
        <is>
          <t>30-07-2026 09:42 IST</t>
        </is>
      </c>
    </row>
    <row r="1449">
      <c r="A1449" t="n">
        <v>212</v>
      </c>
      <c r="B1449" t="n">
        <v>512279</v>
      </c>
      <c r="C1449" t="inlineStr">
        <is>
          <t>N2N Technologies Ltd</t>
        </is>
      </c>
      <c r="D1449" t="n">
        <v>2024</v>
      </c>
      <c r="E1449" t="n">
        <v>34.29999923706055</v>
      </c>
      <c r="G1449" t="inlineStr">
        <is>
          <t>Consolidated first (v4) – needs verification for flagged rows</t>
        </is>
      </c>
      <c r="H1449" t="n">
        <v>33</v>
      </c>
      <c r="I1449" t="n">
        <v>16.39999961853027</v>
      </c>
      <c r="L1449" t="inlineStr">
        <is>
          <t>INCOMPLETE</t>
        </is>
      </c>
      <c r="O1449" t="n">
        <v>22.9</v>
      </c>
      <c r="P1449" t="n">
        <v>33</v>
      </c>
      <c r="Q1449" t="n">
        <v>15.68</v>
      </c>
      <c r="R1449" s="3" t="inlineStr">
        <is>
          <t>MISMATCH_NEEDS_CORRECTION</t>
        </is>
      </c>
      <c r="S1449" t="n">
        <v>22.9</v>
      </c>
      <c r="T1449" t="inlineStr">
        <is>
          <t>30-07-2026 09:42 IST</t>
        </is>
      </c>
    </row>
    <row r="1450">
      <c r="A1450" t="n">
        <v>212</v>
      </c>
      <c r="B1450" t="n">
        <v>512279</v>
      </c>
      <c r="C1450" t="inlineStr">
        <is>
          <t>N2N Technologies Ltd</t>
        </is>
      </c>
      <c r="D1450" t="n">
        <v>2025</v>
      </c>
      <c r="E1450" t="n">
        <v>34.29999923706055</v>
      </c>
      <c r="G1450" t="inlineStr">
        <is>
          <t>Consolidated first (v4) – needs verification for flagged rows</t>
        </is>
      </c>
      <c r="H1450" t="n">
        <v>42.15000152587891</v>
      </c>
      <c r="I1450" t="n">
        <v>14.17000007629395</v>
      </c>
      <c r="L1450" t="inlineStr">
        <is>
          <t>INCOMPLETE</t>
        </is>
      </c>
      <c r="O1450" t="n">
        <v>22.9</v>
      </c>
      <c r="P1450" t="n">
        <v>33</v>
      </c>
      <c r="Q1450" t="n">
        <v>15.68</v>
      </c>
      <c r="R1450" s="3" t="inlineStr">
        <is>
          <t>MISMATCH_NEEDS_CORRECTION</t>
        </is>
      </c>
      <c r="S1450" t="n">
        <v>22.9</v>
      </c>
      <c r="T1450" t="inlineStr">
        <is>
          <t>30-07-2026 09:42 IST</t>
        </is>
      </c>
    </row>
    <row r="1451">
      <c r="A1451" t="n">
        <v>212</v>
      </c>
      <c r="B1451" t="n">
        <v>512279</v>
      </c>
      <c r="C1451" t="inlineStr">
        <is>
          <t>N2N Technologies Ltd</t>
        </is>
      </c>
      <c r="D1451" t="n">
        <v>2026</v>
      </c>
      <c r="E1451" t="n">
        <v>34.29999923706055</v>
      </c>
      <c r="G1451" t="inlineStr">
        <is>
          <t>Consolidated first (v4) – needs verification for flagged rows</t>
        </is>
      </c>
      <c r="H1451" t="n">
        <v>40.04000091552734</v>
      </c>
      <c r="I1451" t="n">
        <v>27.07999992370605</v>
      </c>
      <c r="L1451" t="inlineStr">
        <is>
          <t>INCOMPLETE</t>
        </is>
      </c>
      <c r="O1451" t="n">
        <v>22.9</v>
      </c>
      <c r="P1451" t="n">
        <v>33</v>
      </c>
      <c r="Q1451" t="n">
        <v>15.68</v>
      </c>
      <c r="R1451" s="3" t="inlineStr">
        <is>
          <t>MISMATCH_NEEDS_CORRECTION</t>
        </is>
      </c>
      <c r="S1451" t="n">
        <v>22.9</v>
      </c>
      <c r="T1451" t="inlineStr">
        <is>
          <t>30-07-2026 09:42 IST</t>
        </is>
      </c>
    </row>
    <row r="1452">
      <c r="A1452" t="n">
        <v>213</v>
      </c>
      <c r="B1452" t="n">
        <v>512289</v>
      </c>
      <c r="C1452" t="inlineStr">
        <is>
          <t>Shree Metalloys Ltd</t>
        </is>
      </c>
      <c r="D1452" t="n">
        <v>2015</v>
      </c>
      <c r="E1452" t="n">
        <v>5.019999980926514</v>
      </c>
      <c r="F1452" t="n">
        <v>5.24</v>
      </c>
      <c r="G1452" t="inlineStr">
        <is>
          <t>Consolidated first (v4) – needs verification for flagged rows</t>
        </is>
      </c>
      <c r="H1452" t="n">
        <v>89.69999694824219</v>
      </c>
      <c r="I1452" t="n">
        <v>54.29999923706055</v>
      </c>
      <c r="L1452" t="inlineStr">
        <is>
          <t>OK</t>
        </is>
      </c>
      <c r="M1452" t="n">
        <v>17.12</v>
      </c>
      <c r="N1452" t="n">
        <v>10.36</v>
      </c>
      <c r="O1452" t="n">
        <v>39.25</v>
      </c>
      <c r="P1452" t="n">
        <v>62.29</v>
      </c>
      <c r="Q1452" t="n">
        <v>27.94</v>
      </c>
      <c r="R1452" s="3" t="inlineStr">
        <is>
          <t>MISMATCH_NEEDS_CORRECTION</t>
        </is>
      </c>
      <c r="S1452" t="n">
        <v>39.25</v>
      </c>
      <c r="T1452" t="inlineStr">
        <is>
          <t>30-07-2026 09:42 IST</t>
        </is>
      </c>
    </row>
    <row r="1453">
      <c r="A1453" t="n">
        <v>213</v>
      </c>
      <c r="B1453" t="n">
        <v>512289</v>
      </c>
      <c r="C1453" t="inlineStr">
        <is>
          <t>Shree Metalloys Ltd</t>
        </is>
      </c>
      <c r="D1453" t="n">
        <v>2016</v>
      </c>
      <c r="E1453" t="n">
        <v>5.019999980926514</v>
      </c>
      <c r="F1453" t="n">
        <v>1.73</v>
      </c>
      <c r="G1453" t="inlineStr">
        <is>
          <t>Consolidated first (v4) – needs verification for flagged rows</t>
        </is>
      </c>
      <c r="H1453" t="n">
        <v>179</v>
      </c>
      <c r="I1453" t="n">
        <v>49</v>
      </c>
      <c r="L1453" t="inlineStr">
        <is>
          <t>OK</t>
        </is>
      </c>
      <c r="M1453" t="n">
        <v>103.47</v>
      </c>
      <c r="N1453" t="n">
        <v>28.32</v>
      </c>
      <c r="O1453" t="n">
        <v>39.25</v>
      </c>
      <c r="P1453" t="n">
        <v>62.29</v>
      </c>
      <c r="Q1453" t="n">
        <v>27.94</v>
      </c>
      <c r="R1453" s="3" t="inlineStr">
        <is>
          <t>MISMATCH_NEEDS_CORRECTION</t>
        </is>
      </c>
      <c r="S1453" t="n">
        <v>39.25</v>
      </c>
      <c r="T1453" t="inlineStr">
        <is>
          <t>30-07-2026 09:42 IST</t>
        </is>
      </c>
    </row>
    <row r="1454">
      <c r="A1454" t="n">
        <v>213</v>
      </c>
      <c r="B1454" t="n">
        <v>512289</v>
      </c>
      <c r="C1454" t="inlineStr">
        <is>
          <t>Shree Metalloys Ltd</t>
        </is>
      </c>
      <c r="D1454" t="n">
        <v>2017</v>
      </c>
      <c r="E1454" t="n">
        <v>5.019999980926514</v>
      </c>
      <c r="F1454" t="n">
        <v>0.91</v>
      </c>
      <c r="G1454" t="inlineStr">
        <is>
          <t>Consolidated first (v4) – needs verification for flagged rows</t>
        </is>
      </c>
      <c r="H1454" t="n">
        <v>233.6000061035156</v>
      </c>
      <c r="I1454" t="n">
        <v>87.19999694824219</v>
      </c>
      <c r="L1454" t="inlineStr">
        <is>
          <t>OK</t>
        </is>
      </c>
      <c r="M1454" t="n">
        <v>256.7</v>
      </c>
      <c r="N1454" t="n">
        <v>95.81999999999999</v>
      </c>
      <c r="O1454" t="n">
        <v>39.25</v>
      </c>
      <c r="P1454" t="n">
        <v>62.29</v>
      </c>
      <c r="Q1454" t="n">
        <v>27.94</v>
      </c>
      <c r="R1454" s="3" t="inlineStr">
        <is>
          <t>MISMATCH_NEEDS_CORRECTION</t>
        </is>
      </c>
      <c r="S1454" t="n">
        <v>39.25</v>
      </c>
      <c r="T1454" t="inlineStr">
        <is>
          <t>30-07-2026 09:42 IST</t>
        </is>
      </c>
    </row>
    <row r="1455">
      <c r="A1455" t="n">
        <v>213</v>
      </c>
      <c r="B1455" t="n">
        <v>512289</v>
      </c>
      <c r="C1455" t="inlineStr">
        <is>
          <t>Shree Metalloys Ltd</t>
        </is>
      </c>
      <c r="D1455" t="n">
        <v>2018</v>
      </c>
      <c r="E1455" t="n">
        <v>5.019999980926514</v>
      </c>
      <c r="F1455" t="n">
        <v>4.92</v>
      </c>
      <c r="G1455" t="inlineStr">
        <is>
          <t>Consolidated first (v4) – needs verification for flagged rows</t>
        </is>
      </c>
      <c r="H1455" t="n">
        <v>200.6000061035156</v>
      </c>
      <c r="I1455" t="n">
        <v>63.15000152587891</v>
      </c>
      <c r="L1455" t="inlineStr">
        <is>
          <t>OK</t>
        </is>
      </c>
      <c r="M1455" t="n">
        <v>40.77</v>
      </c>
      <c r="N1455" t="n">
        <v>12.84</v>
      </c>
      <c r="O1455" t="n">
        <v>39.25</v>
      </c>
      <c r="P1455" t="n">
        <v>62.29</v>
      </c>
      <c r="Q1455" t="n">
        <v>27.94</v>
      </c>
      <c r="R1455" s="3" t="inlineStr">
        <is>
          <t>MISMATCH_NEEDS_CORRECTION</t>
        </is>
      </c>
      <c r="S1455" t="n">
        <v>39.25</v>
      </c>
      <c r="T1455" t="inlineStr">
        <is>
          <t>30-07-2026 09:42 IST</t>
        </is>
      </c>
    </row>
    <row r="1456">
      <c r="A1456" t="n">
        <v>213</v>
      </c>
      <c r="B1456" t="n">
        <v>512289</v>
      </c>
      <c r="C1456" t="inlineStr">
        <is>
          <t>Shree Metalloys Ltd</t>
        </is>
      </c>
      <c r="D1456" t="n">
        <v>2019</v>
      </c>
      <c r="E1456" t="n">
        <v>5.019999980926514</v>
      </c>
      <c r="F1456" t="n">
        <v>7.32</v>
      </c>
      <c r="G1456" t="inlineStr">
        <is>
          <t>Consolidated first (v4) – needs verification for flagged rows</t>
        </is>
      </c>
      <c r="H1456" t="n">
        <v>88.90000152587891</v>
      </c>
      <c r="I1456" t="n">
        <v>5.829999923706055</v>
      </c>
      <c r="L1456" t="inlineStr">
        <is>
          <t>OK</t>
        </is>
      </c>
      <c r="M1456" t="n">
        <v>12.14</v>
      </c>
      <c r="N1456" t="n">
        <v>0.8</v>
      </c>
      <c r="O1456" t="n">
        <v>39.25</v>
      </c>
      <c r="P1456" t="n">
        <v>62.29</v>
      </c>
      <c r="Q1456" t="n">
        <v>27.94</v>
      </c>
      <c r="R1456" s="3" t="inlineStr">
        <is>
          <t>MISMATCH_NEEDS_CORRECTION</t>
        </is>
      </c>
      <c r="S1456" t="n">
        <v>39.25</v>
      </c>
      <c r="T1456" t="inlineStr">
        <is>
          <t>30-07-2026 09:42 IST</t>
        </is>
      </c>
    </row>
    <row r="1457">
      <c r="A1457" t="n">
        <v>213</v>
      </c>
      <c r="B1457" t="n">
        <v>512289</v>
      </c>
      <c r="C1457" t="inlineStr">
        <is>
          <t>Shree Metalloys Ltd</t>
        </is>
      </c>
      <c r="D1457" t="n">
        <v>2020</v>
      </c>
      <c r="E1457" t="n">
        <v>5.019999980926514</v>
      </c>
      <c r="F1457" t="n">
        <v>-48.24</v>
      </c>
      <c r="G1457" t="inlineStr">
        <is>
          <t>Consolidated first (v4) – needs verification for flagged rows</t>
        </is>
      </c>
      <c r="H1457" t="n">
        <v>18.39999961853027</v>
      </c>
      <c r="I1457" t="n">
        <v>5.199999809265137</v>
      </c>
      <c r="L1457" t="inlineStr">
        <is>
          <t>UNVERIFIED – negative EPS</t>
        </is>
      </c>
      <c r="M1457" t="n">
        <v>-0.38</v>
      </c>
      <c r="N1457" t="n">
        <v>-0.11</v>
      </c>
      <c r="O1457" t="n">
        <v>39.25</v>
      </c>
      <c r="P1457" t="n">
        <v>62.29</v>
      </c>
      <c r="Q1457" t="n">
        <v>27.94</v>
      </c>
      <c r="R1457" s="3" t="inlineStr">
        <is>
          <t>MISMATCH_NEEDS_CORRECTION</t>
        </is>
      </c>
      <c r="S1457" t="n">
        <v>39.25</v>
      </c>
      <c r="T1457" t="inlineStr">
        <is>
          <t>30-07-2026 09:42 IST</t>
        </is>
      </c>
    </row>
    <row r="1458">
      <c r="A1458" t="n">
        <v>213</v>
      </c>
      <c r="B1458" t="n">
        <v>512289</v>
      </c>
      <c r="C1458" t="inlineStr">
        <is>
          <t>Shree Metalloys Ltd</t>
        </is>
      </c>
      <c r="D1458" t="n">
        <v>2021</v>
      </c>
      <c r="E1458" t="n">
        <v>5.019999980926514</v>
      </c>
      <c r="F1458" t="n">
        <v>-84.31999999999999</v>
      </c>
      <c r="G1458" t="inlineStr">
        <is>
          <t>Consolidated first (v4) – needs verification for flagged rows</t>
        </is>
      </c>
      <c r="H1458" t="n">
        <v>9.619999885559082</v>
      </c>
      <c r="I1458" t="n">
        <v>4.849999904632568</v>
      </c>
      <c r="L1458" t="inlineStr">
        <is>
          <t>UNVERIFIED – negative EPS</t>
        </is>
      </c>
      <c r="M1458" t="n">
        <v>-0.11</v>
      </c>
      <c r="N1458" t="n">
        <v>-0.06</v>
      </c>
      <c r="O1458" t="n">
        <v>39.25</v>
      </c>
      <c r="P1458" t="n">
        <v>62.29</v>
      </c>
      <c r="Q1458" t="n">
        <v>27.94</v>
      </c>
      <c r="R1458" s="3" t="inlineStr">
        <is>
          <t>MISMATCH_NEEDS_CORRECTION</t>
        </is>
      </c>
      <c r="S1458" t="n">
        <v>39.25</v>
      </c>
      <c r="T1458" t="inlineStr">
        <is>
          <t>30-07-2026 09:42 IST</t>
        </is>
      </c>
    </row>
    <row r="1459">
      <c r="A1459" t="n">
        <v>213</v>
      </c>
      <c r="B1459" t="n">
        <v>512289</v>
      </c>
      <c r="C1459" t="inlineStr">
        <is>
          <t>Shree Metalloys Ltd</t>
        </is>
      </c>
      <c r="D1459" t="n">
        <v>2022</v>
      </c>
      <c r="E1459" t="n">
        <v>5.019999980926514</v>
      </c>
      <c r="F1459" t="n">
        <v>-33.01</v>
      </c>
      <c r="G1459" t="inlineStr">
        <is>
          <t>Consolidated first (v4) – needs verification for flagged rows</t>
        </is>
      </c>
      <c r="H1459" t="n">
        <v>5.019999980926514</v>
      </c>
      <c r="I1459" t="n">
        <v>5.019999980926514</v>
      </c>
      <c r="L1459" t="inlineStr">
        <is>
          <t>UNVERIFIED – negative EPS</t>
        </is>
      </c>
      <c r="M1459" t="n">
        <v>-0.15</v>
      </c>
      <c r="N1459" t="n">
        <v>-0.15</v>
      </c>
      <c r="O1459" t="n">
        <v>39.25</v>
      </c>
      <c r="P1459" t="n">
        <v>62.29</v>
      </c>
      <c r="Q1459" t="n">
        <v>27.94</v>
      </c>
      <c r="R1459" s="3" t="inlineStr">
        <is>
          <t>MISMATCH_NEEDS_CORRECTION</t>
        </is>
      </c>
      <c r="S1459" t="n">
        <v>39.25</v>
      </c>
      <c r="T1459" t="inlineStr">
        <is>
          <t>30-07-2026 09:42 IST</t>
        </is>
      </c>
    </row>
    <row r="1460">
      <c r="A1460" t="n">
        <v>213</v>
      </c>
      <c r="B1460" t="n">
        <v>512289</v>
      </c>
      <c r="C1460" t="inlineStr">
        <is>
          <t>Shree Metalloys Ltd</t>
        </is>
      </c>
      <c r="D1460" t="n">
        <v>2023</v>
      </c>
      <c r="E1460" t="n">
        <v>5.019999980926514</v>
      </c>
      <c r="F1460" t="n">
        <v>-11.19</v>
      </c>
      <c r="G1460" t="inlineStr">
        <is>
          <t>Consolidated first (v4) – needs verification for flagged rows</t>
        </is>
      </c>
      <c r="H1460" t="n">
        <v>5.019999980926514</v>
      </c>
      <c r="I1460" t="n">
        <v>5.019999980926514</v>
      </c>
      <c r="L1460" t="inlineStr">
        <is>
          <t>UNVERIFIED – negative EPS</t>
        </is>
      </c>
      <c r="M1460" t="n">
        <v>-0.45</v>
      </c>
      <c r="N1460" t="n">
        <v>-0.45</v>
      </c>
      <c r="O1460" t="n">
        <v>39.25</v>
      </c>
      <c r="P1460" t="n">
        <v>62.29</v>
      </c>
      <c r="Q1460" t="n">
        <v>27.94</v>
      </c>
      <c r="R1460" s="3" t="inlineStr">
        <is>
          <t>MISMATCH_NEEDS_CORRECTION</t>
        </is>
      </c>
      <c r="S1460" t="n">
        <v>39.25</v>
      </c>
      <c r="T1460" t="inlineStr">
        <is>
          <t>30-07-2026 09:42 IST</t>
        </is>
      </c>
    </row>
    <row r="1461">
      <c r="A1461" t="n">
        <v>213</v>
      </c>
      <c r="B1461" t="n">
        <v>512289</v>
      </c>
      <c r="C1461" t="inlineStr">
        <is>
          <t>Shree Metalloys Ltd</t>
        </is>
      </c>
      <c r="D1461" t="n">
        <v>2024</v>
      </c>
      <c r="E1461" t="n">
        <v>5.019999980926514</v>
      </c>
      <c r="F1461" t="n">
        <v>-35.74</v>
      </c>
      <c r="G1461" t="inlineStr">
        <is>
          <t>Consolidated first (v4) – needs verification for flagged rows</t>
        </is>
      </c>
      <c r="H1461" t="n">
        <v>5.019999980926514</v>
      </c>
      <c r="I1461" t="n">
        <v>5.019999980926514</v>
      </c>
      <c r="L1461" t="inlineStr">
        <is>
          <t>UNVERIFIED – negative EPS</t>
        </is>
      </c>
      <c r="M1461" t="n">
        <v>-0.14</v>
      </c>
      <c r="N1461" t="n">
        <v>-0.14</v>
      </c>
      <c r="O1461" t="n">
        <v>39.25</v>
      </c>
      <c r="P1461" t="n">
        <v>62.29</v>
      </c>
      <c r="Q1461" t="n">
        <v>27.94</v>
      </c>
      <c r="R1461" s="3" t="inlineStr">
        <is>
          <t>MISMATCH_NEEDS_CORRECTION</t>
        </is>
      </c>
      <c r="S1461" t="n">
        <v>39.25</v>
      </c>
      <c r="T1461" t="inlineStr">
        <is>
          <t>30-07-2026 09:42 IST</t>
        </is>
      </c>
    </row>
    <row r="1462">
      <c r="A1462" t="n">
        <v>213</v>
      </c>
      <c r="B1462" t="n">
        <v>512289</v>
      </c>
      <c r="C1462" t="inlineStr">
        <is>
          <t>Shree Metalloys Ltd</t>
        </is>
      </c>
      <c r="D1462" t="n">
        <v>2025</v>
      </c>
      <c r="E1462" t="n">
        <v>5.019999980926514</v>
      </c>
      <c r="G1462" t="inlineStr">
        <is>
          <t>Consolidated first (v4) – needs verification for flagged rows</t>
        </is>
      </c>
      <c r="H1462" t="n">
        <v>5.019999980926514</v>
      </c>
      <c r="I1462" t="n">
        <v>5.019999980926514</v>
      </c>
      <c r="L1462" t="inlineStr">
        <is>
          <t>INCOMPLETE</t>
        </is>
      </c>
      <c r="O1462" t="n">
        <v>39.25</v>
      </c>
      <c r="P1462" t="n">
        <v>62.29</v>
      </c>
      <c r="Q1462" t="n">
        <v>27.94</v>
      </c>
      <c r="R1462" s="3" t="inlineStr">
        <is>
          <t>MISMATCH_NEEDS_CORRECTION</t>
        </is>
      </c>
      <c r="S1462" t="n">
        <v>39.25</v>
      </c>
      <c r="T1462" t="inlineStr">
        <is>
          <t>30-07-2026 09:42 IST</t>
        </is>
      </c>
    </row>
    <row r="1463">
      <c r="A1463" t="n">
        <v>213</v>
      </c>
      <c r="B1463" t="n">
        <v>512289</v>
      </c>
      <c r="C1463" t="inlineStr">
        <is>
          <t>Shree Metalloys Ltd</t>
        </is>
      </c>
      <c r="D1463" t="n">
        <v>2026</v>
      </c>
      <c r="E1463" t="n">
        <v>5.019999980926514</v>
      </c>
      <c r="G1463" t="inlineStr">
        <is>
          <t>Consolidated first (v4) – needs verification for flagged rows</t>
        </is>
      </c>
      <c r="H1463" t="n">
        <v>5.019999980926514</v>
      </c>
      <c r="I1463" t="n">
        <v>5.019999980926514</v>
      </c>
      <c r="L1463" t="inlineStr">
        <is>
          <t>INCOMPLETE</t>
        </is>
      </c>
      <c r="O1463" t="n">
        <v>39.25</v>
      </c>
      <c r="P1463" t="n">
        <v>62.29</v>
      </c>
      <c r="Q1463" t="n">
        <v>27.94</v>
      </c>
      <c r="R1463" s="3" t="inlineStr">
        <is>
          <t>MISMATCH_NEEDS_CORRECTION</t>
        </is>
      </c>
      <c r="S1463" t="n">
        <v>39.25</v>
      </c>
      <c r="T1463" t="inlineStr">
        <is>
          <t>30-07-2026 09:42 IST</t>
        </is>
      </c>
    </row>
    <row r="1464">
      <c r="A1464" t="n">
        <v>214</v>
      </c>
      <c r="B1464" t="n">
        <v>512399</v>
      </c>
      <c r="C1464" t="inlineStr">
        <is>
          <t>Shraddha AI</t>
        </is>
      </c>
      <c r="D1464" t="n">
        <v>2015</v>
      </c>
      <c r="E1464" t="n">
        <v>41.09000015258789</v>
      </c>
      <c r="F1464" t="n">
        <v>0.31</v>
      </c>
      <c r="G1464" t="inlineStr">
        <is>
          <t>Consolidated first (v4) – needs verification for flagged rows</t>
        </is>
      </c>
      <c r="H1464" t="n">
        <v>3.371999979019165</v>
      </c>
      <c r="I1464" t="n">
        <v>3.371999979019165</v>
      </c>
      <c r="L1464" t="inlineStr">
        <is>
          <t>UNVERIFIED – tiny EPS &lt;0.5</t>
        </is>
      </c>
      <c r="M1464" t="n">
        <v>10.88</v>
      </c>
      <c r="N1464" t="n">
        <v>10.88</v>
      </c>
      <c r="O1464" t="n">
        <v>22.22</v>
      </c>
      <c r="P1464" t="n">
        <v>48.68</v>
      </c>
      <c r="Q1464" t="n">
        <v>11.91</v>
      </c>
      <c r="R1464" s="3" t="inlineStr">
        <is>
          <t>MISMATCH_NEEDS_CORRECTION</t>
        </is>
      </c>
      <c r="S1464" t="n">
        <v>22.22</v>
      </c>
      <c r="T1464" t="inlineStr">
        <is>
          <t>30-07-2026 09:42 IST</t>
        </is>
      </c>
    </row>
    <row r="1465">
      <c r="A1465" t="n">
        <v>214</v>
      </c>
      <c r="B1465" t="n">
        <v>512399</v>
      </c>
      <c r="C1465" t="inlineStr">
        <is>
          <t>Shraddha AI</t>
        </is>
      </c>
      <c r="D1465" t="n">
        <v>2016</v>
      </c>
      <c r="E1465" t="n">
        <v>41.09000015258789</v>
      </c>
      <c r="F1465" t="n">
        <v>0.27</v>
      </c>
      <c r="G1465" t="inlineStr">
        <is>
          <t>Consolidated first (v4) – needs verification for flagged rows</t>
        </is>
      </c>
      <c r="H1465" t="n">
        <v>3.371999979019165</v>
      </c>
      <c r="I1465" t="n">
        <v>3.371999979019165</v>
      </c>
      <c r="L1465" t="inlineStr">
        <is>
          <t>UNVERIFIED – tiny EPS &lt;0.5</t>
        </is>
      </c>
      <c r="M1465" t="n">
        <v>12.49</v>
      </c>
      <c r="N1465" t="n">
        <v>12.49</v>
      </c>
      <c r="O1465" t="n">
        <v>22.22</v>
      </c>
      <c r="P1465" t="n">
        <v>48.68</v>
      </c>
      <c r="Q1465" t="n">
        <v>11.91</v>
      </c>
      <c r="R1465" s="3" t="inlineStr">
        <is>
          <t>MISMATCH_NEEDS_CORRECTION</t>
        </is>
      </c>
      <c r="S1465" t="n">
        <v>22.22</v>
      </c>
      <c r="T1465" t="inlineStr">
        <is>
          <t>30-07-2026 09:42 IST</t>
        </is>
      </c>
    </row>
    <row r="1466">
      <c r="A1466" t="n">
        <v>214</v>
      </c>
      <c r="B1466" t="n">
        <v>512399</v>
      </c>
      <c r="C1466" t="inlineStr">
        <is>
          <t>Shraddha AI</t>
        </is>
      </c>
      <c r="D1466" t="n">
        <v>2017</v>
      </c>
      <c r="E1466" t="n">
        <v>41.09000015258789</v>
      </c>
      <c r="F1466" t="n">
        <v>0.31</v>
      </c>
      <c r="G1466" t="inlineStr">
        <is>
          <t>Consolidated first (v4) – needs verification for flagged rows</t>
        </is>
      </c>
      <c r="H1466" t="n">
        <v>4.5</v>
      </c>
      <c r="I1466" t="n">
        <v>3.371999979019165</v>
      </c>
      <c r="L1466" t="inlineStr">
        <is>
          <t>UNVERIFIED – tiny EPS &lt;0.5</t>
        </is>
      </c>
      <c r="M1466" t="n">
        <v>14.52</v>
      </c>
      <c r="N1466" t="n">
        <v>10.88</v>
      </c>
      <c r="O1466" t="n">
        <v>22.22</v>
      </c>
      <c r="P1466" t="n">
        <v>48.68</v>
      </c>
      <c r="Q1466" t="n">
        <v>11.91</v>
      </c>
      <c r="R1466" s="3" t="inlineStr">
        <is>
          <t>MISMATCH_NEEDS_CORRECTION</t>
        </is>
      </c>
      <c r="S1466" t="n">
        <v>22.22</v>
      </c>
      <c r="T1466" t="inlineStr">
        <is>
          <t>30-07-2026 09:42 IST</t>
        </is>
      </c>
    </row>
    <row r="1467">
      <c r="A1467" t="n">
        <v>214</v>
      </c>
      <c r="B1467" t="n">
        <v>512399</v>
      </c>
      <c r="C1467" t="inlineStr">
        <is>
          <t>Shraddha AI</t>
        </is>
      </c>
      <c r="D1467" t="n">
        <v>2018</v>
      </c>
      <c r="E1467" t="n">
        <v>41.09000015258789</v>
      </c>
      <c r="F1467" t="n">
        <v>0.13</v>
      </c>
      <c r="G1467" t="inlineStr">
        <is>
          <t>Consolidated first (v4) – needs verification for flagged rows</t>
        </is>
      </c>
      <c r="H1467" t="n">
        <v>7.895999908447266</v>
      </c>
      <c r="I1467" t="n">
        <v>4.380000114440918</v>
      </c>
      <c r="L1467" t="inlineStr">
        <is>
          <t>UNVERIFIED – tiny EPS &lt;0.5</t>
        </is>
      </c>
      <c r="M1467" t="n">
        <v>60.74</v>
      </c>
      <c r="N1467" t="n">
        <v>33.69</v>
      </c>
      <c r="O1467" t="n">
        <v>22.22</v>
      </c>
      <c r="P1467" t="n">
        <v>48.68</v>
      </c>
      <c r="Q1467" t="n">
        <v>11.91</v>
      </c>
      <c r="R1467" s="3" t="inlineStr">
        <is>
          <t>MISMATCH_NEEDS_CORRECTION</t>
        </is>
      </c>
      <c r="S1467" t="n">
        <v>22.22</v>
      </c>
      <c r="T1467" t="inlineStr">
        <is>
          <t>30-07-2026 09:42 IST</t>
        </is>
      </c>
    </row>
    <row r="1468">
      <c r="A1468" t="n">
        <v>214</v>
      </c>
      <c r="B1468" t="n">
        <v>512399</v>
      </c>
      <c r="C1468" t="inlineStr">
        <is>
          <t>Shraddha AI</t>
        </is>
      </c>
      <c r="D1468" t="n">
        <v>2019</v>
      </c>
      <c r="E1468" t="n">
        <v>41.09000015258789</v>
      </c>
      <c r="F1468" t="n">
        <v>-0.07000000000000001</v>
      </c>
      <c r="G1468" t="inlineStr">
        <is>
          <t>Consolidated first (v4) – needs verification for flagged rows</t>
        </is>
      </c>
      <c r="H1468" t="n">
        <v>11.15999984741211</v>
      </c>
      <c r="I1468" t="n">
        <v>4.131999969482422</v>
      </c>
      <c r="L1468" t="inlineStr">
        <is>
          <t>UNVERIFIED – negative EPS</t>
        </is>
      </c>
      <c r="M1468" t="n">
        <v>-159.43</v>
      </c>
      <c r="N1468" t="n">
        <v>-59.03</v>
      </c>
      <c r="O1468" t="n">
        <v>22.22</v>
      </c>
      <c r="P1468" t="n">
        <v>48.68</v>
      </c>
      <c r="Q1468" t="n">
        <v>11.91</v>
      </c>
      <c r="R1468" s="3" t="inlineStr">
        <is>
          <t>MISMATCH_NEEDS_CORRECTION</t>
        </is>
      </c>
      <c r="S1468" t="n">
        <v>22.22</v>
      </c>
      <c r="T1468" t="inlineStr">
        <is>
          <t>30-07-2026 09:42 IST</t>
        </is>
      </c>
    </row>
    <row r="1469">
      <c r="A1469" t="n">
        <v>214</v>
      </c>
      <c r="B1469" t="n">
        <v>512399</v>
      </c>
      <c r="C1469" t="inlineStr">
        <is>
          <t>Shraddha AI</t>
        </is>
      </c>
      <c r="D1469" t="n">
        <v>2020</v>
      </c>
      <c r="E1469" t="n">
        <v>41.09000015258789</v>
      </c>
      <c r="F1469" t="n">
        <v>0.08</v>
      </c>
      <c r="G1469" t="inlineStr">
        <is>
          <t>Consolidated first (v4) – needs verification for flagged rows</t>
        </is>
      </c>
      <c r="H1469" t="n">
        <v>12.19999980926514</v>
      </c>
      <c r="I1469" t="n">
        <v>11.15999984741211</v>
      </c>
      <c r="L1469" t="inlineStr">
        <is>
          <t>UNVERIFIED – tiny EPS &lt;0.5</t>
        </is>
      </c>
      <c r="M1469" t="n">
        <v>152.5</v>
      </c>
      <c r="N1469" t="n">
        <v>139.5</v>
      </c>
      <c r="O1469" t="n">
        <v>22.22</v>
      </c>
      <c r="P1469" t="n">
        <v>48.68</v>
      </c>
      <c r="Q1469" t="n">
        <v>11.91</v>
      </c>
      <c r="R1469" s="3" t="inlineStr">
        <is>
          <t>MISMATCH_NEEDS_CORRECTION</t>
        </is>
      </c>
      <c r="S1469" t="n">
        <v>22.22</v>
      </c>
      <c r="T1469" t="inlineStr">
        <is>
          <t>30-07-2026 09:42 IST</t>
        </is>
      </c>
    </row>
    <row r="1470">
      <c r="A1470" t="n">
        <v>214</v>
      </c>
      <c r="B1470" t="n">
        <v>512399</v>
      </c>
      <c r="C1470" t="inlineStr">
        <is>
          <t>Shraddha AI</t>
        </is>
      </c>
      <c r="D1470" t="n">
        <v>2021</v>
      </c>
      <c r="E1470" t="n">
        <v>41.09000015258789</v>
      </c>
      <c r="F1470" t="n">
        <v>-0.14</v>
      </c>
      <c r="G1470" t="inlineStr">
        <is>
          <t>Consolidated first (v4) – needs verification for flagged rows</t>
        </is>
      </c>
      <c r="H1470" t="n">
        <v>15.03999996185303</v>
      </c>
      <c r="I1470" t="n">
        <v>6.980000019073486</v>
      </c>
      <c r="L1470" t="inlineStr">
        <is>
          <t>UNVERIFIED – negative EPS</t>
        </is>
      </c>
      <c r="M1470" t="n">
        <v>-107.43</v>
      </c>
      <c r="N1470" t="n">
        <v>-49.86</v>
      </c>
      <c r="O1470" t="n">
        <v>22.22</v>
      </c>
      <c r="P1470" t="n">
        <v>48.68</v>
      </c>
      <c r="Q1470" t="n">
        <v>11.91</v>
      </c>
      <c r="R1470" s="3" t="inlineStr">
        <is>
          <t>MISMATCH_NEEDS_CORRECTION</t>
        </is>
      </c>
      <c r="S1470" t="n">
        <v>22.22</v>
      </c>
      <c r="T1470" t="inlineStr">
        <is>
          <t>30-07-2026 09:42 IST</t>
        </is>
      </c>
    </row>
    <row r="1471">
      <c r="A1471" t="n">
        <v>214</v>
      </c>
      <c r="B1471" t="n">
        <v>512399</v>
      </c>
      <c r="C1471" t="inlineStr">
        <is>
          <t>Shraddha AI</t>
        </is>
      </c>
      <c r="D1471" t="n">
        <v>2022</v>
      </c>
      <c r="E1471" t="n">
        <v>41.09000015258789</v>
      </c>
      <c r="F1471" t="n">
        <v>-0.44</v>
      </c>
      <c r="G1471" t="inlineStr">
        <is>
          <t>Consolidated first (v4) – needs verification for flagged rows</t>
        </is>
      </c>
      <c r="H1471" t="n">
        <v>52.58000183105469</v>
      </c>
      <c r="I1471" t="n">
        <v>7.309999942779541</v>
      </c>
      <c r="L1471" t="inlineStr">
        <is>
          <t>UNVERIFIED – negative EPS</t>
        </is>
      </c>
      <c r="M1471" t="n">
        <v>-119.5</v>
      </c>
      <c r="N1471" t="n">
        <v>-16.61</v>
      </c>
      <c r="O1471" t="n">
        <v>22.22</v>
      </c>
      <c r="P1471" t="n">
        <v>48.68</v>
      </c>
      <c r="Q1471" t="n">
        <v>11.91</v>
      </c>
      <c r="R1471" s="3" t="inlineStr">
        <is>
          <t>MISMATCH_NEEDS_CORRECTION</t>
        </is>
      </c>
      <c r="S1471" t="n">
        <v>22.22</v>
      </c>
      <c r="T1471" t="inlineStr">
        <is>
          <t>30-07-2026 09:42 IST</t>
        </is>
      </c>
    </row>
    <row r="1472">
      <c r="A1472" t="n">
        <v>214</v>
      </c>
      <c r="B1472" t="n">
        <v>512399</v>
      </c>
      <c r="C1472" t="inlineStr">
        <is>
          <t>Shraddha AI</t>
        </is>
      </c>
      <c r="D1472" t="n">
        <v>2023</v>
      </c>
      <c r="E1472" t="n">
        <v>41.09000015258789</v>
      </c>
      <c r="F1472" t="n">
        <v>-2.79</v>
      </c>
      <c r="G1472" t="inlineStr">
        <is>
          <t>Consolidated first (v4) – needs verification for flagged rows</t>
        </is>
      </c>
      <c r="H1472" t="n">
        <v>90.65000152587891</v>
      </c>
      <c r="I1472" t="n">
        <v>10.10999965667725</v>
      </c>
      <c r="L1472" t="inlineStr">
        <is>
          <t>UNVERIFIED – negative EPS</t>
        </is>
      </c>
      <c r="M1472" t="n">
        <v>-32.49</v>
      </c>
      <c r="N1472" t="n">
        <v>-3.62</v>
      </c>
      <c r="O1472" t="n">
        <v>22.22</v>
      </c>
      <c r="P1472" t="n">
        <v>48.68</v>
      </c>
      <c r="Q1472" t="n">
        <v>11.91</v>
      </c>
      <c r="R1472" s="3" t="inlineStr">
        <is>
          <t>MISMATCH_NEEDS_CORRECTION</t>
        </is>
      </c>
      <c r="S1472" t="n">
        <v>22.22</v>
      </c>
      <c r="T1472" t="inlineStr">
        <is>
          <t>30-07-2026 09:42 IST</t>
        </is>
      </c>
    </row>
    <row r="1473">
      <c r="A1473" t="n">
        <v>214</v>
      </c>
      <c r="B1473" t="n">
        <v>512399</v>
      </c>
      <c r="C1473" t="inlineStr">
        <is>
          <t>Shraddha AI</t>
        </is>
      </c>
      <c r="D1473" t="n">
        <v>2024</v>
      </c>
      <c r="E1473" t="n">
        <v>41.09000015258789</v>
      </c>
      <c r="F1473" t="n">
        <v>2.75</v>
      </c>
      <c r="G1473" t="inlineStr">
        <is>
          <t>Consolidated first (v4) – needs verification for flagged rows</t>
        </is>
      </c>
      <c r="H1473" t="n">
        <v>48.68000030517578</v>
      </c>
      <c r="I1473" t="n">
        <v>11.90999984741211</v>
      </c>
      <c r="L1473" t="inlineStr">
        <is>
          <t>OK</t>
        </is>
      </c>
      <c r="M1473" t="n">
        <v>17.7</v>
      </c>
      <c r="N1473" t="n">
        <v>4.33</v>
      </c>
      <c r="O1473" t="n">
        <v>22.22</v>
      </c>
      <c r="P1473" t="n">
        <v>48.68</v>
      </c>
      <c r="Q1473" t="n">
        <v>11.91</v>
      </c>
      <c r="R1473" s="3" t="inlineStr">
        <is>
          <t>MISMATCH_NEEDS_CORRECTION</t>
        </is>
      </c>
      <c r="S1473" t="n">
        <v>22.22</v>
      </c>
      <c r="T1473" t="inlineStr">
        <is>
          <t>30-07-2026 09:42 IST</t>
        </is>
      </c>
    </row>
    <row r="1474">
      <c r="A1474" t="n">
        <v>214</v>
      </c>
      <c r="B1474" t="n">
        <v>512399</v>
      </c>
      <c r="C1474" t="inlineStr">
        <is>
          <t>Shraddha AI</t>
        </is>
      </c>
      <c r="D1474" t="n">
        <v>2025</v>
      </c>
      <c r="E1474" t="n">
        <v>41.09000015258789</v>
      </c>
      <c r="F1474" t="n">
        <v>0.41</v>
      </c>
      <c r="G1474" t="inlineStr">
        <is>
          <t>Consolidated first (v4) – needs verification for flagged rows</t>
        </is>
      </c>
      <c r="H1474" t="n">
        <v>49.93999862670898</v>
      </c>
      <c r="I1474" t="n">
        <v>25.61000061035156</v>
      </c>
      <c r="L1474" t="inlineStr">
        <is>
          <t>UNVERIFIED – tiny EPS &lt;0.5</t>
        </is>
      </c>
      <c r="M1474" t="n">
        <v>121.8</v>
      </c>
      <c r="N1474" t="n">
        <v>62.46</v>
      </c>
      <c r="O1474" t="n">
        <v>22.22</v>
      </c>
      <c r="P1474" t="n">
        <v>48.68</v>
      </c>
      <c r="Q1474" t="n">
        <v>11.91</v>
      </c>
      <c r="R1474" s="3" t="inlineStr">
        <is>
          <t>MISMATCH_NEEDS_CORRECTION</t>
        </is>
      </c>
      <c r="S1474" t="n">
        <v>22.22</v>
      </c>
      <c r="T1474" t="inlineStr">
        <is>
          <t>30-07-2026 09:42 IST</t>
        </is>
      </c>
    </row>
    <row r="1475">
      <c r="A1475" t="n">
        <v>214</v>
      </c>
      <c r="B1475" t="n">
        <v>512399</v>
      </c>
      <c r="C1475" t="inlineStr">
        <is>
          <t>Shraddha AI</t>
        </is>
      </c>
      <c r="D1475" t="n">
        <v>2026</v>
      </c>
      <c r="E1475" t="n">
        <v>41.09000015258789</v>
      </c>
      <c r="F1475" t="n">
        <v>8.109999999999999</v>
      </c>
      <c r="G1475" t="inlineStr">
        <is>
          <t>Consolidated first (v4) – needs verification for flagged rows</t>
        </is>
      </c>
      <c r="H1475" t="n">
        <v>52.45000076293945</v>
      </c>
      <c r="I1475" t="n">
        <v>32.59000015258789</v>
      </c>
      <c r="L1475" t="inlineStr">
        <is>
          <t>OK</t>
        </is>
      </c>
      <c r="M1475" t="n">
        <v>6.47</v>
      </c>
      <c r="N1475" t="n">
        <v>4.02</v>
      </c>
      <c r="O1475" t="n">
        <v>22.22</v>
      </c>
      <c r="P1475" t="n">
        <v>48.68</v>
      </c>
      <c r="Q1475" t="n">
        <v>11.91</v>
      </c>
      <c r="R1475" s="3" t="inlineStr">
        <is>
          <t>MISMATCH_NEEDS_CORRECTION</t>
        </is>
      </c>
      <c r="S1475" t="n">
        <v>22.22</v>
      </c>
      <c r="T1475" t="inlineStr">
        <is>
          <t>30-07-2026 09:42 IST</t>
        </is>
      </c>
    </row>
    <row r="1476">
      <c r="A1476" t="n">
        <v>215</v>
      </c>
      <c r="B1476" t="n">
        <v>512408</v>
      </c>
      <c r="C1476" t="inlineStr">
        <is>
          <t>Desco Infratech Ltd</t>
        </is>
      </c>
      <c r="D1476" t="n">
        <v>2026</v>
      </c>
      <c r="E1476" t="n">
        <v>10.05000019073486</v>
      </c>
      <c r="G1476" t="inlineStr">
        <is>
          <t>Consolidated first (v4) – needs verification for flagged rows</t>
        </is>
      </c>
      <c r="H1476" t="n">
        <v>10.05000019073486</v>
      </c>
      <c r="I1476" t="n">
        <v>10.05000019073486</v>
      </c>
      <c r="L1476" t="inlineStr">
        <is>
          <t>INCOMPLETE</t>
        </is>
      </c>
      <c r="O1476" t="n">
        <v>10.05</v>
      </c>
      <c r="P1476" t="n">
        <v>10.05</v>
      </c>
      <c r="Q1476" t="n">
        <v>10.05</v>
      </c>
      <c r="R1476" s="2" t="inlineStr">
        <is>
          <t>VERIFIED_OK</t>
        </is>
      </c>
      <c r="S1476" t="n">
        <v>10.05</v>
      </c>
      <c r="T1476" t="inlineStr">
        <is>
          <t>30-07-2026 09:42 IST</t>
        </is>
      </c>
    </row>
    <row r="1477">
      <c r="A1477" t="n">
        <v>217</v>
      </c>
      <c r="B1477" t="n">
        <v>512477</v>
      </c>
      <c r="C1477" t="inlineStr">
        <is>
          <t>Betex India Ltd</t>
        </is>
      </c>
      <c r="D1477" t="n">
        <v>2015</v>
      </c>
      <c r="E1477" t="n">
        <v>490</v>
      </c>
      <c r="F1477" t="n">
        <v>8.67</v>
      </c>
      <c r="G1477" t="inlineStr">
        <is>
          <t>Consolidated first (v4) – needs verification for flagged rows</t>
        </is>
      </c>
      <c r="H1477" t="n">
        <v>94.55000305175781</v>
      </c>
      <c r="I1477" t="n">
        <v>81.69999694824219</v>
      </c>
      <c r="L1477" t="inlineStr">
        <is>
          <t>OK</t>
        </is>
      </c>
      <c r="M1477" t="n">
        <v>10.91</v>
      </c>
      <c r="N1477" t="n">
        <v>9.42</v>
      </c>
      <c r="O1477" t="n">
        <v>259.9</v>
      </c>
      <c r="P1477" t="n">
        <v>535</v>
      </c>
      <c r="Q1477" t="n">
        <v>198</v>
      </c>
      <c r="R1477" s="3" t="inlineStr">
        <is>
          <t>MISMATCH_NEEDS_CORRECTION</t>
        </is>
      </c>
      <c r="S1477" t="n">
        <v>259.9</v>
      </c>
      <c r="T1477" t="inlineStr">
        <is>
          <t>30-07-2026 09:42 IST</t>
        </is>
      </c>
    </row>
    <row r="1478">
      <c r="A1478" t="n">
        <v>217</v>
      </c>
      <c r="B1478" t="n">
        <v>512477</v>
      </c>
      <c r="C1478" t="inlineStr">
        <is>
          <t>Betex India Ltd</t>
        </is>
      </c>
      <c r="D1478" t="n">
        <v>2016</v>
      </c>
      <c r="E1478" t="n">
        <v>490</v>
      </c>
      <c r="F1478" t="n">
        <v>6.93</v>
      </c>
      <c r="G1478" t="inlineStr">
        <is>
          <t>Consolidated first (v4) – needs verification for flagged rows</t>
        </is>
      </c>
      <c r="H1478" t="n">
        <v>88</v>
      </c>
      <c r="I1478" t="n">
        <v>38.75</v>
      </c>
      <c r="L1478" t="inlineStr">
        <is>
          <t>OK</t>
        </is>
      </c>
      <c r="M1478" t="n">
        <v>12.7</v>
      </c>
      <c r="N1478" t="n">
        <v>5.59</v>
      </c>
      <c r="O1478" t="n">
        <v>259.9</v>
      </c>
      <c r="P1478" t="n">
        <v>535</v>
      </c>
      <c r="Q1478" t="n">
        <v>198</v>
      </c>
      <c r="R1478" s="3" t="inlineStr">
        <is>
          <t>MISMATCH_NEEDS_CORRECTION</t>
        </is>
      </c>
      <c r="S1478" t="n">
        <v>259.9</v>
      </c>
      <c r="T1478" t="inlineStr">
        <is>
          <t>30-07-2026 09:42 IST</t>
        </is>
      </c>
    </row>
    <row r="1479">
      <c r="A1479" t="n">
        <v>217</v>
      </c>
      <c r="B1479" t="n">
        <v>512477</v>
      </c>
      <c r="C1479" t="inlineStr">
        <is>
          <t>Betex India Ltd</t>
        </is>
      </c>
      <c r="D1479" t="n">
        <v>2017</v>
      </c>
      <c r="E1479" t="n">
        <v>490</v>
      </c>
      <c r="F1479" t="n">
        <v>7.4</v>
      </c>
      <c r="G1479" t="inlineStr">
        <is>
          <t>Consolidated first (v4) – needs verification for flagged rows</t>
        </is>
      </c>
      <c r="H1479" t="n">
        <v>73.40000152587891</v>
      </c>
      <c r="I1479" t="n">
        <v>46.59999847412109</v>
      </c>
      <c r="L1479" t="inlineStr">
        <is>
          <t>OK</t>
        </is>
      </c>
      <c r="M1479" t="n">
        <v>9.92</v>
      </c>
      <c r="N1479" t="n">
        <v>6.3</v>
      </c>
      <c r="O1479" t="n">
        <v>259.9</v>
      </c>
      <c r="P1479" t="n">
        <v>535</v>
      </c>
      <c r="Q1479" t="n">
        <v>198</v>
      </c>
      <c r="R1479" s="3" t="inlineStr">
        <is>
          <t>MISMATCH_NEEDS_CORRECTION</t>
        </is>
      </c>
      <c r="S1479" t="n">
        <v>259.9</v>
      </c>
      <c r="T1479" t="inlineStr">
        <is>
          <t>30-07-2026 09:42 IST</t>
        </is>
      </c>
    </row>
    <row r="1480">
      <c r="A1480" t="n">
        <v>217</v>
      </c>
      <c r="B1480" t="n">
        <v>512477</v>
      </c>
      <c r="C1480" t="inlineStr">
        <is>
          <t>Betex India Ltd</t>
        </is>
      </c>
      <c r="D1480" t="n">
        <v>2018</v>
      </c>
      <c r="E1480" t="n">
        <v>490</v>
      </c>
      <c r="F1480" t="n">
        <v>6.07</v>
      </c>
      <c r="G1480" t="inlineStr">
        <is>
          <t>Consolidated first (v4) – needs verification for flagged rows</t>
        </is>
      </c>
      <c r="H1480" t="n">
        <v>70.94999694824219</v>
      </c>
      <c r="I1480" t="n">
        <v>27.20000076293945</v>
      </c>
      <c r="L1480" t="inlineStr">
        <is>
          <t>OK</t>
        </is>
      </c>
      <c r="M1480" t="n">
        <v>11.69</v>
      </c>
      <c r="N1480" t="n">
        <v>4.48</v>
      </c>
      <c r="O1480" t="n">
        <v>259.9</v>
      </c>
      <c r="P1480" t="n">
        <v>535</v>
      </c>
      <c r="Q1480" t="n">
        <v>198</v>
      </c>
      <c r="R1480" s="3" t="inlineStr">
        <is>
          <t>MISMATCH_NEEDS_CORRECTION</t>
        </is>
      </c>
      <c r="S1480" t="n">
        <v>259.9</v>
      </c>
      <c r="T1480" t="inlineStr">
        <is>
          <t>30-07-2026 09:42 IST</t>
        </is>
      </c>
    </row>
    <row r="1481">
      <c r="A1481" t="n">
        <v>217</v>
      </c>
      <c r="B1481" t="n">
        <v>512477</v>
      </c>
      <c r="C1481" t="inlineStr">
        <is>
          <t>Betex India Ltd</t>
        </is>
      </c>
      <c r="D1481" t="n">
        <v>2019</v>
      </c>
      <c r="E1481" t="n">
        <v>490</v>
      </c>
      <c r="F1481" t="n">
        <v>6.53</v>
      </c>
      <c r="G1481" t="inlineStr">
        <is>
          <t>Consolidated first (v4) – needs verification for flagged rows</t>
        </is>
      </c>
      <c r="H1481" t="n">
        <v>33.5</v>
      </c>
      <c r="I1481" t="n">
        <v>13.69999980926514</v>
      </c>
      <c r="L1481" t="inlineStr">
        <is>
          <t>OK</t>
        </is>
      </c>
      <c r="M1481" t="n">
        <v>5.13</v>
      </c>
      <c r="N1481" t="n">
        <v>2.1</v>
      </c>
      <c r="O1481" t="n">
        <v>259.9</v>
      </c>
      <c r="P1481" t="n">
        <v>535</v>
      </c>
      <c r="Q1481" t="n">
        <v>198</v>
      </c>
      <c r="R1481" s="3" t="inlineStr">
        <is>
          <t>MISMATCH_NEEDS_CORRECTION</t>
        </is>
      </c>
      <c r="S1481" t="n">
        <v>259.9</v>
      </c>
      <c r="T1481" t="inlineStr">
        <is>
          <t>30-07-2026 09:42 IST</t>
        </is>
      </c>
    </row>
    <row r="1482">
      <c r="A1482" t="n">
        <v>217</v>
      </c>
      <c r="B1482" t="n">
        <v>512477</v>
      </c>
      <c r="C1482" t="inlineStr">
        <is>
          <t>Betex India Ltd</t>
        </is>
      </c>
      <c r="D1482" t="n">
        <v>2020</v>
      </c>
      <c r="E1482" t="n">
        <v>490</v>
      </c>
      <c r="F1482" t="n">
        <v>2.87</v>
      </c>
      <c r="G1482" t="inlineStr">
        <is>
          <t>Consolidated first (v4) – needs verification for flagged rows</t>
        </is>
      </c>
      <c r="H1482" t="n">
        <v>24.45000076293945</v>
      </c>
      <c r="I1482" t="n">
        <v>9.5</v>
      </c>
      <c r="L1482" t="inlineStr">
        <is>
          <t>OK</t>
        </is>
      </c>
      <c r="M1482" t="n">
        <v>8.52</v>
      </c>
      <c r="N1482" t="n">
        <v>3.31</v>
      </c>
      <c r="O1482" t="n">
        <v>259.9</v>
      </c>
      <c r="P1482" t="n">
        <v>535</v>
      </c>
      <c r="Q1482" t="n">
        <v>198</v>
      </c>
      <c r="R1482" s="3" t="inlineStr">
        <is>
          <t>MISMATCH_NEEDS_CORRECTION</t>
        </is>
      </c>
      <c r="S1482" t="n">
        <v>259.9</v>
      </c>
      <c r="T1482" t="inlineStr">
        <is>
          <t>30-07-2026 09:42 IST</t>
        </is>
      </c>
    </row>
    <row r="1483">
      <c r="A1483" t="n">
        <v>217</v>
      </c>
      <c r="B1483" t="n">
        <v>512477</v>
      </c>
      <c r="C1483" t="inlineStr">
        <is>
          <t>Betex India Ltd</t>
        </is>
      </c>
      <c r="D1483" t="n">
        <v>2021</v>
      </c>
      <c r="E1483" t="n">
        <v>490</v>
      </c>
      <c r="F1483" t="n">
        <v>13.73</v>
      </c>
      <c r="G1483" t="inlineStr">
        <is>
          <t>Consolidated first (v4) – needs verification for flagged rows</t>
        </is>
      </c>
      <c r="H1483" t="n">
        <v>130.1000061035156</v>
      </c>
      <c r="I1483" t="n">
        <v>17.89999961853027</v>
      </c>
      <c r="L1483" t="inlineStr">
        <is>
          <t>OK</t>
        </is>
      </c>
      <c r="M1483" t="n">
        <v>9.48</v>
      </c>
      <c r="N1483" t="n">
        <v>1.3</v>
      </c>
      <c r="O1483" t="n">
        <v>259.9</v>
      </c>
      <c r="P1483" t="n">
        <v>535</v>
      </c>
      <c r="Q1483" t="n">
        <v>198</v>
      </c>
      <c r="R1483" s="3" t="inlineStr">
        <is>
          <t>MISMATCH_NEEDS_CORRECTION</t>
        </is>
      </c>
      <c r="S1483" t="n">
        <v>259.9</v>
      </c>
      <c r="T1483" t="inlineStr">
        <is>
          <t>30-07-2026 09:42 IST</t>
        </is>
      </c>
    </row>
    <row r="1484">
      <c r="A1484" t="n">
        <v>217</v>
      </c>
      <c r="B1484" t="n">
        <v>512477</v>
      </c>
      <c r="C1484" t="inlineStr">
        <is>
          <t>Betex India Ltd</t>
        </is>
      </c>
      <c r="D1484" t="n">
        <v>2022</v>
      </c>
      <c r="E1484" t="n">
        <v>490</v>
      </c>
      <c r="F1484" t="n">
        <v>2.73</v>
      </c>
      <c r="G1484" t="inlineStr">
        <is>
          <t>Consolidated first (v4) – needs verification for flagged rows</t>
        </is>
      </c>
      <c r="H1484" t="n">
        <v>153.4499969482422</v>
      </c>
      <c r="I1484" t="n">
        <v>58</v>
      </c>
      <c r="L1484" t="inlineStr">
        <is>
          <t>OK</t>
        </is>
      </c>
      <c r="M1484" t="n">
        <v>56.21</v>
      </c>
      <c r="N1484" t="n">
        <v>21.25</v>
      </c>
      <c r="O1484" t="n">
        <v>259.9</v>
      </c>
      <c r="P1484" t="n">
        <v>535</v>
      </c>
      <c r="Q1484" t="n">
        <v>198</v>
      </c>
      <c r="R1484" s="3" t="inlineStr">
        <is>
          <t>MISMATCH_NEEDS_CORRECTION</t>
        </is>
      </c>
      <c r="S1484" t="n">
        <v>259.9</v>
      </c>
      <c r="T1484" t="inlineStr">
        <is>
          <t>30-07-2026 09:42 IST</t>
        </is>
      </c>
    </row>
    <row r="1485">
      <c r="A1485" t="n">
        <v>217</v>
      </c>
      <c r="B1485" t="n">
        <v>512477</v>
      </c>
      <c r="C1485" t="inlineStr">
        <is>
          <t>Betex India Ltd</t>
        </is>
      </c>
      <c r="D1485" t="n">
        <v>2023</v>
      </c>
      <c r="E1485" t="n">
        <v>490</v>
      </c>
      <c r="F1485" t="n">
        <v>21.07</v>
      </c>
      <c r="G1485" t="inlineStr">
        <is>
          <t>Consolidated first (v4) – needs verification for flagged rows</t>
        </is>
      </c>
      <c r="H1485" t="n">
        <v>309</v>
      </c>
      <c r="I1485" t="n">
        <v>58.45999908447266</v>
      </c>
      <c r="L1485" t="inlineStr">
        <is>
          <t>OK</t>
        </is>
      </c>
      <c r="M1485" t="n">
        <v>14.67</v>
      </c>
      <c r="N1485" t="n">
        <v>2.77</v>
      </c>
      <c r="O1485" t="n">
        <v>259.9</v>
      </c>
      <c r="P1485" t="n">
        <v>535</v>
      </c>
      <c r="Q1485" t="n">
        <v>198</v>
      </c>
      <c r="R1485" s="3" t="inlineStr">
        <is>
          <t>MISMATCH_NEEDS_CORRECTION</t>
        </is>
      </c>
      <c r="S1485" t="n">
        <v>259.9</v>
      </c>
      <c r="T1485" t="inlineStr">
        <is>
          <t>30-07-2026 09:42 IST</t>
        </is>
      </c>
    </row>
    <row r="1486">
      <c r="A1486" t="n">
        <v>217</v>
      </c>
      <c r="B1486" t="n">
        <v>512477</v>
      </c>
      <c r="C1486" t="inlineStr">
        <is>
          <t>Betex India Ltd</t>
        </is>
      </c>
      <c r="D1486" t="n">
        <v>2024</v>
      </c>
      <c r="E1486" t="n">
        <v>490</v>
      </c>
      <c r="F1486" t="n">
        <v>22.2</v>
      </c>
      <c r="G1486" t="inlineStr">
        <is>
          <t>Consolidated first (v4) – needs verification for flagged rows</t>
        </is>
      </c>
      <c r="H1486" t="n">
        <v>475</v>
      </c>
      <c r="I1486" t="n">
        <v>198</v>
      </c>
      <c r="L1486" t="inlineStr">
        <is>
          <t>OK</t>
        </is>
      </c>
      <c r="M1486" t="n">
        <v>21.4</v>
      </c>
      <c r="N1486" t="n">
        <v>8.92</v>
      </c>
      <c r="O1486" t="n">
        <v>259.9</v>
      </c>
      <c r="P1486" t="n">
        <v>535</v>
      </c>
      <c r="Q1486" t="n">
        <v>198</v>
      </c>
      <c r="R1486" s="3" t="inlineStr">
        <is>
          <t>MISMATCH_NEEDS_CORRECTION</t>
        </is>
      </c>
      <c r="S1486" t="n">
        <v>259.9</v>
      </c>
      <c r="T1486" t="inlineStr">
        <is>
          <t>30-07-2026 09:42 IST</t>
        </is>
      </c>
    </row>
    <row r="1487">
      <c r="A1487" t="n">
        <v>217</v>
      </c>
      <c r="B1487" t="n">
        <v>512477</v>
      </c>
      <c r="C1487" t="inlineStr">
        <is>
          <t>Betex India Ltd</t>
        </is>
      </c>
      <c r="D1487" t="n">
        <v>2025</v>
      </c>
      <c r="E1487" t="n">
        <v>490</v>
      </c>
      <c r="F1487" t="n">
        <v>13</v>
      </c>
      <c r="G1487" t="inlineStr">
        <is>
          <t>Consolidated first (v4) – needs verification for flagged rows</t>
        </is>
      </c>
      <c r="H1487" t="n">
        <v>648</v>
      </c>
      <c r="I1487" t="n">
        <v>250</v>
      </c>
      <c r="L1487" t="inlineStr">
        <is>
          <t>OK</t>
        </is>
      </c>
      <c r="M1487" t="n">
        <v>49.85</v>
      </c>
      <c r="N1487" t="n">
        <v>19.23</v>
      </c>
      <c r="O1487" t="n">
        <v>259.9</v>
      </c>
      <c r="P1487" t="n">
        <v>535</v>
      </c>
      <c r="Q1487" t="n">
        <v>198</v>
      </c>
      <c r="R1487" s="3" t="inlineStr">
        <is>
          <t>MISMATCH_NEEDS_CORRECTION</t>
        </is>
      </c>
      <c r="S1487" t="n">
        <v>259.9</v>
      </c>
      <c r="T1487" t="inlineStr">
        <is>
          <t>30-07-2026 09:42 IST</t>
        </is>
      </c>
    </row>
    <row r="1488">
      <c r="A1488" t="n">
        <v>217</v>
      </c>
      <c r="B1488" t="n">
        <v>512477</v>
      </c>
      <c r="C1488" t="inlineStr">
        <is>
          <t>Betex India Ltd</t>
        </is>
      </c>
      <c r="D1488" t="n">
        <v>2026</v>
      </c>
      <c r="E1488" t="n">
        <v>490</v>
      </c>
      <c r="F1488" t="n">
        <v>37.8</v>
      </c>
      <c r="G1488" t="inlineStr">
        <is>
          <t>Consolidated first (v4) – needs verification for flagged rows</t>
        </is>
      </c>
      <c r="H1488" t="n">
        <v>525</v>
      </c>
      <c r="I1488" t="n">
        <v>220.0500030517578</v>
      </c>
      <c r="L1488" t="inlineStr">
        <is>
          <t>OK</t>
        </is>
      </c>
      <c r="M1488" t="n">
        <v>13.89</v>
      </c>
      <c r="N1488" t="n">
        <v>5.82</v>
      </c>
      <c r="O1488" t="n">
        <v>259.9</v>
      </c>
      <c r="P1488" t="n">
        <v>535</v>
      </c>
      <c r="Q1488" t="n">
        <v>198</v>
      </c>
      <c r="R1488" s="3" t="inlineStr">
        <is>
          <t>MISMATCH_NEEDS_CORRECTION</t>
        </is>
      </c>
      <c r="S1488" t="n">
        <v>259.9</v>
      </c>
      <c r="T1488" t="inlineStr">
        <is>
          <t>30-07-2026 09:42 IST</t>
        </is>
      </c>
    </row>
    <row r="1489">
      <c r="A1489" t="n">
        <v>218</v>
      </c>
      <c r="B1489" t="n">
        <v>512511</v>
      </c>
      <c r="C1489" t="inlineStr">
        <is>
          <t>Varun Mercantile Ltd</t>
        </is>
      </c>
      <c r="D1489" t="n">
        <v>2015</v>
      </c>
      <c r="E1489" t="n">
        <v>1.080000042915344</v>
      </c>
      <c r="F1489" t="n">
        <v>1.26</v>
      </c>
      <c r="G1489" t="inlineStr">
        <is>
          <t>Consolidated first (v4) – needs verification for flagged rows</t>
        </is>
      </c>
      <c r="H1489" t="n">
        <v>1</v>
      </c>
      <c r="I1489" t="n">
        <v>1</v>
      </c>
      <c r="L1489" t="inlineStr">
        <is>
          <t>OK</t>
        </is>
      </c>
      <c r="M1489" t="n">
        <v>0.79</v>
      </c>
      <c r="N1489" t="n">
        <v>0.79</v>
      </c>
      <c r="O1489" t="n">
        <v>1.03</v>
      </c>
      <c r="P1489" t="n">
        <v>1.08</v>
      </c>
      <c r="Q1489" t="n">
        <v>1.03</v>
      </c>
      <c r="R1489" s="2" t="inlineStr">
        <is>
          <t>VERIFIED_OK</t>
        </is>
      </c>
      <c r="S1489" t="n">
        <v>1.03</v>
      </c>
      <c r="T1489" t="inlineStr">
        <is>
          <t>30-07-2026 09:42 IST</t>
        </is>
      </c>
    </row>
    <row r="1490">
      <c r="A1490" t="n">
        <v>218</v>
      </c>
      <c r="B1490" t="n">
        <v>512511</v>
      </c>
      <c r="C1490" t="inlineStr">
        <is>
          <t>Varun Mercantile Ltd</t>
        </is>
      </c>
      <c r="D1490" t="n">
        <v>2016</v>
      </c>
      <c r="E1490" t="n">
        <v>1.080000042915344</v>
      </c>
      <c r="F1490" t="n">
        <v>0.65</v>
      </c>
      <c r="G1490" t="inlineStr">
        <is>
          <t>Consolidated first (v4) – needs verification for flagged rows</t>
        </is>
      </c>
      <c r="H1490" t="n">
        <v>1</v>
      </c>
      <c r="I1490" t="n">
        <v>1</v>
      </c>
      <c r="L1490" t="inlineStr">
        <is>
          <t>OK</t>
        </is>
      </c>
      <c r="M1490" t="n">
        <v>1.54</v>
      </c>
      <c r="N1490" t="n">
        <v>1.54</v>
      </c>
      <c r="O1490" t="n">
        <v>1.03</v>
      </c>
      <c r="P1490" t="n">
        <v>1.08</v>
      </c>
      <c r="Q1490" t="n">
        <v>1.03</v>
      </c>
      <c r="R1490" s="2" t="inlineStr">
        <is>
          <t>VERIFIED_OK</t>
        </is>
      </c>
      <c r="S1490" t="n">
        <v>1.03</v>
      </c>
      <c r="T1490" t="inlineStr">
        <is>
          <t>30-07-2026 09:42 IST</t>
        </is>
      </c>
    </row>
    <row r="1491">
      <c r="A1491" t="n">
        <v>218</v>
      </c>
      <c r="B1491" t="n">
        <v>512511</v>
      </c>
      <c r="C1491" t="inlineStr">
        <is>
          <t>Varun Mercantile Ltd</t>
        </is>
      </c>
      <c r="D1491" t="n">
        <v>2017</v>
      </c>
      <c r="E1491" t="n">
        <v>1.080000042915344</v>
      </c>
      <c r="F1491" t="n">
        <v>0.05</v>
      </c>
      <c r="G1491" t="inlineStr">
        <is>
          <t>Consolidated first (v4) – needs verification for flagged rows</t>
        </is>
      </c>
      <c r="H1491" t="n">
        <v>1</v>
      </c>
      <c r="I1491" t="n">
        <v>1</v>
      </c>
      <c r="L1491" t="inlineStr">
        <is>
          <t>UNVERIFIED – tiny EPS &lt;0.5</t>
        </is>
      </c>
      <c r="M1491" t="n">
        <v>20</v>
      </c>
      <c r="N1491" t="n">
        <v>20</v>
      </c>
      <c r="O1491" t="n">
        <v>1.03</v>
      </c>
      <c r="P1491" t="n">
        <v>1.08</v>
      </c>
      <c r="Q1491" t="n">
        <v>1.03</v>
      </c>
      <c r="R1491" s="2" t="inlineStr">
        <is>
          <t>VERIFIED_OK</t>
        </is>
      </c>
      <c r="S1491" t="n">
        <v>1.03</v>
      </c>
      <c r="T1491" t="inlineStr">
        <is>
          <t>30-07-2026 09:42 IST</t>
        </is>
      </c>
    </row>
    <row r="1492">
      <c r="A1492" t="n">
        <v>218</v>
      </c>
      <c r="B1492" t="n">
        <v>512511</v>
      </c>
      <c r="C1492" t="inlineStr">
        <is>
          <t>Varun Mercantile Ltd</t>
        </is>
      </c>
      <c r="D1492" t="n">
        <v>2018</v>
      </c>
      <c r="E1492" t="n">
        <v>1.080000042915344</v>
      </c>
      <c r="F1492" t="n">
        <v>0.3</v>
      </c>
      <c r="G1492" t="inlineStr">
        <is>
          <t>Consolidated first (v4) – needs verification for flagged rows</t>
        </is>
      </c>
      <c r="H1492" t="n">
        <v>1</v>
      </c>
      <c r="I1492" t="n">
        <v>1</v>
      </c>
      <c r="L1492" t="inlineStr">
        <is>
          <t>UNVERIFIED – tiny EPS &lt;0.5</t>
        </is>
      </c>
      <c r="M1492" t="n">
        <v>3.33</v>
      </c>
      <c r="N1492" t="n">
        <v>3.33</v>
      </c>
      <c r="O1492" t="n">
        <v>1.03</v>
      </c>
      <c r="P1492" t="n">
        <v>1.08</v>
      </c>
      <c r="Q1492" t="n">
        <v>1.03</v>
      </c>
      <c r="R1492" s="2" t="inlineStr">
        <is>
          <t>VERIFIED_OK</t>
        </is>
      </c>
      <c r="S1492" t="n">
        <v>1.03</v>
      </c>
      <c r="T1492" t="inlineStr">
        <is>
          <t>30-07-2026 09:42 IST</t>
        </is>
      </c>
    </row>
    <row r="1493">
      <c r="A1493" t="n">
        <v>218</v>
      </c>
      <c r="B1493" t="n">
        <v>512511</v>
      </c>
      <c r="C1493" t="inlineStr">
        <is>
          <t>Varun Mercantile Ltd</t>
        </is>
      </c>
      <c r="D1493" t="n">
        <v>2022</v>
      </c>
      <c r="E1493" t="n">
        <v>1.080000042915344</v>
      </c>
      <c r="F1493" t="n">
        <v>0.15</v>
      </c>
      <c r="G1493" t="inlineStr">
        <is>
          <t>Consolidated first (v4) – needs verification for flagged rows</t>
        </is>
      </c>
      <c r="H1493" t="n">
        <v>1.029999971389771</v>
      </c>
      <c r="L1493" t="inlineStr">
        <is>
          <t>UNVERIFIED – tiny EPS &lt;0.5</t>
        </is>
      </c>
      <c r="M1493" t="n">
        <v>6.87</v>
      </c>
      <c r="O1493" t="n">
        <v>1.03</v>
      </c>
      <c r="P1493" t="n">
        <v>1.08</v>
      </c>
      <c r="Q1493" t="n">
        <v>1.03</v>
      </c>
      <c r="R1493" s="2" t="inlineStr">
        <is>
          <t>VERIFIED_OK</t>
        </is>
      </c>
      <c r="S1493" t="n">
        <v>1.03</v>
      </c>
      <c r="T1493" t="inlineStr">
        <is>
          <t>30-07-2026 09:42 IST</t>
        </is>
      </c>
    </row>
    <row r="1494">
      <c r="A1494" t="n">
        <v>218</v>
      </c>
      <c r="B1494" t="n">
        <v>512511</v>
      </c>
      <c r="C1494" t="inlineStr">
        <is>
          <t>Varun Mercantile Ltd</t>
        </is>
      </c>
      <c r="D1494" t="n">
        <v>2023</v>
      </c>
      <c r="E1494" t="n">
        <v>1.080000042915344</v>
      </c>
      <c r="F1494" t="n">
        <v>0.35</v>
      </c>
      <c r="G1494" t="inlineStr">
        <is>
          <t>Consolidated first (v4) – needs verification for flagged rows</t>
        </is>
      </c>
      <c r="H1494" t="n">
        <v>1.029999971389771</v>
      </c>
      <c r="I1494" t="n">
        <v>1.029999971389771</v>
      </c>
      <c r="L1494" t="inlineStr">
        <is>
          <t>UNVERIFIED – tiny EPS &lt;0.5</t>
        </is>
      </c>
      <c r="M1494" t="n">
        <v>2.94</v>
      </c>
      <c r="N1494" t="n">
        <v>2.94</v>
      </c>
      <c r="O1494" t="n">
        <v>1.03</v>
      </c>
      <c r="P1494" t="n">
        <v>1.08</v>
      </c>
      <c r="Q1494" t="n">
        <v>1.03</v>
      </c>
      <c r="R1494" s="2" t="inlineStr">
        <is>
          <t>VERIFIED_OK</t>
        </is>
      </c>
      <c r="S1494" t="n">
        <v>1.03</v>
      </c>
      <c r="T1494" t="inlineStr">
        <is>
          <t>30-07-2026 09:42 IST</t>
        </is>
      </c>
    </row>
    <row r="1495">
      <c r="A1495" t="n">
        <v>218</v>
      </c>
      <c r="B1495" t="n">
        <v>512511</v>
      </c>
      <c r="C1495" t="inlineStr">
        <is>
          <t>Varun Mercantile Ltd</t>
        </is>
      </c>
      <c r="D1495" t="n">
        <v>2024</v>
      </c>
      <c r="E1495" t="n">
        <v>1.080000042915344</v>
      </c>
      <c r="F1495" t="n">
        <v>0.5</v>
      </c>
      <c r="G1495" t="inlineStr">
        <is>
          <t>Consolidated first (v4) – needs verification for flagged rows</t>
        </is>
      </c>
      <c r="H1495" t="n">
        <v>1.029999971389771</v>
      </c>
      <c r="I1495" t="n">
        <v>1.029999971389771</v>
      </c>
      <c r="L1495" t="inlineStr">
        <is>
          <t>OK</t>
        </is>
      </c>
      <c r="M1495" t="n">
        <v>2.06</v>
      </c>
      <c r="N1495" t="n">
        <v>2.06</v>
      </c>
      <c r="O1495" t="n">
        <v>1.03</v>
      </c>
      <c r="P1495" t="n">
        <v>1.08</v>
      </c>
      <c r="Q1495" t="n">
        <v>1.03</v>
      </c>
      <c r="R1495" s="2" t="inlineStr">
        <is>
          <t>VERIFIED_OK</t>
        </is>
      </c>
      <c r="S1495" t="n">
        <v>1.03</v>
      </c>
      <c r="T1495" t="inlineStr">
        <is>
          <t>30-07-2026 09:42 IST</t>
        </is>
      </c>
    </row>
    <row r="1496">
      <c r="A1496" t="n">
        <v>218</v>
      </c>
      <c r="B1496" t="n">
        <v>512511</v>
      </c>
      <c r="C1496" t="inlineStr">
        <is>
          <t>Varun Mercantile Ltd</t>
        </is>
      </c>
      <c r="D1496" t="n">
        <v>2025</v>
      </c>
      <c r="E1496" t="n">
        <v>1.080000042915344</v>
      </c>
      <c r="F1496" t="n">
        <v>0.65</v>
      </c>
      <c r="G1496" t="inlineStr">
        <is>
          <t>Consolidated first (v4) – needs verification for flagged rows</t>
        </is>
      </c>
      <c r="H1496" t="n">
        <v>1.080000042915344</v>
      </c>
      <c r="I1496" t="n">
        <v>1.029999971389771</v>
      </c>
      <c r="L1496" t="inlineStr">
        <is>
          <t>OK</t>
        </is>
      </c>
      <c r="M1496" t="n">
        <v>1.66</v>
      </c>
      <c r="N1496" t="n">
        <v>1.58</v>
      </c>
      <c r="O1496" t="n">
        <v>1.03</v>
      </c>
      <c r="P1496" t="n">
        <v>1.08</v>
      </c>
      <c r="Q1496" t="n">
        <v>1.03</v>
      </c>
      <c r="R1496" s="2" t="inlineStr">
        <is>
          <t>VERIFIED_OK</t>
        </is>
      </c>
      <c r="S1496" t="n">
        <v>1.03</v>
      </c>
      <c r="T1496" t="inlineStr">
        <is>
          <t>30-07-2026 09:42 IST</t>
        </is>
      </c>
    </row>
    <row r="1497">
      <c r="A1497" t="n">
        <v>218</v>
      </c>
      <c r="B1497" t="n">
        <v>512511</v>
      </c>
      <c r="C1497" t="inlineStr">
        <is>
          <t>Varun Mercantile Ltd</t>
        </is>
      </c>
      <c r="D1497" t="n">
        <v>2026</v>
      </c>
      <c r="E1497" t="n">
        <v>1.080000042915344</v>
      </c>
      <c r="F1497" t="n">
        <v>0.6</v>
      </c>
      <c r="G1497" t="inlineStr">
        <is>
          <t>Consolidated first (v4) – needs verification for flagged rows</t>
        </is>
      </c>
      <c r="H1497" t="n">
        <v>1.080000042915344</v>
      </c>
      <c r="I1497" t="n">
        <v>1.080000042915344</v>
      </c>
      <c r="L1497" t="inlineStr">
        <is>
          <t>OK</t>
        </is>
      </c>
      <c r="M1497" t="n">
        <v>1.8</v>
      </c>
      <c r="N1497" t="n">
        <v>1.8</v>
      </c>
      <c r="O1497" t="n">
        <v>1.03</v>
      </c>
      <c r="P1497" t="n">
        <v>1.08</v>
      </c>
      <c r="Q1497" t="n">
        <v>1.03</v>
      </c>
      <c r="R1497" s="2" t="inlineStr">
        <is>
          <t>VERIFIED_OK</t>
        </is>
      </c>
      <c r="S1497" t="n">
        <v>1.03</v>
      </c>
      <c r="T1497" t="inlineStr">
        <is>
          <t>30-07-2026 09:42 IST</t>
        </is>
      </c>
    </row>
    <row r="1498">
      <c r="A1498" t="n">
        <v>219</v>
      </c>
      <c r="B1498" t="n">
        <v>512573</v>
      </c>
      <c r="C1498" t="inlineStr">
        <is>
          <t>Avanti Feeds Ltd</t>
        </is>
      </c>
      <c r="D1498" t="n">
        <v>2015</v>
      </c>
      <c r="E1498" t="n">
        <v>979.2999877929688</v>
      </c>
      <c r="F1498" t="n">
        <v>8.52</v>
      </c>
      <c r="G1498" t="inlineStr">
        <is>
          <t>Consolidated first (v4) – needs verification for flagged rows</t>
        </is>
      </c>
      <c r="H1498" t="n">
        <v>230</v>
      </c>
      <c r="I1498" t="n">
        <v>96.66666412353516</v>
      </c>
      <c r="L1498" t="inlineStr">
        <is>
          <t>OK</t>
        </is>
      </c>
      <c r="M1498" t="n">
        <v>27</v>
      </c>
      <c r="N1498" t="n">
        <v>11.35</v>
      </c>
      <c r="O1498" t="n">
        <v>949.95</v>
      </c>
      <c r="P1498" t="n">
        <v>1593.8</v>
      </c>
      <c r="Q1498" t="n">
        <v>614.25</v>
      </c>
      <c r="R1498" s="2" t="inlineStr">
        <is>
          <t>VERIFIED_OK</t>
        </is>
      </c>
      <c r="S1498" t="n">
        <v>949.95</v>
      </c>
      <c r="T1498" t="inlineStr">
        <is>
          <t>30-07-2026 09:42 IST</t>
        </is>
      </c>
    </row>
    <row r="1499">
      <c r="A1499" t="n">
        <v>219</v>
      </c>
      <c r="B1499" t="n">
        <v>512573</v>
      </c>
      <c r="C1499" t="inlineStr">
        <is>
          <t>Avanti Feeds Ltd</t>
        </is>
      </c>
      <c r="D1499" t="n">
        <v>2016</v>
      </c>
      <c r="E1499" t="n">
        <v>979.2999877929688</v>
      </c>
      <c r="F1499" t="n">
        <v>11.56</v>
      </c>
      <c r="G1499" t="inlineStr">
        <is>
          <t>Consolidated first (v4) – needs verification for flagged rows</t>
        </is>
      </c>
      <c r="H1499" t="n">
        <v>210.5</v>
      </c>
      <c r="I1499" t="n">
        <v>110.966667175293</v>
      </c>
      <c r="L1499" t="inlineStr">
        <is>
          <t>OK</t>
        </is>
      </c>
      <c r="M1499" t="n">
        <v>18.21</v>
      </c>
      <c r="N1499" t="n">
        <v>9.6</v>
      </c>
      <c r="O1499" t="n">
        <v>949.95</v>
      </c>
      <c r="P1499" t="n">
        <v>1593.8</v>
      </c>
      <c r="Q1499" t="n">
        <v>614.25</v>
      </c>
      <c r="R1499" s="2" t="inlineStr">
        <is>
          <t>VERIFIED_OK</t>
        </is>
      </c>
      <c r="S1499" t="n">
        <v>949.95</v>
      </c>
      <c r="T1499" t="inlineStr">
        <is>
          <t>30-07-2026 09:42 IST</t>
        </is>
      </c>
    </row>
    <row r="1500">
      <c r="A1500" t="n">
        <v>219</v>
      </c>
      <c r="B1500" t="n">
        <v>512573</v>
      </c>
      <c r="C1500" t="inlineStr">
        <is>
          <t>Avanti Feeds Ltd</t>
        </is>
      </c>
      <c r="D1500" t="n">
        <v>2017</v>
      </c>
      <c r="E1500" t="n">
        <v>979.2999877929688</v>
      </c>
      <c r="F1500" t="n">
        <v>15.83</v>
      </c>
      <c r="G1500" t="inlineStr">
        <is>
          <t>Consolidated first (v4) – needs verification for flagged rows</t>
        </is>
      </c>
      <c r="H1500" t="n">
        <v>1000</v>
      </c>
      <c r="I1500" t="n">
        <v>163.1499938964844</v>
      </c>
      <c r="L1500" t="inlineStr">
        <is>
          <t>OK</t>
        </is>
      </c>
      <c r="M1500" t="n">
        <v>63.17</v>
      </c>
      <c r="N1500" t="n">
        <v>10.31</v>
      </c>
      <c r="O1500" t="n">
        <v>949.95</v>
      </c>
      <c r="P1500" t="n">
        <v>1593.8</v>
      </c>
      <c r="Q1500" t="n">
        <v>614.25</v>
      </c>
      <c r="R1500" s="2" t="inlineStr">
        <is>
          <t>VERIFIED_OK</t>
        </is>
      </c>
      <c r="S1500" t="n">
        <v>949.95</v>
      </c>
      <c r="T1500" t="inlineStr">
        <is>
          <t>30-07-2026 09:42 IST</t>
        </is>
      </c>
    </row>
    <row r="1501">
      <c r="A1501" t="n">
        <v>219</v>
      </c>
      <c r="B1501" t="n">
        <v>512573</v>
      </c>
      <c r="C1501" t="inlineStr">
        <is>
          <t>Avanti Feeds Ltd</t>
        </is>
      </c>
      <c r="D1501" t="n">
        <v>2018</v>
      </c>
      <c r="E1501" t="n">
        <v>979.2999877929688</v>
      </c>
      <c r="F1501" t="n">
        <v>32.78</v>
      </c>
      <c r="G1501" t="inlineStr">
        <is>
          <t>Consolidated first (v4) – needs verification for flagged rows</t>
        </is>
      </c>
      <c r="H1501" t="n">
        <v>916.6500244140625</v>
      </c>
      <c r="I1501" t="n">
        <v>334.6000061035156</v>
      </c>
      <c r="L1501" t="inlineStr">
        <is>
          <t>OK</t>
        </is>
      </c>
      <c r="M1501" t="n">
        <v>27.96</v>
      </c>
      <c r="N1501" t="n">
        <v>10.21</v>
      </c>
      <c r="O1501" t="n">
        <v>949.95</v>
      </c>
      <c r="P1501" t="n">
        <v>1593.8</v>
      </c>
      <c r="Q1501" t="n">
        <v>614.25</v>
      </c>
      <c r="R1501" s="2" t="inlineStr">
        <is>
          <t>VERIFIED_OK</t>
        </is>
      </c>
      <c r="S1501" t="n">
        <v>949.95</v>
      </c>
      <c r="T1501" t="inlineStr">
        <is>
          <t>30-07-2026 09:42 IST</t>
        </is>
      </c>
    </row>
    <row r="1502">
      <c r="A1502" t="n">
        <v>219</v>
      </c>
      <c r="B1502" t="n">
        <v>512573</v>
      </c>
      <c r="C1502" t="inlineStr">
        <is>
          <t>Avanti Feeds Ltd</t>
        </is>
      </c>
      <c r="D1502" t="n">
        <v>2019</v>
      </c>
      <c r="E1502" t="n">
        <v>979.2999877929688</v>
      </c>
      <c r="F1502" t="n">
        <v>20.08</v>
      </c>
      <c r="G1502" t="inlineStr">
        <is>
          <t>Consolidated first (v4) – needs verification for flagged rows</t>
        </is>
      </c>
      <c r="H1502" t="n">
        <v>599</v>
      </c>
      <c r="I1502" t="n">
        <v>253</v>
      </c>
      <c r="L1502" t="inlineStr">
        <is>
          <t>OK</t>
        </is>
      </c>
      <c r="M1502" t="n">
        <v>29.83</v>
      </c>
      <c r="N1502" t="n">
        <v>12.6</v>
      </c>
      <c r="O1502" t="n">
        <v>949.95</v>
      </c>
      <c r="P1502" t="n">
        <v>1593.8</v>
      </c>
      <c r="Q1502" t="n">
        <v>614.25</v>
      </c>
      <c r="R1502" s="2" t="inlineStr">
        <is>
          <t>VERIFIED_OK</t>
        </is>
      </c>
      <c r="S1502" t="n">
        <v>949.95</v>
      </c>
      <c r="T1502" t="inlineStr">
        <is>
          <t>30-07-2026 09:42 IST</t>
        </is>
      </c>
    </row>
    <row r="1503">
      <c r="A1503" t="n">
        <v>219</v>
      </c>
      <c r="B1503" t="n">
        <v>512573</v>
      </c>
      <c r="C1503" t="inlineStr">
        <is>
          <t>Avanti Feeds Ltd</t>
        </is>
      </c>
      <c r="D1503" t="n">
        <v>2020</v>
      </c>
      <c r="E1503" t="n">
        <v>979.2999877929688</v>
      </c>
      <c r="F1503" t="n">
        <v>25.43</v>
      </c>
      <c r="G1503" t="inlineStr">
        <is>
          <t>Consolidated first (v4) – needs verification for flagged rows</t>
        </is>
      </c>
      <c r="H1503" t="n">
        <v>769.9000244140625</v>
      </c>
      <c r="I1503" t="n">
        <v>250</v>
      </c>
      <c r="L1503" t="inlineStr">
        <is>
          <t>OK</t>
        </is>
      </c>
      <c r="M1503" t="n">
        <v>30.28</v>
      </c>
      <c r="N1503" t="n">
        <v>9.83</v>
      </c>
      <c r="O1503" t="n">
        <v>949.95</v>
      </c>
      <c r="P1503" t="n">
        <v>1593.8</v>
      </c>
      <c r="Q1503" t="n">
        <v>614.25</v>
      </c>
      <c r="R1503" s="2" t="inlineStr">
        <is>
          <t>VERIFIED_OK</t>
        </is>
      </c>
      <c r="S1503" t="n">
        <v>949.95</v>
      </c>
      <c r="T1503" t="inlineStr">
        <is>
          <t>30-07-2026 09:42 IST</t>
        </is>
      </c>
    </row>
    <row r="1504">
      <c r="A1504" t="n">
        <v>219</v>
      </c>
      <c r="B1504" t="n">
        <v>512573</v>
      </c>
      <c r="C1504" t="inlineStr">
        <is>
          <t>Avanti Feeds Ltd</t>
        </is>
      </c>
      <c r="D1504" t="n">
        <v>2021</v>
      </c>
      <c r="E1504" t="n">
        <v>979.2999877929688</v>
      </c>
      <c r="F1504" t="n">
        <v>26.43</v>
      </c>
      <c r="G1504" t="inlineStr">
        <is>
          <t>Consolidated first (v4) – needs verification for flagged rows</t>
        </is>
      </c>
      <c r="H1504" t="n">
        <v>675</v>
      </c>
      <c r="I1504" t="n">
        <v>411.8500061035156</v>
      </c>
      <c r="L1504" t="inlineStr">
        <is>
          <t>OK</t>
        </is>
      </c>
      <c r="M1504" t="n">
        <v>25.54</v>
      </c>
      <c r="N1504" t="n">
        <v>15.58</v>
      </c>
      <c r="O1504" t="n">
        <v>949.95</v>
      </c>
      <c r="P1504" t="n">
        <v>1593.8</v>
      </c>
      <c r="Q1504" t="n">
        <v>614.25</v>
      </c>
      <c r="R1504" s="2" t="inlineStr">
        <is>
          <t>VERIFIED_OK</t>
        </is>
      </c>
      <c r="S1504" t="n">
        <v>949.95</v>
      </c>
      <c r="T1504" t="inlineStr">
        <is>
          <t>30-07-2026 09:42 IST</t>
        </is>
      </c>
    </row>
    <row r="1505">
      <c r="A1505" t="n">
        <v>219</v>
      </c>
      <c r="B1505" t="n">
        <v>512573</v>
      </c>
      <c r="C1505" t="inlineStr">
        <is>
          <t>Avanti Feeds Ltd</t>
        </is>
      </c>
      <c r="D1505" t="n">
        <v>2022</v>
      </c>
      <c r="E1505" t="n">
        <v>979.2999877929688</v>
      </c>
      <c r="F1505" t="n">
        <v>16.26</v>
      </c>
      <c r="G1505" t="inlineStr">
        <is>
          <t>Consolidated first (v4) – needs verification for flagged rows</t>
        </is>
      </c>
      <c r="H1505" t="n">
        <v>638</v>
      </c>
      <c r="I1505" t="n">
        <v>364.25</v>
      </c>
      <c r="L1505" t="inlineStr">
        <is>
          <t>OK</t>
        </is>
      </c>
      <c r="M1505" t="n">
        <v>39.24</v>
      </c>
      <c r="N1505" t="n">
        <v>22.4</v>
      </c>
      <c r="O1505" t="n">
        <v>949.95</v>
      </c>
      <c r="P1505" t="n">
        <v>1593.8</v>
      </c>
      <c r="Q1505" t="n">
        <v>614.25</v>
      </c>
      <c r="R1505" s="2" t="inlineStr">
        <is>
          <t>VERIFIED_OK</t>
        </is>
      </c>
      <c r="S1505" t="n">
        <v>949.95</v>
      </c>
      <c r="T1505" t="inlineStr">
        <is>
          <t>30-07-2026 09:42 IST</t>
        </is>
      </c>
    </row>
    <row r="1506">
      <c r="A1506" t="n">
        <v>219</v>
      </c>
      <c r="B1506" t="n">
        <v>512573</v>
      </c>
      <c r="C1506" t="inlineStr">
        <is>
          <t>Avanti Feeds Ltd</t>
        </is>
      </c>
      <c r="D1506" t="n">
        <v>2023</v>
      </c>
      <c r="E1506" t="n">
        <v>979.2999877929688</v>
      </c>
      <c r="F1506" t="n">
        <v>20.45</v>
      </c>
      <c r="G1506" t="inlineStr">
        <is>
          <t>Consolidated first (v4) – needs verification for flagged rows</t>
        </is>
      </c>
      <c r="H1506" t="n">
        <v>487.8500061035156</v>
      </c>
      <c r="I1506" t="n">
        <v>321.1499938964844</v>
      </c>
      <c r="L1506" t="inlineStr">
        <is>
          <t>OK</t>
        </is>
      </c>
      <c r="M1506" t="n">
        <v>23.86</v>
      </c>
      <c r="N1506" t="n">
        <v>15.7</v>
      </c>
      <c r="O1506" t="n">
        <v>949.95</v>
      </c>
      <c r="P1506" t="n">
        <v>1593.8</v>
      </c>
      <c r="Q1506" t="n">
        <v>614.25</v>
      </c>
      <c r="R1506" s="2" t="inlineStr">
        <is>
          <t>VERIFIED_OK</t>
        </is>
      </c>
      <c r="S1506" t="n">
        <v>949.95</v>
      </c>
      <c r="T1506" t="inlineStr">
        <is>
          <t>30-07-2026 09:42 IST</t>
        </is>
      </c>
    </row>
    <row r="1507">
      <c r="A1507" t="n">
        <v>219</v>
      </c>
      <c r="B1507" t="n">
        <v>512573</v>
      </c>
      <c r="C1507" t="inlineStr">
        <is>
          <t>Avanti Feeds Ltd</t>
        </is>
      </c>
      <c r="D1507" t="n">
        <v>2024</v>
      </c>
      <c r="E1507" t="n">
        <v>979.2999877929688</v>
      </c>
      <c r="F1507" t="n">
        <v>26.21</v>
      </c>
      <c r="G1507" t="inlineStr">
        <is>
          <t>Consolidated first (v4) – needs verification for flagged rows</t>
        </is>
      </c>
      <c r="H1507" t="n">
        <v>791.0999755859375</v>
      </c>
      <c r="I1507" t="n">
        <v>424.2999877929688</v>
      </c>
      <c r="L1507" t="inlineStr">
        <is>
          <t>OK</t>
        </is>
      </c>
      <c r="M1507" t="n">
        <v>30.18</v>
      </c>
      <c r="N1507" t="n">
        <v>16.19</v>
      </c>
      <c r="O1507" t="n">
        <v>949.95</v>
      </c>
      <c r="P1507" t="n">
        <v>1593.8</v>
      </c>
      <c r="Q1507" t="n">
        <v>614.25</v>
      </c>
      <c r="R1507" s="2" t="inlineStr">
        <is>
          <t>VERIFIED_OK</t>
        </is>
      </c>
      <c r="S1507" t="n">
        <v>949.95</v>
      </c>
      <c r="T1507" t="inlineStr">
        <is>
          <t>30-07-2026 09:42 IST</t>
        </is>
      </c>
    </row>
    <row r="1508">
      <c r="A1508" t="n">
        <v>219</v>
      </c>
      <c r="B1508" t="n">
        <v>512573</v>
      </c>
      <c r="C1508" t="inlineStr">
        <is>
          <t>Avanti Feeds Ltd</t>
        </is>
      </c>
      <c r="D1508" t="n">
        <v>2025</v>
      </c>
      <c r="E1508" t="n">
        <v>979.2999877929688</v>
      </c>
      <c r="F1508" t="n">
        <v>38.81</v>
      </c>
      <c r="G1508" t="inlineStr">
        <is>
          <t>Consolidated first (v4) – needs verification for flagged rows</t>
        </is>
      </c>
      <c r="H1508" t="n">
        <v>965</v>
      </c>
      <c r="I1508" t="n">
        <v>572.0499877929688</v>
      </c>
      <c r="L1508" t="inlineStr">
        <is>
          <t>OK</t>
        </is>
      </c>
      <c r="M1508" t="n">
        <v>24.86</v>
      </c>
      <c r="N1508" t="n">
        <v>14.74</v>
      </c>
      <c r="O1508" t="n">
        <v>949.95</v>
      </c>
      <c r="P1508" t="n">
        <v>1593.8</v>
      </c>
      <c r="Q1508" t="n">
        <v>614.25</v>
      </c>
      <c r="R1508" s="2" t="inlineStr">
        <is>
          <t>VERIFIED_OK</t>
        </is>
      </c>
      <c r="S1508" t="n">
        <v>949.95</v>
      </c>
      <c r="T1508" t="inlineStr">
        <is>
          <t>30-07-2026 09:42 IST</t>
        </is>
      </c>
    </row>
    <row r="1509">
      <c r="A1509" t="n">
        <v>219</v>
      </c>
      <c r="B1509" t="n">
        <v>512573</v>
      </c>
      <c r="C1509" t="inlineStr">
        <is>
          <t>Avanti Feeds Ltd</t>
        </is>
      </c>
      <c r="D1509" t="n">
        <v>2026</v>
      </c>
      <c r="E1509" t="n">
        <v>979.2999877929688</v>
      </c>
      <c r="F1509" t="n">
        <v>44.48</v>
      </c>
      <c r="G1509" t="inlineStr">
        <is>
          <t>Consolidated first (v4) – needs verification for flagged rows</t>
        </is>
      </c>
      <c r="H1509" t="n">
        <v>1592.300048828125</v>
      </c>
      <c r="I1509" t="n">
        <v>739.1500244140625</v>
      </c>
      <c r="L1509" t="inlineStr">
        <is>
          <t>OK</t>
        </is>
      </c>
      <c r="M1509" t="n">
        <v>35.8</v>
      </c>
      <c r="N1509" t="n">
        <v>16.62</v>
      </c>
      <c r="O1509" t="n">
        <v>949.95</v>
      </c>
      <c r="P1509" t="n">
        <v>1593.8</v>
      </c>
      <c r="Q1509" t="n">
        <v>614.25</v>
      </c>
      <c r="R1509" s="2" t="inlineStr">
        <is>
          <t>VERIFIED_OK</t>
        </is>
      </c>
      <c r="S1509" t="n">
        <v>949.95</v>
      </c>
      <c r="T1509" t="inlineStr">
        <is>
          <t>30-07-2026 09:42 IST</t>
        </is>
      </c>
    </row>
    <row r="1510">
      <c r="A1510" t="n">
        <v>220</v>
      </c>
      <c r="B1510" t="n">
        <v>512599</v>
      </c>
      <c r="C1510" t="inlineStr">
        <is>
          <t>Adani Enterprises Ltd</t>
        </is>
      </c>
      <c r="D1510" t="n">
        <v>2015</v>
      </c>
      <c r="E1510" t="n">
        <v>3036.5</v>
      </c>
      <c r="F1510" t="n">
        <v>15.81</v>
      </c>
      <c r="G1510" t="inlineStr">
        <is>
          <t>Consolidated first (v4) – needs verification for flagged rows</t>
        </is>
      </c>
      <c r="H1510" t="n">
        <v>322.3150329589844</v>
      </c>
      <c r="I1510" t="n">
        <v>36.96028518676758</v>
      </c>
      <c r="L1510" t="inlineStr">
        <is>
          <t>OK</t>
        </is>
      </c>
      <c r="M1510" t="n">
        <v>20.39</v>
      </c>
      <c r="N1510" t="n">
        <v>2.34</v>
      </c>
      <c r="O1510" t="n">
        <v>3003.5</v>
      </c>
      <c r="P1510" t="n">
        <v>3245</v>
      </c>
      <c r="Q1510" t="n">
        <v>1753.45</v>
      </c>
      <c r="R1510" s="2" t="inlineStr">
        <is>
          <t>VERIFIED_OK</t>
        </is>
      </c>
      <c r="S1510" t="n">
        <v>3003.5</v>
      </c>
      <c r="T1510" t="inlineStr">
        <is>
          <t>30-07-2026 09:42 IST</t>
        </is>
      </c>
    </row>
    <row r="1511">
      <c r="A1511" t="n">
        <v>220</v>
      </c>
      <c r="B1511" t="n">
        <v>512599</v>
      </c>
      <c r="C1511" t="inlineStr">
        <is>
          <t>Adani Enterprises Ltd</t>
        </is>
      </c>
      <c r="D1511" t="n">
        <v>2016</v>
      </c>
      <c r="E1511" t="n">
        <v>3036.5</v>
      </c>
      <c r="F1511" t="n">
        <v>8.210000000000001</v>
      </c>
      <c r="G1511" t="inlineStr">
        <is>
          <t>Consolidated first (v4) – needs verification for flagged rows</t>
        </is>
      </c>
      <c r="H1511" t="n">
        <v>51.63776016235352</v>
      </c>
      <c r="I1511" t="n">
        <v>32.75068664550781</v>
      </c>
      <c r="L1511" t="inlineStr">
        <is>
          <t>OK</t>
        </is>
      </c>
      <c r="M1511" t="n">
        <v>6.29</v>
      </c>
      <c r="N1511" t="n">
        <v>3.99</v>
      </c>
      <c r="O1511" t="n">
        <v>3003.5</v>
      </c>
      <c r="P1511" t="n">
        <v>3245</v>
      </c>
      <c r="Q1511" t="n">
        <v>1753.45</v>
      </c>
      <c r="R1511" s="2" t="inlineStr">
        <is>
          <t>VERIFIED_OK</t>
        </is>
      </c>
      <c r="S1511" t="n">
        <v>3003.5</v>
      </c>
      <c r="T1511" t="inlineStr">
        <is>
          <t>30-07-2026 09:42 IST</t>
        </is>
      </c>
    </row>
    <row r="1512">
      <c r="A1512" t="n">
        <v>220</v>
      </c>
      <c r="B1512" t="n">
        <v>512599</v>
      </c>
      <c r="C1512" t="inlineStr">
        <is>
          <t>Adani Enterprises Ltd</t>
        </is>
      </c>
      <c r="D1512" t="n">
        <v>2017</v>
      </c>
      <c r="E1512" t="n">
        <v>3036.5</v>
      </c>
      <c r="F1512" t="n">
        <v>8.02</v>
      </c>
      <c r="G1512" t="inlineStr">
        <is>
          <t>Consolidated first (v4) – needs verification for flagged rows</t>
        </is>
      </c>
      <c r="H1512" t="n">
        <v>94.77212524414062</v>
      </c>
      <c r="I1512" t="n">
        <v>42.60115051269531</v>
      </c>
      <c r="L1512" t="inlineStr">
        <is>
          <t>OK</t>
        </is>
      </c>
      <c r="M1512" t="n">
        <v>11.82</v>
      </c>
      <c r="N1512" t="n">
        <v>5.31</v>
      </c>
      <c r="O1512" t="n">
        <v>3003.5</v>
      </c>
      <c r="P1512" t="n">
        <v>3245</v>
      </c>
      <c r="Q1512" t="n">
        <v>1753.45</v>
      </c>
      <c r="R1512" s="2" t="inlineStr">
        <is>
          <t>VERIFIED_OK</t>
        </is>
      </c>
      <c r="S1512" t="n">
        <v>3003.5</v>
      </c>
      <c r="T1512" t="inlineStr">
        <is>
          <t>30-07-2026 09:42 IST</t>
        </is>
      </c>
    </row>
    <row r="1513">
      <c r="A1513" t="n">
        <v>220</v>
      </c>
      <c r="B1513" t="n">
        <v>512599</v>
      </c>
      <c r="C1513" t="inlineStr">
        <is>
          <t>Adani Enterprises Ltd</t>
        </is>
      </c>
      <c r="D1513" t="n">
        <v>2018</v>
      </c>
      <c r="E1513" t="n">
        <v>3036.5</v>
      </c>
      <c r="F1513" t="n">
        <v>6.15</v>
      </c>
      <c r="G1513" t="inlineStr">
        <is>
          <t>Consolidated first (v4) – needs verification for flagged rows</t>
        </is>
      </c>
      <c r="H1513" t="n">
        <v>180</v>
      </c>
      <c r="I1513" t="n">
        <v>65.95393371582031</v>
      </c>
      <c r="L1513" t="inlineStr">
        <is>
          <t>OK</t>
        </is>
      </c>
      <c r="M1513" t="n">
        <v>29.27</v>
      </c>
      <c r="N1513" t="n">
        <v>10.72</v>
      </c>
      <c r="O1513" t="n">
        <v>3003.5</v>
      </c>
      <c r="P1513" t="n">
        <v>3245</v>
      </c>
      <c r="Q1513" t="n">
        <v>1753.45</v>
      </c>
      <c r="R1513" s="2" t="inlineStr">
        <is>
          <t>VERIFIED_OK</t>
        </is>
      </c>
      <c r="S1513" t="n">
        <v>3003.5</v>
      </c>
      <c r="T1513" t="inlineStr">
        <is>
          <t>30-07-2026 09:42 IST</t>
        </is>
      </c>
    </row>
    <row r="1514">
      <c r="A1514" t="n">
        <v>220</v>
      </c>
      <c r="B1514" t="n">
        <v>512599</v>
      </c>
      <c r="C1514" t="inlineStr">
        <is>
          <t>Adani Enterprises Ltd</t>
        </is>
      </c>
      <c r="D1514" t="n">
        <v>2019</v>
      </c>
      <c r="E1514" t="n">
        <v>3036.5</v>
      </c>
      <c r="F1514" t="n">
        <v>5.82</v>
      </c>
      <c r="G1514" t="inlineStr">
        <is>
          <t>Consolidated first (v4) – needs verification for flagged rows</t>
        </is>
      </c>
      <c r="H1514" t="n">
        <v>221.3999938964844</v>
      </c>
      <c r="I1514" t="n">
        <v>113</v>
      </c>
      <c r="L1514" t="inlineStr">
        <is>
          <t>OK</t>
        </is>
      </c>
      <c r="M1514" t="n">
        <v>38.04</v>
      </c>
      <c r="N1514" t="n">
        <v>19.42</v>
      </c>
      <c r="O1514" t="n">
        <v>3003.5</v>
      </c>
      <c r="P1514" t="n">
        <v>3245</v>
      </c>
      <c r="Q1514" t="n">
        <v>1753.45</v>
      </c>
      <c r="R1514" s="2" t="inlineStr">
        <is>
          <t>VERIFIED_OK</t>
        </is>
      </c>
      <c r="S1514" t="n">
        <v>3003.5</v>
      </c>
      <c r="T1514" t="inlineStr">
        <is>
          <t>30-07-2026 09:42 IST</t>
        </is>
      </c>
    </row>
    <row r="1515">
      <c r="A1515" t="n">
        <v>220</v>
      </c>
      <c r="B1515" t="n">
        <v>512599</v>
      </c>
      <c r="C1515" t="inlineStr">
        <is>
          <t>Adani Enterprises Ltd</t>
        </is>
      </c>
      <c r="D1515" t="n">
        <v>2020</v>
      </c>
      <c r="E1515" t="n">
        <v>3036.5</v>
      </c>
      <c r="F1515" t="n">
        <v>9.24</v>
      </c>
      <c r="G1515" t="inlineStr">
        <is>
          <t>Consolidated first (v4) – needs verification for flagged rows</t>
        </is>
      </c>
      <c r="H1515" t="n">
        <v>507.0499877929688</v>
      </c>
      <c r="I1515" t="n">
        <v>116.25</v>
      </c>
      <c r="L1515" t="inlineStr">
        <is>
          <t>OK</t>
        </is>
      </c>
      <c r="M1515" t="n">
        <v>54.88</v>
      </c>
      <c r="N1515" t="n">
        <v>12.58</v>
      </c>
      <c r="O1515" t="n">
        <v>3003.5</v>
      </c>
      <c r="P1515" t="n">
        <v>3245</v>
      </c>
      <c r="Q1515" t="n">
        <v>1753.45</v>
      </c>
      <c r="R1515" s="2" t="inlineStr">
        <is>
          <t>VERIFIED_OK</t>
        </is>
      </c>
      <c r="S1515" t="n">
        <v>3003.5</v>
      </c>
      <c r="T1515" t="inlineStr">
        <is>
          <t>30-07-2026 09:42 IST</t>
        </is>
      </c>
    </row>
    <row r="1516">
      <c r="A1516" t="n">
        <v>220</v>
      </c>
      <c r="B1516" t="n">
        <v>512599</v>
      </c>
      <c r="C1516" t="inlineStr">
        <is>
          <t>Adani Enterprises Ltd</t>
        </is>
      </c>
      <c r="D1516" t="n">
        <v>2021</v>
      </c>
      <c r="E1516" t="n">
        <v>3036.5</v>
      </c>
      <c r="F1516" t="n">
        <v>7.49</v>
      </c>
      <c r="G1516" t="inlineStr">
        <is>
          <t>Consolidated first (v4) – needs verification for flagged rows</t>
        </is>
      </c>
      <c r="H1516" t="n">
        <v>1788</v>
      </c>
      <c r="I1516" t="n">
        <v>484.7000122070312</v>
      </c>
      <c r="L1516" t="inlineStr">
        <is>
          <t>OK</t>
        </is>
      </c>
      <c r="M1516" t="n">
        <v>238.72</v>
      </c>
      <c r="N1516" t="n">
        <v>64.70999999999999</v>
      </c>
      <c r="O1516" t="n">
        <v>3003.5</v>
      </c>
      <c r="P1516" t="n">
        <v>3245</v>
      </c>
      <c r="Q1516" t="n">
        <v>1753.45</v>
      </c>
      <c r="R1516" s="2" t="inlineStr">
        <is>
          <t>VERIFIED_OK</t>
        </is>
      </c>
      <c r="S1516" t="n">
        <v>3003.5</v>
      </c>
      <c r="T1516" t="inlineStr">
        <is>
          <t>30-07-2026 09:42 IST</t>
        </is>
      </c>
    </row>
    <row r="1517">
      <c r="A1517" t="n">
        <v>220</v>
      </c>
      <c r="B1517" t="n">
        <v>512599</v>
      </c>
      <c r="C1517" t="inlineStr">
        <is>
          <t>Adani Enterprises Ltd</t>
        </is>
      </c>
      <c r="D1517" t="n">
        <v>2022</v>
      </c>
      <c r="E1517" t="n">
        <v>3036.5</v>
      </c>
      <c r="F1517" t="n">
        <v>6.3</v>
      </c>
      <c r="G1517" t="inlineStr">
        <is>
          <t>Consolidated first (v4) – needs verification for flagged rows</t>
        </is>
      </c>
      <c r="H1517" t="n">
        <v>4189.5498046875</v>
      </c>
      <c r="I1517" t="n">
        <v>1529.550048828125</v>
      </c>
      <c r="L1517" t="inlineStr">
        <is>
          <t>OK</t>
        </is>
      </c>
      <c r="M1517" t="n">
        <v>665.01</v>
      </c>
      <c r="N1517" t="n">
        <v>242.79</v>
      </c>
      <c r="O1517" t="n">
        <v>3003.5</v>
      </c>
      <c r="P1517" t="n">
        <v>3245</v>
      </c>
      <c r="Q1517" t="n">
        <v>1753.45</v>
      </c>
      <c r="R1517" s="2" t="inlineStr">
        <is>
          <t>VERIFIED_OK</t>
        </is>
      </c>
      <c r="S1517" t="n">
        <v>3003.5</v>
      </c>
      <c r="T1517" t="inlineStr">
        <is>
          <t>30-07-2026 09:42 IST</t>
        </is>
      </c>
    </row>
    <row r="1518">
      <c r="A1518" t="n">
        <v>220</v>
      </c>
      <c r="B1518" t="n">
        <v>512599</v>
      </c>
      <c r="C1518" t="inlineStr">
        <is>
          <t>Adani Enterprises Ltd</t>
        </is>
      </c>
      <c r="D1518" t="n">
        <v>2023</v>
      </c>
      <c r="E1518" t="n">
        <v>3036.5</v>
      </c>
      <c r="F1518" t="n">
        <v>19.3</v>
      </c>
      <c r="G1518" t="inlineStr">
        <is>
          <t>Consolidated first (v4) – needs verification for flagged rows</t>
        </is>
      </c>
      <c r="H1518" t="n">
        <v>3879</v>
      </c>
      <c r="I1518" t="n">
        <v>1017.099975585938</v>
      </c>
      <c r="L1518" t="inlineStr">
        <is>
          <t>OK</t>
        </is>
      </c>
      <c r="M1518" t="n">
        <v>200.98</v>
      </c>
      <c r="N1518" t="n">
        <v>52.7</v>
      </c>
      <c r="O1518" t="n">
        <v>3003.5</v>
      </c>
      <c r="P1518" t="n">
        <v>3245</v>
      </c>
      <c r="Q1518" t="n">
        <v>1753.45</v>
      </c>
      <c r="R1518" s="2" t="inlineStr">
        <is>
          <t>VERIFIED_OK</t>
        </is>
      </c>
      <c r="S1518" t="n">
        <v>3003.5</v>
      </c>
      <c r="T1518" t="inlineStr">
        <is>
          <t>30-07-2026 09:42 IST</t>
        </is>
      </c>
    </row>
    <row r="1519">
      <c r="A1519" t="n">
        <v>220</v>
      </c>
      <c r="B1519" t="n">
        <v>512599</v>
      </c>
      <c r="C1519" t="inlineStr">
        <is>
          <t>Adani Enterprises Ltd</t>
        </is>
      </c>
      <c r="D1519" t="n">
        <v>2024</v>
      </c>
      <c r="E1519" t="n">
        <v>3036.5</v>
      </c>
      <c r="F1519" t="n">
        <v>25.37</v>
      </c>
      <c r="G1519" t="inlineStr">
        <is>
          <t>Consolidated first (v4) – needs verification for flagged rows</t>
        </is>
      </c>
      <c r="H1519" t="n">
        <v>3743</v>
      </c>
      <c r="I1519" t="n">
        <v>2030</v>
      </c>
      <c r="L1519" t="inlineStr">
        <is>
          <t>OK</t>
        </is>
      </c>
      <c r="M1519" t="n">
        <v>147.54</v>
      </c>
      <c r="N1519" t="n">
        <v>80.02</v>
      </c>
      <c r="O1519" t="n">
        <v>3003.5</v>
      </c>
      <c r="P1519" t="n">
        <v>3245</v>
      </c>
      <c r="Q1519" t="n">
        <v>1753.45</v>
      </c>
      <c r="R1519" s="2" t="inlineStr">
        <is>
          <t>VERIFIED_OK</t>
        </is>
      </c>
      <c r="S1519" t="n">
        <v>3003.5</v>
      </c>
      <c r="T1519" t="inlineStr">
        <is>
          <t>30-07-2026 09:42 IST</t>
        </is>
      </c>
    </row>
    <row r="1520">
      <c r="A1520" t="n">
        <v>220</v>
      </c>
      <c r="B1520" t="n">
        <v>512599</v>
      </c>
      <c r="C1520" t="inlineStr">
        <is>
          <t>Adani Enterprises Ltd</t>
        </is>
      </c>
      <c r="D1520" t="n">
        <v>2025</v>
      </c>
      <c r="E1520" t="n">
        <v>3036.5</v>
      </c>
      <c r="F1520" t="n">
        <v>55.02</v>
      </c>
      <c r="G1520" t="inlineStr">
        <is>
          <t>Consolidated first (v4) – needs verification for flagged rows</t>
        </is>
      </c>
      <c r="H1520" t="n">
        <v>2695</v>
      </c>
      <c r="I1520" t="n">
        <v>2026.900024414062</v>
      </c>
      <c r="L1520" t="inlineStr">
        <is>
          <t>OK</t>
        </is>
      </c>
      <c r="M1520" t="n">
        <v>48.98</v>
      </c>
      <c r="N1520" t="n">
        <v>36.84</v>
      </c>
      <c r="O1520" t="n">
        <v>3003.5</v>
      </c>
      <c r="P1520" t="n">
        <v>3245</v>
      </c>
      <c r="Q1520" t="n">
        <v>1753.45</v>
      </c>
      <c r="R1520" s="2" t="inlineStr">
        <is>
          <t>VERIFIED_OK</t>
        </is>
      </c>
      <c r="S1520" t="n">
        <v>3003.5</v>
      </c>
      <c r="T1520" t="inlineStr">
        <is>
          <t>30-07-2026 09:42 IST</t>
        </is>
      </c>
    </row>
    <row r="1521">
      <c r="A1521" t="n">
        <v>220</v>
      </c>
      <c r="B1521" t="n">
        <v>512599</v>
      </c>
      <c r="C1521" t="inlineStr">
        <is>
          <t>Adani Enterprises Ltd</t>
        </is>
      </c>
      <c r="D1521" t="n">
        <v>2026</v>
      </c>
      <c r="E1521" t="n">
        <v>3036.5</v>
      </c>
      <c r="F1521" t="n">
        <v>72.31</v>
      </c>
      <c r="G1521" t="inlineStr">
        <is>
          <t>Consolidated first (v4) – needs verification for flagged rows</t>
        </is>
      </c>
      <c r="H1521" t="n">
        <v>3245</v>
      </c>
      <c r="I1521" t="n">
        <v>1753.449951171875</v>
      </c>
      <c r="L1521" t="inlineStr">
        <is>
          <t>OK</t>
        </is>
      </c>
      <c r="M1521" t="n">
        <v>44.88</v>
      </c>
      <c r="N1521" t="n">
        <v>24.25</v>
      </c>
      <c r="O1521" t="n">
        <v>3003.5</v>
      </c>
      <c r="P1521" t="n">
        <v>3245</v>
      </c>
      <c r="Q1521" t="n">
        <v>1753.45</v>
      </c>
      <c r="R1521" s="2" t="inlineStr">
        <is>
          <t>VERIFIED_OK</t>
        </is>
      </c>
      <c r="S1521" t="n">
        <v>3003.5</v>
      </c>
      <c r="T1521" t="inlineStr">
        <is>
          <t>30-07-2026 09:42 IST</t>
        </is>
      </c>
    </row>
    <row r="1522">
      <c r="A1522" t="n">
        <v>222</v>
      </c>
      <c r="B1522" t="n">
        <v>512634</v>
      </c>
      <c r="C1522" t="inlineStr">
        <is>
          <t>Saveria Industries Ltd</t>
        </is>
      </c>
      <c r="D1522" t="n">
        <v>2015</v>
      </c>
      <c r="E1522" t="n">
        <v>162.25</v>
      </c>
      <c r="F1522" t="n">
        <v>2.34</v>
      </c>
      <c r="G1522" t="inlineStr">
        <is>
          <t>Consolidated first (v4) – needs verification for flagged rows</t>
        </is>
      </c>
      <c r="H1522" t="n">
        <v>75</v>
      </c>
      <c r="I1522" t="n">
        <v>33.5</v>
      </c>
      <c r="L1522" t="inlineStr">
        <is>
          <t>OK</t>
        </is>
      </c>
      <c r="M1522" t="n">
        <v>32.05</v>
      </c>
      <c r="N1522" t="n">
        <v>14.32</v>
      </c>
      <c r="O1522" t="n">
        <v>143.9</v>
      </c>
      <c r="P1522" t="n">
        <v>180.7</v>
      </c>
      <c r="Q1522" t="n">
        <v>102</v>
      </c>
      <c r="R1522" s="3" t="inlineStr">
        <is>
          <t>MISMATCH_NEEDS_CORRECTION</t>
        </is>
      </c>
      <c r="S1522" t="n">
        <v>143.9</v>
      </c>
      <c r="T1522" t="inlineStr">
        <is>
          <t>30-07-2026 09:42 IST</t>
        </is>
      </c>
    </row>
    <row r="1523">
      <c r="A1523" t="n">
        <v>222</v>
      </c>
      <c r="B1523" t="n">
        <v>512634</v>
      </c>
      <c r="C1523" t="inlineStr">
        <is>
          <t>Saveria Industries Ltd</t>
        </is>
      </c>
      <c r="D1523" t="n">
        <v>2016</v>
      </c>
      <c r="E1523" t="n">
        <v>162.25</v>
      </c>
      <c r="G1523" t="inlineStr">
        <is>
          <t>Consolidated first (v4) – needs verification for flagged rows</t>
        </is>
      </c>
      <c r="H1523" t="n">
        <v>80.84999847412109</v>
      </c>
      <c r="I1523" t="n">
        <v>46</v>
      </c>
      <c r="L1523" t="inlineStr">
        <is>
          <t>INCOMPLETE</t>
        </is>
      </c>
      <c r="O1523" t="n">
        <v>143.9</v>
      </c>
      <c r="P1523" t="n">
        <v>180.7</v>
      </c>
      <c r="Q1523" t="n">
        <v>102</v>
      </c>
      <c r="R1523" s="3" t="inlineStr">
        <is>
          <t>MISMATCH_NEEDS_CORRECTION</t>
        </is>
      </c>
      <c r="S1523" t="n">
        <v>143.9</v>
      </c>
      <c r="T1523" t="inlineStr">
        <is>
          <t>30-07-2026 09:42 IST</t>
        </is>
      </c>
    </row>
    <row r="1524">
      <c r="A1524" t="n">
        <v>222</v>
      </c>
      <c r="B1524" t="n">
        <v>512634</v>
      </c>
      <c r="C1524" t="inlineStr">
        <is>
          <t>Saveria Industries Ltd</t>
        </is>
      </c>
      <c r="D1524" t="n">
        <v>2017</v>
      </c>
      <c r="E1524" t="n">
        <v>162.25</v>
      </c>
      <c r="G1524" t="inlineStr">
        <is>
          <t>Consolidated first (v4) – needs verification for flagged rows</t>
        </is>
      </c>
      <c r="H1524" t="n">
        <v>94</v>
      </c>
      <c r="I1524" t="n">
        <v>56</v>
      </c>
      <c r="L1524" t="inlineStr">
        <is>
          <t>INCOMPLETE</t>
        </is>
      </c>
      <c r="O1524" t="n">
        <v>143.9</v>
      </c>
      <c r="P1524" t="n">
        <v>180.7</v>
      </c>
      <c r="Q1524" t="n">
        <v>102</v>
      </c>
      <c r="R1524" s="3" t="inlineStr">
        <is>
          <t>MISMATCH_NEEDS_CORRECTION</t>
        </is>
      </c>
      <c r="S1524" t="n">
        <v>143.9</v>
      </c>
      <c r="T1524" t="inlineStr">
        <is>
          <t>30-07-2026 09:42 IST</t>
        </is>
      </c>
    </row>
    <row r="1525">
      <c r="A1525" t="n">
        <v>222</v>
      </c>
      <c r="B1525" t="n">
        <v>512634</v>
      </c>
      <c r="C1525" t="inlineStr">
        <is>
          <t>Saveria Industries Ltd</t>
        </is>
      </c>
      <c r="D1525" t="n">
        <v>2018</v>
      </c>
      <c r="E1525" t="n">
        <v>162.25</v>
      </c>
      <c r="G1525" t="inlineStr">
        <is>
          <t>Consolidated first (v4) – needs verification for flagged rows</t>
        </is>
      </c>
      <c r="H1525" t="n">
        <v>102</v>
      </c>
      <c r="I1525" t="n">
        <v>53.29999923706055</v>
      </c>
      <c r="L1525" t="inlineStr">
        <is>
          <t>INCOMPLETE</t>
        </is>
      </c>
      <c r="O1525" t="n">
        <v>143.9</v>
      </c>
      <c r="P1525" t="n">
        <v>180.7</v>
      </c>
      <c r="Q1525" t="n">
        <v>102</v>
      </c>
      <c r="R1525" s="3" t="inlineStr">
        <is>
          <t>MISMATCH_NEEDS_CORRECTION</t>
        </is>
      </c>
      <c r="S1525" t="n">
        <v>143.9</v>
      </c>
      <c r="T1525" t="inlineStr">
        <is>
          <t>30-07-2026 09:42 IST</t>
        </is>
      </c>
    </row>
    <row r="1526">
      <c r="A1526" t="n">
        <v>222</v>
      </c>
      <c r="B1526" t="n">
        <v>512634</v>
      </c>
      <c r="C1526" t="inlineStr">
        <is>
          <t>Saveria Industries Ltd</t>
        </is>
      </c>
      <c r="D1526" t="n">
        <v>2019</v>
      </c>
      <c r="E1526" t="n">
        <v>162.25</v>
      </c>
      <c r="G1526" t="inlineStr">
        <is>
          <t>Consolidated first (v4) – needs verification for flagged rows</t>
        </is>
      </c>
      <c r="H1526" t="n">
        <v>74.94999694824219</v>
      </c>
      <c r="I1526" t="n">
        <v>37.20000076293945</v>
      </c>
      <c r="L1526" t="inlineStr">
        <is>
          <t>INCOMPLETE</t>
        </is>
      </c>
      <c r="O1526" t="n">
        <v>143.9</v>
      </c>
      <c r="P1526" t="n">
        <v>180.7</v>
      </c>
      <c r="Q1526" t="n">
        <v>102</v>
      </c>
      <c r="R1526" s="3" t="inlineStr">
        <is>
          <t>MISMATCH_NEEDS_CORRECTION</t>
        </is>
      </c>
      <c r="S1526" t="n">
        <v>143.9</v>
      </c>
      <c r="T1526" t="inlineStr">
        <is>
          <t>30-07-2026 09:42 IST</t>
        </is>
      </c>
    </row>
    <row r="1527">
      <c r="A1527" t="n">
        <v>222</v>
      </c>
      <c r="B1527" t="n">
        <v>512634</v>
      </c>
      <c r="C1527" t="inlineStr">
        <is>
          <t>Saveria Industries Ltd</t>
        </is>
      </c>
      <c r="D1527" t="n">
        <v>2020</v>
      </c>
      <c r="E1527" t="n">
        <v>162.25</v>
      </c>
      <c r="G1527" t="inlineStr">
        <is>
          <t>Consolidated first (v4) – needs verification for flagged rows</t>
        </is>
      </c>
      <c r="H1527" t="n">
        <v>54.34999847412109</v>
      </c>
      <c r="I1527" t="n">
        <v>28.29999923706055</v>
      </c>
      <c r="L1527" t="inlineStr">
        <is>
          <t>INCOMPLETE</t>
        </is>
      </c>
      <c r="O1527" t="n">
        <v>143.9</v>
      </c>
      <c r="P1527" t="n">
        <v>180.7</v>
      </c>
      <c r="Q1527" t="n">
        <v>102</v>
      </c>
      <c r="R1527" s="3" t="inlineStr">
        <is>
          <t>MISMATCH_NEEDS_CORRECTION</t>
        </is>
      </c>
      <c r="S1527" t="n">
        <v>143.9</v>
      </c>
      <c r="T1527" t="inlineStr">
        <is>
          <t>30-07-2026 09:42 IST</t>
        </is>
      </c>
    </row>
    <row r="1528">
      <c r="A1528" t="n">
        <v>222</v>
      </c>
      <c r="B1528" t="n">
        <v>512634</v>
      </c>
      <c r="C1528" t="inlineStr">
        <is>
          <t>Saveria Industries Ltd</t>
        </is>
      </c>
      <c r="D1528" t="n">
        <v>2021</v>
      </c>
      <c r="E1528" t="n">
        <v>162.25</v>
      </c>
      <c r="G1528" t="inlineStr">
        <is>
          <t>Consolidated first (v4) – needs verification for flagged rows</t>
        </is>
      </c>
      <c r="H1528" t="n">
        <v>56.5</v>
      </c>
      <c r="I1528" t="n">
        <v>36.29999923706055</v>
      </c>
      <c r="L1528" t="inlineStr">
        <is>
          <t>INCOMPLETE</t>
        </is>
      </c>
      <c r="O1528" t="n">
        <v>143.9</v>
      </c>
      <c r="P1528" t="n">
        <v>180.7</v>
      </c>
      <c r="Q1528" t="n">
        <v>102</v>
      </c>
      <c r="R1528" s="3" t="inlineStr">
        <is>
          <t>MISMATCH_NEEDS_CORRECTION</t>
        </is>
      </c>
      <c r="S1528" t="n">
        <v>143.9</v>
      </c>
      <c r="T1528" t="inlineStr">
        <is>
          <t>30-07-2026 09:42 IST</t>
        </is>
      </c>
    </row>
    <row r="1529">
      <c r="A1529" t="n">
        <v>222</v>
      </c>
      <c r="B1529" t="n">
        <v>512634</v>
      </c>
      <c r="C1529" t="inlineStr">
        <is>
          <t>Saveria Industries Ltd</t>
        </is>
      </c>
      <c r="D1529" t="n">
        <v>2022</v>
      </c>
      <c r="E1529" t="n">
        <v>162.25</v>
      </c>
      <c r="G1529" t="inlineStr">
        <is>
          <t>Consolidated first (v4) – needs verification for flagged rows</t>
        </is>
      </c>
      <c r="H1529" t="n">
        <v>82.94999694824219</v>
      </c>
      <c r="I1529" t="n">
        <v>40</v>
      </c>
      <c r="L1529" t="inlineStr">
        <is>
          <t>INCOMPLETE</t>
        </is>
      </c>
      <c r="O1529" t="n">
        <v>143.9</v>
      </c>
      <c r="P1529" t="n">
        <v>180.7</v>
      </c>
      <c r="Q1529" t="n">
        <v>102</v>
      </c>
      <c r="R1529" s="3" t="inlineStr">
        <is>
          <t>MISMATCH_NEEDS_CORRECTION</t>
        </is>
      </c>
      <c r="S1529" t="n">
        <v>143.9</v>
      </c>
      <c r="T1529" t="inlineStr">
        <is>
          <t>30-07-2026 09:42 IST</t>
        </is>
      </c>
    </row>
    <row r="1530">
      <c r="A1530" t="n">
        <v>222</v>
      </c>
      <c r="B1530" t="n">
        <v>512634</v>
      </c>
      <c r="C1530" t="inlineStr">
        <is>
          <t>Saveria Industries Ltd</t>
        </is>
      </c>
      <c r="D1530" t="n">
        <v>2023</v>
      </c>
      <c r="E1530" t="n">
        <v>162.25</v>
      </c>
      <c r="G1530" t="inlineStr">
        <is>
          <t>Consolidated first (v4) – needs verification for flagged rows</t>
        </is>
      </c>
      <c r="H1530" t="n">
        <v>134.25</v>
      </c>
      <c r="I1530" t="n">
        <v>51</v>
      </c>
      <c r="L1530" t="inlineStr">
        <is>
          <t>INCOMPLETE</t>
        </is>
      </c>
      <c r="O1530" t="n">
        <v>143.9</v>
      </c>
      <c r="P1530" t="n">
        <v>180.7</v>
      </c>
      <c r="Q1530" t="n">
        <v>102</v>
      </c>
      <c r="R1530" s="3" t="inlineStr">
        <is>
          <t>MISMATCH_NEEDS_CORRECTION</t>
        </is>
      </c>
      <c r="S1530" t="n">
        <v>143.9</v>
      </c>
      <c r="T1530" t="inlineStr">
        <is>
          <t>30-07-2026 09:42 IST</t>
        </is>
      </c>
    </row>
    <row r="1531">
      <c r="A1531" t="n">
        <v>222</v>
      </c>
      <c r="B1531" t="n">
        <v>512634</v>
      </c>
      <c r="C1531" t="inlineStr">
        <is>
          <t>Saveria Industries Ltd</t>
        </is>
      </c>
      <c r="D1531" t="n">
        <v>2024</v>
      </c>
      <c r="E1531" t="n">
        <v>162.25</v>
      </c>
      <c r="G1531" t="inlineStr">
        <is>
          <t>Consolidated first (v4) – needs verification for flagged rows</t>
        </is>
      </c>
      <c r="H1531" t="n">
        <v>180.6999969482422</v>
      </c>
      <c r="I1531" t="n">
        <v>102</v>
      </c>
      <c r="L1531" t="inlineStr">
        <is>
          <t>INCOMPLETE</t>
        </is>
      </c>
      <c r="O1531" t="n">
        <v>143.9</v>
      </c>
      <c r="P1531" t="n">
        <v>180.7</v>
      </c>
      <c r="Q1531" t="n">
        <v>102</v>
      </c>
      <c r="R1531" s="3" t="inlineStr">
        <is>
          <t>MISMATCH_NEEDS_CORRECTION</t>
        </is>
      </c>
      <c r="S1531" t="n">
        <v>143.9</v>
      </c>
      <c r="T1531" t="inlineStr">
        <is>
          <t>30-07-2026 09:42 IST</t>
        </is>
      </c>
    </row>
    <row r="1532">
      <c r="A1532" t="n">
        <v>222</v>
      </c>
      <c r="B1532" t="n">
        <v>512634</v>
      </c>
      <c r="C1532" t="inlineStr">
        <is>
          <t>Saveria Industries Ltd</t>
        </is>
      </c>
      <c r="D1532" t="n">
        <v>2025</v>
      </c>
      <c r="E1532" t="n">
        <v>162.25</v>
      </c>
      <c r="G1532" t="inlineStr">
        <is>
          <t>Consolidated first (v4) – needs verification for flagged rows</t>
        </is>
      </c>
      <c r="H1532" t="n">
        <v>172</v>
      </c>
      <c r="I1532" t="n">
        <v>118</v>
      </c>
      <c r="L1532" t="inlineStr">
        <is>
          <t>INCOMPLETE</t>
        </is>
      </c>
      <c r="O1532" t="n">
        <v>143.9</v>
      </c>
      <c r="P1532" t="n">
        <v>180.7</v>
      </c>
      <c r="Q1532" t="n">
        <v>102</v>
      </c>
      <c r="R1532" s="3" t="inlineStr">
        <is>
          <t>MISMATCH_NEEDS_CORRECTION</t>
        </is>
      </c>
      <c r="S1532" t="n">
        <v>143.9</v>
      </c>
      <c r="T1532" t="inlineStr">
        <is>
          <t>30-07-2026 09:42 IST</t>
        </is>
      </c>
    </row>
    <row r="1533">
      <c r="A1533" t="n">
        <v>222</v>
      </c>
      <c r="B1533" t="n">
        <v>512634</v>
      </c>
      <c r="C1533" t="inlineStr">
        <is>
          <t>Saveria Industries Ltd</t>
        </is>
      </c>
      <c r="D1533" t="n">
        <v>2026</v>
      </c>
      <c r="E1533" t="n">
        <v>162.25</v>
      </c>
      <c r="G1533" t="inlineStr">
        <is>
          <t>Consolidated first (v4) – needs verification for flagged rows</t>
        </is>
      </c>
      <c r="H1533" t="n">
        <v>189</v>
      </c>
      <c r="I1533" t="n">
        <v>133</v>
      </c>
      <c r="L1533" t="inlineStr">
        <is>
          <t>INCOMPLETE</t>
        </is>
      </c>
      <c r="O1533" t="n">
        <v>143.9</v>
      </c>
      <c r="P1533" t="n">
        <v>180.7</v>
      </c>
      <c r="Q1533" t="n">
        <v>102</v>
      </c>
      <c r="R1533" s="3" t="inlineStr">
        <is>
          <t>MISMATCH_NEEDS_CORRECTION</t>
        </is>
      </c>
      <c r="S1533" t="n">
        <v>143.9</v>
      </c>
      <c r="T1533" t="inlineStr">
        <is>
          <t>30-07-2026 09:42 IST</t>
        </is>
      </c>
    </row>
    <row r="1534">
      <c r="A1534" t="n">
        <v>237</v>
      </c>
      <c r="B1534" t="n">
        <v>513119</v>
      </c>
      <c r="C1534" t="inlineStr">
        <is>
          <t>Abc Gas International Ltd</t>
        </is>
      </c>
      <c r="D1534" t="n">
        <v>2015</v>
      </c>
      <c r="E1534" t="n">
        <v>627.5999755859375</v>
      </c>
      <c r="F1534" t="n">
        <v>0.46</v>
      </c>
      <c r="G1534" t="inlineStr">
        <is>
          <t>Consolidated first (v4) – needs verification for flagged rows</t>
        </is>
      </c>
      <c r="H1534" t="n">
        <v>41</v>
      </c>
      <c r="I1534" t="n">
        <v>13.64999961853027</v>
      </c>
      <c r="L1534" t="inlineStr">
        <is>
          <t>UNVERIFIED – tiny EPS &lt;0.5</t>
        </is>
      </c>
      <c r="M1534" t="n">
        <v>89.13</v>
      </c>
      <c r="N1534" t="n">
        <v>29.67</v>
      </c>
      <c r="O1534" t="n">
        <v>96.15000000000001</v>
      </c>
      <c r="P1534" t="n">
        <v>312.2</v>
      </c>
      <c r="Q1534" t="n">
        <v>51</v>
      </c>
      <c r="R1534" s="3" t="inlineStr">
        <is>
          <t>MISMATCH_NEEDS_CORRECTION</t>
        </is>
      </c>
      <c r="S1534" t="n">
        <v>96.15000000000001</v>
      </c>
      <c r="T1534" t="inlineStr">
        <is>
          <t>30-07-2026 09:42 IST</t>
        </is>
      </c>
    </row>
    <row r="1535">
      <c r="A1535" t="n">
        <v>237</v>
      </c>
      <c r="B1535" t="n">
        <v>513119</v>
      </c>
      <c r="C1535" t="inlineStr">
        <is>
          <t>Abc Gas International Ltd</t>
        </is>
      </c>
      <c r="D1535" t="n">
        <v>2016</v>
      </c>
      <c r="E1535" t="n">
        <v>627.5999755859375</v>
      </c>
      <c r="F1535" t="n">
        <v>-0.63</v>
      </c>
      <c r="G1535" t="inlineStr">
        <is>
          <t>Consolidated first (v4) – needs verification for flagged rows</t>
        </is>
      </c>
      <c r="H1535" t="n">
        <v>33.75</v>
      </c>
      <c r="I1535" t="n">
        <v>13.69999980926514</v>
      </c>
      <c r="L1535" t="inlineStr">
        <is>
          <t>UNVERIFIED – negative EPS</t>
        </is>
      </c>
      <c r="M1535" t="n">
        <v>-53.57</v>
      </c>
      <c r="N1535" t="n">
        <v>-21.75</v>
      </c>
      <c r="O1535" t="n">
        <v>96.15000000000001</v>
      </c>
      <c r="P1535" t="n">
        <v>312.2</v>
      </c>
      <c r="Q1535" t="n">
        <v>51</v>
      </c>
      <c r="R1535" s="3" t="inlineStr">
        <is>
          <t>MISMATCH_NEEDS_CORRECTION</t>
        </is>
      </c>
      <c r="S1535" t="n">
        <v>96.15000000000001</v>
      </c>
      <c r="T1535" t="inlineStr">
        <is>
          <t>30-07-2026 09:42 IST</t>
        </is>
      </c>
    </row>
    <row r="1536">
      <c r="A1536" t="n">
        <v>237</v>
      </c>
      <c r="B1536" t="n">
        <v>513119</v>
      </c>
      <c r="C1536" t="inlineStr">
        <is>
          <t>Abc Gas International Ltd</t>
        </is>
      </c>
      <c r="D1536" t="n">
        <v>2017</v>
      </c>
      <c r="E1536" t="n">
        <v>627.5999755859375</v>
      </c>
      <c r="F1536" t="n">
        <v>-0.34</v>
      </c>
      <c r="G1536" t="inlineStr">
        <is>
          <t>Consolidated first (v4) – needs verification for flagged rows</t>
        </is>
      </c>
      <c r="H1536" t="n">
        <v>25</v>
      </c>
      <c r="I1536" t="n">
        <v>12.55000019073486</v>
      </c>
      <c r="L1536" t="inlineStr">
        <is>
          <t>UNVERIFIED – negative EPS</t>
        </is>
      </c>
      <c r="M1536" t="n">
        <v>-73.53</v>
      </c>
      <c r="N1536" t="n">
        <v>-36.91</v>
      </c>
      <c r="O1536" t="n">
        <v>96.15000000000001</v>
      </c>
      <c r="P1536" t="n">
        <v>312.2</v>
      </c>
      <c r="Q1536" t="n">
        <v>51</v>
      </c>
      <c r="R1536" s="3" t="inlineStr">
        <is>
          <t>MISMATCH_NEEDS_CORRECTION</t>
        </is>
      </c>
      <c r="S1536" t="n">
        <v>96.15000000000001</v>
      </c>
      <c r="T1536" t="inlineStr">
        <is>
          <t>30-07-2026 09:42 IST</t>
        </is>
      </c>
    </row>
    <row r="1537">
      <c r="A1537" t="n">
        <v>237</v>
      </c>
      <c r="B1537" t="n">
        <v>513119</v>
      </c>
      <c r="C1537" t="inlineStr">
        <is>
          <t>Abc Gas International Ltd</t>
        </is>
      </c>
      <c r="D1537" t="n">
        <v>2018</v>
      </c>
      <c r="E1537" t="n">
        <v>627.5999755859375</v>
      </c>
      <c r="F1537" t="n">
        <v>-0.17</v>
      </c>
      <c r="G1537" t="inlineStr">
        <is>
          <t>Consolidated first (v4) – needs verification for flagged rows</t>
        </is>
      </c>
      <c r="H1537" t="n">
        <v>27.04999923706055</v>
      </c>
      <c r="I1537" t="n">
        <v>19.95000076293945</v>
      </c>
      <c r="L1537" t="inlineStr">
        <is>
          <t>UNVERIFIED – negative EPS</t>
        </is>
      </c>
      <c r="M1537" t="n">
        <v>-159.12</v>
      </c>
      <c r="N1537" t="n">
        <v>-117.35</v>
      </c>
      <c r="O1537" t="n">
        <v>96.15000000000001</v>
      </c>
      <c r="P1537" t="n">
        <v>312.2</v>
      </c>
      <c r="Q1537" t="n">
        <v>51</v>
      </c>
      <c r="R1537" s="3" t="inlineStr">
        <is>
          <t>MISMATCH_NEEDS_CORRECTION</t>
        </is>
      </c>
      <c r="S1537" t="n">
        <v>96.15000000000001</v>
      </c>
      <c r="T1537" t="inlineStr">
        <is>
          <t>30-07-2026 09:42 IST</t>
        </is>
      </c>
    </row>
    <row r="1538">
      <c r="A1538" t="n">
        <v>237</v>
      </c>
      <c r="B1538" t="n">
        <v>513119</v>
      </c>
      <c r="C1538" t="inlineStr">
        <is>
          <t>Abc Gas International Ltd</t>
        </is>
      </c>
      <c r="D1538" t="n">
        <v>2019</v>
      </c>
      <c r="E1538" t="n">
        <v>627.5999755859375</v>
      </c>
      <c r="F1538" t="n">
        <v>0.37</v>
      </c>
      <c r="G1538" t="inlineStr">
        <is>
          <t>Consolidated first (v4) – needs verification for flagged rows</t>
        </is>
      </c>
      <c r="H1538" t="n">
        <v>23.20000076293945</v>
      </c>
      <c r="I1538" t="n">
        <v>7.269999980926514</v>
      </c>
      <c r="L1538" t="inlineStr">
        <is>
          <t>UNVERIFIED – tiny EPS &lt;0.5</t>
        </is>
      </c>
      <c r="M1538" t="n">
        <v>62.7</v>
      </c>
      <c r="N1538" t="n">
        <v>19.65</v>
      </c>
      <c r="O1538" t="n">
        <v>96.15000000000001</v>
      </c>
      <c r="P1538" t="n">
        <v>312.2</v>
      </c>
      <c r="Q1538" t="n">
        <v>51</v>
      </c>
      <c r="R1538" s="3" t="inlineStr">
        <is>
          <t>MISMATCH_NEEDS_CORRECTION</t>
        </is>
      </c>
      <c r="S1538" t="n">
        <v>96.15000000000001</v>
      </c>
      <c r="T1538" t="inlineStr">
        <is>
          <t>30-07-2026 09:42 IST</t>
        </is>
      </c>
    </row>
    <row r="1539">
      <c r="A1539" t="n">
        <v>237</v>
      </c>
      <c r="B1539" t="n">
        <v>513119</v>
      </c>
      <c r="C1539" t="inlineStr">
        <is>
          <t>Abc Gas International Ltd</t>
        </is>
      </c>
      <c r="D1539" t="n">
        <v>2020</v>
      </c>
      <c r="E1539" t="n">
        <v>627.5999755859375</v>
      </c>
      <c r="F1539" t="n">
        <v>-0.74</v>
      </c>
      <c r="G1539" t="inlineStr">
        <is>
          <t>Consolidated first (v4) – needs verification for flagged rows</t>
        </is>
      </c>
      <c r="H1539" t="n">
        <v>7.590000152587891</v>
      </c>
      <c r="I1539" t="n">
        <v>3.279999971389771</v>
      </c>
      <c r="L1539" t="inlineStr">
        <is>
          <t>UNVERIFIED – negative EPS</t>
        </is>
      </c>
      <c r="M1539" t="n">
        <v>-10.26</v>
      </c>
      <c r="N1539" t="n">
        <v>-4.43</v>
      </c>
      <c r="O1539" t="n">
        <v>96.15000000000001</v>
      </c>
      <c r="P1539" t="n">
        <v>312.2</v>
      </c>
      <c r="Q1539" t="n">
        <v>51</v>
      </c>
      <c r="R1539" s="3" t="inlineStr">
        <is>
          <t>MISMATCH_NEEDS_CORRECTION</t>
        </is>
      </c>
      <c r="S1539" t="n">
        <v>96.15000000000001</v>
      </c>
      <c r="T1539" t="inlineStr">
        <is>
          <t>30-07-2026 09:42 IST</t>
        </is>
      </c>
    </row>
    <row r="1540">
      <c r="A1540" t="n">
        <v>237</v>
      </c>
      <c r="B1540" t="n">
        <v>513119</v>
      </c>
      <c r="C1540" t="inlineStr">
        <is>
          <t>Abc Gas International Ltd</t>
        </is>
      </c>
      <c r="D1540" t="n">
        <v>2021</v>
      </c>
      <c r="E1540" t="n">
        <v>627.5999755859375</v>
      </c>
      <c r="F1540" t="n">
        <v>-1.17</v>
      </c>
      <c r="G1540" t="inlineStr">
        <is>
          <t>Consolidated first (v4) – needs verification for flagged rows</t>
        </is>
      </c>
      <c r="H1540" t="n">
        <v>13</v>
      </c>
      <c r="I1540" t="n">
        <v>5.380000114440918</v>
      </c>
      <c r="L1540" t="inlineStr">
        <is>
          <t>UNVERIFIED – negative EPS</t>
        </is>
      </c>
      <c r="M1540" t="n">
        <v>-11.11</v>
      </c>
      <c r="N1540" t="n">
        <v>-4.6</v>
      </c>
      <c r="O1540" t="n">
        <v>96.15000000000001</v>
      </c>
      <c r="P1540" t="n">
        <v>312.2</v>
      </c>
      <c r="Q1540" t="n">
        <v>51</v>
      </c>
      <c r="R1540" s="3" t="inlineStr">
        <is>
          <t>MISMATCH_NEEDS_CORRECTION</t>
        </is>
      </c>
      <c r="S1540" t="n">
        <v>96.15000000000001</v>
      </c>
      <c r="T1540" t="inlineStr">
        <is>
          <t>30-07-2026 09:42 IST</t>
        </is>
      </c>
    </row>
    <row r="1541">
      <c r="A1541" t="n">
        <v>237</v>
      </c>
      <c r="B1541" t="n">
        <v>513119</v>
      </c>
      <c r="C1541" t="inlineStr">
        <is>
          <t>Abc Gas International Ltd</t>
        </is>
      </c>
      <c r="D1541" t="n">
        <v>2022</v>
      </c>
      <c r="E1541" t="n">
        <v>627.5999755859375</v>
      </c>
      <c r="F1541" t="n">
        <v>0.71</v>
      </c>
      <c r="G1541" t="inlineStr">
        <is>
          <t>Consolidated first (v4) – needs verification for flagged rows</t>
        </is>
      </c>
      <c r="H1541" t="n">
        <v>153.5</v>
      </c>
      <c r="I1541" t="n">
        <v>10.65999984741211</v>
      </c>
      <c r="L1541" t="inlineStr">
        <is>
          <t>OK</t>
        </is>
      </c>
      <c r="M1541" t="n">
        <v>216.2</v>
      </c>
      <c r="N1541" t="n">
        <v>15.01</v>
      </c>
      <c r="O1541" t="n">
        <v>96.15000000000001</v>
      </c>
      <c r="P1541" t="n">
        <v>312.2</v>
      </c>
      <c r="Q1541" t="n">
        <v>51</v>
      </c>
      <c r="R1541" s="3" t="inlineStr">
        <is>
          <t>MISMATCH_NEEDS_CORRECTION</t>
        </is>
      </c>
      <c r="S1541" t="n">
        <v>96.15000000000001</v>
      </c>
      <c r="T1541" t="inlineStr">
        <is>
          <t>30-07-2026 09:42 IST</t>
        </is>
      </c>
    </row>
    <row r="1542">
      <c r="A1542" t="n">
        <v>237</v>
      </c>
      <c r="B1542" t="n">
        <v>513119</v>
      </c>
      <c r="C1542" t="inlineStr">
        <is>
          <t>Abc Gas International Ltd</t>
        </is>
      </c>
      <c r="D1542" t="n">
        <v>2023</v>
      </c>
      <c r="E1542" t="n">
        <v>627.5999755859375</v>
      </c>
      <c r="F1542" t="n">
        <v>5.97</v>
      </c>
      <c r="G1542" t="inlineStr">
        <is>
          <t>Consolidated first (v4) – needs verification for flagged rows</t>
        </is>
      </c>
      <c r="H1542" t="n">
        <v>62.54999923706055</v>
      </c>
      <c r="I1542" t="n">
        <v>25.65999984741211</v>
      </c>
      <c r="L1542" t="inlineStr">
        <is>
          <t>OK</t>
        </is>
      </c>
      <c r="M1542" t="n">
        <v>10.48</v>
      </c>
      <c r="N1542" t="n">
        <v>4.3</v>
      </c>
      <c r="O1542" t="n">
        <v>96.15000000000001</v>
      </c>
      <c r="P1542" t="n">
        <v>312.2</v>
      </c>
      <c r="Q1542" t="n">
        <v>51</v>
      </c>
      <c r="R1542" s="3" t="inlineStr">
        <is>
          <t>MISMATCH_NEEDS_CORRECTION</t>
        </is>
      </c>
      <c r="S1542" t="n">
        <v>96.15000000000001</v>
      </c>
      <c r="T1542" t="inlineStr">
        <is>
          <t>30-07-2026 09:42 IST</t>
        </is>
      </c>
    </row>
    <row r="1543">
      <c r="A1543" t="n">
        <v>237</v>
      </c>
      <c r="B1543" t="n">
        <v>513119</v>
      </c>
      <c r="C1543" t="inlineStr">
        <is>
          <t>Abc Gas International Ltd</t>
        </is>
      </c>
      <c r="D1543" t="n">
        <v>2024</v>
      </c>
      <c r="E1543" t="n">
        <v>627.5999755859375</v>
      </c>
      <c r="F1543" t="n">
        <v>0.6</v>
      </c>
      <c r="G1543" t="inlineStr">
        <is>
          <t>Consolidated first (v4) – needs verification for flagged rows</t>
        </is>
      </c>
      <c r="H1543" t="n">
        <v>230.6499938964844</v>
      </c>
      <c r="I1543" t="n">
        <v>51</v>
      </c>
      <c r="L1543" t="inlineStr">
        <is>
          <t>OK</t>
        </is>
      </c>
      <c r="M1543" t="n">
        <v>384.42</v>
      </c>
      <c r="N1543" t="n">
        <v>85</v>
      </c>
      <c r="O1543" t="n">
        <v>96.15000000000001</v>
      </c>
      <c r="P1543" t="n">
        <v>312.2</v>
      </c>
      <c r="Q1543" t="n">
        <v>51</v>
      </c>
      <c r="R1543" s="3" t="inlineStr">
        <is>
          <t>MISMATCH_NEEDS_CORRECTION</t>
        </is>
      </c>
      <c r="S1543" t="n">
        <v>96.15000000000001</v>
      </c>
      <c r="T1543" t="inlineStr">
        <is>
          <t>30-07-2026 09:42 IST</t>
        </is>
      </c>
    </row>
    <row r="1544">
      <c r="A1544" t="n">
        <v>237</v>
      </c>
      <c r="B1544" t="n">
        <v>513119</v>
      </c>
      <c r="C1544" t="inlineStr">
        <is>
          <t>Abc Gas International Ltd</t>
        </is>
      </c>
      <c r="D1544" t="n">
        <v>2025</v>
      </c>
      <c r="E1544" t="n">
        <v>627.5999755859375</v>
      </c>
      <c r="F1544" t="n">
        <v>4.14</v>
      </c>
      <c r="G1544" t="inlineStr">
        <is>
          <t>Consolidated first (v4) – needs verification for flagged rows</t>
        </is>
      </c>
      <c r="H1544" t="n">
        <v>520.2000122070312</v>
      </c>
      <c r="I1544" t="n">
        <v>160.0500030517578</v>
      </c>
      <c r="L1544" t="inlineStr">
        <is>
          <t>OK</t>
        </is>
      </c>
      <c r="M1544" t="n">
        <v>125.65</v>
      </c>
      <c r="N1544" t="n">
        <v>38.66</v>
      </c>
      <c r="O1544" t="n">
        <v>96.15000000000001</v>
      </c>
      <c r="P1544" t="n">
        <v>312.2</v>
      </c>
      <c r="Q1544" t="n">
        <v>51</v>
      </c>
      <c r="R1544" s="3" t="inlineStr">
        <is>
          <t>MISMATCH_NEEDS_CORRECTION</t>
        </is>
      </c>
      <c r="S1544" t="n">
        <v>96.15000000000001</v>
      </c>
      <c r="T1544" t="inlineStr">
        <is>
          <t>30-07-2026 09:42 IST</t>
        </is>
      </c>
    </row>
    <row r="1545">
      <c r="A1545" t="n">
        <v>237</v>
      </c>
      <c r="B1545" t="n">
        <v>513119</v>
      </c>
      <c r="C1545" t="inlineStr">
        <is>
          <t>Abc Gas International Ltd</t>
        </is>
      </c>
      <c r="D1545" t="n">
        <v>2026</v>
      </c>
      <c r="E1545" t="n">
        <v>627.5999755859375</v>
      </c>
      <c r="F1545" t="n">
        <v>10.89</v>
      </c>
      <c r="G1545" t="inlineStr">
        <is>
          <t>Consolidated first (v4) – needs verification for flagged rows</t>
        </is>
      </c>
      <c r="H1545" t="n">
        <v>1125.900024414062</v>
      </c>
      <c r="I1545" t="n">
        <v>543.3499755859375</v>
      </c>
      <c r="L1545" t="inlineStr">
        <is>
          <t>OK</t>
        </is>
      </c>
      <c r="M1545" t="n">
        <v>103.39</v>
      </c>
      <c r="N1545" t="n">
        <v>49.89</v>
      </c>
      <c r="O1545" t="n">
        <v>96.15000000000001</v>
      </c>
      <c r="P1545" t="n">
        <v>312.2</v>
      </c>
      <c r="Q1545" t="n">
        <v>51</v>
      </c>
      <c r="R1545" s="3" t="inlineStr">
        <is>
          <t>MISMATCH_NEEDS_CORRECTION</t>
        </is>
      </c>
      <c r="S1545" t="n">
        <v>96.15000000000001</v>
      </c>
      <c r="T1545" t="inlineStr">
        <is>
          <t>30-07-2026 09:42 IST</t>
        </is>
      </c>
    </row>
    <row r="1546">
      <c r="A1546" t="n">
        <v>239</v>
      </c>
      <c r="B1546" t="n">
        <v>513149</v>
      </c>
      <c r="C1546" t="inlineStr">
        <is>
          <t>Acrow India Ltd</t>
        </is>
      </c>
      <c r="D1546" t="n">
        <v>2015</v>
      </c>
      <c r="E1546" t="n">
        <v>896.6500244140625</v>
      </c>
      <c r="F1546" t="n">
        <v>20.16</v>
      </c>
      <c r="G1546" t="inlineStr">
        <is>
          <t>Consolidated first (v4) – needs verification for flagged rows</t>
        </is>
      </c>
      <c r="H1546" t="n">
        <v>181.1000061035156</v>
      </c>
      <c r="I1546" t="n">
        <v>73</v>
      </c>
      <c r="L1546" t="inlineStr">
        <is>
          <t>OK</t>
        </is>
      </c>
      <c r="M1546" t="n">
        <v>8.98</v>
      </c>
      <c r="N1546" t="n">
        <v>3.62</v>
      </c>
      <c r="O1546" t="n">
        <v>680.1</v>
      </c>
      <c r="P1546" t="n">
        <v>1020</v>
      </c>
      <c r="Q1546" t="n">
        <v>600</v>
      </c>
      <c r="R1546" s="3" t="inlineStr">
        <is>
          <t>MISMATCH_NEEDS_CORRECTION</t>
        </is>
      </c>
      <c r="S1546" t="n">
        <v>680.1</v>
      </c>
      <c r="T1546" t="inlineStr">
        <is>
          <t>30-07-2026 09:42 IST</t>
        </is>
      </c>
    </row>
    <row r="1547">
      <c r="A1547" t="n">
        <v>239</v>
      </c>
      <c r="B1547" t="n">
        <v>513149</v>
      </c>
      <c r="C1547" t="inlineStr">
        <is>
          <t>Acrow India Ltd</t>
        </is>
      </c>
      <c r="D1547" t="n">
        <v>2016</v>
      </c>
      <c r="E1547" t="n">
        <v>896.6500244140625</v>
      </c>
      <c r="F1547" t="n">
        <v>190.47</v>
      </c>
      <c r="G1547" t="inlineStr">
        <is>
          <t>Consolidated first (v4) – needs verification for flagged rows</t>
        </is>
      </c>
      <c r="H1547" t="n">
        <v>219.5500030517578</v>
      </c>
      <c r="I1547" t="n">
        <v>79</v>
      </c>
      <c r="L1547" t="inlineStr">
        <is>
          <t>OK</t>
        </is>
      </c>
      <c r="M1547" t="n">
        <v>1.15</v>
      </c>
      <c r="N1547" t="n">
        <v>0.41</v>
      </c>
      <c r="O1547" t="n">
        <v>680.1</v>
      </c>
      <c r="P1547" t="n">
        <v>1020</v>
      </c>
      <c r="Q1547" t="n">
        <v>600</v>
      </c>
      <c r="R1547" s="3" t="inlineStr">
        <is>
          <t>MISMATCH_NEEDS_CORRECTION</t>
        </is>
      </c>
      <c r="S1547" t="n">
        <v>680.1</v>
      </c>
      <c r="T1547" t="inlineStr">
        <is>
          <t>30-07-2026 09:42 IST</t>
        </is>
      </c>
    </row>
    <row r="1548">
      <c r="A1548" t="n">
        <v>239</v>
      </c>
      <c r="B1548" t="n">
        <v>513149</v>
      </c>
      <c r="C1548" t="inlineStr">
        <is>
          <t>Acrow India Ltd</t>
        </is>
      </c>
      <c r="D1548" t="n">
        <v>2017</v>
      </c>
      <c r="E1548" t="n">
        <v>896.6500244140625</v>
      </c>
      <c r="F1548" t="n">
        <v>-4.84</v>
      </c>
      <c r="G1548" t="inlineStr">
        <is>
          <t>Consolidated first (v4) – needs verification for flagged rows</t>
        </is>
      </c>
      <c r="H1548" t="n">
        <v>201</v>
      </c>
      <c r="I1548" t="n">
        <v>115.9499969482422</v>
      </c>
      <c r="L1548" t="inlineStr">
        <is>
          <t>UNVERIFIED – negative EPS</t>
        </is>
      </c>
      <c r="M1548" t="n">
        <v>-41.53</v>
      </c>
      <c r="N1548" t="n">
        <v>-23.96</v>
      </c>
      <c r="O1548" t="n">
        <v>680.1</v>
      </c>
      <c r="P1548" t="n">
        <v>1020</v>
      </c>
      <c r="Q1548" t="n">
        <v>600</v>
      </c>
      <c r="R1548" s="3" t="inlineStr">
        <is>
          <t>MISMATCH_NEEDS_CORRECTION</t>
        </is>
      </c>
      <c r="S1548" t="n">
        <v>680.1</v>
      </c>
      <c r="T1548" t="inlineStr">
        <is>
          <t>30-07-2026 09:42 IST</t>
        </is>
      </c>
    </row>
    <row r="1549">
      <c r="A1549" t="n">
        <v>239</v>
      </c>
      <c r="B1549" t="n">
        <v>513149</v>
      </c>
      <c r="C1549" t="inlineStr">
        <is>
          <t>Acrow India Ltd</t>
        </is>
      </c>
      <c r="D1549" t="n">
        <v>2018</v>
      </c>
      <c r="E1549" t="n">
        <v>896.6500244140625</v>
      </c>
      <c r="G1549" t="inlineStr">
        <is>
          <t>Consolidated first (v4) – needs verification for flagged rows</t>
        </is>
      </c>
      <c r="H1549" t="n">
        <v>194.25</v>
      </c>
      <c r="I1549" t="n">
        <v>80.5</v>
      </c>
      <c r="L1549" t="inlineStr">
        <is>
          <t>INCOMPLETE</t>
        </is>
      </c>
      <c r="O1549" t="n">
        <v>680.1</v>
      </c>
      <c r="P1549" t="n">
        <v>1020</v>
      </c>
      <c r="Q1549" t="n">
        <v>600</v>
      </c>
      <c r="R1549" s="3" t="inlineStr">
        <is>
          <t>MISMATCH_NEEDS_CORRECTION</t>
        </is>
      </c>
      <c r="S1549" t="n">
        <v>680.1</v>
      </c>
      <c r="T1549" t="inlineStr">
        <is>
          <t>30-07-2026 09:42 IST</t>
        </is>
      </c>
    </row>
    <row r="1550">
      <c r="A1550" t="n">
        <v>239</v>
      </c>
      <c r="B1550" t="n">
        <v>513149</v>
      </c>
      <c r="C1550" t="inlineStr">
        <is>
          <t>Acrow India Ltd</t>
        </is>
      </c>
      <c r="D1550" t="n">
        <v>2019</v>
      </c>
      <c r="E1550" t="n">
        <v>896.6500244140625</v>
      </c>
      <c r="F1550" t="n">
        <v>3.28</v>
      </c>
      <c r="G1550" t="inlineStr">
        <is>
          <t>Consolidated first (v4) – needs verification for flagged rows</t>
        </is>
      </c>
      <c r="H1550" t="n">
        <v>180.9499969482422</v>
      </c>
      <c r="I1550" t="n">
        <v>88.19999694824219</v>
      </c>
      <c r="L1550" t="inlineStr">
        <is>
          <t>OK</t>
        </is>
      </c>
      <c r="M1550" t="n">
        <v>55.17</v>
      </c>
      <c r="N1550" t="n">
        <v>26.89</v>
      </c>
      <c r="O1550" t="n">
        <v>680.1</v>
      </c>
      <c r="P1550" t="n">
        <v>1020</v>
      </c>
      <c r="Q1550" t="n">
        <v>600</v>
      </c>
      <c r="R1550" s="3" t="inlineStr">
        <is>
          <t>MISMATCH_NEEDS_CORRECTION</t>
        </is>
      </c>
      <c r="S1550" t="n">
        <v>680.1</v>
      </c>
      <c r="T1550" t="inlineStr">
        <is>
          <t>30-07-2026 09:42 IST</t>
        </is>
      </c>
    </row>
    <row r="1551">
      <c r="A1551" t="n">
        <v>239</v>
      </c>
      <c r="B1551" t="n">
        <v>513149</v>
      </c>
      <c r="C1551" t="inlineStr">
        <is>
          <t>Acrow India Ltd</t>
        </is>
      </c>
      <c r="D1551" t="n">
        <v>2020</v>
      </c>
      <c r="E1551" t="n">
        <v>896.6500244140625</v>
      </c>
      <c r="F1551" t="n">
        <v>-4.69</v>
      </c>
      <c r="G1551" t="inlineStr">
        <is>
          <t>Consolidated first (v4) – needs verification for flagged rows</t>
        </is>
      </c>
      <c r="H1551" t="n">
        <v>175.5</v>
      </c>
      <c r="I1551" t="n">
        <v>74.90000152587891</v>
      </c>
      <c r="L1551" t="inlineStr">
        <is>
          <t>UNVERIFIED – negative EPS</t>
        </is>
      </c>
      <c r="M1551" t="n">
        <v>-37.42</v>
      </c>
      <c r="N1551" t="n">
        <v>-15.97</v>
      </c>
      <c r="O1551" t="n">
        <v>680.1</v>
      </c>
      <c r="P1551" t="n">
        <v>1020</v>
      </c>
      <c r="Q1551" t="n">
        <v>600</v>
      </c>
      <c r="R1551" s="3" t="inlineStr">
        <is>
          <t>MISMATCH_NEEDS_CORRECTION</t>
        </is>
      </c>
      <c r="S1551" t="n">
        <v>680.1</v>
      </c>
      <c r="T1551" t="inlineStr">
        <is>
          <t>30-07-2026 09:42 IST</t>
        </is>
      </c>
    </row>
    <row r="1552">
      <c r="A1552" t="n">
        <v>239</v>
      </c>
      <c r="B1552" t="n">
        <v>513149</v>
      </c>
      <c r="C1552" t="inlineStr">
        <is>
          <t>Acrow India Ltd</t>
        </is>
      </c>
      <c r="D1552" t="n">
        <v>2021</v>
      </c>
      <c r="E1552" t="n">
        <v>896.6500244140625</v>
      </c>
      <c r="F1552" t="n">
        <v>-2.19</v>
      </c>
      <c r="G1552" t="inlineStr">
        <is>
          <t>Consolidated first (v4) – needs verification for flagged rows</t>
        </is>
      </c>
      <c r="H1552" t="n">
        <v>174</v>
      </c>
      <c r="I1552" t="n">
        <v>97.19999694824219</v>
      </c>
      <c r="L1552" t="inlineStr">
        <is>
          <t>UNVERIFIED – negative EPS</t>
        </is>
      </c>
      <c r="M1552" t="n">
        <v>-79.45</v>
      </c>
      <c r="N1552" t="n">
        <v>-44.38</v>
      </c>
      <c r="O1552" t="n">
        <v>680.1</v>
      </c>
      <c r="P1552" t="n">
        <v>1020</v>
      </c>
      <c r="Q1552" t="n">
        <v>600</v>
      </c>
      <c r="R1552" s="3" t="inlineStr">
        <is>
          <t>MISMATCH_NEEDS_CORRECTION</t>
        </is>
      </c>
      <c r="S1552" t="n">
        <v>680.1</v>
      </c>
      <c r="T1552" t="inlineStr">
        <is>
          <t>30-07-2026 09:42 IST</t>
        </is>
      </c>
    </row>
    <row r="1553">
      <c r="A1553" t="n">
        <v>239</v>
      </c>
      <c r="B1553" t="n">
        <v>513149</v>
      </c>
      <c r="C1553" t="inlineStr">
        <is>
          <t>Acrow India Ltd</t>
        </is>
      </c>
      <c r="D1553" t="n">
        <v>2022</v>
      </c>
      <c r="E1553" t="n">
        <v>896.6500244140625</v>
      </c>
      <c r="F1553" t="n">
        <v>13.44</v>
      </c>
      <c r="G1553" t="inlineStr">
        <is>
          <t>Consolidated first (v4) – needs verification for flagged rows</t>
        </is>
      </c>
      <c r="H1553" t="n">
        <v>977.2999877929688</v>
      </c>
      <c r="I1553" t="n">
        <v>109</v>
      </c>
      <c r="L1553" t="inlineStr">
        <is>
          <t>OK</t>
        </is>
      </c>
      <c r="M1553" t="n">
        <v>72.72</v>
      </c>
      <c r="N1553" t="n">
        <v>8.109999999999999</v>
      </c>
      <c r="O1553" t="n">
        <v>680.1</v>
      </c>
      <c r="P1553" t="n">
        <v>1020</v>
      </c>
      <c r="Q1553" t="n">
        <v>600</v>
      </c>
      <c r="R1553" s="3" t="inlineStr">
        <is>
          <t>MISMATCH_NEEDS_CORRECTION</t>
        </is>
      </c>
      <c r="S1553" t="n">
        <v>680.1</v>
      </c>
      <c r="T1553" t="inlineStr">
        <is>
          <t>30-07-2026 09:42 IST</t>
        </is>
      </c>
    </row>
    <row r="1554">
      <c r="A1554" t="n">
        <v>239</v>
      </c>
      <c r="B1554" t="n">
        <v>513149</v>
      </c>
      <c r="C1554" t="inlineStr">
        <is>
          <t>Acrow India Ltd</t>
        </is>
      </c>
      <c r="D1554" t="n">
        <v>2023</v>
      </c>
      <c r="E1554" t="n">
        <v>896.6500244140625</v>
      </c>
      <c r="F1554" t="n">
        <v>0.31</v>
      </c>
      <c r="G1554" t="inlineStr">
        <is>
          <t>Consolidated first (v4) – needs verification for flagged rows</t>
        </is>
      </c>
      <c r="H1554" t="n">
        <v>1210</v>
      </c>
      <c r="I1554" t="n">
        <v>611</v>
      </c>
      <c r="L1554" t="inlineStr">
        <is>
          <t>UNVERIFIED – tiny EPS &lt;0.5</t>
        </is>
      </c>
      <c r="M1554" t="n">
        <v>3903.23</v>
      </c>
      <c r="N1554" t="n">
        <v>1970.97</v>
      </c>
      <c r="O1554" t="n">
        <v>680.1</v>
      </c>
      <c r="P1554" t="n">
        <v>1020</v>
      </c>
      <c r="Q1554" t="n">
        <v>600</v>
      </c>
      <c r="R1554" s="3" t="inlineStr">
        <is>
          <t>MISMATCH_NEEDS_CORRECTION</t>
        </is>
      </c>
      <c r="S1554" t="n">
        <v>680.1</v>
      </c>
      <c r="T1554" t="inlineStr">
        <is>
          <t>30-07-2026 09:42 IST</t>
        </is>
      </c>
    </row>
    <row r="1555">
      <c r="A1555" t="n">
        <v>239</v>
      </c>
      <c r="B1555" t="n">
        <v>513149</v>
      </c>
      <c r="C1555" t="inlineStr">
        <is>
          <t>Acrow India Ltd</t>
        </is>
      </c>
      <c r="D1555" t="n">
        <v>2024</v>
      </c>
      <c r="E1555" t="n">
        <v>896.6500244140625</v>
      </c>
      <c r="F1555" t="n">
        <v>15.94</v>
      </c>
      <c r="G1555" t="inlineStr">
        <is>
          <t>Consolidated first (v4) – needs verification for flagged rows</t>
        </is>
      </c>
      <c r="H1555" t="n">
        <v>1020</v>
      </c>
      <c r="I1555" t="n">
        <v>600</v>
      </c>
      <c r="L1555" t="inlineStr">
        <is>
          <t>OK</t>
        </is>
      </c>
      <c r="M1555" t="n">
        <v>63.99</v>
      </c>
      <c r="N1555" t="n">
        <v>37.64</v>
      </c>
      <c r="O1555" t="n">
        <v>680.1</v>
      </c>
      <c r="P1555" t="n">
        <v>1020</v>
      </c>
      <c r="Q1555" t="n">
        <v>600</v>
      </c>
      <c r="R1555" s="3" t="inlineStr">
        <is>
          <t>MISMATCH_NEEDS_CORRECTION</t>
        </is>
      </c>
      <c r="S1555" t="n">
        <v>680.1</v>
      </c>
      <c r="T1555" t="inlineStr">
        <is>
          <t>30-07-2026 09:42 IST</t>
        </is>
      </c>
    </row>
    <row r="1556">
      <c r="A1556" t="n">
        <v>239</v>
      </c>
      <c r="B1556" t="n">
        <v>513149</v>
      </c>
      <c r="C1556" t="inlineStr">
        <is>
          <t>Acrow India Ltd</t>
        </is>
      </c>
      <c r="D1556" t="n">
        <v>2025</v>
      </c>
      <c r="E1556" t="n">
        <v>896.6500244140625</v>
      </c>
      <c r="F1556" t="n">
        <v>-13.75</v>
      </c>
      <c r="G1556" t="inlineStr">
        <is>
          <t>Consolidated first (v4) – needs verification for flagged rows</t>
        </is>
      </c>
      <c r="H1556" t="n">
        <v>835</v>
      </c>
      <c r="I1556" t="n">
        <v>621.0999755859375</v>
      </c>
      <c r="L1556" t="inlineStr">
        <is>
          <t>UNVERIFIED – negative EPS</t>
        </is>
      </c>
      <c r="M1556" t="n">
        <v>-60.73</v>
      </c>
      <c r="N1556" t="n">
        <v>-45.17</v>
      </c>
      <c r="O1556" t="n">
        <v>680.1</v>
      </c>
      <c r="P1556" t="n">
        <v>1020</v>
      </c>
      <c r="Q1556" t="n">
        <v>600</v>
      </c>
      <c r="R1556" s="3" t="inlineStr">
        <is>
          <t>MISMATCH_NEEDS_CORRECTION</t>
        </is>
      </c>
      <c r="S1556" t="n">
        <v>680.1</v>
      </c>
      <c r="T1556" t="inlineStr">
        <is>
          <t>30-07-2026 09:42 IST</t>
        </is>
      </c>
    </row>
    <row r="1557">
      <c r="A1557" t="n">
        <v>239</v>
      </c>
      <c r="B1557" t="n">
        <v>513149</v>
      </c>
      <c r="C1557" t="inlineStr">
        <is>
          <t>Acrow India Ltd</t>
        </is>
      </c>
      <c r="D1557" t="n">
        <v>2026</v>
      </c>
      <c r="E1557" t="n">
        <v>896.6500244140625</v>
      </c>
      <c r="F1557" t="n">
        <v>6.72</v>
      </c>
      <c r="G1557" t="inlineStr">
        <is>
          <t>Consolidated first (v4) – needs verification for flagged rows</t>
        </is>
      </c>
      <c r="H1557" t="n">
        <v>918</v>
      </c>
      <c r="I1557" t="n">
        <v>586.1500244140625</v>
      </c>
      <c r="L1557" t="inlineStr">
        <is>
          <t>OK</t>
        </is>
      </c>
      <c r="M1557" t="n">
        <v>136.61</v>
      </c>
      <c r="N1557" t="n">
        <v>87.22</v>
      </c>
      <c r="O1557" t="n">
        <v>680.1</v>
      </c>
      <c r="P1557" t="n">
        <v>1020</v>
      </c>
      <c r="Q1557" t="n">
        <v>600</v>
      </c>
      <c r="R1557" s="3" t="inlineStr">
        <is>
          <t>MISMATCH_NEEDS_CORRECTION</t>
        </is>
      </c>
      <c r="S1557" t="n">
        <v>680.1</v>
      </c>
      <c r="T1557" t="inlineStr">
        <is>
          <t>30-07-2026 09:42 IST</t>
        </is>
      </c>
    </row>
    <row r="1558">
      <c r="A1558" t="n">
        <v>241</v>
      </c>
      <c r="B1558" t="n">
        <v>513179</v>
      </c>
      <c r="C1558" t="inlineStr">
        <is>
          <t>National Steel And Agro Industries Ltd</t>
        </is>
      </c>
      <c r="D1558" t="n">
        <v>2015</v>
      </c>
      <c r="E1558" t="n">
        <v>3.849999904632568</v>
      </c>
      <c r="G1558" t="inlineStr">
        <is>
          <t>Consolidated first (v4) – needs verification for flagged rows</t>
        </is>
      </c>
      <c r="H1558" t="n">
        <v>20.29999923706055</v>
      </c>
      <c r="I1558" t="n">
        <v>12.60000038146973</v>
      </c>
      <c r="L1558" t="inlineStr">
        <is>
          <t>INCOMPLETE</t>
        </is>
      </c>
      <c r="O1558">
        <f>IFERROR(VLOOKUP(B1558,BSE_500_LIVE!A:E,3,FALSE),"")</f>
        <v/>
      </c>
      <c r="P1558">
        <f>IFERROR(VLOOKUP(B1558,BSE_500_LIVE!A:E,4,FALSE),"")</f>
        <v/>
      </c>
      <c r="Q1558">
        <f>IFERROR(VLOOKUP(B1558,BSE_500_LIVE!A:E,5,FALSE),"")</f>
        <v/>
      </c>
      <c r="R1558">
        <f>IF(OR(E1558="",O1558=""),"PENDING_FETCH",IF(ABS(E1558-O1558)/E1558&gt;0.005,"MISMATCH_NEEDS_CORRECTION","VERIFIED_OK"))</f>
        <v/>
      </c>
      <c r="S1558">
        <f>IF(O1558&lt;&gt;"",O1558,E1558)</f>
        <v/>
      </c>
      <c r="T1558">
        <f>IFERROR(VLOOKUP(B1558,BSE_500_LIVE!A:F,6,FALSE),"")</f>
        <v/>
      </c>
    </row>
    <row r="1559">
      <c r="A1559" t="n">
        <v>241</v>
      </c>
      <c r="B1559" t="n">
        <v>513179</v>
      </c>
      <c r="C1559" t="inlineStr">
        <is>
          <t>National Steel And Agro Industries Ltd</t>
        </is>
      </c>
      <c r="D1559" t="n">
        <v>2016</v>
      </c>
      <c r="E1559" t="n">
        <v>3.849999904632568</v>
      </c>
      <c r="G1559" t="inlineStr">
        <is>
          <t>Consolidated first (v4) – needs verification for flagged rows</t>
        </is>
      </c>
      <c r="H1559" t="n">
        <v>25.79999923706055</v>
      </c>
      <c r="I1559" t="n">
        <v>10.17000007629395</v>
      </c>
      <c r="L1559" t="inlineStr">
        <is>
          <t>INCOMPLETE</t>
        </is>
      </c>
      <c r="O1559">
        <f>IFERROR(VLOOKUP(B1559,BSE_500_LIVE!A:E,3,FALSE),"")</f>
        <v/>
      </c>
      <c r="P1559">
        <f>IFERROR(VLOOKUP(B1559,BSE_500_LIVE!A:E,4,FALSE),"")</f>
        <v/>
      </c>
      <c r="Q1559">
        <f>IFERROR(VLOOKUP(B1559,BSE_500_LIVE!A:E,5,FALSE),"")</f>
        <v/>
      </c>
      <c r="R1559">
        <f>IF(OR(E1559="",O1559=""),"PENDING_FETCH",IF(ABS(E1559-O1559)/E1559&gt;0.005,"MISMATCH_NEEDS_CORRECTION","VERIFIED_OK"))</f>
        <v/>
      </c>
      <c r="S1559">
        <f>IF(O1559&lt;&gt;"",O1559,E1559)</f>
        <v/>
      </c>
      <c r="T1559">
        <f>IFERROR(VLOOKUP(B1559,BSE_500_LIVE!A:F,6,FALSE),"")</f>
        <v/>
      </c>
    </row>
    <row r="1560">
      <c r="A1560" t="n">
        <v>241</v>
      </c>
      <c r="B1560" t="n">
        <v>513179</v>
      </c>
      <c r="C1560" t="inlineStr">
        <is>
          <t>National Steel And Agro Industries Ltd</t>
        </is>
      </c>
      <c r="D1560" t="n">
        <v>2017</v>
      </c>
      <c r="E1560" t="n">
        <v>3.849999904632568</v>
      </c>
      <c r="G1560" t="inlineStr">
        <is>
          <t>Consolidated first (v4) – needs verification for flagged rows</t>
        </is>
      </c>
      <c r="H1560" t="n">
        <v>51.5</v>
      </c>
      <c r="I1560" t="n">
        <v>19.35000038146973</v>
      </c>
      <c r="L1560" t="inlineStr">
        <is>
          <t>INCOMPLETE</t>
        </is>
      </c>
      <c r="O1560">
        <f>IFERROR(VLOOKUP(B1560,BSE_500_LIVE!A:E,3,FALSE),"")</f>
        <v/>
      </c>
      <c r="P1560">
        <f>IFERROR(VLOOKUP(B1560,BSE_500_LIVE!A:E,4,FALSE),"")</f>
        <v/>
      </c>
      <c r="Q1560">
        <f>IFERROR(VLOOKUP(B1560,BSE_500_LIVE!A:E,5,FALSE),"")</f>
        <v/>
      </c>
      <c r="R1560">
        <f>IF(OR(E1560="",O1560=""),"PENDING_FETCH",IF(ABS(E1560-O1560)/E1560&gt;0.005,"MISMATCH_NEEDS_CORRECTION","VERIFIED_OK"))</f>
        <v/>
      </c>
      <c r="S1560">
        <f>IF(O1560&lt;&gt;"",O1560,E1560)</f>
        <v/>
      </c>
      <c r="T1560">
        <f>IFERROR(VLOOKUP(B1560,BSE_500_LIVE!A:F,6,FALSE),"")</f>
        <v/>
      </c>
    </row>
    <row r="1561">
      <c r="A1561" t="n">
        <v>241</v>
      </c>
      <c r="B1561" t="n">
        <v>513179</v>
      </c>
      <c r="C1561" t="inlineStr">
        <is>
          <t>National Steel And Agro Industries Ltd</t>
        </is>
      </c>
      <c r="D1561" t="n">
        <v>2018</v>
      </c>
      <c r="E1561" t="n">
        <v>3.849999904632568</v>
      </c>
      <c r="G1561" t="inlineStr">
        <is>
          <t>Consolidated first (v4) – needs verification for flagged rows</t>
        </is>
      </c>
      <c r="H1561" t="n">
        <v>47.95000076293945</v>
      </c>
      <c r="I1561" t="n">
        <v>6.440000057220459</v>
      </c>
      <c r="L1561" t="inlineStr">
        <is>
          <t>INCOMPLETE</t>
        </is>
      </c>
      <c r="O1561">
        <f>IFERROR(VLOOKUP(B1561,BSE_500_LIVE!A:E,3,FALSE),"")</f>
        <v/>
      </c>
      <c r="P1561">
        <f>IFERROR(VLOOKUP(B1561,BSE_500_LIVE!A:E,4,FALSE),"")</f>
        <v/>
      </c>
      <c r="Q1561">
        <f>IFERROR(VLOOKUP(B1561,BSE_500_LIVE!A:E,5,FALSE),"")</f>
        <v/>
      </c>
      <c r="R1561">
        <f>IF(OR(E1561="",O1561=""),"PENDING_FETCH",IF(ABS(E1561-O1561)/E1561&gt;0.005,"MISMATCH_NEEDS_CORRECTION","VERIFIED_OK"))</f>
        <v/>
      </c>
      <c r="S1561">
        <f>IF(O1561&lt;&gt;"",O1561,E1561)</f>
        <v/>
      </c>
      <c r="T1561">
        <f>IFERROR(VLOOKUP(B1561,BSE_500_LIVE!A:F,6,FALSE),"")</f>
        <v/>
      </c>
    </row>
    <row r="1562">
      <c r="A1562" t="n">
        <v>241</v>
      </c>
      <c r="B1562" t="n">
        <v>513179</v>
      </c>
      <c r="C1562" t="inlineStr">
        <is>
          <t>National Steel And Agro Industries Ltd</t>
        </is>
      </c>
      <c r="D1562" t="n">
        <v>2019</v>
      </c>
      <c r="E1562" t="n">
        <v>3.849999904632568</v>
      </c>
      <c r="G1562" t="inlineStr">
        <is>
          <t>Consolidated first (v4) – needs verification for flagged rows</t>
        </is>
      </c>
      <c r="H1562" t="n">
        <v>7.440000057220459</v>
      </c>
      <c r="I1562" t="n">
        <v>1.610000014305115</v>
      </c>
      <c r="L1562" t="inlineStr">
        <is>
          <t>INCOMPLETE</t>
        </is>
      </c>
      <c r="O1562">
        <f>IFERROR(VLOOKUP(B1562,BSE_500_LIVE!A:E,3,FALSE),"")</f>
        <v/>
      </c>
      <c r="P1562">
        <f>IFERROR(VLOOKUP(B1562,BSE_500_LIVE!A:E,4,FALSE),"")</f>
        <v/>
      </c>
      <c r="Q1562">
        <f>IFERROR(VLOOKUP(B1562,BSE_500_LIVE!A:E,5,FALSE),"")</f>
        <v/>
      </c>
      <c r="R1562">
        <f>IF(OR(E1562="",O1562=""),"PENDING_FETCH",IF(ABS(E1562-O1562)/E1562&gt;0.005,"MISMATCH_NEEDS_CORRECTION","VERIFIED_OK"))</f>
        <v/>
      </c>
      <c r="S1562">
        <f>IF(O1562&lt;&gt;"",O1562,E1562)</f>
        <v/>
      </c>
      <c r="T1562">
        <f>IFERROR(VLOOKUP(B1562,BSE_500_LIVE!A:F,6,FALSE),"")</f>
        <v/>
      </c>
    </row>
    <row r="1563">
      <c r="A1563" t="n">
        <v>241</v>
      </c>
      <c r="B1563" t="n">
        <v>513179</v>
      </c>
      <c r="C1563" t="inlineStr">
        <is>
          <t>National Steel And Agro Industries Ltd</t>
        </is>
      </c>
      <c r="D1563" t="n">
        <v>2020</v>
      </c>
      <c r="E1563" t="n">
        <v>3.849999904632568</v>
      </c>
      <c r="G1563" t="inlineStr">
        <is>
          <t>Consolidated first (v4) – needs verification for flagged rows</t>
        </is>
      </c>
      <c r="H1563" t="n">
        <v>5.150000095367432</v>
      </c>
      <c r="I1563" t="n">
        <v>1.269999980926514</v>
      </c>
      <c r="L1563" t="inlineStr">
        <is>
          <t>INCOMPLETE</t>
        </is>
      </c>
      <c r="O1563">
        <f>IFERROR(VLOOKUP(B1563,BSE_500_LIVE!A:E,3,FALSE),"")</f>
        <v/>
      </c>
      <c r="P1563">
        <f>IFERROR(VLOOKUP(B1563,BSE_500_LIVE!A:E,4,FALSE),"")</f>
        <v/>
      </c>
      <c r="Q1563">
        <f>IFERROR(VLOOKUP(B1563,BSE_500_LIVE!A:E,5,FALSE),"")</f>
        <v/>
      </c>
      <c r="R1563">
        <f>IF(OR(E1563="",O1563=""),"PENDING_FETCH",IF(ABS(E1563-O1563)/E1563&gt;0.005,"MISMATCH_NEEDS_CORRECTION","VERIFIED_OK"))</f>
        <v/>
      </c>
      <c r="S1563">
        <f>IF(O1563&lt;&gt;"",O1563,E1563)</f>
        <v/>
      </c>
      <c r="T1563">
        <f>IFERROR(VLOOKUP(B1563,BSE_500_LIVE!A:F,6,FALSE),"")</f>
        <v/>
      </c>
    </row>
    <row r="1564">
      <c r="A1564" t="n">
        <v>241</v>
      </c>
      <c r="B1564" t="n">
        <v>513179</v>
      </c>
      <c r="C1564" t="inlineStr">
        <is>
          <t>National Steel And Agro Industries Ltd</t>
        </is>
      </c>
      <c r="D1564" t="n">
        <v>2021</v>
      </c>
      <c r="E1564" t="n">
        <v>3.849999904632568</v>
      </c>
      <c r="G1564" t="inlineStr">
        <is>
          <t>Consolidated first (v4) – needs verification for flagged rows</t>
        </is>
      </c>
      <c r="H1564" t="n">
        <v>6.730000019073486</v>
      </c>
      <c r="I1564" t="n">
        <v>3.140000104904175</v>
      </c>
      <c r="L1564" t="inlineStr">
        <is>
          <t>INCOMPLETE</t>
        </is>
      </c>
      <c r="O1564">
        <f>IFERROR(VLOOKUP(B1564,BSE_500_LIVE!A:E,3,FALSE),"")</f>
        <v/>
      </c>
      <c r="P1564">
        <f>IFERROR(VLOOKUP(B1564,BSE_500_LIVE!A:E,4,FALSE),"")</f>
        <v/>
      </c>
      <c r="Q1564">
        <f>IFERROR(VLOOKUP(B1564,BSE_500_LIVE!A:E,5,FALSE),"")</f>
        <v/>
      </c>
      <c r="R1564">
        <f>IF(OR(E1564="",O1564=""),"PENDING_FETCH",IF(ABS(E1564-O1564)/E1564&gt;0.005,"MISMATCH_NEEDS_CORRECTION","VERIFIED_OK"))</f>
        <v/>
      </c>
      <c r="S1564">
        <f>IF(O1564&lt;&gt;"",O1564,E1564)</f>
        <v/>
      </c>
      <c r="T1564">
        <f>IFERROR(VLOOKUP(B1564,BSE_500_LIVE!A:F,6,FALSE),"")</f>
        <v/>
      </c>
    </row>
    <row r="1565">
      <c r="A1565" t="n">
        <v>241</v>
      </c>
      <c r="B1565" t="n">
        <v>513179</v>
      </c>
      <c r="C1565" t="inlineStr">
        <is>
          <t>National Steel And Agro Industries Ltd</t>
        </is>
      </c>
      <c r="D1565" t="n">
        <v>2022</v>
      </c>
      <c r="E1565" t="n">
        <v>3.849999904632568</v>
      </c>
      <c r="G1565" t="inlineStr">
        <is>
          <t>Consolidated first (v4) – needs verification for flagged rows</t>
        </is>
      </c>
      <c r="H1565" t="n">
        <v>7.170000076293945</v>
      </c>
      <c r="I1565" t="n">
        <v>2.849999904632568</v>
      </c>
      <c r="L1565" t="inlineStr">
        <is>
          <t>INCOMPLETE</t>
        </is>
      </c>
      <c r="O1565">
        <f>IFERROR(VLOOKUP(B1565,BSE_500_LIVE!A:E,3,FALSE),"")</f>
        <v/>
      </c>
      <c r="P1565">
        <f>IFERROR(VLOOKUP(B1565,BSE_500_LIVE!A:E,4,FALSE),"")</f>
        <v/>
      </c>
      <c r="Q1565">
        <f>IFERROR(VLOOKUP(B1565,BSE_500_LIVE!A:E,5,FALSE),"")</f>
        <v/>
      </c>
      <c r="R1565">
        <f>IF(OR(E1565="",O1565=""),"PENDING_FETCH",IF(ABS(E1565-O1565)/E1565&gt;0.005,"MISMATCH_NEEDS_CORRECTION","VERIFIED_OK"))</f>
        <v/>
      </c>
      <c r="S1565">
        <f>IF(O1565&lt;&gt;"",O1565,E1565)</f>
        <v/>
      </c>
      <c r="T1565">
        <f>IFERROR(VLOOKUP(B1565,BSE_500_LIVE!A:F,6,FALSE),"")</f>
        <v/>
      </c>
    </row>
    <row r="1566">
      <c r="A1566" t="n">
        <v>241</v>
      </c>
      <c r="B1566" t="n">
        <v>513179</v>
      </c>
      <c r="C1566" t="inlineStr">
        <is>
          <t>National Steel And Agro Industries Ltd</t>
        </is>
      </c>
      <c r="D1566" t="n">
        <v>2023</v>
      </c>
      <c r="E1566" t="n">
        <v>3.849999904632568</v>
      </c>
      <c r="G1566" t="inlineStr">
        <is>
          <t>Consolidated first (v4) – needs verification for flagged rows</t>
        </is>
      </c>
      <c r="H1566" t="n">
        <v>5.179999828338623</v>
      </c>
      <c r="I1566" t="n">
        <v>2.910000085830688</v>
      </c>
      <c r="L1566" t="inlineStr">
        <is>
          <t>INCOMPLETE</t>
        </is>
      </c>
      <c r="O1566">
        <f>IFERROR(VLOOKUP(B1566,BSE_500_LIVE!A:E,3,FALSE),"")</f>
        <v/>
      </c>
      <c r="P1566">
        <f>IFERROR(VLOOKUP(B1566,BSE_500_LIVE!A:E,4,FALSE),"")</f>
        <v/>
      </c>
      <c r="Q1566">
        <f>IFERROR(VLOOKUP(B1566,BSE_500_LIVE!A:E,5,FALSE),"")</f>
        <v/>
      </c>
      <c r="R1566">
        <f>IF(OR(E1566="",O1566=""),"PENDING_FETCH",IF(ABS(E1566-O1566)/E1566&gt;0.005,"MISMATCH_NEEDS_CORRECTION","VERIFIED_OK"))</f>
        <v/>
      </c>
      <c r="S1566">
        <f>IF(O1566&lt;&gt;"",O1566,E1566)</f>
        <v/>
      </c>
      <c r="T1566">
        <f>IFERROR(VLOOKUP(B1566,BSE_500_LIVE!A:F,6,FALSE),"")</f>
        <v/>
      </c>
    </row>
    <row r="1567">
      <c r="A1567" t="n">
        <v>243</v>
      </c>
      <c r="B1567" t="n">
        <v>513216</v>
      </c>
      <c r="C1567" t="inlineStr">
        <is>
          <t>Arihant Industries Ltd</t>
        </is>
      </c>
      <c r="D1567" t="n">
        <v>2015</v>
      </c>
      <c r="E1567" t="n">
        <v>3.400000095367432</v>
      </c>
      <c r="G1567" t="inlineStr">
        <is>
          <t>Consolidated first (v4) – needs verification for flagged rows</t>
        </is>
      </c>
      <c r="H1567" t="n">
        <v>74.90000152587891</v>
      </c>
      <c r="I1567" t="n">
        <v>27</v>
      </c>
      <c r="L1567" t="inlineStr">
        <is>
          <t>INCOMPLETE</t>
        </is>
      </c>
      <c r="O1567" t="n">
        <v>260.6</v>
      </c>
      <c r="P1567" t="n">
        <v>465</v>
      </c>
      <c r="Q1567" t="n">
        <v>188.8</v>
      </c>
      <c r="R1567" s="3" t="inlineStr">
        <is>
          <t>MISMATCH_NEEDS_CORRECTION</t>
        </is>
      </c>
      <c r="S1567" t="n">
        <v>260.6</v>
      </c>
      <c r="T1567" t="inlineStr">
        <is>
          <t>30-07-2026 09:42 IST</t>
        </is>
      </c>
    </row>
    <row r="1568">
      <c r="A1568" t="n">
        <v>243</v>
      </c>
      <c r="B1568" t="n">
        <v>513216</v>
      </c>
      <c r="C1568" t="inlineStr">
        <is>
          <t>Arihant Industries Ltd</t>
        </is>
      </c>
      <c r="D1568" t="n">
        <v>2016</v>
      </c>
      <c r="E1568" t="n">
        <v>3.400000095367432</v>
      </c>
      <c r="G1568" t="inlineStr">
        <is>
          <t>Consolidated first (v4) – needs verification for flagged rows</t>
        </is>
      </c>
      <c r="H1568" t="n">
        <v>37.15000152587891</v>
      </c>
      <c r="I1568" t="n">
        <v>23.39999961853027</v>
      </c>
      <c r="L1568" t="inlineStr">
        <is>
          <t>INCOMPLETE</t>
        </is>
      </c>
      <c r="O1568" t="n">
        <v>260.6</v>
      </c>
      <c r="P1568" t="n">
        <v>465</v>
      </c>
      <c r="Q1568" t="n">
        <v>188.8</v>
      </c>
      <c r="R1568" s="3" t="inlineStr">
        <is>
          <t>MISMATCH_NEEDS_CORRECTION</t>
        </is>
      </c>
      <c r="S1568" t="n">
        <v>260.6</v>
      </c>
      <c r="T1568" t="inlineStr">
        <is>
          <t>30-07-2026 09:42 IST</t>
        </is>
      </c>
    </row>
    <row r="1569">
      <c r="A1569" t="n">
        <v>243</v>
      </c>
      <c r="B1569" t="n">
        <v>513216</v>
      </c>
      <c r="C1569" t="inlineStr">
        <is>
          <t>Arihant Industries Ltd</t>
        </is>
      </c>
      <c r="D1569" t="n">
        <v>2017</v>
      </c>
      <c r="E1569" t="n">
        <v>3.400000095367432</v>
      </c>
      <c r="G1569" t="inlineStr">
        <is>
          <t>Consolidated first (v4) – needs verification for flagged rows</t>
        </is>
      </c>
      <c r="H1569" t="n">
        <v>36.79999923706055</v>
      </c>
      <c r="I1569" t="n">
        <v>21.45000076293945</v>
      </c>
      <c r="L1569" t="inlineStr">
        <is>
          <t>INCOMPLETE</t>
        </is>
      </c>
      <c r="O1569" t="n">
        <v>260.6</v>
      </c>
      <c r="P1569" t="n">
        <v>465</v>
      </c>
      <c r="Q1569" t="n">
        <v>188.8</v>
      </c>
      <c r="R1569" s="3" t="inlineStr">
        <is>
          <t>MISMATCH_NEEDS_CORRECTION</t>
        </is>
      </c>
      <c r="S1569" t="n">
        <v>260.6</v>
      </c>
      <c r="T1569" t="inlineStr">
        <is>
          <t>30-07-2026 09:42 IST</t>
        </is>
      </c>
    </row>
    <row r="1570">
      <c r="A1570" t="n">
        <v>243</v>
      </c>
      <c r="B1570" t="n">
        <v>513216</v>
      </c>
      <c r="C1570" t="inlineStr">
        <is>
          <t>Arihant Industries Ltd</t>
        </is>
      </c>
      <c r="D1570" t="n">
        <v>2018</v>
      </c>
      <c r="E1570" t="n">
        <v>3.400000095367432</v>
      </c>
      <c r="G1570" t="inlineStr">
        <is>
          <t>Consolidated first (v4) – needs verification for flagged rows</t>
        </is>
      </c>
      <c r="H1570" t="n">
        <v>30.45000076293945</v>
      </c>
      <c r="I1570" t="n">
        <v>7.369999885559082</v>
      </c>
      <c r="L1570" t="inlineStr">
        <is>
          <t>INCOMPLETE</t>
        </is>
      </c>
      <c r="O1570" t="n">
        <v>260.6</v>
      </c>
      <c r="P1570" t="n">
        <v>465</v>
      </c>
      <c r="Q1570" t="n">
        <v>188.8</v>
      </c>
      <c r="R1570" s="3" t="inlineStr">
        <is>
          <t>MISMATCH_NEEDS_CORRECTION</t>
        </is>
      </c>
      <c r="S1570" t="n">
        <v>260.6</v>
      </c>
      <c r="T1570" t="inlineStr">
        <is>
          <t>30-07-2026 09:42 IST</t>
        </is>
      </c>
    </row>
    <row r="1571">
      <c r="A1571" t="n">
        <v>243</v>
      </c>
      <c r="B1571" t="n">
        <v>513216</v>
      </c>
      <c r="C1571" t="inlineStr">
        <is>
          <t>Arihant Industries Ltd</t>
        </is>
      </c>
      <c r="D1571" t="n">
        <v>2019</v>
      </c>
      <c r="E1571" t="n">
        <v>3.400000095367432</v>
      </c>
      <c r="G1571" t="inlineStr">
        <is>
          <t>Consolidated first (v4) – needs verification for flagged rows</t>
        </is>
      </c>
      <c r="H1571" t="n">
        <v>12.59000015258789</v>
      </c>
      <c r="I1571" t="n">
        <v>5.610000133514404</v>
      </c>
      <c r="L1571" t="inlineStr">
        <is>
          <t>INCOMPLETE</t>
        </is>
      </c>
      <c r="O1571" t="n">
        <v>260.6</v>
      </c>
      <c r="P1571" t="n">
        <v>465</v>
      </c>
      <c r="Q1571" t="n">
        <v>188.8</v>
      </c>
      <c r="R1571" s="3" t="inlineStr">
        <is>
          <t>MISMATCH_NEEDS_CORRECTION</t>
        </is>
      </c>
      <c r="S1571" t="n">
        <v>260.6</v>
      </c>
      <c r="T1571" t="inlineStr">
        <is>
          <t>30-07-2026 09:42 IST</t>
        </is>
      </c>
    </row>
    <row r="1572">
      <c r="A1572" t="n">
        <v>243</v>
      </c>
      <c r="B1572" t="n">
        <v>513216</v>
      </c>
      <c r="C1572" t="inlineStr">
        <is>
          <t>Arihant Industries Ltd</t>
        </is>
      </c>
      <c r="D1572" t="n">
        <v>2020</v>
      </c>
      <c r="E1572" t="n">
        <v>3.400000095367432</v>
      </c>
      <c r="G1572" t="inlineStr">
        <is>
          <t>Consolidated first (v4) – needs verification for flagged rows</t>
        </is>
      </c>
      <c r="H1572" t="n">
        <v>9.930000305175781</v>
      </c>
      <c r="I1572" t="n">
        <v>3.619999885559082</v>
      </c>
      <c r="L1572" t="inlineStr">
        <is>
          <t>INCOMPLETE</t>
        </is>
      </c>
      <c r="O1572" t="n">
        <v>260.6</v>
      </c>
      <c r="P1572" t="n">
        <v>465</v>
      </c>
      <c r="Q1572" t="n">
        <v>188.8</v>
      </c>
      <c r="R1572" s="3" t="inlineStr">
        <is>
          <t>MISMATCH_NEEDS_CORRECTION</t>
        </is>
      </c>
      <c r="S1572" t="n">
        <v>260.6</v>
      </c>
      <c r="T1572" t="inlineStr">
        <is>
          <t>30-07-2026 09:42 IST</t>
        </is>
      </c>
    </row>
    <row r="1573">
      <c r="A1573" t="n">
        <v>243</v>
      </c>
      <c r="B1573" t="n">
        <v>513216</v>
      </c>
      <c r="C1573" t="inlineStr">
        <is>
          <t>Arihant Industries Ltd</t>
        </is>
      </c>
      <c r="D1573" t="n">
        <v>2021</v>
      </c>
      <c r="E1573" t="n">
        <v>3.400000095367432</v>
      </c>
      <c r="G1573" t="inlineStr">
        <is>
          <t>Consolidated first (v4) – needs verification for flagged rows</t>
        </is>
      </c>
      <c r="H1573" t="n">
        <v>11.07999992370605</v>
      </c>
      <c r="I1573" t="n">
        <v>3.559999942779541</v>
      </c>
      <c r="L1573" t="inlineStr">
        <is>
          <t>INCOMPLETE</t>
        </is>
      </c>
      <c r="O1573" t="n">
        <v>260.6</v>
      </c>
      <c r="P1573" t="n">
        <v>465</v>
      </c>
      <c r="Q1573" t="n">
        <v>188.8</v>
      </c>
      <c r="R1573" s="3" t="inlineStr">
        <is>
          <t>MISMATCH_NEEDS_CORRECTION</t>
        </is>
      </c>
      <c r="S1573" t="n">
        <v>260.6</v>
      </c>
      <c r="T1573" t="inlineStr">
        <is>
          <t>30-07-2026 09:42 IST</t>
        </is>
      </c>
    </row>
    <row r="1574">
      <c r="A1574" t="n">
        <v>243</v>
      </c>
      <c r="B1574" t="n">
        <v>513216</v>
      </c>
      <c r="C1574" t="inlineStr">
        <is>
          <t>Arihant Industries Ltd</t>
        </is>
      </c>
      <c r="D1574" t="n">
        <v>2022</v>
      </c>
      <c r="E1574" t="n">
        <v>3.400000095367432</v>
      </c>
      <c r="G1574" t="inlineStr">
        <is>
          <t>Consolidated first (v4) – needs verification for flagged rows</t>
        </is>
      </c>
      <c r="H1574" t="n">
        <v>8.390000343322754</v>
      </c>
      <c r="I1574" t="n">
        <v>3.049999952316284</v>
      </c>
      <c r="L1574" t="inlineStr">
        <is>
          <t>INCOMPLETE</t>
        </is>
      </c>
      <c r="O1574" t="n">
        <v>260.6</v>
      </c>
      <c r="P1574" t="n">
        <v>465</v>
      </c>
      <c r="Q1574" t="n">
        <v>188.8</v>
      </c>
      <c r="R1574" s="3" t="inlineStr">
        <is>
          <t>MISMATCH_NEEDS_CORRECTION</t>
        </is>
      </c>
      <c r="S1574" t="n">
        <v>260.6</v>
      </c>
      <c r="T1574" t="inlineStr">
        <is>
          <t>30-07-2026 09:42 IST</t>
        </is>
      </c>
    </row>
    <row r="1575">
      <c r="A1575" t="n">
        <v>244</v>
      </c>
      <c r="B1575" t="n">
        <v>513228</v>
      </c>
      <c r="C1575" t="inlineStr">
        <is>
          <t>Pennar Industries Ltd</t>
        </is>
      </c>
      <c r="D1575" t="n">
        <v>2015</v>
      </c>
      <c r="E1575" t="n">
        <v>165.25</v>
      </c>
      <c r="F1575" t="n">
        <v>2.98</v>
      </c>
      <c r="G1575" t="inlineStr">
        <is>
          <t>Consolidated first (v4) – needs verification for flagged rows</t>
        </is>
      </c>
      <c r="H1575" t="n">
        <v>71</v>
      </c>
      <c r="I1575" t="n">
        <v>43</v>
      </c>
      <c r="L1575" t="inlineStr">
        <is>
          <t>OK</t>
        </is>
      </c>
      <c r="M1575" t="n">
        <v>23.83</v>
      </c>
      <c r="N1575" t="n">
        <v>14.43</v>
      </c>
      <c r="O1575" t="n">
        <v>166.55</v>
      </c>
      <c r="P1575" t="n">
        <v>279.8</v>
      </c>
      <c r="Q1575" t="n">
        <v>128.9</v>
      </c>
      <c r="R1575" s="2" t="inlineStr">
        <is>
          <t>VERIFIED_OK</t>
        </is>
      </c>
      <c r="S1575" t="n">
        <v>166.55</v>
      </c>
      <c r="T1575" t="inlineStr">
        <is>
          <t>30-07-2026 09:42 IST</t>
        </is>
      </c>
    </row>
    <row r="1576">
      <c r="A1576" t="n">
        <v>244</v>
      </c>
      <c r="B1576" t="n">
        <v>513228</v>
      </c>
      <c r="C1576" t="inlineStr">
        <is>
          <t>Pennar Industries Ltd</t>
        </is>
      </c>
      <c r="D1576" t="n">
        <v>2016</v>
      </c>
      <c r="E1576" t="n">
        <v>165.25</v>
      </c>
      <c r="F1576" t="n">
        <v>3.64</v>
      </c>
      <c r="G1576" t="inlineStr">
        <is>
          <t>Consolidated first (v4) – needs verification for flagged rows</t>
        </is>
      </c>
      <c r="H1576" t="n">
        <v>61.34999847412109</v>
      </c>
      <c r="I1576" t="n">
        <v>38.5</v>
      </c>
      <c r="L1576" t="inlineStr">
        <is>
          <t>OK</t>
        </is>
      </c>
      <c r="M1576" t="n">
        <v>16.85</v>
      </c>
      <c r="N1576" t="n">
        <v>10.58</v>
      </c>
      <c r="O1576" t="n">
        <v>166.55</v>
      </c>
      <c r="P1576" t="n">
        <v>279.8</v>
      </c>
      <c r="Q1576" t="n">
        <v>128.9</v>
      </c>
      <c r="R1576" s="2" t="inlineStr">
        <is>
          <t>VERIFIED_OK</t>
        </is>
      </c>
      <c r="S1576" t="n">
        <v>166.55</v>
      </c>
      <c r="T1576" t="inlineStr">
        <is>
          <t>30-07-2026 09:42 IST</t>
        </is>
      </c>
    </row>
    <row r="1577">
      <c r="A1577" t="n">
        <v>244</v>
      </c>
      <c r="B1577" t="n">
        <v>513228</v>
      </c>
      <c r="C1577" t="inlineStr">
        <is>
          <t>Pennar Industries Ltd</t>
        </is>
      </c>
      <c r="D1577" t="n">
        <v>2017</v>
      </c>
      <c r="E1577" t="n">
        <v>165.25</v>
      </c>
      <c r="F1577" t="n">
        <v>2.87</v>
      </c>
      <c r="G1577" t="inlineStr">
        <is>
          <t>Consolidated first (v4) – needs verification for flagged rows</t>
        </is>
      </c>
      <c r="H1577" t="n">
        <v>78.59999847412109</v>
      </c>
      <c r="I1577" t="n">
        <v>40</v>
      </c>
      <c r="L1577" t="inlineStr">
        <is>
          <t>OK</t>
        </is>
      </c>
      <c r="M1577" t="n">
        <v>27.39</v>
      </c>
      <c r="N1577" t="n">
        <v>13.94</v>
      </c>
      <c r="O1577" t="n">
        <v>166.55</v>
      </c>
      <c r="P1577" t="n">
        <v>279.8</v>
      </c>
      <c r="Q1577" t="n">
        <v>128.9</v>
      </c>
      <c r="R1577" s="2" t="inlineStr">
        <is>
          <t>VERIFIED_OK</t>
        </is>
      </c>
      <c r="S1577" t="n">
        <v>166.55</v>
      </c>
      <c r="T1577" t="inlineStr">
        <is>
          <t>30-07-2026 09:42 IST</t>
        </is>
      </c>
    </row>
    <row r="1578">
      <c r="A1578" t="n">
        <v>244</v>
      </c>
      <c r="B1578" t="n">
        <v>513228</v>
      </c>
      <c r="C1578" t="inlineStr">
        <is>
          <t>Pennar Industries Ltd</t>
        </is>
      </c>
      <c r="D1578" t="n">
        <v>2018</v>
      </c>
      <c r="E1578" t="n">
        <v>165.25</v>
      </c>
      <c r="F1578" t="n">
        <v>7.43</v>
      </c>
      <c r="G1578" t="inlineStr">
        <is>
          <t>Consolidated first (v4) – needs verification for flagged rows</t>
        </is>
      </c>
      <c r="H1578" t="n">
        <v>79</v>
      </c>
      <c r="I1578" t="n">
        <v>34</v>
      </c>
      <c r="L1578" t="inlineStr">
        <is>
          <t>OK</t>
        </is>
      </c>
      <c r="M1578" t="n">
        <v>10.63</v>
      </c>
      <c r="N1578" t="n">
        <v>4.58</v>
      </c>
      <c r="O1578" t="n">
        <v>166.55</v>
      </c>
      <c r="P1578" t="n">
        <v>279.8</v>
      </c>
      <c r="Q1578" t="n">
        <v>128.9</v>
      </c>
      <c r="R1578" s="2" t="inlineStr">
        <is>
          <t>VERIFIED_OK</t>
        </is>
      </c>
      <c r="S1578" t="n">
        <v>166.55</v>
      </c>
      <c r="T1578" t="inlineStr">
        <is>
          <t>30-07-2026 09:42 IST</t>
        </is>
      </c>
    </row>
    <row r="1579">
      <c r="A1579" t="n">
        <v>244</v>
      </c>
      <c r="B1579" t="n">
        <v>513228</v>
      </c>
      <c r="C1579" t="inlineStr">
        <is>
          <t>Pennar Industries Ltd</t>
        </is>
      </c>
      <c r="D1579" t="n">
        <v>2019</v>
      </c>
      <c r="E1579" t="n">
        <v>165.25</v>
      </c>
      <c r="F1579" t="n">
        <v>5.52</v>
      </c>
      <c r="G1579" t="inlineStr">
        <is>
          <t>Consolidated first (v4) – needs verification for flagged rows</t>
        </is>
      </c>
      <c r="H1579" t="n">
        <v>43.59999847412109</v>
      </c>
      <c r="I1579" t="n">
        <v>23.25</v>
      </c>
      <c r="L1579" t="inlineStr">
        <is>
          <t>OK</t>
        </is>
      </c>
      <c r="M1579" t="n">
        <v>7.9</v>
      </c>
      <c r="N1579" t="n">
        <v>4.21</v>
      </c>
      <c r="O1579" t="n">
        <v>166.55</v>
      </c>
      <c r="P1579" t="n">
        <v>279.8</v>
      </c>
      <c r="Q1579" t="n">
        <v>128.9</v>
      </c>
      <c r="R1579" s="2" t="inlineStr">
        <is>
          <t>VERIFIED_OK</t>
        </is>
      </c>
      <c r="S1579" t="n">
        <v>166.55</v>
      </c>
      <c r="T1579" t="inlineStr">
        <is>
          <t>30-07-2026 09:42 IST</t>
        </is>
      </c>
    </row>
    <row r="1580">
      <c r="A1580" t="n">
        <v>244</v>
      </c>
      <c r="B1580" t="n">
        <v>513228</v>
      </c>
      <c r="C1580" t="inlineStr">
        <is>
          <t>Pennar Industries Ltd</t>
        </is>
      </c>
      <c r="D1580" t="n">
        <v>2020</v>
      </c>
      <c r="E1580" t="n">
        <v>165.25</v>
      </c>
      <c r="F1580" t="n">
        <v>3.65</v>
      </c>
      <c r="G1580" t="inlineStr">
        <is>
          <t>Consolidated first (v4) – needs verification for flagged rows</t>
        </is>
      </c>
      <c r="H1580" t="n">
        <v>29.89999961853027</v>
      </c>
      <c r="I1580" t="n">
        <v>11.39999961853027</v>
      </c>
      <c r="L1580" t="inlineStr">
        <is>
          <t>OK</t>
        </is>
      </c>
      <c r="M1580" t="n">
        <v>8.19</v>
      </c>
      <c r="N1580" t="n">
        <v>3.12</v>
      </c>
      <c r="O1580" t="n">
        <v>166.55</v>
      </c>
      <c r="P1580" t="n">
        <v>279.8</v>
      </c>
      <c r="Q1580" t="n">
        <v>128.9</v>
      </c>
      <c r="R1580" s="2" t="inlineStr">
        <is>
          <t>VERIFIED_OK</t>
        </is>
      </c>
      <c r="S1580" t="n">
        <v>166.55</v>
      </c>
      <c r="T1580" t="inlineStr">
        <is>
          <t>30-07-2026 09:42 IST</t>
        </is>
      </c>
    </row>
    <row r="1581">
      <c r="A1581" t="n">
        <v>244</v>
      </c>
      <c r="B1581" t="n">
        <v>513228</v>
      </c>
      <c r="C1581" t="inlineStr">
        <is>
          <t>Pennar Industries Ltd</t>
        </is>
      </c>
      <c r="D1581" t="n">
        <v>2021</v>
      </c>
      <c r="E1581" t="n">
        <v>165.25</v>
      </c>
      <c r="F1581" t="n">
        <v>0.18</v>
      </c>
      <c r="G1581" t="inlineStr">
        <is>
          <t>Consolidated first (v4) – needs verification for flagged rows</t>
        </is>
      </c>
      <c r="H1581" t="n">
        <v>42.90000152587891</v>
      </c>
      <c r="I1581" t="n">
        <v>16.25</v>
      </c>
      <c r="L1581" t="inlineStr">
        <is>
          <t>UNVERIFIED – tiny EPS &lt;0.5</t>
        </is>
      </c>
      <c r="M1581" t="n">
        <v>238.33</v>
      </c>
      <c r="N1581" t="n">
        <v>90.28</v>
      </c>
      <c r="O1581" t="n">
        <v>166.55</v>
      </c>
      <c r="P1581" t="n">
        <v>279.8</v>
      </c>
      <c r="Q1581" t="n">
        <v>128.9</v>
      </c>
      <c r="R1581" s="2" t="inlineStr">
        <is>
          <t>VERIFIED_OK</t>
        </is>
      </c>
      <c r="S1581" t="n">
        <v>166.55</v>
      </c>
      <c r="T1581" t="inlineStr">
        <is>
          <t>30-07-2026 09:42 IST</t>
        </is>
      </c>
    </row>
    <row r="1582">
      <c r="A1582" t="n">
        <v>244</v>
      </c>
      <c r="B1582" t="n">
        <v>513228</v>
      </c>
      <c r="C1582" t="inlineStr">
        <is>
          <t>Pennar Industries Ltd</t>
        </is>
      </c>
      <c r="D1582" t="n">
        <v>2022</v>
      </c>
      <c r="E1582" t="n">
        <v>165.25</v>
      </c>
      <c r="F1582" t="n">
        <v>2.94</v>
      </c>
      <c r="G1582" t="inlineStr">
        <is>
          <t>Consolidated first (v4) – needs verification for flagged rows</t>
        </is>
      </c>
      <c r="H1582" t="n">
        <v>70.19999694824219</v>
      </c>
      <c r="I1582" t="n">
        <v>31.29999923706055</v>
      </c>
      <c r="L1582" t="inlineStr">
        <is>
          <t>OK</t>
        </is>
      </c>
      <c r="M1582" t="n">
        <v>23.88</v>
      </c>
      <c r="N1582" t="n">
        <v>10.65</v>
      </c>
      <c r="O1582" t="n">
        <v>166.55</v>
      </c>
      <c r="P1582" t="n">
        <v>279.8</v>
      </c>
      <c r="Q1582" t="n">
        <v>128.9</v>
      </c>
      <c r="R1582" s="2" t="inlineStr">
        <is>
          <t>VERIFIED_OK</t>
        </is>
      </c>
      <c r="S1582" t="n">
        <v>166.55</v>
      </c>
      <c r="T1582" t="inlineStr">
        <is>
          <t>30-07-2026 09:42 IST</t>
        </is>
      </c>
    </row>
    <row r="1583">
      <c r="A1583" t="n">
        <v>244</v>
      </c>
      <c r="B1583" t="n">
        <v>513228</v>
      </c>
      <c r="C1583" t="inlineStr">
        <is>
          <t>Pennar Industries Ltd</t>
        </is>
      </c>
      <c r="D1583" t="n">
        <v>2023</v>
      </c>
      <c r="E1583" t="n">
        <v>165.25</v>
      </c>
      <c r="F1583" t="n">
        <v>5.59</v>
      </c>
      <c r="G1583" t="inlineStr">
        <is>
          <t>Consolidated first (v4) – needs verification for flagged rows</t>
        </is>
      </c>
      <c r="H1583" t="n">
        <v>132</v>
      </c>
      <c r="I1583" t="n">
        <v>52.5</v>
      </c>
      <c r="L1583" t="inlineStr">
        <is>
          <t>OK</t>
        </is>
      </c>
      <c r="M1583" t="n">
        <v>23.61</v>
      </c>
      <c r="N1583" t="n">
        <v>9.390000000000001</v>
      </c>
      <c r="O1583" t="n">
        <v>166.55</v>
      </c>
      <c r="P1583" t="n">
        <v>279.8</v>
      </c>
      <c r="Q1583" t="n">
        <v>128.9</v>
      </c>
      <c r="R1583" s="2" t="inlineStr">
        <is>
          <t>VERIFIED_OK</t>
        </is>
      </c>
      <c r="S1583" t="n">
        <v>166.55</v>
      </c>
      <c r="T1583" t="inlineStr">
        <is>
          <t>30-07-2026 09:42 IST</t>
        </is>
      </c>
    </row>
    <row r="1584">
      <c r="A1584" t="n">
        <v>244</v>
      </c>
      <c r="B1584" t="n">
        <v>513228</v>
      </c>
      <c r="C1584" t="inlineStr">
        <is>
          <t>Pennar Industries Ltd</t>
        </is>
      </c>
      <c r="D1584" t="n">
        <v>2024</v>
      </c>
      <c r="E1584" t="n">
        <v>165.25</v>
      </c>
      <c r="F1584" t="n">
        <v>7.29</v>
      </c>
      <c r="G1584" t="inlineStr">
        <is>
          <t>Consolidated first (v4) – needs verification for flagged rows</t>
        </is>
      </c>
      <c r="H1584" t="n">
        <v>227.6999969482422</v>
      </c>
      <c r="I1584" t="n">
        <v>107</v>
      </c>
      <c r="L1584" t="inlineStr">
        <is>
          <t>OK</t>
        </is>
      </c>
      <c r="M1584" t="n">
        <v>31.23</v>
      </c>
      <c r="N1584" t="n">
        <v>14.68</v>
      </c>
      <c r="O1584" t="n">
        <v>166.55</v>
      </c>
      <c r="P1584" t="n">
        <v>279.8</v>
      </c>
      <c r="Q1584" t="n">
        <v>128.9</v>
      </c>
      <c r="R1584" s="2" t="inlineStr">
        <is>
          <t>VERIFIED_OK</t>
        </is>
      </c>
      <c r="S1584" t="n">
        <v>166.55</v>
      </c>
      <c r="T1584" t="inlineStr">
        <is>
          <t>30-07-2026 09:42 IST</t>
        </is>
      </c>
    </row>
    <row r="1585">
      <c r="A1585" t="n">
        <v>244</v>
      </c>
      <c r="B1585" t="n">
        <v>513228</v>
      </c>
      <c r="C1585" t="inlineStr">
        <is>
          <t>Pennar Industries Ltd</t>
        </is>
      </c>
      <c r="D1585" t="n">
        <v>2025</v>
      </c>
      <c r="E1585" t="n">
        <v>165.25</v>
      </c>
      <c r="F1585" t="n">
        <v>8.84</v>
      </c>
      <c r="G1585" t="inlineStr">
        <is>
          <t>Consolidated first (v4) – needs verification for flagged rows</t>
        </is>
      </c>
      <c r="H1585" t="n">
        <v>279.7999877929688</v>
      </c>
      <c r="I1585" t="n">
        <v>136.6000061035156</v>
      </c>
      <c r="L1585" t="inlineStr">
        <is>
          <t>OK</t>
        </is>
      </c>
      <c r="M1585" t="n">
        <v>31.65</v>
      </c>
      <c r="N1585" t="n">
        <v>15.45</v>
      </c>
      <c r="O1585" t="n">
        <v>166.55</v>
      </c>
      <c r="P1585" t="n">
        <v>279.8</v>
      </c>
      <c r="Q1585" t="n">
        <v>128.9</v>
      </c>
      <c r="R1585" s="2" t="inlineStr">
        <is>
          <t>VERIFIED_OK</t>
        </is>
      </c>
      <c r="S1585" t="n">
        <v>166.55</v>
      </c>
      <c r="T1585" t="inlineStr">
        <is>
          <t>30-07-2026 09:42 IST</t>
        </is>
      </c>
    </row>
    <row r="1586">
      <c r="A1586" t="n">
        <v>244</v>
      </c>
      <c r="B1586" t="n">
        <v>513228</v>
      </c>
      <c r="C1586" t="inlineStr">
        <is>
          <t>Pennar Industries Ltd</t>
        </is>
      </c>
      <c r="D1586" t="n">
        <v>2026</v>
      </c>
      <c r="E1586" t="n">
        <v>165.25</v>
      </c>
      <c r="F1586" t="n">
        <v>10.29</v>
      </c>
      <c r="G1586" t="inlineStr">
        <is>
          <t>Consolidated first (v4) – needs verification for flagged rows</t>
        </is>
      </c>
      <c r="H1586" t="n">
        <v>213.6000061035156</v>
      </c>
      <c r="I1586" t="n">
        <v>128.8999938964844</v>
      </c>
      <c r="L1586" t="inlineStr">
        <is>
          <t>OK</t>
        </is>
      </c>
      <c r="M1586" t="n">
        <v>20.76</v>
      </c>
      <c r="N1586" t="n">
        <v>12.53</v>
      </c>
      <c r="O1586" t="n">
        <v>166.55</v>
      </c>
      <c r="P1586" t="n">
        <v>279.8</v>
      </c>
      <c r="Q1586" t="n">
        <v>128.9</v>
      </c>
      <c r="R1586" s="2" t="inlineStr">
        <is>
          <t>VERIFIED_OK</t>
        </is>
      </c>
      <c r="S1586" t="n">
        <v>166.55</v>
      </c>
      <c r="T1586" t="inlineStr">
        <is>
          <t>30-07-2026 09:42 IST</t>
        </is>
      </c>
    </row>
    <row r="1587">
      <c r="A1587" t="n">
        <v>245</v>
      </c>
      <c r="B1587" t="n">
        <v>513250</v>
      </c>
      <c r="C1587" t="inlineStr">
        <is>
          <t>Jyoti Structures Ltd</t>
        </is>
      </c>
      <c r="D1587" t="n">
        <v>2015</v>
      </c>
      <c r="E1587" t="n">
        <v>11.19999980926514</v>
      </c>
      <c r="F1587" t="n">
        <v>-23.11</v>
      </c>
      <c r="G1587" t="inlineStr">
        <is>
          <t>Consolidated first (v4) – needs verification for flagged rows</t>
        </is>
      </c>
      <c r="H1587" t="n">
        <v>42.29999923706055</v>
      </c>
      <c r="L1587" t="inlineStr">
        <is>
          <t>UNVERIFIED – negative EPS</t>
        </is>
      </c>
      <c r="M1587" t="n">
        <v>-1.83</v>
      </c>
      <c r="O1587" t="n">
        <v>10.9</v>
      </c>
      <c r="P1587" t="n">
        <v>28.18</v>
      </c>
      <c r="Q1587" t="n">
        <v>7.92</v>
      </c>
      <c r="R1587" s="2" t="inlineStr">
        <is>
          <t>VERIFIED_OK</t>
        </is>
      </c>
      <c r="S1587" t="n">
        <v>10.9</v>
      </c>
      <c r="T1587" t="inlineStr">
        <is>
          <t>30-07-2026 09:42 IST</t>
        </is>
      </c>
    </row>
    <row r="1588">
      <c r="A1588" t="n">
        <v>245</v>
      </c>
      <c r="B1588" t="n">
        <v>513250</v>
      </c>
      <c r="C1588" t="inlineStr">
        <is>
          <t>Jyoti Structures Ltd</t>
        </is>
      </c>
      <c r="D1588" t="n">
        <v>2016</v>
      </c>
      <c r="E1588" t="n">
        <v>11.19999980926514</v>
      </c>
      <c r="F1588" t="n">
        <v>-41.12</v>
      </c>
      <c r="G1588" t="inlineStr">
        <is>
          <t>Consolidated first (v4) – needs verification for flagged rows</t>
        </is>
      </c>
      <c r="H1588" t="n">
        <v>19.39999961853027</v>
      </c>
      <c r="I1588" t="n">
        <v>8.300000190734863</v>
      </c>
      <c r="L1588" t="inlineStr">
        <is>
          <t>UNVERIFIED – negative EPS</t>
        </is>
      </c>
      <c r="M1588" t="n">
        <v>-0.47</v>
      </c>
      <c r="N1588" t="n">
        <v>-0.2</v>
      </c>
      <c r="O1588" t="n">
        <v>10.9</v>
      </c>
      <c r="P1588" t="n">
        <v>28.18</v>
      </c>
      <c r="Q1588" t="n">
        <v>7.92</v>
      </c>
      <c r="R1588" s="2" t="inlineStr">
        <is>
          <t>VERIFIED_OK</t>
        </is>
      </c>
      <c r="S1588" t="n">
        <v>10.9</v>
      </c>
      <c r="T1588" t="inlineStr">
        <is>
          <t>30-07-2026 09:42 IST</t>
        </is>
      </c>
    </row>
    <row r="1589">
      <c r="A1589" t="n">
        <v>245</v>
      </c>
      <c r="B1589" t="n">
        <v>513250</v>
      </c>
      <c r="C1589" t="inlineStr">
        <is>
          <t>Jyoti Structures Ltd</t>
        </is>
      </c>
      <c r="D1589" t="n">
        <v>2017</v>
      </c>
      <c r="E1589" t="n">
        <v>11.19999980926514</v>
      </c>
      <c r="G1589" t="inlineStr">
        <is>
          <t>Consolidated first (v4) – needs verification for flagged rows</t>
        </is>
      </c>
      <c r="H1589" t="n">
        <v>15.30000019073486</v>
      </c>
      <c r="I1589" t="n">
        <v>6.980000019073486</v>
      </c>
      <c r="L1589" t="inlineStr">
        <is>
          <t>INCOMPLETE</t>
        </is>
      </c>
      <c r="O1589" t="n">
        <v>10.9</v>
      </c>
      <c r="P1589" t="n">
        <v>28.18</v>
      </c>
      <c r="Q1589" t="n">
        <v>7.92</v>
      </c>
      <c r="R1589" s="2" t="inlineStr">
        <is>
          <t>VERIFIED_OK</t>
        </is>
      </c>
      <c r="S1589" t="n">
        <v>10.9</v>
      </c>
      <c r="T1589" t="inlineStr">
        <is>
          <t>30-07-2026 09:42 IST</t>
        </is>
      </c>
    </row>
    <row r="1590">
      <c r="A1590" t="n">
        <v>245</v>
      </c>
      <c r="B1590" t="n">
        <v>513250</v>
      </c>
      <c r="C1590" t="inlineStr">
        <is>
          <t>Jyoti Structures Ltd</t>
        </is>
      </c>
      <c r="D1590" t="n">
        <v>2018</v>
      </c>
      <c r="E1590" t="n">
        <v>11.19999980926514</v>
      </c>
      <c r="F1590" t="n">
        <v>-245.22</v>
      </c>
      <c r="G1590" t="inlineStr">
        <is>
          <t>Consolidated first (v4) – needs verification for flagged rows</t>
        </is>
      </c>
      <c r="H1590" t="n">
        <v>15.53999996185303</v>
      </c>
      <c r="I1590" t="n">
        <v>1.730000019073486</v>
      </c>
      <c r="L1590" t="inlineStr">
        <is>
          <t>UNVERIFIED – negative EPS</t>
        </is>
      </c>
      <c r="M1590" t="n">
        <v>-0.06</v>
      </c>
      <c r="N1590" t="n">
        <v>-0.01</v>
      </c>
      <c r="O1590" t="n">
        <v>10.9</v>
      </c>
      <c r="P1590" t="n">
        <v>28.18</v>
      </c>
      <c r="Q1590" t="n">
        <v>7.92</v>
      </c>
      <c r="R1590" s="2" t="inlineStr">
        <is>
          <t>VERIFIED_OK</t>
        </is>
      </c>
      <c r="S1590" t="n">
        <v>10.9</v>
      </c>
      <c r="T1590" t="inlineStr">
        <is>
          <t>30-07-2026 09:42 IST</t>
        </is>
      </c>
    </row>
    <row r="1591">
      <c r="A1591" t="n">
        <v>245</v>
      </c>
      <c r="B1591" t="n">
        <v>513250</v>
      </c>
      <c r="C1591" t="inlineStr">
        <is>
          <t>Jyoti Structures Ltd</t>
        </is>
      </c>
      <c r="D1591" t="n">
        <v>2019</v>
      </c>
      <c r="E1591" t="n">
        <v>11.19999980926514</v>
      </c>
      <c r="F1591" t="n">
        <v>-104.17</v>
      </c>
      <c r="G1591" t="inlineStr">
        <is>
          <t>Consolidated first (v4) – needs verification for flagged rows</t>
        </is>
      </c>
      <c r="H1591" t="n">
        <v>4.429999828338623</v>
      </c>
      <c r="L1591" t="inlineStr">
        <is>
          <t>UNVERIFIED – negative EPS</t>
        </is>
      </c>
      <c r="M1591" t="n">
        <v>-0.04</v>
      </c>
      <c r="O1591" t="n">
        <v>10.9</v>
      </c>
      <c r="P1591" t="n">
        <v>28.18</v>
      </c>
      <c r="Q1591" t="n">
        <v>7.92</v>
      </c>
      <c r="R1591" s="2" t="inlineStr">
        <is>
          <t>VERIFIED_OK</t>
        </is>
      </c>
      <c r="S1591" t="n">
        <v>10.9</v>
      </c>
      <c r="T1591" t="inlineStr">
        <is>
          <t>30-07-2026 09:42 IST</t>
        </is>
      </c>
    </row>
    <row r="1592">
      <c r="A1592" t="n">
        <v>245</v>
      </c>
      <c r="B1592" t="n">
        <v>513250</v>
      </c>
      <c r="C1592" t="inlineStr">
        <is>
          <t>Jyoti Structures Ltd</t>
        </is>
      </c>
      <c r="D1592" t="n">
        <v>2020</v>
      </c>
      <c r="E1592" t="n">
        <v>11.19999980926514</v>
      </c>
      <c r="F1592" t="n">
        <v>-135.95</v>
      </c>
      <c r="G1592" t="inlineStr">
        <is>
          <t>Consolidated first (v4) – needs verification for flagged rows</t>
        </is>
      </c>
      <c r="H1592" t="n">
        <v>6.300000190734863</v>
      </c>
      <c r="I1592" t="n">
        <v>1.419999957084656</v>
      </c>
      <c r="L1592" t="inlineStr">
        <is>
          <t>UNVERIFIED – negative EPS</t>
        </is>
      </c>
      <c r="M1592" t="n">
        <v>-0.05</v>
      </c>
      <c r="N1592" t="n">
        <v>-0.01</v>
      </c>
      <c r="O1592" t="n">
        <v>10.9</v>
      </c>
      <c r="P1592" t="n">
        <v>28.18</v>
      </c>
      <c r="Q1592" t="n">
        <v>7.92</v>
      </c>
      <c r="R1592" s="2" t="inlineStr">
        <is>
          <t>VERIFIED_OK</t>
        </is>
      </c>
      <c r="S1592" t="n">
        <v>10.9</v>
      </c>
      <c r="T1592" t="inlineStr">
        <is>
          <t>30-07-2026 09:42 IST</t>
        </is>
      </c>
    </row>
    <row r="1593">
      <c r="A1593" t="n">
        <v>245</v>
      </c>
      <c r="B1593" t="n">
        <v>513250</v>
      </c>
      <c r="C1593" t="inlineStr">
        <is>
          <t>Jyoti Structures Ltd</t>
        </is>
      </c>
      <c r="D1593" t="n">
        <v>2021</v>
      </c>
      <c r="E1593" t="n">
        <v>11.19999980926514</v>
      </c>
      <c r="F1593" t="n">
        <v>-102.67</v>
      </c>
      <c r="G1593" t="inlineStr">
        <is>
          <t>Consolidated first (v4) – needs verification for flagged rows</t>
        </is>
      </c>
      <c r="H1593" t="n">
        <v>22.04999923706055</v>
      </c>
      <c r="I1593" t="n">
        <v>3.849999904632568</v>
      </c>
      <c r="L1593" t="inlineStr">
        <is>
          <t>UNVERIFIED – negative EPS</t>
        </is>
      </c>
      <c r="M1593" t="n">
        <v>-0.21</v>
      </c>
      <c r="N1593" t="n">
        <v>-0.04</v>
      </c>
      <c r="O1593" t="n">
        <v>10.9</v>
      </c>
      <c r="P1593" t="n">
        <v>28.18</v>
      </c>
      <c r="Q1593" t="n">
        <v>7.92</v>
      </c>
      <c r="R1593" s="2" t="inlineStr">
        <is>
          <t>VERIFIED_OK</t>
        </is>
      </c>
      <c r="S1593" t="n">
        <v>10.9</v>
      </c>
      <c r="T1593" t="inlineStr">
        <is>
          <t>30-07-2026 09:42 IST</t>
        </is>
      </c>
    </row>
    <row r="1594">
      <c r="A1594" t="n">
        <v>245</v>
      </c>
      <c r="B1594" t="n">
        <v>513250</v>
      </c>
      <c r="C1594" t="inlineStr">
        <is>
          <t>Jyoti Structures Ltd</t>
        </is>
      </c>
      <c r="D1594" t="n">
        <v>2022</v>
      </c>
      <c r="E1594" t="n">
        <v>11.19999980926514</v>
      </c>
      <c r="F1594" t="n">
        <v>-0.43</v>
      </c>
      <c r="G1594" t="inlineStr">
        <is>
          <t>Consolidated first (v4) – needs verification for flagged rows</t>
        </is>
      </c>
      <c r="H1594" t="n">
        <v>25.95000076293945</v>
      </c>
      <c r="I1594" t="n">
        <v>11.39999961853027</v>
      </c>
      <c r="L1594" t="inlineStr">
        <is>
          <t>UNVERIFIED – negative EPS</t>
        </is>
      </c>
      <c r="M1594" t="n">
        <v>-60.35</v>
      </c>
      <c r="N1594" t="n">
        <v>-26.51</v>
      </c>
      <c r="O1594" t="n">
        <v>10.9</v>
      </c>
      <c r="P1594" t="n">
        <v>28.18</v>
      </c>
      <c r="Q1594" t="n">
        <v>7.92</v>
      </c>
      <c r="R1594" s="2" t="inlineStr">
        <is>
          <t>VERIFIED_OK</t>
        </is>
      </c>
      <c r="S1594" t="n">
        <v>10.9</v>
      </c>
      <c r="T1594" t="inlineStr">
        <is>
          <t>30-07-2026 09:42 IST</t>
        </is>
      </c>
    </row>
    <row r="1595">
      <c r="A1595" t="n">
        <v>245</v>
      </c>
      <c r="B1595" t="n">
        <v>513250</v>
      </c>
      <c r="C1595" t="inlineStr">
        <is>
          <t>Jyoti Structures Ltd</t>
        </is>
      </c>
      <c r="D1595" t="n">
        <v>2023</v>
      </c>
      <c r="E1595" t="n">
        <v>11.19999980926514</v>
      </c>
      <c r="F1595" t="n">
        <v>-0.04</v>
      </c>
      <c r="G1595" t="inlineStr">
        <is>
          <t>Consolidated first (v4) – needs verification for flagged rows</t>
        </is>
      </c>
      <c r="H1595" t="n">
        <v>20.88999938964844</v>
      </c>
      <c r="I1595" t="n">
        <v>5.179999828338623</v>
      </c>
      <c r="L1595" t="inlineStr">
        <is>
          <t>UNVERIFIED – negative EPS</t>
        </is>
      </c>
      <c r="M1595" t="n">
        <v>-522.25</v>
      </c>
      <c r="N1595" t="n">
        <v>-129.5</v>
      </c>
      <c r="O1595" t="n">
        <v>10.9</v>
      </c>
      <c r="P1595" t="n">
        <v>28.18</v>
      </c>
      <c r="Q1595" t="n">
        <v>7.92</v>
      </c>
      <c r="R1595" s="2" t="inlineStr">
        <is>
          <t>VERIFIED_OK</t>
        </is>
      </c>
      <c r="S1595" t="n">
        <v>10.9</v>
      </c>
      <c r="T1595" t="inlineStr">
        <is>
          <t>30-07-2026 09:42 IST</t>
        </is>
      </c>
    </row>
    <row r="1596">
      <c r="A1596" t="n">
        <v>245</v>
      </c>
      <c r="B1596" t="n">
        <v>513250</v>
      </c>
      <c r="C1596" t="inlineStr">
        <is>
          <t>Jyoti Structures Ltd</t>
        </is>
      </c>
      <c r="D1596" t="n">
        <v>2024</v>
      </c>
      <c r="E1596" t="n">
        <v>11.19999980926514</v>
      </c>
      <c r="F1596" t="n">
        <v>0.25</v>
      </c>
      <c r="G1596" t="inlineStr">
        <is>
          <t>Consolidated first (v4) – needs verification for flagged rows</t>
        </is>
      </c>
      <c r="H1596" t="n">
        <v>41.36000061035156</v>
      </c>
      <c r="I1596" t="n">
        <v>18.34890556335449</v>
      </c>
      <c r="L1596" t="inlineStr">
        <is>
          <t>UNVERIFIED – tiny EPS &lt;0.5</t>
        </is>
      </c>
      <c r="M1596" t="n">
        <v>165.44</v>
      </c>
      <c r="N1596" t="n">
        <v>73.40000000000001</v>
      </c>
      <c r="O1596" t="n">
        <v>10.9</v>
      </c>
      <c r="P1596" t="n">
        <v>28.18</v>
      </c>
      <c r="Q1596" t="n">
        <v>7.92</v>
      </c>
      <c r="R1596" s="2" t="inlineStr">
        <is>
          <t>VERIFIED_OK</t>
        </is>
      </c>
      <c r="S1596" t="n">
        <v>10.9</v>
      </c>
      <c r="T1596" t="inlineStr">
        <is>
          <t>30-07-2026 09:42 IST</t>
        </is>
      </c>
    </row>
    <row r="1597">
      <c r="A1597" t="n">
        <v>245</v>
      </c>
      <c r="B1597" t="n">
        <v>513250</v>
      </c>
      <c r="C1597" t="inlineStr">
        <is>
          <t>Jyoti Structures Ltd</t>
        </is>
      </c>
      <c r="D1597" t="n">
        <v>2025</v>
      </c>
      <c r="E1597" t="n">
        <v>11.19999980926514</v>
      </c>
      <c r="F1597" t="n">
        <v>0.3</v>
      </c>
      <c r="G1597" t="inlineStr">
        <is>
          <t>Consolidated first (v4) – needs verification for flagged rows</t>
        </is>
      </c>
      <c r="H1597" t="n">
        <v>28.93000030517578</v>
      </c>
      <c r="I1597" t="n">
        <v>9.010000228881836</v>
      </c>
      <c r="L1597" t="inlineStr">
        <is>
          <t>UNVERIFIED – tiny EPS &lt;0.5</t>
        </is>
      </c>
      <c r="M1597" t="n">
        <v>96.43000000000001</v>
      </c>
      <c r="N1597" t="n">
        <v>30.03</v>
      </c>
      <c r="O1597" t="n">
        <v>10.9</v>
      </c>
      <c r="P1597" t="n">
        <v>28.18</v>
      </c>
      <c r="Q1597" t="n">
        <v>7.92</v>
      </c>
      <c r="R1597" s="2" t="inlineStr">
        <is>
          <t>VERIFIED_OK</t>
        </is>
      </c>
      <c r="S1597" t="n">
        <v>10.9</v>
      </c>
      <c r="T1597" t="inlineStr">
        <is>
          <t>30-07-2026 09:42 IST</t>
        </is>
      </c>
    </row>
    <row r="1598">
      <c r="A1598" t="n">
        <v>245</v>
      </c>
      <c r="B1598" t="n">
        <v>513250</v>
      </c>
      <c r="C1598" t="inlineStr">
        <is>
          <t>Jyoti Structures Ltd</t>
        </is>
      </c>
      <c r="D1598" t="n">
        <v>2026</v>
      </c>
      <c r="E1598" t="n">
        <v>11.19999980926514</v>
      </c>
      <c r="F1598" t="n">
        <v>0.47</v>
      </c>
      <c r="G1598" t="inlineStr">
        <is>
          <t>Consolidated first (v4) – needs verification for flagged rows</t>
        </is>
      </c>
      <c r="H1598" t="n">
        <v>14.40999984741211</v>
      </c>
      <c r="I1598" t="n">
        <v>7.920000076293945</v>
      </c>
      <c r="L1598" t="inlineStr">
        <is>
          <t>UNVERIFIED – tiny EPS &lt;0.5</t>
        </is>
      </c>
      <c r="M1598" t="n">
        <v>30.66</v>
      </c>
      <c r="N1598" t="n">
        <v>16.85</v>
      </c>
      <c r="O1598" t="n">
        <v>10.9</v>
      </c>
      <c r="P1598" t="n">
        <v>28.18</v>
      </c>
      <c r="Q1598" t="n">
        <v>7.92</v>
      </c>
      <c r="R1598" s="2" t="inlineStr">
        <is>
          <t>VERIFIED_OK</t>
        </is>
      </c>
      <c r="S1598" t="n">
        <v>10.9</v>
      </c>
      <c r="T1598" t="inlineStr">
        <is>
          <t>30-07-2026 09:42 IST</t>
        </is>
      </c>
    </row>
    <row r="1599">
      <c r="A1599" t="n">
        <v>246</v>
      </c>
      <c r="B1599" t="n">
        <v>513262</v>
      </c>
      <c r="C1599" t="inlineStr">
        <is>
          <t>Steel Strips Wheels Ltd</t>
        </is>
      </c>
      <c r="D1599" t="n">
        <v>2015</v>
      </c>
      <c r="E1599" t="n">
        <v>293.9500122070312</v>
      </c>
      <c r="G1599" t="inlineStr">
        <is>
          <t>Consolidated first (v4) – needs verification for flagged rows</t>
        </is>
      </c>
      <c r="H1599" t="n">
        <v>45.79999923706055</v>
      </c>
      <c r="I1599" t="n">
        <v>25.45000076293945</v>
      </c>
      <c r="L1599" t="inlineStr">
        <is>
          <t>INCOMPLETE</t>
        </is>
      </c>
      <c r="O1599" t="n">
        <v>300.36</v>
      </c>
      <c r="P1599" t="n">
        <v>304.08</v>
      </c>
      <c r="Q1599" t="n">
        <v>169</v>
      </c>
      <c r="R1599" s="2" t="inlineStr">
        <is>
          <t>VERIFIED_OK</t>
        </is>
      </c>
      <c r="S1599" t="n">
        <v>300.36</v>
      </c>
      <c r="T1599" t="inlineStr">
        <is>
          <t>30-07-2026 09:42 IST</t>
        </is>
      </c>
    </row>
    <row r="1600">
      <c r="A1600" t="n">
        <v>246</v>
      </c>
      <c r="B1600" t="n">
        <v>513262</v>
      </c>
      <c r="C1600" t="inlineStr">
        <is>
          <t>Steel Strips Wheels Ltd</t>
        </is>
      </c>
      <c r="D1600" t="n">
        <v>2016</v>
      </c>
      <c r="E1600" t="n">
        <v>293.9500122070312</v>
      </c>
      <c r="G1600" t="inlineStr">
        <is>
          <t>Consolidated first (v4) – needs verification for flagged rows</t>
        </is>
      </c>
      <c r="H1600" t="n">
        <v>77.5</v>
      </c>
      <c r="I1600" t="n">
        <v>28.39999961853027</v>
      </c>
      <c r="L1600" t="inlineStr">
        <is>
          <t>INCOMPLETE</t>
        </is>
      </c>
      <c r="O1600" t="n">
        <v>300.36</v>
      </c>
      <c r="P1600" t="n">
        <v>304.08</v>
      </c>
      <c r="Q1600" t="n">
        <v>169</v>
      </c>
      <c r="R1600" s="2" t="inlineStr">
        <is>
          <t>VERIFIED_OK</t>
        </is>
      </c>
      <c r="S1600" t="n">
        <v>300.36</v>
      </c>
      <c r="T1600" t="inlineStr">
        <is>
          <t>30-07-2026 09:42 IST</t>
        </is>
      </c>
    </row>
    <row r="1601">
      <c r="A1601" t="n">
        <v>246</v>
      </c>
      <c r="B1601" t="n">
        <v>513262</v>
      </c>
      <c r="C1601" t="inlineStr">
        <is>
          <t>Steel Strips Wheels Ltd</t>
        </is>
      </c>
      <c r="D1601" t="n">
        <v>2017</v>
      </c>
      <c r="E1601" t="n">
        <v>293.9500122070312</v>
      </c>
      <c r="G1601" t="inlineStr">
        <is>
          <t>Consolidated first (v4) – needs verification for flagged rows</t>
        </is>
      </c>
      <c r="H1601" t="n">
        <v>116.5749969482422</v>
      </c>
      <c r="I1601" t="n">
        <v>62.84500122070312</v>
      </c>
      <c r="L1601" t="inlineStr">
        <is>
          <t>INCOMPLETE</t>
        </is>
      </c>
      <c r="O1601" t="n">
        <v>300.36</v>
      </c>
      <c r="P1601" t="n">
        <v>304.08</v>
      </c>
      <c r="Q1601" t="n">
        <v>169</v>
      </c>
      <c r="R1601" s="2" t="inlineStr">
        <is>
          <t>VERIFIED_OK</t>
        </is>
      </c>
      <c r="S1601" t="n">
        <v>300.36</v>
      </c>
      <c r="T1601" t="inlineStr">
        <is>
          <t>30-07-2026 09:42 IST</t>
        </is>
      </c>
    </row>
    <row r="1602">
      <c r="A1602" t="n">
        <v>246</v>
      </c>
      <c r="B1602" t="n">
        <v>513262</v>
      </c>
      <c r="C1602" t="inlineStr">
        <is>
          <t>Steel Strips Wheels Ltd</t>
        </is>
      </c>
      <c r="D1602" t="n">
        <v>2018</v>
      </c>
      <c r="E1602" t="n">
        <v>293.9500122070312</v>
      </c>
      <c r="G1602" t="inlineStr">
        <is>
          <t>Consolidated first (v4) – needs verification for flagged rows</t>
        </is>
      </c>
      <c r="H1602" t="n">
        <v>147.3699951171875</v>
      </c>
      <c r="I1602" t="n">
        <v>93</v>
      </c>
      <c r="L1602" t="inlineStr">
        <is>
          <t>INCOMPLETE</t>
        </is>
      </c>
      <c r="O1602" t="n">
        <v>300.36</v>
      </c>
      <c r="P1602" t="n">
        <v>304.08</v>
      </c>
      <c r="Q1602" t="n">
        <v>169</v>
      </c>
      <c r="R1602" s="2" t="inlineStr">
        <is>
          <t>VERIFIED_OK</t>
        </is>
      </c>
      <c r="S1602" t="n">
        <v>300.36</v>
      </c>
      <c r="T1602" t="inlineStr">
        <is>
          <t>30-07-2026 09:42 IST</t>
        </is>
      </c>
    </row>
    <row r="1603">
      <c r="A1603" t="n">
        <v>246</v>
      </c>
      <c r="B1603" t="n">
        <v>513262</v>
      </c>
      <c r="C1603" t="inlineStr">
        <is>
          <t>Steel Strips Wheels Ltd</t>
        </is>
      </c>
      <c r="D1603" t="n">
        <v>2019</v>
      </c>
      <c r="E1603" t="n">
        <v>293.9500122070312</v>
      </c>
      <c r="G1603" t="inlineStr">
        <is>
          <t>Consolidated first (v4) – needs verification for flagged rows</t>
        </is>
      </c>
      <c r="H1603" t="n">
        <v>94.19999694824219</v>
      </c>
      <c r="I1603" t="n">
        <v>72</v>
      </c>
      <c r="L1603" t="inlineStr">
        <is>
          <t>INCOMPLETE</t>
        </is>
      </c>
      <c r="O1603" t="n">
        <v>300.36</v>
      </c>
      <c r="P1603" t="n">
        <v>304.08</v>
      </c>
      <c r="Q1603" t="n">
        <v>169</v>
      </c>
      <c r="R1603" s="2" t="inlineStr">
        <is>
          <t>VERIFIED_OK</t>
        </is>
      </c>
      <c r="S1603" t="n">
        <v>300.36</v>
      </c>
      <c r="T1603" t="inlineStr">
        <is>
          <t>30-07-2026 09:42 IST</t>
        </is>
      </c>
    </row>
    <row r="1604">
      <c r="A1604" t="n">
        <v>246</v>
      </c>
      <c r="B1604" t="n">
        <v>513262</v>
      </c>
      <c r="C1604" t="inlineStr">
        <is>
          <t>Steel Strips Wheels Ltd</t>
        </is>
      </c>
      <c r="D1604" t="n">
        <v>2020</v>
      </c>
      <c r="E1604" t="n">
        <v>293.9500122070312</v>
      </c>
      <c r="G1604" t="inlineStr">
        <is>
          <t>Consolidated first (v4) – needs verification for flagged rows</t>
        </is>
      </c>
      <c r="H1604" t="n">
        <v>77.5</v>
      </c>
      <c r="I1604" t="n">
        <v>31.73500061035156</v>
      </c>
      <c r="L1604" t="inlineStr">
        <is>
          <t>INCOMPLETE</t>
        </is>
      </c>
      <c r="O1604" t="n">
        <v>300.36</v>
      </c>
      <c r="P1604" t="n">
        <v>304.08</v>
      </c>
      <c r="Q1604" t="n">
        <v>169</v>
      </c>
      <c r="R1604" s="2" t="inlineStr">
        <is>
          <t>VERIFIED_OK</t>
        </is>
      </c>
      <c r="S1604" t="n">
        <v>300.36</v>
      </c>
      <c r="T1604" t="inlineStr">
        <is>
          <t>30-07-2026 09:42 IST</t>
        </is>
      </c>
    </row>
    <row r="1605">
      <c r="A1605" t="n">
        <v>246</v>
      </c>
      <c r="B1605" t="n">
        <v>513262</v>
      </c>
      <c r="C1605" t="inlineStr">
        <is>
          <t>Steel Strips Wheels Ltd</t>
        </is>
      </c>
      <c r="D1605" t="n">
        <v>2021</v>
      </c>
      <c r="E1605" t="n">
        <v>293.9500122070312</v>
      </c>
      <c r="G1605" t="inlineStr">
        <is>
          <t>Consolidated first (v4) – needs verification for flagged rows</t>
        </is>
      </c>
      <c r="H1605" t="n">
        <v>199</v>
      </c>
      <c r="I1605" t="n">
        <v>52.70000076293945</v>
      </c>
      <c r="L1605" t="inlineStr">
        <is>
          <t>INCOMPLETE</t>
        </is>
      </c>
      <c r="O1605" t="n">
        <v>300.36</v>
      </c>
      <c r="P1605" t="n">
        <v>304.08</v>
      </c>
      <c r="Q1605" t="n">
        <v>169</v>
      </c>
      <c r="R1605" s="2" t="inlineStr">
        <is>
          <t>VERIFIED_OK</t>
        </is>
      </c>
      <c r="S1605" t="n">
        <v>300.36</v>
      </c>
      <c r="T1605" t="inlineStr">
        <is>
          <t>30-07-2026 09:42 IST</t>
        </is>
      </c>
    </row>
    <row r="1606">
      <c r="A1606" t="n">
        <v>246</v>
      </c>
      <c r="B1606" t="n">
        <v>513262</v>
      </c>
      <c r="C1606" t="inlineStr">
        <is>
          <t>Steel Strips Wheels Ltd</t>
        </is>
      </c>
      <c r="D1606" t="n">
        <v>2022</v>
      </c>
      <c r="E1606" t="n">
        <v>293.9500122070312</v>
      </c>
      <c r="F1606" t="n">
        <v>13.16</v>
      </c>
      <c r="G1606" t="inlineStr">
        <is>
          <t>Consolidated first (v4) – needs verification for flagged rows</t>
        </is>
      </c>
      <c r="H1606" t="n">
        <v>189.6900024414062</v>
      </c>
      <c r="I1606" t="n">
        <v>135.7200012207031</v>
      </c>
      <c r="L1606" t="inlineStr">
        <is>
          <t>OK</t>
        </is>
      </c>
      <c r="M1606" t="n">
        <v>14.41</v>
      </c>
      <c r="N1606" t="n">
        <v>10.31</v>
      </c>
      <c r="O1606" t="n">
        <v>300.36</v>
      </c>
      <c r="P1606" t="n">
        <v>304.08</v>
      </c>
      <c r="Q1606" t="n">
        <v>169</v>
      </c>
      <c r="R1606" s="2" t="inlineStr">
        <is>
          <t>VERIFIED_OK</t>
        </is>
      </c>
      <c r="S1606" t="n">
        <v>300.36</v>
      </c>
      <c r="T1606" t="inlineStr">
        <is>
          <t>30-07-2026 09:42 IST</t>
        </is>
      </c>
    </row>
    <row r="1607">
      <c r="A1607" t="n">
        <v>246</v>
      </c>
      <c r="B1607" t="n">
        <v>513262</v>
      </c>
      <c r="C1607" t="inlineStr">
        <is>
          <t>Steel Strips Wheels Ltd</t>
        </is>
      </c>
      <c r="D1607" t="n">
        <v>2023</v>
      </c>
      <c r="E1607" t="n">
        <v>293.9500122070312</v>
      </c>
      <c r="F1607" t="n">
        <v>12.38</v>
      </c>
      <c r="G1607" t="inlineStr">
        <is>
          <t>Consolidated first (v4) – needs verification for flagged rows</t>
        </is>
      </c>
      <c r="H1607" t="n">
        <v>298.8999938964844</v>
      </c>
      <c r="I1607" t="n">
        <v>126.1999969482422</v>
      </c>
      <c r="L1607" t="inlineStr">
        <is>
          <t>OK</t>
        </is>
      </c>
      <c r="M1607" t="n">
        <v>24.14</v>
      </c>
      <c r="N1607" t="n">
        <v>10.19</v>
      </c>
      <c r="O1607" t="n">
        <v>300.36</v>
      </c>
      <c r="P1607" t="n">
        <v>304.08</v>
      </c>
      <c r="Q1607" t="n">
        <v>169</v>
      </c>
      <c r="R1607" s="2" t="inlineStr">
        <is>
          <t>VERIFIED_OK</t>
        </is>
      </c>
      <c r="S1607" t="n">
        <v>300.36</v>
      </c>
      <c r="T1607" t="inlineStr">
        <is>
          <t>30-07-2026 09:42 IST</t>
        </is>
      </c>
    </row>
    <row r="1608">
      <c r="A1608" t="n">
        <v>246</v>
      </c>
      <c r="B1608" t="n">
        <v>513262</v>
      </c>
      <c r="C1608" t="inlineStr">
        <is>
          <t>Steel Strips Wheels Ltd</t>
        </is>
      </c>
      <c r="D1608" t="n">
        <v>2024</v>
      </c>
      <c r="E1608" t="n">
        <v>293.9500122070312</v>
      </c>
      <c r="F1608" t="n">
        <v>42.99</v>
      </c>
      <c r="G1608" t="inlineStr">
        <is>
          <t>Consolidated first (v4) – needs verification for flagged rows</t>
        </is>
      </c>
      <c r="H1608" t="n">
        <v>289.1499938964844</v>
      </c>
      <c r="I1608" t="n">
        <v>189</v>
      </c>
      <c r="L1608" t="inlineStr">
        <is>
          <t>OK</t>
        </is>
      </c>
      <c r="M1608" t="n">
        <v>6.73</v>
      </c>
      <c r="N1608" t="n">
        <v>4.4</v>
      </c>
      <c r="O1608" t="n">
        <v>300.36</v>
      </c>
      <c r="P1608" t="n">
        <v>304.08</v>
      </c>
      <c r="Q1608" t="n">
        <v>169</v>
      </c>
      <c r="R1608" s="2" t="inlineStr">
        <is>
          <t>VERIFIED_OK</t>
        </is>
      </c>
      <c r="S1608" t="n">
        <v>300.36</v>
      </c>
      <c r="T1608" t="inlineStr">
        <is>
          <t>30-07-2026 09:42 IST</t>
        </is>
      </c>
    </row>
    <row r="1609">
      <c r="A1609" t="n">
        <v>246</v>
      </c>
      <c r="B1609" t="n">
        <v>513262</v>
      </c>
      <c r="C1609" t="inlineStr">
        <is>
          <t>Steel Strips Wheels Ltd</t>
        </is>
      </c>
      <c r="D1609" t="n">
        <v>2025</v>
      </c>
      <c r="E1609" t="n">
        <v>293.9500122070312</v>
      </c>
      <c r="F1609" t="n">
        <v>12.44</v>
      </c>
      <c r="G1609" t="inlineStr">
        <is>
          <t>Consolidated first (v4) – needs verification for flagged rows</t>
        </is>
      </c>
      <c r="H1609" t="n">
        <v>279.6000061035156</v>
      </c>
      <c r="I1609" t="n">
        <v>167.5</v>
      </c>
      <c r="L1609" t="inlineStr">
        <is>
          <t>OK</t>
        </is>
      </c>
      <c r="M1609" t="n">
        <v>22.48</v>
      </c>
      <c r="N1609" t="n">
        <v>13.46</v>
      </c>
      <c r="O1609" t="n">
        <v>300.36</v>
      </c>
      <c r="P1609" t="n">
        <v>304.08</v>
      </c>
      <c r="Q1609" t="n">
        <v>169</v>
      </c>
      <c r="R1609" s="2" t="inlineStr">
        <is>
          <t>VERIFIED_OK</t>
        </is>
      </c>
      <c r="S1609" t="n">
        <v>300.36</v>
      </c>
      <c r="T1609" t="inlineStr">
        <is>
          <t>30-07-2026 09:42 IST</t>
        </is>
      </c>
    </row>
    <row r="1610">
      <c r="A1610" t="n">
        <v>246</v>
      </c>
      <c r="B1610" t="n">
        <v>513262</v>
      </c>
      <c r="C1610" t="inlineStr">
        <is>
          <t>Steel Strips Wheels Ltd</t>
        </is>
      </c>
      <c r="D1610" t="n">
        <v>2026</v>
      </c>
      <c r="E1610" t="n">
        <v>293.9500122070312</v>
      </c>
      <c r="F1610" t="n">
        <v>12.1</v>
      </c>
      <c r="G1610" t="inlineStr">
        <is>
          <t>Consolidated first (v4) – needs verification for flagged rows</t>
        </is>
      </c>
      <c r="H1610" t="n">
        <v>303.5499877929688</v>
      </c>
      <c r="I1610" t="n">
        <v>169</v>
      </c>
      <c r="L1610" t="inlineStr">
        <is>
          <t>OK</t>
        </is>
      </c>
      <c r="M1610" t="n">
        <v>25.09</v>
      </c>
      <c r="N1610" t="n">
        <v>13.97</v>
      </c>
      <c r="O1610" t="n">
        <v>300.36</v>
      </c>
      <c r="P1610" t="n">
        <v>304.08</v>
      </c>
      <c r="Q1610" t="n">
        <v>169</v>
      </c>
      <c r="R1610" s="2" t="inlineStr">
        <is>
          <t>VERIFIED_OK</t>
        </is>
      </c>
      <c r="S1610" t="n">
        <v>300.36</v>
      </c>
      <c r="T1610" t="inlineStr">
        <is>
          <t>30-07-2026 09:42 IST</t>
        </is>
      </c>
    </row>
    <row r="1611">
      <c r="A1611" t="n">
        <v>247</v>
      </c>
      <c r="B1611" t="n">
        <v>513269</v>
      </c>
      <c r="C1611" t="inlineStr">
        <is>
          <t>Man Industries India Ltd</t>
        </is>
      </c>
      <c r="D1611" t="n">
        <v>2015</v>
      </c>
      <c r="E1611" t="n">
        <v>525</v>
      </c>
      <c r="F1611" t="n">
        <v>8.82</v>
      </c>
      <c r="G1611" t="inlineStr">
        <is>
          <t>Consolidated first (v4) – needs verification for flagged rows</t>
        </is>
      </c>
      <c r="H1611" t="n">
        <v>128.3999938964844</v>
      </c>
      <c r="I1611" t="n">
        <v>44.40000152587891</v>
      </c>
      <c r="L1611" t="inlineStr">
        <is>
          <t>OK</t>
        </is>
      </c>
      <c r="M1611" t="n">
        <v>14.56</v>
      </c>
      <c r="N1611" t="n">
        <v>5.03</v>
      </c>
      <c r="O1611" t="n">
        <v>15.14</v>
      </c>
      <c r="P1611" t="n">
        <v>24</v>
      </c>
      <c r="Q1611" t="n">
        <v>9.65</v>
      </c>
      <c r="R1611" s="3" t="inlineStr">
        <is>
          <t>MISMATCH_NEEDS_CORRECTION</t>
        </is>
      </c>
      <c r="S1611" t="n">
        <v>15.14</v>
      </c>
      <c r="T1611" t="inlineStr">
        <is>
          <t>30-07-2026 09:42 IST</t>
        </is>
      </c>
    </row>
    <row r="1612">
      <c r="A1612" t="n">
        <v>247</v>
      </c>
      <c r="B1612" t="n">
        <v>513269</v>
      </c>
      <c r="C1612" t="inlineStr">
        <is>
          <t>Man Industries India Ltd</t>
        </is>
      </c>
      <c r="D1612" t="n">
        <v>2016</v>
      </c>
      <c r="E1612" t="n">
        <v>525</v>
      </c>
      <c r="F1612" t="n">
        <v>15.14</v>
      </c>
      <c r="G1612" t="inlineStr">
        <is>
          <t>Consolidated first (v4) – needs verification for flagged rows</t>
        </is>
      </c>
      <c r="H1612" t="n">
        <v>98.40000152587891</v>
      </c>
      <c r="I1612" t="n">
        <v>42.09999847412109</v>
      </c>
      <c r="L1612" t="inlineStr">
        <is>
          <t>OK</t>
        </is>
      </c>
      <c r="M1612" t="n">
        <v>6.5</v>
      </c>
      <c r="N1612" t="n">
        <v>2.78</v>
      </c>
      <c r="O1612" t="n">
        <v>15.14</v>
      </c>
      <c r="P1612" t="n">
        <v>24</v>
      </c>
      <c r="Q1612" t="n">
        <v>9.65</v>
      </c>
      <c r="R1612" s="3" t="inlineStr">
        <is>
          <t>MISMATCH_NEEDS_CORRECTION</t>
        </is>
      </c>
      <c r="S1612" t="n">
        <v>15.14</v>
      </c>
      <c r="T1612" t="inlineStr">
        <is>
          <t>30-07-2026 09:42 IST</t>
        </is>
      </c>
    </row>
    <row r="1613">
      <c r="A1613" t="n">
        <v>247</v>
      </c>
      <c r="B1613" t="n">
        <v>513269</v>
      </c>
      <c r="C1613" t="inlineStr">
        <is>
          <t>Man Industries India Ltd</t>
        </is>
      </c>
      <c r="D1613" t="n">
        <v>2017</v>
      </c>
      <c r="E1613" t="n">
        <v>525</v>
      </c>
      <c r="F1613" t="n">
        <v>5.88</v>
      </c>
      <c r="G1613" t="inlineStr">
        <is>
          <t>Consolidated first (v4) – needs verification for flagged rows</t>
        </is>
      </c>
      <c r="H1613" t="n">
        <v>137.1999969482422</v>
      </c>
      <c r="I1613" t="n">
        <v>45.40000152587891</v>
      </c>
      <c r="L1613" t="inlineStr">
        <is>
          <t>OK</t>
        </is>
      </c>
      <c r="M1613" t="n">
        <v>23.33</v>
      </c>
      <c r="N1613" t="n">
        <v>7.72</v>
      </c>
      <c r="O1613" t="n">
        <v>15.14</v>
      </c>
      <c r="P1613" t="n">
        <v>24</v>
      </c>
      <c r="Q1613" t="n">
        <v>9.65</v>
      </c>
      <c r="R1613" s="3" t="inlineStr">
        <is>
          <t>MISMATCH_NEEDS_CORRECTION</t>
        </is>
      </c>
      <c r="S1613" t="n">
        <v>15.14</v>
      </c>
      <c r="T1613" t="inlineStr">
        <is>
          <t>30-07-2026 09:42 IST</t>
        </is>
      </c>
    </row>
    <row r="1614">
      <c r="A1614" t="n">
        <v>247</v>
      </c>
      <c r="B1614" t="n">
        <v>513269</v>
      </c>
      <c r="C1614" t="inlineStr">
        <is>
          <t>Man Industries India Ltd</t>
        </is>
      </c>
      <c r="D1614" t="n">
        <v>2018</v>
      </c>
      <c r="E1614" t="n">
        <v>525</v>
      </c>
      <c r="F1614" t="n">
        <v>11.15</v>
      </c>
      <c r="G1614" t="inlineStr">
        <is>
          <t>Consolidated first (v4) – needs verification for flagged rows</t>
        </is>
      </c>
      <c r="H1614" t="n">
        <v>159.25</v>
      </c>
      <c r="I1614" t="n">
        <v>66.69999694824219</v>
      </c>
      <c r="L1614" t="inlineStr">
        <is>
          <t>OK</t>
        </is>
      </c>
      <c r="M1614" t="n">
        <v>14.28</v>
      </c>
      <c r="N1614" t="n">
        <v>5.98</v>
      </c>
      <c r="O1614" t="n">
        <v>15.14</v>
      </c>
      <c r="P1614" t="n">
        <v>24</v>
      </c>
      <c r="Q1614" t="n">
        <v>9.65</v>
      </c>
      <c r="R1614" s="3" t="inlineStr">
        <is>
          <t>MISMATCH_NEEDS_CORRECTION</t>
        </is>
      </c>
      <c r="S1614" t="n">
        <v>15.14</v>
      </c>
      <c r="T1614" t="inlineStr">
        <is>
          <t>30-07-2026 09:42 IST</t>
        </is>
      </c>
    </row>
    <row r="1615">
      <c r="A1615" t="n">
        <v>247</v>
      </c>
      <c r="B1615" t="n">
        <v>513269</v>
      </c>
      <c r="C1615" t="inlineStr">
        <is>
          <t>Man Industries India Ltd</t>
        </is>
      </c>
      <c r="D1615" t="n">
        <v>2019</v>
      </c>
      <c r="E1615" t="n">
        <v>525</v>
      </c>
      <c r="F1615" t="n">
        <v>10.3</v>
      </c>
      <c r="G1615" t="inlineStr">
        <is>
          <t>Consolidated first (v4) – needs verification for flagged rows</t>
        </is>
      </c>
      <c r="H1615" t="n">
        <v>74.30000305175781</v>
      </c>
      <c r="I1615" t="n">
        <v>34.54999923706055</v>
      </c>
      <c r="L1615" t="inlineStr">
        <is>
          <t>OK</t>
        </is>
      </c>
      <c r="M1615" t="n">
        <v>7.21</v>
      </c>
      <c r="N1615" t="n">
        <v>3.35</v>
      </c>
      <c r="O1615" t="n">
        <v>15.14</v>
      </c>
      <c r="P1615" t="n">
        <v>24</v>
      </c>
      <c r="Q1615" t="n">
        <v>9.65</v>
      </c>
      <c r="R1615" s="3" t="inlineStr">
        <is>
          <t>MISMATCH_NEEDS_CORRECTION</t>
        </is>
      </c>
      <c r="S1615" t="n">
        <v>15.14</v>
      </c>
      <c r="T1615" t="inlineStr">
        <is>
          <t>30-07-2026 09:42 IST</t>
        </is>
      </c>
    </row>
    <row r="1616">
      <c r="A1616" t="n">
        <v>247</v>
      </c>
      <c r="B1616" t="n">
        <v>513269</v>
      </c>
      <c r="C1616" t="inlineStr">
        <is>
          <t>Man Industries India Ltd</t>
        </is>
      </c>
      <c r="D1616" t="n">
        <v>2020</v>
      </c>
      <c r="E1616" t="n">
        <v>525</v>
      </c>
      <c r="F1616" t="n">
        <v>9.720000000000001</v>
      </c>
      <c r="G1616" t="inlineStr">
        <is>
          <t>Consolidated first (v4) – needs verification for flagged rows</t>
        </is>
      </c>
      <c r="H1616" t="n">
        <v>92.69999694824219</v>
      </c>
      <c r="I1616" t="n">
        <v>31</v>
      </c>
      <c r="L1616" t="inlineStr">
        <is>
          <t>OK</t>
        </is>
      </c>
      <c r="M1616" t="n">
        <v>9.539999999999999</v>
      </c>
      <c r="N1616" t="n">
        <v>3.19</v>
      </c>
      <c r="O1616" t="n">
        <v>15.14</v>
      </c>
      <c r="P1616" t="n">
        <v>24</v>
      </c>
      <c r="Q1616" t="n">
        <v>9.65</v>
      </c>
      <c r="R1616" s="3" t="inlineStr">
        <is>
          <t>MISMATCH_NEEDS_CORRECTION</t>
        </is>
      </c>
      <c r="S1616" t="n">
        <v>15.14</v>
      </c>
      <c r="T1616" t="inlineStr">
        <is>
          <t>30-07-2026 09:42 IST</t>
        </is>
      </c>
    </row>
    <row r="1617">
      <c r="A1617" t="n">
        <v>247</v>
      </c>
      <c r="B1617" t="n">
        <v>513269</v>
      </c>
      <c r="C1617" t="inlineStr">
        <is>
          <t>Man Industries India Ltd</t>
        </is>
      </c>
      <c r="D1617" t="n">
        <v>2021</v>
      </c>
      <c r="E1617" t="n">
        <v>525</v>
      </c>
      <c r="F1617" t="n">
        <v>17.66</v>
      </c>
      <c r="G1617" t="inlineStr">
        <is>
          <t>Consolidated first (v4) – needs verification for flagged rows</t>
        </is>
      </c>
      <c r="H1617" t="n">
        <v>147.1499938964844</v>
      </c>
      <c r="I1617" t="n">
        <v>71.30000305175781</v>
      </c>
      <c r="L1617" t="inlineStr">
        <is>
          <t>OK</t>
        </is>
      </c>
      <c r="M1617" t="n">
        <v>8.33</v>
      </c>
      <c r="N1617" t="n">
        <v>4.04</v>
      </c>
      <c r="O1617" t="n">
        <v>15.14</v>
      </c>
      <c r="P1617" t="n">
        <v>24</v>
      </c>
      <c r="Q1617" t="n">
        <v>9.65</v>
      </c>
      <c r="R1617" s="3" t="inlineStr">
        <is>
          <t>MISMATCH_NEEDS_CORRECTION</t>
        </is>
      </c>
      <c r="S1617" t="n">
        <v>15.14</v>
      </c>
      <c r="T1617" t="inlineStr">
        <is>
          <t>30-07-2026 09:42 IST</t>
        </is>
      </c>
    </row>
    <row r="1618">
      <c r="A1618" t="n">
        <v>247</v>
      </c>
      <c r="B1618" t="n">
        <v>513269</v>
      </c>
      <c r="C1618" t="inlineStr">
        <is>
          <t>Man Industries India Ltd</t>
        </is>
      </c>
      <c r="D1618" t="n">
        <v>2022</v>
      </c>
      <c r="E1618" t="n">
        <v>525</v>
      </c>
      <c r="F1618" t="n">
        <v>17.16</v>
      </c>
      <c r="G1618" t="inlineStr">
        <is>
          <t>Consolidated first (v4) – needs verification for flagged rows</t>
        </is>
      </c>
      <c r="H1618" t="n">
        <v>112.8499984741211</v>
      </c>
      <c r="I1618" t="n">
        <v>69.55000305175781</v>
      </c>
      <c r="L1618" t="inlineStr">
        <is>
          <t>OK</t>
        </is>
      </c>
      <c r="M1618" t="n">
        <v>6.58</v>
      </c>
      <c r="N1618" t="n">
        <v>4.05</v>
      </c>
      <c r="O1618" t="n">
        <v>15.14</v>
      </c>
      <c r="P1618" t="n">
        <v>24</v>
      </c>
      <c r="Q1618" t="n">
        <v>9.65</v>
      </c>
      <c r="R1618" s="3" t="inlineStr">
        <is>
          <t>MISMATCH_NEEDS_CORRECTION</t>
        </is>
      </c>
      <c r="S1618" t="n">
        <v>15.14</v>
      </c>
      <c r="T1618" t="inlineStr">
        <is>
          <t>30-07-2026 09:42 IST</t>
        </is>
      </c>
    </row>
    <row r="1619">
      <c r="A1619" t="n">
        <v>247</v>
      </c>
      <c r="B1619" t="n">
        <v>513269</v>
      </c>
      <c r="C1619" t="inlineStr">
        <is>
          <t>Man Industries India Ltd</t>
        </is>
      </c>
      <c r="D1619" t="n">
        <v>2023</v>
      </c>
      <c r="E1619" t="n">
        <v>525</v>
      </c>
      <c r="F1619" t="n">
        <v>11.15</v>
      </c>
      <c r="G1619" t="inlineStr">
        <is>
          <t>Consolidated first (v4) – needs verification for flagged rows</t>
        </is>
      </c>
      <c r="H1619" t="n">
        <v>289.1499938964844</v>
      </c>
      <c r="I1619" t="n">
        <v>77.19999694824219</v>
      </c>
      <c r="L1619" t="inlineStr">
        <is>
          <t>OK</t>
        </is>
      </c>
      <c r="M1619" t="n">
        <v>25.93</v>
      </c>
      <c r="N1619" t="n">
        <v>6.92</v>
      </c>
      <c r="O1619" t="n">
        <v>15.14</v>
      </c>
      <c r="P1619" t="n">
        <v>24</v>
      </c>
      <c r="Q1619" t="n">
        <v>9.65</v>
      </c>
      <c r="R1619" s="3" t="inlineStr">
        <is>
          <t>MISMATCH_NEEDS_CORRECTION</t>
        </is>
      </c>
      <c r="S1619" t="n">
        <v>15.14</v>
      </c>
      <c r="T1619" t="inlineStr">
        <is>
          <t>30-07-2026 09:42 IST</t>
        </is>
      </c>
    </row>
    <row r="1620">
      <c r="A1620" t="n">
        <v>247</v>
      </c>
      <c r="B1620" t="n">
        <v>513269</v>
      </c>
      <c r="C1620" t="inlineStr">
        <is>
          <t>Man Industries India Ltd</t>
        </is>
      </c>
      <c r="D1620" t="n">
        <v>2024</v>
      </c>
      <c r="E1620" t="n">
        <v>525</v>
      </c>
      <c r="F1620" t="n">
        <v>16.24</v>
      </c>
      <c r="G1620" t="inlineStr">
        <is>
          <t>Consolidated first (v4) – needs verification for flagged rows</t>
        </is>
      </c>
      <c r="H1620" t="n">
        <v>513</v>
      </c>
      <c r="I1620" t="n">
        <v>269.6499938964844</v>
      </c>
      <c r="L1620" t="inlineStr">
        <is>
          <t>OK</t>
        </is>
      </c>
      <c r="M1620" t="n">
        <v>31.59</v>
      </c>
      <c r="N1620" t="n">
        <v>16.6</v>
      </c>
      <c r="O1620" t="n">
        <v>15.14</v>
      </c>
      <c r="P1620" t="n">
        <v>24</v>
      </c>
      <c r="Q1620" t="n">
        <v>9.65</v>
      </c>
      <c r="R1620" s="3" t="inlineStr">
        <is>
          <t>MISMATCH_NEEDS_CORRECTION</t>
        </is>
      </c>
      <c r="S1620" t="n">
        <v>15.14</v>
      </c>
      <c r="T1620" t="inlineStr">
        <is>
          <t>30-07-2026 09:42 IST</t>
        </is>
      </c>
    </row>
    <row r="1621">
      <c r="A1621" t="n">
        <v>247</v>
      </c>
      <c r="B1621" t="n">
        <v>513269</v>
      </c>
      <c r="C1621" t="inlineStr">
        <is>
          <t>Man Industries India Ltd</t>
        </is>
      </c>
      <c r="D1621" t="n">
        <v>2025</v>
      </c>
      <c r="E1621" t="n">
        <v>525</v>
      </c>
      <c r="F1621" t="n">
        <v>23.66</v>
      </c>
      <c r="G1621" t="inlineStr">
        <is>
          <t>Consolidated first (v4) – needs verification for flagged rows</t>
        </is>
      </c>
      <c r="H1621" t="n">
        <v>490.8999938964844</v>
      </c>
      <c r="I1621" t="n">
        <v>201.4499969482422</v>
      </c>
      <c r="L1621" t="inlineStr">
        <is>
          <t>OK</t>
        </is>
      </c>
      <c r="M1621" t="n">
        <v>20.75</v>
      </c>
      <c r="N1621" t="n">
        <v>8.51</v>
      </c>
      <c r="O1621" t="n">
        <v>15.14</v>
      </c>
      <c r="P1621" t="n">
        <v>24</v>
      </c>
      <c r="Q1621" t="n">
        <v>9.65</v>
      </c>
      <c r="R1621" s="3" t="inlineStr">
        <is>
          <t>MISMATCH_NEEDS_CORRECTION</t>
        </is>
      </c>
      <c r="S1621" t="n">
        <v>15.14</v>
      </c>
      <c r="T1621" t="inlineStr">
        <is>
          <t>30-07-2026 09:42 IST</t>
        </is>
      </c>
    </row>
    <row r="1622">
      <c r="A1622" t="n">
        <v>247</v>
      </c>
      <c r="B1622" t="n">
        <v>513269</v>
      </c>
      <c r="C1622" t="inlineStr">
        <is>
          <t>Man Industries India Ltd</t>
        </is>
      </c>
      <c r="D1622" t="n">
        <v>2026</v>
      </c>
      <c r="E1622" t="n">
        <v>525</v>
      </c>
      <c r="F1622" t="n">
        <v>22.73</v>
      </c>
      <c r="G1622" t="inlineStr">
        <is>
          <t>Consolidated first (v4) – needs verification for flagged rows</t>
        </is>
      </c>
      <c r="H1622" t="n">
        <v>625.2000122070312</v>
      </c>
      <c r="I1622" t="n">
        <v>302.2999877929688</v>
      </c>
      <c r="L1622" t="inlineStr">
        <is>
          <t>OK</t>
        </is>
      </c>
      <c r="M1622" t="n">
        <v>27.51</v>
      </c>
      <c r="N1622" t="n">
        <v>13.3</v>
      </c>
      <c r="O1622" t="n">
        <v>15.14</v>
      </c>
      <c r="P1622" t="n">
        <v>24</v>
      </c>
      <c r="Q1622" t="n">
        <v>9.65</v>
      </c>
      <c r="R1622" s="3" t="inlineStr">
        <is>
          <t>MISMATCH_NEEDS_CORRECTION</t>
        </is>
      </c>
      <c r="S1622" t="n">
        <v>15.14</v>
      </c>
      <c r="T1622" t="inlineStr">
        <is>
          <t>30-07-2026 09:42 IST</t>
        </is>
      </c>
    </row>
    <row r="1623">
      <c r="A1623" t="n">
        <v>248</v>
      </c>
      <c r="B1623" t="n">
        <v>513295</v>
      </c>
      <c r="C1623" t="inlineStr">
        <is>
          <t>Imi Precision Engineering Ltd</t>
        </is>
      </c>
      <c r="D1623" t="n">
        <v>2015</v>
      </c>
      <c r="E1623" t="n">
        <v>106.5</v>
      </c>
      <c r="F1623" t="n">
        <v>0.49</v>
      </c>
      <c r="G1623" t="inlineStr">
        <is>
          <t>Consolidated first (v4) – needs verification for flagged rows</t>
        </is>
      </c>
      <c r="H1623" t="n">
        <v>211.1999969482422</v>
      </c>
      <c r="I1623" t="n">
        <v>103.2239990234375</v>
      </c>
      <c r="L1623" t="inlineStr">
        <is>
          <t>UNVERIFIED – tiny EPS &lt;0.5</t>
        </is>
      </c>
      <c r="M1623" t="n">
        <v>431.02</v>
      </c>
      <c r="N1623" t="n">
        <v>210.66</v>
      </c>
      <c r="O1623" t="n">
        <v>7.68</v>
      </c>
      <c r="P1623" t="n">
        <v>72.23</v>
      </c>
      <c r="Q1623" t="n">
        <v>6.04</v>
      </c>
      <c r="R1623" s="3" t="inlineStr">
        <is>
          <t>MISMATCH_NEEDS_CORRECTION</t>
        </is>
      </c>
      <c r="S1623" t="n">
        <v>7.68</v>
      </c>
      <c r="T1623" t="inlineStr">
        <is>
          <t>30-07-2026 09:42 IST</t>
        </is>
      </c>
    </row>
    <row r="1624">
      <c r="A1624" t="n">
        <v>248</v>
      </c>
      <c r="B1624" t="n">
        <v>513295</v>
      </c>
      <c r="C1624" t="inlineStr">
        <is>
          <t>Imi Precision Engineering Ltd</t>
        </is>
      </c>
      <c r="D1624" t="n">
        <v>2016</v>
      </c>
      <c r="E1624" t="n">
        <v>106.5</v>
      </c>
      <c r="F1624" t="n">
        <v>-19.01</v>
      </c>
      <c r="G1624" t="inlineStr">
        <is>
          <t>Consolidated first (v4) – needs verification for flagged rows</t>
        </is>
      </c>
      <c r="H1624" t="n">
        <v>174.7680053710938</v>
      </c>
      <c r="I1624" t="n">
        <v>60.71999740600586</v>
      </c>
      <c r="L1624" t="inlineStr">
        <is>
          <t>UNVERIFIED – negative EPS</t>
        </is>
      </c>
      <c r="M1624" t="n">
        <v>-9.19</v>
      </c>
      <c r="N1624" t="n">
        <v>-3.19</v>
      </c>
      <c r="O1624" t="n">
        <v>7.68</v>
      </c>
      <c r="P1624" t="n">
        <v>72.23</v>
      </c>
      <c r="Q1624" t="n">
        <v>6.04</v>
      </c>
      <c r="R1624" s="3" t="inlineStr">
        <is>
          <t>MISMATCH_NEEDS_CORRECTION</t>
        </is>
      </c>
      <c r="S1624" t="n">
        <v>7.68</v>
      </c>
      <c r="T1624" t="inlineStr">
        <is>
          <t>30-07-2026 09:42 IST</t>
        </is>
      </c>
    </row>
    <row r="1625">
      <c r="A1625" t="n">
        <v>248</v>
      </c>
      <c r="B1625" t="n">
        <v>513295</v>
      </c>
      <c r="C1625" t="inlineStr">
        <is>
          <t>Imi Precision Engineering Ltd</t>
        </is>
      </c>
      <c r="D1625" t="n">
        <v>2017</v>
      </c>
      <c r="E1625" t="n">
        <v>106.5</v>
      </c>
      <c r="F1625" t="n">
        <v>-14.85</v>
      </c>
      <c r="G1625" t="inlineStr">
        <is>
          <t>Consolidated first (v4) – needs verification for flagged rows</t>
        </is>
      </c>
      <c r="H1625" t="n">
        <v>88.70400238037109</v>
      </c>
      <c r="I1625" t="n">
        <v>36.95999908447266</v>
      </c>
      <c r="L1625" t="inlineStr">
        <is>
          <t>UNVERIFIED – negative EPS</t>
        </is>
      </c>
      <c r="M1625" t="n">
        <v>-5.97</v>
      </c>
      <c r="N1625" t="n">
        <v>-2.49</v>
      </c>
      <c r="O1625" t="n">
        <v>7.68</v>
      </c>
      <c r="P1625" t="n">
        <v>72.23</v>
      </c>
      <c r="Q1625" t="n">
        <v>6.04</v>
      </c>
      <c r="R1625" s="3" t="inlineStr">
        <is>
          <t>MISMATCH_NEEDS_CORRECTION</t>
        </is>
      </c>
      <c r="S1625" t="n">
        <v>7.68</v>
      </c>
      <c r="T1625" t="inlineStr">
        <is>
          <t>30-07-2026 09:42 IST</t>
        </is>
      </c>
    </row>
    <row r="1626">
      <c r="A1626" t="n">
        <v>248</v>
      </c>
      <c r="B1626" t="n">
        <v>513295</v>
      </c>
      <c r="C1626" t="inlineStr">
        <is>
          <t>Imi Precision Engineering Ltd</t>
        </is>
      </c>
      <c r="D1626" t="n">
        <v>2018</v>
      </c>
      <c r="E1626" t="n">
        <v>106.5</v>
      </c>
      <c r="F1626" t="n">
        <v>-12.54</v>
      </c>
      <c r="G1626" t="inlineStr">
        <is>
          <t>Consolidated first (v4) – needs verification for flagged rows</t>
        </is>
      </c>
      <c r="H1626" t="n">
        <v>61.24799728393555</v>
      </c>
      <c r="I1626" t="n">
        <v>26.39999961853027</v>
      </c>
      <c r="L1626" t="inlineStr">
        <is>
          <t>UNVERIFIED – negative EPS</t>
        </is>
      </c>
      <c r="M1626" t="n">
        <v>-4.88</v>
      </c>
      <c r="N1626" t="n">
        <v>-2.11</v>
      </c>
      <c r="O1626" t="n">
        <v>7.68</v>
      </c>
      <c r="P1626" t="n">
        <v>72.23</v>
      </c>
      <c r="Q1626" t="n">
        <v>6.04</v>
      </c>
      <c r="R1626" s="3" t="inlineStr">
        <is>
          <t>MISMATCH_NEEDS_CORRECTION</t>
        </is>
      </c>
      <c r="S1626" t="n">
        <v>7.68</v>
      </c>
      <c r="T1626" t="inlineStr">
        <is>
          <t>30-07-2026 09:42 IST</t>
        </is>
      </c>
    </row>
    <row r="1627">
      <c r="A1627" t="n">
        <v>248</v>
      </c>
      <c r="B1627" t="n">
        <v>513295</v>
      </c>
      <c r="C1627" t="inlineStr">
        <is>
          <t>Imi Precision Engineering Ltd</t>
        </is>
      </c>
      <c r="D1627" t="n">
        <v>2019</v>
      </c>
      <c r="E1627" t="n">
        <v>106.5</v>
      </c>
      <c r="F1627" t="n">
        <v>-6.47</v>
      </c>
      <c r="G1627" t="inlineStr">
        <is>
          <t>Consolidated first (v4) – needs verification for flagged rows</t>
        </is>
      </c>
      <c r="H1627" t="n">
        <v>58.07999801635742</v>
      </c>
      <c r="I1627" t="n">
        <v>43.03199768066406</v>
      </c>
      <c r="L1627" t="inlineStr">
        <is>
          <t>UNVERIFIED – negative EPS</t>
        </is>
      </c>
      <c r="M1627" t="n">
        <v>-8.98</v>
      </c>
      <c r="N1627" t="n">
        <v>-6.65</v>
      </c>
      <c r="O1627" t="n">
        <v>7.68</v>
      </c>
      <c r="P1627" t="n">
        <v>72.23</v>
      </c>
      <c r="Q1627" t="n">
        <v>6.04</v>
      </c>
      <c r="R1627" s="3" t="inlineStr">
        <is>
          <t>MISMATCH_NEEDS_CORRECTION</t>
        </is>
      </c>
      <c r="S1627" t="n">
        <v>7.68</v>
      </c>
      <c r="T1627" t="inlineStr">
        <is>
          <t>30-07-2026 09:42 IST</t>
        </is>
      </c>
    </row>
    <row r="1628">
      <c r="A1628" t="n">
        <v>248</v>
      </c>
      <c r="B1628" t="n">
        <v>513295</v>
      </c>
      <c r="C1628" t="inlineStr">
        <is>
          <t>Imi Precision Engineering Ltd</t>
        </is>
      </c>
      <c r="D1628" t="n">
        <v>2020</v>
      </c>
      <c r="E1628" t="n">
        <v>106.5</v>
      </c>
      <c r="F1628" t="n">
        <v>-13.54</v>
      </c>
      <c r="G1628" t="inlineStr">
        <is>
          <t>Consolidated first (v4) – needs verification for flagged rows</t>
        </is>
      </c>
      <c r="H1628" t="n">
        <v>76.29599761962891</v>
      </c>
      <c r="I1628" t="n">
        <v>21.38399887084961</v>
      </c>
      <c r="L1628" t="inlineStr">
        <is>
          <t>UNVERIFIED – negative EPS</t>
        </is>
      </c>
      <c r="M1628" t="n">
        <v>-5.63</v>
      </c>
      <c r="N1628" t="n">
        <v>-1.58</v>
      </c>
      <c r="O1628" t="n">
        <v>7.68</v>
      </c>
      <c r="P1628" t="n">
        <v>72.23</v>
      </c>
      <c r="Q1628" t="n">
        <v>6.04</v>
      </c>
      <c r="R1628" s="3" t="inlineStr">
        <is>
          <t>MISMATCH_NEEDS_CORRECTION</t>
        </is>
      </c>
      <c r="S1628" t="n">
        <v>7.68</v>
      </c>
      <c r="T1628" t="inlineStr">
        <is>
          <t>30-07-2026 09:42 IST</t>
        </is>
      </c>
    </row>
    <row r="1629">
      <c r="A1629" t="n">
        <v>248</v>
      </c>
      <c r="B1629" t="n">
        <v>513295</v>
      </c>
      <c r="C1629" t="inlineStr">
        <is>
          <t>Imi Precision Engineering Ltd</t>
        </is>
      </c>
      <c r="D1629" t="n">
        <v>2021</v>
      </c>
      <c r="E1629" t="n">
        <v>106.5</v>
      </c>
      <c r="F1629" t="n">
        <v>-1.56</v>
      </c>
      <c r="G1629" t="inlineStr">
        <is>
          <t>Consolidated first (v4) – needs verification for flagged rows</t>
        </is>
      </c>
      <c r="H1629" t="n">
        <v>92.92800140380859</v>
      </c>
      <c r="I1629" t="n">
        <v>22.70399856567383</v>
      </c>
      <c r="L1629" t="inlineStr">
        <is>
          <t>UNVERIFIED – negative EPS</t>
        </is>
      </c>
      <c r="M1629" t="n">
        <v>-59.57</v>
      </c>
      <c r="N1629" t="n">
        <v>-14.55</v>
      </c>
      <c r="O1629" t="n">
        <v>7.68</v>
      </c>
      <c r="P1629" t="n">
        <v>72.23</v>
      </c>
      <c r="Q1629" t="n">
        <v>6.04</v>
      </c>
      <c r="R1629" s="3" t="inlineStr">
        <is>
          <t>MISMATCH_NEEDS_CORRECTION</t>
        </is>
      </c>
      <c r="S1629" t="n">
        <v>7.68</v>
      </c>
      <c r="T1629" t="inlineStr">
        <is>
          <t>30-07-2026 09:42 IST</t>
        </is>
      </c>
    </row>
    <row r="1630">
      <c r="A1630" t="n">
        <v>248</v>
      </c>
      <c r="B1630" t="n">
        <v>513295</v>
      </c>
      <c r="C1630" t="inlineStr">
        <is>
          <t>Imi Precision Engineering Ltd</t>
        </is>
      </c>
      <c r="D1630" t="n">
        <v>2022</v>
      </c>
      <c r="E1630" t="n">
        <v>106.5</v>
      </c>
      <c r="F1630" t="n">
        <v>-0.8100000000000001</v>
      </c>
      <c r="G1630" t="inlineStr">
        <is>
          <t>Consolidated first (v4) – needs verification for flagged rows</t>
        </is>
      </c>
      <c r="H1630" t="n">
        <v>100.5839996337891</v>
      </c>
      <c r="I1630" t="n">
        <v>41.18399810791016</v>
      </c>
      <c r="L1630" t="inlineStr">
        <is>
          <t>UNVERIFIED – negative EPS</t>
        </is>
      </c>
      <c r="M1630" t="n">
        <v>-124.18</v>
      </c>
      <c r="N1630" t="n">
        <v>-50.84</v>
      </c>
      <c r="O1630" t="n">
        <v>7.68</v>
      </c>
      <c r="P1630" t="n">
        <v>72.23</v>
      </c>
      <c r="Q1630" t="n">
        <v>6.04</v>
      </c>
      <c r="R1630" s="3" t="inlineStr">
        <is>
          <t>MISMATCH_NEEDS_CORRECTION</t>
        </is>
      </c>
      <c r="S1630" t="n">
        <v>7.68</v>
      </c>
      <c r="T1630" t="inlineStr">
        <is>
          <t>30-07-2026 09:42 IST</t>
        </is>
      </c>
    </row>
    <row r="1631">
      <c r="A1631" t="n">
        <v>248</v>
      </c>
      <c r="B1631" t="n">
        <v>513295</v>
      </c>
      <c r="C1631" t="inlineStr">
        <is>
          <t>Imi Precision Engineering Ltd</t>
        </is>
      </c>
      <c r="D1631" t="n">
        <v>2023</v>
      </c>
      <c r="E1631" t="n">
        <v>106.5</v>
      </c>
      <c r="F1631" t="n">
        <v>-0.91</v>
      </c>
      <c r="G1631" t="inlineStr">
        <is>
          <t>Consolidated first (v4) – needs verification for flagged rows</t>
        </is>
      </c>
      <c r="H1631" t="n">
        <v>59.92799758911133</v>
      </c>
      <c r="I1631" t="n">
        <v>2.700000047683716</v>
      </c>
      <c r="L1631" t="inlineStr">
        <is>
          <t>UNVERIFIED – negative EPS</t>
        </is>
      </c>
      <c r="M1631" t="n">
        <v>-65.84999999999999</v>
      </c>
      <c r="N1631" t="n">
        <v>-2.97</v>
      </c>
      <c r="O1631" t="n">
        <v>7.68</v>
      </c>
      <c r="P1631" t="n">
        <v>72.23</v>
      </c>
      <c r="Q1631" t="n">
        <v>6.04</v>
      </c>
      <c r="R1631" s="3" t="inlineStr">
        <is>
          <t>MISMATCH_NEEDS_CORRECTION</t>
        </is>
      </c>
      <c r="S1631" t="n">
        <v>7.68</v>
      </c>
      <c r="T1631" t="inlineStr">
        <is>
          <t>30-07-2026 09:42 IST</t>
        </is>
      </c>
    </row>
    <row r="1632">
      <c r="A1632" t="n">
        <v>248</v>
      </c>
      <c r="B1632" t="n">
        <v>513295</v>
      </c>
      <c r="C1632" t="inlineStr">
        <is>
          <t>Imi Precision Engineering Ltd</t>
        </is>
      </c>
      <c r="D1632" t="n">
        <v>2024</v>
      </c>
      <c r="E1632" t="n">
        <v>106.5</v>
      </c>
      <c r="F1632" t="n">
        <v>1578.21</v>
      </c>
      <c r="G1632" t="inlineStr">
        <is>
          <t>Consolidated first (v4) – needs verification for flagged rows</t>
        </is>
      </c>
      <c r="H1632" t="n">
        <v>61.68999862670898</v>
      </c>
      <c r="I1632" t="n">
        <v>4.760000228881836</v>
      </c>
      <c r="L1632" t="inlineStr">
        <is>
          <t>OK</t>
        </is>
      </c>
      <c r="M1632" t="n">
        <v>0.04</v>
      </c>
      <c r="N1632" t="n">
        <v>0</v>
      </c>
      <c r="O1632" t="n">
        <v>7.68</v>
      </c>
      <c r="P1632" t="n">
        <v>72.23</v>
      </c>
      <c r="Q1632" t="n">
        <v>6.04</v>
      </c>
      <c r="R1632" s="3" t="inlineStr">
        <is>
          <t>MISMATCH_NEEDS_CORRECTION</t>
        </is>
      </c>
      <c r="S1632" t="n">
        <v>7.68</v>
      </c>
      <c r="T1632" t="inlineStr">
        <is>
          <t>30-07-2026 09:42 IST</t>
        </is>
      </c>
    </row>
    <row r="1633">
      <c r="A1633" t="n">
        <v>248</v>
      </c>
      <c r="B1633" t="n">
        <v>513295</v>
      </c>
      <c r="C1633" t="inlineStr">
        <is>
          <t>Imi Precision Engineering Ltd</t>
        </is>
      </c>
      <c r="D1633" t="n">
        <v>2025</v>
      </c>
      <c r="E1633" t="n">
        <v>106.5</v>
      </c>
      <c r="G1633" t="inlineStr">
        <is>
          <t>Consolidated first (v4) – needs verification for flagged rows</t>
        </is>
      </c>
      <c r="H1633" t="n">
        <v>448.3500061035156</v>
      </c>
      <c r="I1633" t="n">
        <v>54.15000152587891</v>
      </c>
      <c r="L1633" t="inlineStr">
        <is>
          <t>INCOMPLETE</t>
        </is>
      </c>
      <c r="O1633" t="n">
        <v>7.68</v>
      </c>
      <c r="P1633" t="n">
        <v>72.23</v>
      </c>
      <c r="Q1633" t="n">
        <v>6.04</v>
      </c>
      <c r="R1633" s="3" t="inlineStr">
        <is>
          <t>MISMATCH_NEEDS_CORRECTION</t>
        </is>
      </c>
      <c r="S1633" t="n">
        <v>7.68</v>
      </c>
      <c r="T1633" t="inlineStr">
        <is>
          <t>30-07-2026 09:42 IST</t>
        </is>
      </c>
    </row>
    <row r="1634">
      <c r="A1634" t="n">
        <v>248</v>
      </c>
      <c r="B1634" t="n">
        <v>513295</v>
      </c>
      <c r="C1634" t="inlineStr">
        <is>
          <t>Imi Precision Engineering Ltd</t>
        </is>
      </c>
      <c r="D1634" t="n">
        <v>2026</v>
      </c>
      <c r="E1634" t="n">
        <v>106.5</v>
      </c>
      <c r="G1634" t="inlineStr">
        <is>
          <t>Consolidated first (v4) – needs verification for flagged rows</t>
        </is>
      </c>
      <c r="H1634" t="n">
        <v>395</v>
      </c>
      <c r="I1634" t="n">
        <v>99</v>
      </c>
      <c r="L1634" t="inlineStr">
        <is>
          <t>INCOMPLETE</t>
        </is>
      </c>
      <c r="O1634" t="n">
        <v>7.68</v>
      </c>
      <c r="P1634" t="n">
        <v>72.23</v>
      </c>
      <c r="Q1634" t="n">
        <v>6.04</v>
      </c>
      <c r="R1634" s="3" t="inlineStr">
        <is>
          <t>MISMATCH_NEEDS_CORRECTION</t>
        </is>
      </c>
      <c r="S1634" t="n">
        <v>7.68</v>
      </c>
      <c r="T1634" t="inlineStr">
        <is>
          <t>30-07-2026 09:42 IST</t>
        </is>
      </c>
    </row>
    <row r="1635">
      <c r="A1635" t="n">
        <v>249</v>
      </c>
      <c r="B1635" t="n">
        <v>513307</v>
      </c>
      <c r="C1635" t="inlineStr">
        <is>
          <t>Hindustan Basic Industries</t>
        </is>
      </c>
      <c r="D1635" t="n">
        <v>2015</v>
      </c>
      <c r="E1635" t="n">
        <v>991.5</v>
      </c>
      <c r="F1635" t="n">
        <v>5.62</v>
      </c>
      <c r="G1635" t="inlineStr">
        <is>
          <t>Consolidated first (v4) – needs verification for flagged rows</t>
        </is>
      </c>
      <c r="H1635" t="n">
        <v>54.5</v>
      </c>
      <c r="I1635" t="n">
        <v>19.35000038146973</v>
      </c>
      <c r="L1635" t="inlineStr">
        <is>
          <t>OK</t>
        </is>
      </c>
      <c r="M1635" t="n">
        <v>9.699999999999999</v>
      </c>
      <c r="N1635" t="n">
        <v>3.44</v>
      </c>
      <c r="O1635" t="n">
        <v>64.19</v>
      </c>
      <c r="P1635" t="n">
        <v>124</v>
      </c>
      <c r="Q1635" t="n">
        <v>57.21</v>
      </c>
      <c r="R1635" s="3" t="inlineStr">
        <is>
          <t>MISMATCH_NEEDS_CORRECTION</t>
        </is>
      </c>
      <c r="S1635" t="n">
        <v>64.19</v>
      </c>
      <c r="T1635" t="inlineStr">
        <is>
          <t>30-07-2026 09:42 IST</t>
        </is>
      </c>
    </row>
    <row r="1636">
      <c r="A1636" t="n">
        <v>249</v>
      </c>
      <c r="B1636" t="n">
        <v>513307</v>
      </c>
      <c r="C1636" t="inlineStr">
        <is>
          <t>Hindustan Basic Industries</t>
        </is>
      </c>
      <c r="D1636" t="n">
        <v>2016</v>
      </c>
      <c r="E1636" t="n">
        <v>991.5</v>
      </c>
      <c r="F1636" t="n">
        <v>2.11</v>
      </c>
      <c r="G1636" t="inlineStr">
        <is>
          <t>Consolidated first (v4) – needs verification for flagged rows</t>
        </is>
      </c>
      <c r="H1636" t="n">
        <v>47.45000076293945</v>
      </c>
      <c r="I1636" t="n">
        <v>21</v>
      </c>
      <c r="L1636" t="inlineStr">
        <is>
          <t>OK</t>
        </is>
      </c>
      <c r="M1636" t="n">
        <v>22.49</v>
      </c>
      <c r="N1636" t="n">
        <v>9.949999999999999</v>
      </c>
      <c r="O1636" t="n">
        <v>64.19</v>
      </c>
      <c r="P1636" t="n">
        <v>124</v>
      </c>
      <c r="Q1636" t="n">
        <v>57.21</v>
      </c>
      <c r="R1636" s="3" t="inlineStr">
        <is>
          <t>MISMATCH_NEEDS_CORRECTION</t>
        </is>
      </c>
      <c r="S1636" t="n">
        <v>64.19</v>
      </c>
      <c r="T1636" t="inlineStr">
        <is>
          <t>30-07-2026 09:42 IST</t>
        </is>
      </c>
    </row>
    <row r="1637">
      <c r="A1637" t="n">
        <v>249</v>
      </c>
      <c r="B1637" t="n">
        <v>513307</v>
      </c>
      <c r="C1637" t="inlineStr">
        <is>
          <t>Hindustan Basic Industries</t>
        </is>
      </c>
      <c r="D1637" t="n">
        <v>2017</v>
      </c>
      <c r="E1637" t="n">
        <v>991.5</v>
      </c>
      <c r="F1637" t="n">
        <v>2.33</v>
      </c>
      <c r="G1637" t="inlineStr">
        <is>
          <t>Consolidated first (v4) – needs verification for flagged rows</t>
        </is>
      </c>
      <c r="H1637" t="n">
        <v>72.90000152587891</v>
      </c>
      <c r="I1637" t="n">
        <v>21</v>
      </c>
      <c r="L1637" t="inlineStr">
        <is>
          <t>OK</t>
        </is>
      </c>
      <c r="M1637" t="n">
        <v>31.29</v>
      </c>
      <c r="N1637" t="n">
        <v>9.01</v>
      </c>
      <c r="O1637" t="n">
        <v>64.19</v>
      </c>
      <c r="P1637" t="n">
        <v>124</v>
      </c>
      <c r="Q1637" t="n">
        <v>57.21</v>
      </c>
      <c r="R1637" s="3" t="inlineStr">
        <is>
          <t>MISMATCH_NEEDS_CORRECTION</t>
        </is>
      </c>
      <c r="S1637" t="n">
        <v>64.19</v>
      </c>
      <c r="T1637" t="inlineStr">
        <is>
          <t>30-07-2026 09:42 IST</t>
        </is>
      </c>
    </row>
    <row r="1638">
      <c r="A1638" t="n">
        <v>249</v>
      </c>
      <c r="B1638" t="n">
        <v>513307</v>
      </c>
      <c r="C1638" t="inlineStr">
        <is>
          <t>Hindustan Basic Industries</t>
        </is>
      </c>
      <c r="D1638" t="n">
        <v>2018</v>
      </c>
      <c r="E1638" t="n">
        <v>991.5</v>
      </c>
      <c r="F1638" t="n">
        <v>4.67</v>
      </c>
      <c r="G1638" t="inlineStr">
        <is>
          <t>Consolidated first (v4) – needs verification for flagged rows</t>
        </is>
      </c>
      <c r="H1638" t="n">
        <v>101.5</v>
      </c>
      <c r="I1638" t="n">
        <v>47</v>
      </c>
      <c r="L1638" t="inlineStr">
        <is>
          <t>OK</t>
        </is>
      </c>
      <c r="M1638" t="n">
        <v>21.73</v>
      </c>
      <c r="N1638" t="n">
        <v>10.06</v>
      </c>
      <c r="O1638" t="n">
        <v>64.19</v>
      </c>
      <c r="P1638" t="n">
        <v>124</v>
      </c>
      <c r="Q1638" t="n">
        <v>57.21</v>
      </c>
      <c r="R1638" s="3" t="inlineStr">
        <is>
          <t>MISMATCH_NEEDS_CORRECTION</t>
        </is>
      </c>
      <c r="S1638" t="n">
        <v>64.19</v>
      </c>
      <c r="T1638" t="inlineStr">
        <is>
          <t>30-07-2026 09:42 IST</t>
        </is>
      </c>
    </row>
    <row r="1639">
      <c r="A1639" t="n">
        <v>249</v>
      </c>
      <c r="B1639" t="n">
        <v>513307</v>
      </c>
      <c r="C1639" t="inlineStr">
        <is>
          <t>Hindustan Basic Industries</t>
        </is>
      </c>
      <c r="D1639" t="n">
        <v>2019</v>
      </c>
      <c r="E1639" t="n">
        <v>991.5</v>
      </c>
      <c r="F1639" t="n">
        <v>4.89</v>
      </c>
      <c r="G1639" t="inlineStr">
        <is>
          <t>Consolidated first (v4) – needs verification for flagged rows</t>
        </is>
      </c>
      <c r="H1639" t="n">
        <v>63.29999923706055</v>
      </c>
      <c r="I1639" t="n">
        <v>38.09999847412109</v>
      </c>
      <c r="L1639" t="inlineStr">
        <is>
          <t>OK</t>
        </is>
      </c>
      <c r="M1639" t="n">
        <v>12.94</v>
      </c>
      <c r="N1639" t="n">
        <v>7.79</v>
      </c>
      <c r="O1639" t="n">
        <v>64.19</v>
      </c>
      <c r="P1639" t="n">
        <v>124</v>
      </c>
      <c r="Q1639" t="n">
        <v>57.21</v>
      </c>
      <c r="R1639" s="3" t="inlineStr">
        <is>
          <t>MISMATCH_NEEDS_CORRECTION</t>
        </is>
      </c>
      <c r="S1639" t="n">
        <v>64.19</v>
      </c>
      <c r="T1639" t="inlineStr">
        <is>
          <t>30-07-2026 09:42 IST</t>
        </is>
      </c>
    </row>
    <row r="1640">
      <c r="A1640" t="n">
        <v>249</v>
      </c>
      <c r="B1640" t="n">
        <v>513307</v>
      </c>
      <c r="C1640" t="inlineStr">
        <is>
          <t>Hindustan Basic Industries</t>
        </is>
      </c>
      <c r="D1640" t="n">
        <v>2020</v>
      </c>
      <c r="E1640" t="n">
        <v>991.5</v>
      </c>
      <c r="F1640" t="n">
        <v>5.11</v>
      </c>
      <c r="G1640" t="inlineStr">
        <is>
          <t>Consolidated first (v4) – needs verification for flagged rows</t>
        </is>
      </c>
      <c r="H1640" t="n">
        <v>66.40000152587891</v>
      </c>
      <c r="I1640" t="n">
        <v>40.09999847412109</v>
      </c>
      <c r="L1640" t="inlineStr">
        <is>
          <t>OK</t>
        </is>
      </c>
      <c r="M1640" t="n">
        <v>12.99</v>
      </c>
      <c r="N1640" t="n">
        <v>7.85</v>
      </c>
      <c r="O1640" t="n">
        <v>64.19</v>
      </c>
      <c r="P1640" t="n">
        <v>124</v>
      </c>
      <c r="Q1640" t="n">
        <v>57.21</v>
      </c>
      <c r="R1640" s="3" t="inlineStr">
        <is>
          <t>MISMATCH_NEEDS_CORRECTION</t>
        </is>
      </c>
      <c r="S1640" t="n">
        <v>64.19</v>
      </c>
      <c r="T1640" t="inlineStr">
        <is>
          <t>30-07-2026 09:42 IST</t>
        </is>
      </c>
    </row>
    <row r="1641">
      <c r="A1641" t="n">
        <v>249</v>
      </c>
      <c r="B1641" t="n">
        <v>513307</v>
      </c>
      <c r="C1641" t="inlineStr">
        <is>
          <t>Hindustan Basic Industries</t>
        </is>
      </c>
      <c r="D1641" t="n">
        <v>2021</v>
      </c>
      <c r="E1641" t="n">
        <v>991.5</v>
      </c>
      <c r="F1641" t="n">
        <v>4.22</v>
      </c>
      <c r="G1641" t="inlineStr">
        <is>
          <t>Consolidated first (v4) – needs verification for flagged rows</t>
        </is>
      </c>
      <c r="H1641" t="n">
        <v>133.8000030517578</v>
      </c>
      <c r="I1641" t="n">
        <v>37.59999847412109</v>
      </c>
      <c r="L1641" t="inlineStr">
        <is>
          <t>OK</t>
        </is>
      </c>
      <c r="M1641" t="n">
        <v>31.71</v>
      </c>
      <c r="N1641" t="n">
        <v>8.91</v>
      </c>
      <c r="O1641" t="n">
        <v>64.19</v>
      </c>
      <c r="P1641" t="n">
        <v>124</v>
      </c>
      <c r="Q1641" t="n">
        <v>57.21</v>
      </c>
      <c r="R1641" s="3" t="inlineStr">
        <is>
          <t>MISMATCH_NEEDS_CORRECTION</t>
        </is>
      </c>
      <c r="S1641" t="n">
        <v>64.19</v>
      </c>
      <c r="T1641" t="inlineStr">
        <is>
          <t>30-07-2026 09:42 IST</t>
        </is>
      </c>
    </row>
    <row r="1642">
      <c r="A1642" t="n">
        <v>249</v>
      </c>
      <c r="B1642" t="n">
        <v>513307</v>
      </c>
      <c r="C1642" t="inlineStr">
        <is>
          <t>Hindustan Basic Industries</t>
        </is>
      </c>
      <c r="D1642" t="n">
        <v>2022</v>
      </c>
      <c r="E1642" t="n">
        <v>991.5</v>
      </c>
      <c r="F1642" t="n">
        <v>10.22</v>
      </c>
      <c r="G1642" t="inlineStr">
        <is>
          <t>Consolidated first (v4) – needs verification for flagged rows</t>
        </is>
      </c>
      <c r="H1642" t="n">
        <v>785.4000244140625</v>
      </c>
      <c r="I1642" t="n">
        <v>53.20000076293945</v>
      </c>
      <c r="L1642" t="inlineStr">
        <is>
          <t>OK</t>
        </is>
      </c>
      <c r="M1642" t="n">
        <v>76.84999999999999</v>
      </c>
      <c r="N1642" t="n">
        <v>5.21</v>
      </c>
      <c r="O1642" t="n">
        <v>64.19</v>
      </c>
      <c r="P1642" t="n">
        <v>124</v>
      </c>
      <c r="Q1642" t="n">
        <v>57.21</v>
      </c>
      <c r="R1642" s="3" t="inlineStr">
        <is>
          <t>MISMATCH_NEEDS_CORRECTION</t>
        </is>
      </c>
      <c r="S1642" t="n">
        <v>64.19</v>
      </c>
      <c r="T1642" t="inlineStr">
        <is>
          <t>30-07-2026 09:42 IST</t>
        </is>
      </c>
    </row>
    <row r="1643">
      <c r="A1643" t="n">
        <v>249</v>
      </c>
      <c r="B1643" t="n">
        <v>513307</v>
      </c>
      <c r="C1643" t="inlineStr">
        <is>
          <t>Hindustan Basic Industries</t>
        </is>
      </c>
      <c r="D1643" t="n">
        <v>2023</v>
      </c>
      <c r="E1643" t="n">
        <v>991.5</v>
      </c>
      <c r="F1643" t="n">
        <v>1.89</v>
      </c>
      <c r="G1643" t="inlineStr">
        <is>
          <t>Consolidated first (v4) – needs verification for flagged rows</t>
        </is>
      </c>
      <c r="H1643" t="n">
        <v>545.5</v>
      </c>
      <c r="I1643" t="n">
        <v>121.6600036621094</v>
      </c>
      <c r="L1643" t="inlineStr">
        <is>
          <t>OK</t>
        </is>
      </c>
      <c r="M1643" t="n">
        <v>288.62</v>
      </c>
      <c r="N1643" t="n">
        <v>64.37</v>
      </c>
      <c r="O1643" t="n">
        <v>64.19</v>
      </c>
      <c r="P1643" t="n">
        <v>124</v>
      </c>
      <c r="Q1643" t="n">
        <v>57.21</v>
      </c>
      <c r="R1643" s="3" t="inlineStr">
        <is>
          <t>MISMATCH_NEEDS_CORRECTION</t>
        </is>
      </c>
      <c r="S1643" t="n">
        <v>64.19</v>
      </c>
      <c r="T1643" t="inlineStr">
        <is>
          <t>30-07-2026 09:42 IST</t>
        </is>
      </c>
    </row>
    <row r="1644">
      <c r="A1644" t="n">
        <v>249</v>
      </c>
      <c r="B1644" t="n">
        <v>513307</v>
      </c>
      <c r="C1644" t="inlineStr">
        <is>
          <t>Hindustan Basic Industries</t>
        </is>
      </c>
      <c r="D1644" t="n">
        <v>2024</v>
      </c>
      <c r="E1644" t="n">
        <v>991.5</v>
      </c>
      <c r="F1644" t="n">
        <v>2.44</v>
      </c>
      <c r="G1644" t="inlineStr">
        <is>
          <t>Consolidated first (v4) – needs verification for flagged rows</t>
        </is>
      </c>
      <c r="H1644" t="n">
        <v>251.1999969482422</v>
      </c>
      <c r="I1644" t="n">
        <v>114.4199981689453</v>
      </c>
      <c r="L1644" t="inlineStr">
        <is>
          <t>OK</t>
        </is>
      </c>
      <c r="M1644" t="n">
        <v>102.95</v>
      </c>
      <c r="N1644" t="n">
        <v>46.89</v>
      </c>
      <c r="O1644" t="n">
        <v>64.19</v>
      </c>
      <c r="P1644" t="n">
        <v>124</v>
      </c>
      <c r="Q1644" t="n">
        <v>57.21</v>
      </c>
      <c r="R1644" s="3" t="inlineStr">
        <is>
          <t>MISMATCH_NEEDS_CORRECTION</t>
        </is>
      </c>
      <c r="S1644" t="n">
        <v>64.19</v>
      </c>
      <c r="T1644" t="inlineStr">
        <is>
          <t>30-07-2026 09:42 IST</t>
        </is>
      </c>
    </row>
    <row r="1645">
      <c r="A1645" t="n">
        <v>249</v>
      </c>
      <c r="B1645" t="n">
        <v>513307</v>
      </c>
      <c r="C1645" t="inlineStr">
        <is>
          <t>Hindustan Basic Industries</t>
        </is>
      </c>
      <c r="D1645" t="n">
        <v>2025</v>
      </c>
      <c r="E1645" t="n">
        <v>991.5</v>
      </c>
      <c r="F1645" t="n">
        <v>2.67</v>
      </c>
      <c r="G1645" t="inlineStr">
        <is>
          <t>Consolidated first (v4) – needs verification for flagged rows</t>
        </is>
      </c>
      <c r="H1645" t="n">
        <v>1750.25</v>
      </c>
      <c r="I1645" t="n">
        <v>200.1000061035156</v>
      </c>
      <c r="L1645" t="inlineStr">
        <is>
          <t>OK</t>
        </is>
      </c>
      <c r="M1645" t="n">
        <v>655.52</v>
      </c>
      <c r="N1645" t="n">
        <v>74.94</v>
      </c>
      <c r="O1645" t="n">
        <v>64.19</v>
      </c>
      <c r="P1645" t="n">
        <v>124</v>
      </c>
      <c r="Q1645" t="n">
        <v>57.21</v>
      </c>
      <c r="R1645" s="3" t="inlineStr">
        <is>
          <t>MISMATCH_NEEDS_CORRECTION</t>
        </is>
      </c>
      <c r="S1645" t="n">
        <v>64.19</v>
      </c>
      <c r="T1645" t="inlineStr">
        <is>
          <t>30-07-2026 09:42 IST</t>
        </is>
      </c>
    </row>
    <row r="1646">
      <c r="A1646" t="n">
        <v>249</v>
      </c>
      <c r="B1646" t="n">
        <v>513307</v>
      </c>
      <c r="C1646" t="inlineStr">
        <is>
          <t>Hindustan Basic Industries</t>
        </is>
      </c>
      <c r="D1646" t="n">
        <v>2026</v>
      </c>
      <c r="E1646" t="n">
        <v>991.5</v>
      </c>
      <c r="F1646" t="n">
        <v>-0.57</v>
      </c>
      <c r="G1646" t="inlineStr">
        <is>
          <t>Consolidated first (v4) – needs verification for flagged rows</t>
        </is>
      </c>
      <c r="H1646" t="n">
        <v>2400</v>
      </c>
      <c r="I1646" t="n">
        <v>957.0499877929688</v>
      </c>
      <c r="L1646" t="inlineStr">
        <is>
          <t>UNVERIFIED – negative EPS</t>
        </is>
      </c>
      <c r="M1646" t="n">
        <v>-4210.53</v>
      </c>
      <c r="N1646" t="n">
        <v>-1679.04</v>
      </c>
      <c r="O1646" t="n">
        <v>64.19</v>
      </c>
      <c r="P1646" t="n">
        <v>124</v>
      </c>
      <c r="Q1646" t="n">
        <v>57.21</v>
      </c>
      <c r="R1646" s="3" t="inlineStr">
        <is>
          <t>MISMATCH_NEEDS_CORRECTION</t>
        </is>
      </c>
      <c r="S1646" t="n">
        <v>64.19</v>
      </c>
      <c r="T1646" t="inlineStr">
        <is>
          <t>30-07-2026 09:42 IST</t>
        </is>
      </c>
    </row>
    <row r="1647">
      <c r="A1647" t="n">
        <v>250</v>
      </c>
      <c r="B1647" t="n">
        <v>513335</v>
      </c>
      <c r="C1647" t="inlineStr">
        <is>
          <t>Metropolitan Trade</t>
        </is>
      </c>
      <c r="D1647" t="n">
        <v>2015</v>
      </c>
      <c r="E1647" t="n">
        <v>4.099999904632568</v>
      </c>
      <c r="G1647" t="inlineStr">
        <is>
          <t>Consolidated first (v4) – needs verification for flagged rows</t>
        </is>
      </c>
      <c r="H1647" t="n">
        <v>374.3500061035156</v>
      </c>
      <c r="I1647" t="n">
        <v>34</v>
      </c>
      <c r="L1647" t="inlineStr">
        <is>
          <t>INCOMPLETE</t>
        </is>
      </c>
      <c r="O1647">
        <f>IFERROR(VLOOKUP(B1647,BSE_500_LIVE!A:E,3,FALSE),"")</f>
        <v/>
      </c>
      <c r="P1647">
        <f>IFERROR(VLOOKUP(B1647,BSE_500_LIVE!A:E,4,FALSE),"")</f>
        <v/>
      </c>
      <c r="Q1647">
        <f>IFERROR(VLOOKUP(B1647,BSE_500_LIVE!A:E,5,FALSE),"")</f>
        <v/>
      </c>
      <c r="R1647">
        <f>IF(OR(E1647="",O1647=""),"PENDING_FETCH",IF(ABS(E1647-O1647)/E1647&gt;0.005,"MISMATCH_NEEDS_CORRECTION","VERIFIED_OK"))</f>
        <v/>
      </c>
      <c r="S1647">
        <f>IF(O1647&lt;&gt;"",O1647,E1647)</f>
        <v/>
      </c>
      <c r="T1647">
        <f>IFERROR(VLOOKUP(B1647,BSE_500_LIVE!A:F,6,FALSE),"")</f>
        <v/>
      </c>
    </row>
    <row r="1648">
      <c r="A1648" t="n">
        <v>250</v>
      </c>
      <c r="B1648" t="n">
        <v>513335</v>
      </c>
      <c r="C1648" t="inlineStr">
        <is>
          <t>Metropolitan Trade</t>
        </is>
      </c>
      <c r="D1648" t="n">
        <v>2016</v>
      </c>
      <c r="E1648" t="n">
        <v>4.099999904632568</v>
      </c>
      <c r="G1648" t="inlineStr">
        <is>
          <t>Consolidated first (v4) – needs verification for flagged rows</t>
        </is>
      </c>
      <c r="H1648" t="n">
        <v>93.25</v>
      </c>
      <c r="I1648" t="n">
        <v>41</v>
      </c>
      <c r="L1648" t="inlineStr">
        <is>
          <t>INCOMPLETE</t>
        </is>
      </c>
      <c r="O1648">
        <f>IFERROR(VLOOKUP(B1648,BSE_500_LIVE!A:E,3,FALSE),"")</f>
        <v/>
      </c>
      <c r="P1648">
        <f>IFERROR(VLOOKUP(B1648,BSE_500_LIVE!A:E,4,FALSE),"")</f>
        <v/>
      </c>
      <c r="Q1648">
        <f>IFERROR(VLOOKUP(B1648,BSE_500_LIVE!A:E,5,FALSE),"")</f>
        <v/>
      </c>
      <c r="R1648">
        <f>IF(OR(E1648="",O1648=""),"PENDING_FETCH",IF(ABS(E1648-O1648)/E1648&gt;0.005,"MISMATCH_NEEDS_CORRECTION","VERIFIED_OK"))</f>
        <v/>
      </c>
      <c r="S1648">
        <f>IF(O1648&lt;&gt;"",O1648,E1648)</f>
        <v/>
      </c>
      <c r="T1648">
        <f>IFERROR(VLOOKUP(B1648,BSE_500_LIVE!A:F,6,FALSE),"")</f>
        <v/>
      </c>
    </row>
    <row r="1649">
      <c r="A1649" t="n">
        <v>250</v>
      </c>
      <c r="B1649" t="n">
        <v>513335</v>
      </c>
      <c r="C1649" t="inlineStr">
        <is>
          <t>Metropolitan Trade</t>
        </is>
      </c>
      <c r="D1649" t="n">
        <v>2017</v>
      </c>
      <c r="E1649" t="n">
        <v>4.099999904632568</v>
      </c>
      <c r="G1649" t="inlineStr">
        <is>
          <t>Consolidated first (v4) – needs verification for flagged rows</t>
        </is>
      </c>
      <c r="H1649" t="n">
        <v>69</v>
      </c>
      <c r="I1649" t="n">
        <v>24.29999923706055</v>
      </c>
      <c r="L1649" t="inlineStr">
        <is>
          <t>INCOMPLETE</t>
        </is>
      </c>
      <c r="O1649">
        <f>IFERROR(VLOOKUP(B1649,BSE_500_LIVE!A:E,3,FALSE),"")</f>
        <v/>
      </c>
      <c r="P1649">
        <f>IFERROR(VLOOKUP(B1649,BSE_500_LIVE!A:E,4,FALSE),"")</f>
        <v/>
      </c>
      <c r="Q1649">
        <f>IFERROR(VLOOKUP(B1649,BSE_500_LIVE!A:E,5,FALSE),"")</f>
        <v/>
      </c>
      <c r="R1649">
        <f>IF(OR(E1649="",O1649=""),"PENDING_FETCH",IF(ABS(E1649-O1649)/E1649&gt;0.005,"MISMATCH_NEEDS_CORRECTION","VERIFIED_OK"))</f>
        <v/>
      </c>
      <c r="S1649">
        <f>IF(O1649&lt;&gt;"",O1649,E1649)</f>
        <v/>
      </c>
      <c r="T1649">
        <f>IFERROR(VLOOKUP(B1649,BSE_500_LIVE!A:F,6,FALSE),"")</f>
        <v/>
      </c>
    </row>
    <row r="1650">
      <c r="A1650" t="n">
        <v>250</v>
      </c>
      <c r="B1650" t="n">
        <v>513335</v>
      </c>
      <c r="C1650" t="inlineStr">
        <is>
          <t>Metropolitan Trade</t>
        </is>
      </c>
      <c r="D1650" t="n">
        <v>2018</v>
      </c>
      <c r="E1650" t="n">
        <v>4.099999904632568</v>
      </c>
      <c r="G1650" t="inlineStr">
        <is>
          <t>Consolidated first (v4) – needs verification for flagged rows</t>
        </is>
      </c>
      <c r="H1650" t="n">
        <v>43.20000076293945</v>
      </c>
      <c r="I1650" t="n">
        <v>10.5</v>
      </c>
      <c r="L1650" t="inlineStr">
        <is>
          <t>INCOMPLETE</t>
        </is>
      </c>
      <c r="O1650">
        <f>IFERROR(VLOOKUP(B1650,BSE_500_LIVE!A:E,3,FALSE),"")</f>
        <v/>
      </c>
      <c r="P1650">
        <f>IFERROR(VLOOKUP(B1650,BSE_500_LIVE!A:E,4,FALSE),"")</f>
        <v/>
      </c>
      <c r="Q1650">
        <f>IFERROR(VLOOKUP(B1650,BSE_500_LIVE!A:E,5,FALSE),"")</f>
        <v/>
      </c>
      <c r="R1650">
        <f>IF(OR(E1650="",O1650=""),"PENDING_FETCH",IF(ABS(E1650-O1650)/E1650&gt;0.005,"MISMATCH_NEEDS_CORRECTION","VERIFIED_OK"))</f>
        <v/>
      </c>
      <c r="S1650">
        <f>IF(O1650&lt;&gt;"",O1650,E1650)</f>
        <v/>
      </c>
      <c r="T1650">
        <f>IFERROR(VLOOKUP(B1650,BSE_500_LIVE!A:F,6,FALSE),"")</f>
        <v/>
      </c>
    </row>
    <row r="1651">
      <c r="A1651" t="n">
        <v>250</v>
      </c>
      <c r="B1651" t="n">
        <v>513335</v>
      </c>
      <c r="C1651" t="inlineStr">
        <is>
          <t>Metropolitan Trade</t>
        </is>
      </c>
      <c r="D1651" t="n">
        <v>2019</v>
      </c>
      <c r="E1651" t="n">
        <v>4.099999904632568</v>
      </c>
      <c r="G1651" t="inlineStr">
        <is>
          <t>Consolidated first (v4) – needs verification for flagged rows</t>
        </is>
      </c>
      <c r="H1651" t="n">
        <v>13</v>
      </c>
      <c r="I1651" t="n">
        <v>4.25</v>
      </c>
      <c r="L1651" t="inlineStr">
        <is>
          <t>INCOMPLETE</t>
        </is>
      </c>
      <c r="O1651">
        <f>IFERROR(VLOOKUP(B1651,BSE_500_LIVE!A:E,3,FALSE),"")</f>
        <v/>
      </c>
      <c r="P1651">
        <f>IFERROR(VLOOKUP(B1651,BSE_500_LIVE!A:E,4,FALSE),"")</f>
        <v/>
      </c>
      <c r="Q1651">
        <f>IFERROR(VLOOKUP(B1651,BSE_500_LIVE!A:E,5,FALSE),"")</f>
        <v/>
      </c>
      <c r="R1651">
        <f>IF(OR(E1651="",O1651=""),"PENDING_FETCH",IF(ABS(E1651-O1651)/E1651&gt;0.005,"MISMATCH_NEEDS_CORRECTION","VERIFIED_OK"))</f>
        <v/>
      </c>
      <c r="S1651">
        <f>IF(O1651&lt;&gt;"",O1651,E1651)</f>
        <v/>
      </c>
      <c r="T1651">
        <f>IFERROR(VLOOKUP(B1651,BSE_500_LIVE!A:F,6,FALSE),"")</f>
        <v/>
      </c>
    </row>
    <row r="1652">
      <c r="A1652" t="n">
        <v>250</v>
      </c>
      <c r="B1652" t="n">
        <v>513335</v>
      </c>
      <c r="C1652" t="inlineStr">
        <is>
          <t>Metropolitan Trade</t>
        </is>
      </c>
      <c r="D1652" t="n">
        <v>2020</v>
      </c>
      <c r="E1652" t="n">
        <v>4.099999904632568</v>
      </c>
      <c r="G1652" t="inlineStr">
        <is>
          <t>Consolidated first (v4) – needs verification for flagged rows</t>
        </is>
      </c>
      <c r="H1652" t="n">
        <v>6.670000076293945</v>
      </c>
      <c r="I1652" t="n">
        <v>3.559999942779541</v>
      </c>
      <c r="L1652" t="inlineStr">
        <is>
          <t>INCOMPLETE</t>
        </is>
      </c>
      <c r="O1652">
        <f>IFERROR(VLOOKUP(B1652,BSE_500_LIVE!A:E,3,FALSE),"")</f>
        <v/>
      </c>
      <c r="P1652">
        <f>IFERROR(VLOOKUP(B1652,BSE_500_LIVE!A:E,4,FALSE),"")</f>
        <v/>
      </c>
      <c r="Q1652">
        <f>IFERROR(VLOOKUP(B1652,BSE_500_LIVE!A:E,5,FALSE),"")</f>
        <v/>
      </c>
      <c r="R1652">
        <f>IF(OR(E1652="",O1652=""),"PENDING_FETCH",IF(ABS(E1652-O1652)/E1652&gt;0.005,"MISMATCH_NEEDS_CORRECTION","VERIFIED_OK"))</f>
        <v/>
      </c>
      <c r="S1652">
        <f>IF(O1652&lt;&gt;"",O1652,E1652)</f>
        <v/>
      </c>
      <c r="T1652">
        <f>IFERROR(VLOOKUP(B1652,BSE_500_LIVE!A:F,6,FALSE),"")</f>
        <v/>
      </c>
    </row>
    <row r="1653">
      <c r="A1653" t="n">
        <v>250</v>
      </c>
      <c r="B1653" t="n">
        <v>513335</v>
      </c>
      <c r="C1653" t="inlineStr">
        <is>
          <t>Metropolitan Trade</t>
        </is>
      </c>
      <c r="D1653" t="n">
        <v>2021</v>
      </c>
      <c r="E1653" t="n">
        <v>4.099999904632568</v>
      </c>
      <c r="G1653" t="inlineStr">
        <is>
          <t>Consolidated first (v4) – needs verification for flagged rows</t>
        </is>
      </c>
      <c r="H1653" t="n">
        <v>8.699999809265137</v>
      </c>
      <c r="I1653" t="n">
        <v>4.269999980926514</v>
      </c>
      <c r="L1653" t="inlineStr">
        <is>
          <t>INCOMPLETE</t>
        </is>
      </c>
      <c r="O1653">
        <f>IFERROR(VLOOKUP(B1653,BSE_500_LIVE!A:E,3,FALSE),"")</f>
        <v/>
      </c>
      <c r="P1653">
        <f>IFERROR(VLOOKUP(B1653,BSE_500_LIVE!A:E,4,FALSE),"")</f>
        <v/>
      </c>
      <c r="Q1653">
        <f>IFERROR(VLOOKUP(B1653,BSE_500_LIVE!A:E,5,FALSE),"")</f>
        <v/>
      </c>
      <c r="R1653">
        <f>IF(OR(E1653="",O1653=""),"PENDING_FETCH",IF(ABS(E1653-O1653)/E1653&gt;0.005,"MISMATCH_NEEDS_CORRECTION","VERIFIED_OK"))</f>
        <v/>
      </c>
      <c r="S1653">
        <f>IF(O1653&lt;&gt;"",O1653,E1653)</f>
        <v/>
      </c>
      <c r="T1653">
        <f>IFERROR(VLOOKUP(B1653,BSE_500_LIVE!A:F,6,FALSE),"")</f>
        <v/>
      </c>
    </row>
    <row r="1654">
      <c r="A1654" t="n">
        <v>250</v>
      </c>
      <c r="B1654" t="n">
        <v>513335</v>
      </c>
      <c r="C1654" t="inlineStr">
        <is>
          <t>Metropolitan Trade</t>
        </is>
      </c>
      <c r="D1654" t="n">
        <v>2022</v>
      </c>
      <c r="E1654" t="n">
        <v>4.099999904632568</v>
      </c>
      <c r="G1654" t="inlineStr">
        <is>
          <t>Consolidated first (v4) – needs verification for flagged rows</t>
        </is>
      </c>
      <c r="H1654" t="n">
        <v>9.109999656677246</v>
      </c>
      <c r="I1654" t="n">
        <v>3.720000028610229</v>
      </c>
      <c r="L1654" t="inlineStr">
        <is>
          <t>INCOMPLETE</t>
        </is>
      </c>
      <c r="O1654">
        <f>IFERROR(VLOOKUP(B1654,BSE_500_LIVE!A:E,3,FALSE),"")</f>
        <v/>
      </c>
      <c r="P1654">
        <f>IFERROR(VLOOKUP(B1654,BSE_500_LIVE!A:E,4,FALSE),"")</f>
        <v/>
      </c>
      <c r="Q1654">
        <f>IFERROR(VLOOKUP(B1654,BSE_500_LIVE!A:E,5,FALSE),"")</f>
        <v/>
      </c>
      <c r="R1654">
        <f>IF(OR(E1654="",O1654=""),"PENDING_FETCH",IF(ABS(E1654-O1654)/E1654&gt;0.005,"MISMATCH_NEEDS_CORRECTION","VERIFIED_OK"))</f>
        <v/>
      </c>
      <c r="S1654">
        <f>IF(O1654&lt;&gt;"",O1654,E1654)</f>
        <v/>
      </c>
      <c r="T1654">
        <f>IFERROR(VLOOKUP(B1654,BSE_500_LIVE!A:F,6,FALSE),"")</f>
        <v/>
      </c>
    </row>
    <row r="1655">
      <c r="A1655" t="n">
        <v>250</v>
      </c>
      <c r="B1655" t="n">
        <v>513335</v>
      </c>
      <c r="C1655" t="inlineStr">
        <is>
          <t>Metropolitan Trade</t>
        </is>
      </c>
      <c r="D1655" t="n">
        <v>2023</v>
      </c>
      <c r="E1655" t="n">
        <v>4.099999904632568</v>
      </c>
      <c r="G1655" t="inlineStr">
        <is>
          <t>Consolidated first (v4) – needs verification for flagged rows</t>
        </is>
      </c>
      <c r="H1655" t="n">
        <v>4.900000095367432</v>
      </c>
      <c r="I1655" t="n">
        <v>2.369999885559082</v>
      </c>
      <c r="L1655" t="inlineStr">
        <is>
          <t>INCOMPLETE</t>
        </is>
      </c>
      <c r="O1655">
        <f>IFERROR(VLOOKUP(B1655,BSE_500_LIVE!A:E,3,FALSE),"")</f>
        <v/>
      </c>
      <c r="P1655">
        <f>IFERROR(VLOOKUP(B1655,BSE_500_LIVE!A:E,4,FALSE),"")</f>
        <v/>
      </c>
      <c r="Q1655">
        <f>IFERROR(VLOOKUP(B1655,BSE_500_LIVE!A:E,5,FALSE),"")</f>
        <v/>
      </c>
      <c r="R1655">
        <f>IF(OR(E1655="",O1655=""),"PENDING_FETCH",IF(ABS(E1655-O1655)/E1655&gt;0.005,"MISMATCH_NEEDS_CORRECTION","VERIFIED_OK"))</f>
        <v/>
      </c>
      <c r="S1655">
        <f>IF(O1655&lt;&gt;"",O1655,E1655)</f>
        <v/>
      </c>
      <c r="T1655">
        <f>IFERROR(VLOOKUP(B1655,BSE_500_LIVE!A:F,6,FALSE),"")</f>
        <v/>
      </c>
    </row>
    <row r="1656">
      <c r="A1656" t="n">
        <v>250</v>
      </c>
      <c r="B1656" t="n">
        <v>513335</v>
      </c>
      <c r="C1656" t="inlineStr">
        <is>
          <t>Metropolitan Trade</t>
        </is>
      </c>
      <c r="D1656" t="n">
        <v>2024</v>
      </c>
      <c r="E1656" t="n">
        <v>4.099999904632568</v>
      </c>
      <c r="G1656" t="inlineStr">
        <is>
          <t>Consolidated first (v4) – needs verification for flagged rows</t>
        </is>
      </c>
      <c r="H1656" t="n">
        <v>5.300000190734863</v>
      </c>
      <c r="I1656" t="n">
        <v>3.519999980926514</v>
      </c>
      <c r="L1656" t="inlineStr">
        <is>
          <t>INCOMPLETE</t>
        </is>
      </c>
      <c r="O1656">
        <f>IFERROR(VLOOKUP(B1656,BSE_500_LIVE!A:E,3,FALSE),"")</f>
        <v/>
      </c>
      <c r="P1656">
        <f>IFERROR(VLOOKUP(B1656,BSE_500_LIVE!A:E,4,FALSE),"")</f>
        <v/>
      </c>
      <c r="Q1656">
        <f>IFERROR(VLOOKUP(B1656,BSE_500_LIVE!A:E,5,FALSE),"")</f>
        <v/>
      </c>
      <c r="R1656">
        <f>IF(OR(E1656="",O1656=""),"PENDING_FETCH",IF(ABS(E1656-O1656)/E1656&gt;0.005,"MISMATCH_NEEDS_CORRECTION","VERIFIED_OK"))</f>
        <v/>
      </c>
      <c r="S1656">
        <f>IF(O1656&lt;&gt;"",O1656,E1656)</f>
        <v/>
      </c>
      <c r="T1656">
        <f>IFERROR(VLOOKUP(B1656,BSE_500_LIVE!A:F,6,FALSE),"")</f>
        <v/>
      </c>
    </row>
    <row r="1657">
      <c r="A1657" t="n">
        <v>250</v>
      </c>
      <c r="B1657" t="n">
        <v>513335</v>
      </c>
      <c r="C1657" t="inlineStr">
        <is>
          <t>Metropolitan Trade</t>
        </is>
      </c>
      <c r="D1657" t="n">
        <v>2025</v>
      </c>
      <c r="E1657" t="n">
        <v>4.099999904632568</v>
      </c>
      <c r="G1657" t="inlineStr">
        <is>
          <t>Consolidated first (v4) – needs verification for flagged rows</t>
        </is>
      </c>
      <c r="H1657" t="n">
        <v>4.099999904632568</v>
      </c>
      <c r="I1657" t="n">
        <v>4.099999904632568</v>
      </c>
      <c r="L1657" t="inlineStr">
        <is>
          <t>INCOMPLETE</t>
        </is>
      </c>
      <c r="O1657">
        <f>IFERROR(VLOOKUP(B1657,BSE_500_LIVE!A:E,3,FALSE),"")</f>
        <v/>
      </c>
      <c r="P1657">
        <f>IFERROR(VLOOKUP(B1657,BSE_500_LIVE!A:E,4,FALSE),"")</f>
        <v/>
      </c>
      <c r="Q1657">
        <f>IFERROR(VLOOKUP(B1657,BSE_500_LIVE!A:E,5,FALSE),"")</f>
        <v/>
      </c>
      <c r="R1657">
        <f>IF(OR(E1657="",O1657=""),"PENDING_FETCH",IF(ABS(E1657-O1657)/E1657&gt;0.005,"MISMATCH_NEEDS_CORRECTION","VERIFIED_OK"))</f>
        <v/>
      </c>
      <c r="S1657">
        <f>IF(O1657&lt;&gt;"",O1657,E1657)</f>
        <v/>
      </c>
      <c r="T1657">
        <f>IFERROR(VLOOKUP(B1657,BSE_500_LIVE!A:F,6,FALSE),"")</f>
        <v/>
      </c>
    </row>
    <row r="1658">
      <c r="A1658" t="n">
        <v>251</v>
      </c>
      <c r="B1658" t="n">
        <v>513353</v>
      </c>
      <c r="C1658" t="inlineStr">
        <is>
          <t>Cochin Minerals And Rutile Ltd</t>
        </is>
      </c>
      <c r="D1658" t="n">
        <v>2015</v>
      </c>
      <c r="E1658" t="n">
        <v>247.3999938964844</v>
      </c>
      <c r="F1658" t="n">
        <v>-27.47</v>
      </c>
      <c r="G1658" t="inlineStr">
        <is>
          <t>Consolidated first (v4) – needs verification for flagged rows</t>
        </is>
      </c>
      <c r="H1658" t="n">
        <v>102</v>
      </c>
      <c r="I1658" t="n">
        <v>57.04999923706055</v>
      </c>
      <c r="L1658" t="inlineStr">
        <is>
          <t>UNVERIFIED – negative EPS</t>
        </is>
      </c>
      <c r="M1658" t="n">
        <v>-3.71</v>
      </c>
      <c r="N1658" t="n">
        <v>-2.08</v>
      </c>
      <c r="O1658" t="n">
        <v>310.9</v>
      </c>
      <c r="P1658" t="n">
        <v>414.9</v>
      </c>
      <c r="Q1658" t="n">
        <v>239</v>
      </c>
      <c r="R1658" s="3" t="inlineStr">
        <is>
          <t>MISMATCH_NEEDS_CORRECTION</t>
        </is>
      </c>
      <c r="S1658" t="n">
        <v>310.9</v>
      </c>
      <c r="T1658" t="inlineStr">
        <is>
          <t>30-07-2026 09:42 IST</t>
        </is>
      </c>
    </row>
    <row r="1659">
      <c r="A1659" t="n">
        <v>251</v>
      </c>
      <c r="B1659" t="n">
        <v>513353</v>
      </c>
      <c r="C1659" t="inlineStr">
        <is>
          <t>Cochin Minerals And Rutile Ltd</t>
        </is>
      </c>
      <c r="D1659" t="n">
        <v>2016</v>
      </c>
      <c r="E1659" t="n">
        <v>247.3999938964844</v>
      </c>
      <c r="F1659" t="n">
        <v>-17.93</v>
      </c>
      <c r="G1659" t="inlineStr">
        <is>
          <t>Consolidated first (v4) – needs verification for flagged rows</t>
        </is>
      </c>
      <c r="H1659" t="n">
        <v>152</v>
      </c>
      <c r="I1659" t="n">
        <v>62.84999847412109</v>
      </c>
      <c r="L1659" t="inlineStr">
        <is>
          <t>UNVERIFIED – negative EPS</t>
        </is>
      </c>
      <c r="M1659" t="n">
        <v>-8.48</v>
      </c>
      <c r="N1659" t="n">
        <v>-3.51</v>
      </c>
      <c r="O1659" t="n">
        <v>310.9</v>
      </c>
      <c r="P1659" t="n">
        <v>414.9</v>
      </c>
      <c r="Q1659" t="n">
        <v>239</v>
      </c>
      <c r="R1659" s="3" t="inlineStr">
        <is>
          <t>MISMATCH_NEEDS_CORRECTION</t>
        </is>
      </c>
      <c r="S1659" t="n">
        <v>310.9</v>
      </c>
      <c r="T1659" t="inlineStr">
        <is>
          <t>30-07-2026 09:42 IST</t>
        </is>
      </c>
    </row>
    <row r="1660">
      <c r="A1660" t="n">
        <v>251</v>
      </c>
      <c r="B1660" t="n">
        <v>513353</v>
      </c>
      <c r="C1660" t="inlineStr">
        <is>
          <t>Cochin Minerals And Rutile Ltd</t>
        </is>
      </c>
      <c r="D1660" t="n">
        <v>2017</v>
      </c>
      <c r="E1660" t="n">
        <v>247.3999938964844</v>
      </c>
      <c r="F1660" t="n">
        <v>-7.32</v>
      </c>
      <c r="G1660" t="inlineStr">
        <is>
          <t>Consolidated first (v4) – needs verification for flagged rows</t>
        </is>
      </c>
      <c r="H1660" t="n">
        <v>160</v>
      </c>
      <c r="I1660" t="n">
        <v>77</v>
      </c>
      <c r="L1660" t="inlineStr">
        <is>
          <t>UNVERIFIED – negative EPS</t>
        </is>
      </c>
      <c r="M1660" t="n">
        <v>-21.86</v>
      </c>
      <c r="N1660" t="n">
        <v>-10.52</v>
      </c>
      <c r="O1660" t="n">
        <v>310.9</v>
      </c>
      <c r="P1660" t="n">
        <v>414.9</v>
      </c>
      <c r="Q1660" t="n">
        <v>239</v>
      </c>
      <c r="R1660" s="3" t="inlineStr">
        <is>
          <t>MISMATCH_NEEDS_CORRECTION</t>
        </is>
      </c>
      <c r="S1660" t="n">
        <v>310.9</v>
      </c>
      <c r="T1660" t="inlineStr">
        <is>
          <t>30-07-2026 09:42 IST</t>
        </is>
      </c>
    </row>
    <row r="1661">
      <c r="A1661" t="n">
        <v>251</v>
      </c>
      <c r="B1661" t="n">
        <v>513353</v>
      </c>
      <c r="C1661" t="inlineStr">
        <is>
          <t>Cochin Minerals And Rutile Ltd</t>
        </is>
      </c>
      <c r="D1661" t="n">
        <v>2018</v>
      </c>
      <c r="E1661" t="n">
        <v>247.3999938964844</v>
      </c>
      <c r="F1661" t="n">
        <v>1.71</v>
      </c>
      <c r="G1661" t="inlineStr">
        <is>
          <t>Consolidated first (v4) – needs verification for flagged rows</t>
        </is>
      </c>
      <c r="H1661" t="n">
        <v>225.8999938964844</v>
      </c>
      <c r="I1661" t="n">
        <v>100</v>
      </c>
      <c r="L1661" t="inlineStr">
        <is>
          <t>OK</t>
        </is>
      </c>
      <c r="M1661" t="n">
        <v>132.11</v>
      </c>
      <c r="N1661" t="n">
        <v>58.48</v>
      </c>
      <c r="O1661" t="n">
        <v>310.9</v>
      </c>
      <c r="P1661" t="n">
        <v>414.9</v>
      </c>
      <c r="Q1661" t="n">
        <v>239</v>
      </c>
      <c r="R1661" s="3" t="inlineStr">
        <is>
          <t>MISMATCH_NEEDS_CORRECTION</t>
        </is>
      </c>
      <c r="S1661" t="n">
        <v>310.9</v>
      </c>
      <c r="T1661" t="inlineStr">
        <is>
          <t>30-07-2026 09:42 IST</t>
        </is>
      </c>
    </row>
    <row r="1662">
      <c r="A1662" t="n">
        <v>251</v>
      </c>
      <c r="B1662" t="n">
        <v>513353</v>
      </c>
      <c r="C1662" t="inlineStr">
        <is>
          <t>Cochin Minerals And Rutile Ltd</t>
        </is>
      </c>
      <c r="D1662" t="n">
        <v>2019</v>
      </c>
      <c r="E1662" t="n">
        <v>247.3999938964844</v>
      </c>
      <c r="F1662" t="n">
        <v>6.99</v>
      </c>
      <c r="G1662" t="inlineStr">
        <is>
          <t>Consolidated first (v4) – needs verification for flagged rows</t>
        </is>
      </c>
      <c r="H1662" t="n">
        <v>243.6000061035156</v>
      </c>
      <c r="I1662" t="n">
        <v>140.0500030517578</v>
      </c>
      <c r="L1662" t="inlineStr">
        <is>
          <t>OK</t>
        </is>
      </c>
      <c r="M1662" t="n">
        <v>34.85</v>
      </c>
      <c r="N1662" t="n">
        <v>20.04</v>
      </c>
      <c r="O1662" t="n">
        <v>310.9</v>
      </c>
      <c r="P1662" t="n">
        <v>414.9</v>
      </c>
      <c r="Q1662" t="n">
        <v>239</v>
      </c>
      <c r="R1662" s="3" t="inlineStr">
        <is>
          <t>MISMATCH_NEEDS_CORRECTION</t>
        </is>
      </c>
      <c r="S1662" t="n">
        <v>310.9</v>
      </c>
      <c r="T1662" t="inlineStr">
        <is>
          <t>30-07-2026 09:42 IST</t>
        </is>
      </c>
    </row>
    <row r="1663">
      <c r="A1663" t="n">
        <v>251</v>
      </c>
      <c r="B1663" t="n">
        <v>513353</v>
      </c>
      <c r="C1663" t="inlineStr">
        <is>
          <t>Cochin Minerals And Rutile Ltd</t>
        </is>
      </c>
      <c r="D1663" t="n">
        <v>2020</v>
      </c>
      <c r="E1663" t="n">
        <v>247.3999938964844</v>
      </c>
      <c r="F1663" t="n">
        <v>7.65</v>
      </c>
      <c r="G1663" t="inlineStr">
        <is>
          <t>Consolidated first (v4) – needs verification for flagged rows</t>
        </is>
      </c>
      <c r="H1663" t="n">
        <v>164</v>
      </c>
      <c r="I1663" t="n">
        <v>77</v>
      </c>
      <c r="L1663" t="inlineStr">
        <is>
          <t>OK</t>
        </is>
      </c>
      <c r="M1663" t="n">
        <v>21.44</v>
      </c>
      <c r="N1663" t="n">
        <v>10.07</v>
      </c>
      <c r="O1663" t="n">
        <v>310.9</v>
      </c>
      <c r="P1663" t="n">
        <v>414.9</v>
      </c>
      <c r="Q1663" t="n">
        <v>239</v>
      </c>
      <c r="R1663" s="3" t="inlineStr">
        <is>
          <t>MISMATCH_NEEDS_CORRECTION</t>
        </is>
      </c>
      <c r="S1663" t="n">
        <v>310.9</v>
      </c>
      <c r="T1663" t="inlineStr">
        <is>
          <t>30-07-2026 09:42 IST</t>
        </is>
      </c>
    </row>
    <row r="1664">
      <c r="A1664" t="n">
        <v>251</v>
      </c>
      <c r="B1664" t="n">
        <v>513353</v>
      </c>
      <c r="C1664" t="inlineStr">
        <is>
          <t>Cochin Minerals And Rutile Ltd</t>
        </is>
      </c>
      <c r="D1664" t="n">
        <v>2021</v>
      </c>
      <c r="E1664" t="n">
        <v>247.3999938964844</v>
      </c>
      <c r="F1664" t="n">
        <v>10.36</v>
      </c>
      <c r="G1664" t="inlineStr">
        <is>
          <t>Consolidated first (v4) – needs verification for flagged rows</t>
        </is>
      </c>
      <c r="H1664" t="n">
        <v>190</v>
      </c>
      <c r="I1664" t="n">
        <v>97</v>
      </c>
      <c r="L1664" t="inlineStr">
        <is>
          <t>OK</t>
        </is>
      </c>
      <c r="M1664" t="n">
        <v>18.34</v>
      </c>
      <c r="N1664" t="n">
        <v>9.359999999999999</v>
      </c>
      <c r="O1664" t="n">
        <v>310.9</v>
      </c>
      <c r="P1664" t="n">
        <v>414.9</v>
      </c>
      <c r="Q1664" t="n">
        <v>239</v>
      </c>
      <c r="R1664" s="3" t="inlineStr">
        <is>
          <t>MISMATCH_NEEDS_CORRECTION</t>
        </is>
      </c>
      <c r="S1664" t="n">
        <v>310.9</v>
      </c>
      <c r="T1664" t="inlineStr">
        <is>
          <t>30-07-2026 09:42 IST</t>
        </is>
      </c>
    </row>
    <row r="1665">
      <c r="A1665" t="n">
        <v>251</v>
      </c>
      <c r="B1665" t="n">
        <v>513353</v>
      </c>
      <c r="C1665" t="inlineStr">
        <is>
          <t>Cochin Minerals And Rutile Ltd</t>
        </is>
      </c>
      <c r="D1665" t="n">
        <v>2022</v>
      </c>
      <c r="E1665" t="n">
        <v>247.3999938964844</v>
      </c>
      <c r="F1665" t="n">
        <v>7.93</v>
      </c>
      <c r="G1665" t="inlineStr">
        <is>
          <t>Consolidated first (v4) – needs verification for flagged rows</t>
        </is>
      </c>
      <c r="H1665" t="n">
        <v>340</v>
      </c>
      <c r="I1665" t="n">
        <v>92.05000305175781</v>
      </c>
      <c r="L1665" t="inlineStr">
        <is>
          <t>OK</t>
        </is>
      </c>
      <c r="M1665" t="n">
        <v>42.88</v>
      </c>
      <c r="N1665" t="n">
        <v>11.61</v>
      </c>
      <c r="O1665" t="n">
        <v>310.9</v>
      </c>
      <c r="P1665" t="n">
        <v>414.9</v>
      </c>
      <c r="Q1665" t="n">
        <v>239</v>
      </c>
      <c r="R1665" s="3" t="inlineStr">
        <is>
          <t>MISMATCH_NEEDS_CORRECTION</t>
        </is>
      </c>
      <c r="S1665" t="n">
        <v>310.9</v>
      </c>
      <c r="T1665" t="inlineStr">
        <is>
          <t>30-07-2026 09:42 IST</t>
        </is>
      </c>
    </row>
    <row r="1666">
      <c r="A1666" t="n">
        <v>251</v>
      </c>
      <c r="B1666" t="n">
        <v>513353</v>
      </c>
      <c r="C1666" t="inlineStr">
        <is>
          <t>Cochin Minerals And Rutile Ltd</t>
        </is>
      </c>
      <c r="D1666" t="n">
        <v>2023</v>
      </c>
      <c r="E1666" t="n">
        <v>247.3999938964844</v>
      </c>
      <c r="F1666" t="n">
        <v>72.06999999999999</v>
      </c>
      <c r="G1666" t="inlineStr">
        <is>
          <t>Consolidated first (v4) – needs verification for flagged rows</t>
        </is>
      </c>
      <c r="H1666" t="n">
        <v>405</v>
      </c>
      <c r="I1666" t="n">
        <v>215</v>
      </c>
      <c r="L1666" t="inlineStr">
        <is>
          <t>OK</t>
        </is>
      </c>
      <c r="M1666" t="n">
        <v>5.62</v>
      </c>
      <c r="N1666" t="n">
        <v>2.98</v>
      </c>
      <c r="O1666" t="n">
        <v>310.9</v>
      </c>
      <c r="P1666" t="n">
        <v>414.9</v>
      </c>
      <c r="Q1666" t="n">
        <v>239</v>
      </c>
      <c r="R1666" s="3" t="inlineStr">
        <is>
          <t>MISMATCH_NEEDS_CORRECTION</t>
        </is>
      </c>
      <c r="S1666" t="n">
        <v>310.9</v>
      </c>
      <c r="T1666" t="inlineStr">
        <is>
          <t>30-07-2026 09:42 IST</t>
        </is>
      </c>
    </row>
    <row r="1667">
      <c r="A1667" t="n">
        <v>251</v>
      </c>
      <c r="B1667" t="n">
        <v>513353</v>
      </c>
      <c r="C1667" t="inlineStr">
        <is>
          <t>Cochin Minerals And Rutile Ltd</t>
        </is>
      </c>
      <c r="D1667" t="n">
        <v>2024</v>
      </c>
      <c r="E1667" t="n">
        <v>247.3999938964844</v>
      </c>
      <c r="F1667" t="n">
        <v>10.97</v>
      </c>
      <c r="G1667" t="inlineStr">
        <is>
          <t>Consolidated first (v4) – needs verification for flagged rows</t>
        </is>
      </c>
      <c r="H1667" t="n">
        <v>414.8999938964844</v>
      </c>
      <c r="I1667" t="n">
        <v>239</v>
      </c>
      <c r="L1667" t="inlineStr">
        <is>
          <t>OK</t>
        </is>
      </c>
      <c r="M1667" t="n">
        <v>37.82</v>
      </c>
      <c r="N1667" t="n">
        <v>21.79</v>
      </c>
      <c r="O1667" t="n">
        <v>310.9</v>
      </c>
      <c r="P1667" t="n">
        <v>414.9</v>
      </c>
      <c r="Q1667" t="n">
        <v>239</v>
      </c>
      <c r="R1667" s="3" t="inlineStr">
        <is>
          <t>MISMATCH_NEEDS_CORRECTION</t>
        </is>
      </c>
      <c r="S1667" t="n">
        <v>310.9</v>
      </c>
      <c r="T1667" t="inlineStr">
        <is>
          <t>30-07-2026 09:42 IST</t>
        </is>
      </c>
    </row>
    <row r="1668">
      <c r="A1668" t="n">
        <v>251</v>
      </c>
      <c r="B1668" t="n">
        <v>513353</v>
      </c>
      <c r="C1668" t="inlineStr">
        <is>
          <t>Cochin Minerals And Rutile Ltd</t>
        </is>
      </c>
      <c r="D1668" t="n">
        <v>2025</v>
      </c>
      <c r="E1668" t="n">
        <v>247.3999938964844</v>
      </c>
      <c r="F1668" t="n">
        <v>30.09</v>
      </c>
      <c r="G1668" t="inlineStr">
        <is>
          <t>Consolidated first (v4) – needs verification for flagged rows</t>
        </is>
      </c>
      <c r="H1668" t="n">
        <v>356</v>
      </c>
      <c r="I1668" t="n">
        <v>238</v>
      </c>
      <c r="L1668" t="inlineStr">
        <is>
          <t>OK</t>
        </is>
      </c>
      <c r="M1668" t="n">
        <v>11.83</v>
      </c>
      <c r="N1668" t="n">
        <v>7.91</v>
      </c>
      <c r="O1668" t="n">
        <v>310.9</v>
      </c>
      <c r="P1668" t="n">
        <v>414.9</v>
      </c>
      <c r="Q1668" t="n">
        <v>239</v>
      </c>
      <c r="R1668" s="3" t="inlineStr">
        <is>
          <t>MISMATCH_NEEDS_CORRECTION</t>
        </is>
      </c>
      <c r="S1668" t="n">
        <v>310.9</v>
      </c>
      <c r="T1668" t="inlineStr">
        <is>
          <t>30-07-2026 09:42 IST</t>
        </is>
      </c>
    </row>
    <row r="1669">
      <c r="A1669" t="n">
        <v>251</v>
      </c>
      <c r="B1669" t="n">
        <v>513353</v>
      </c>
      <c r="C1669" t="inlineStr">
        <is>
          <t>Cochin Minerals And Rutile Ltd</t>
        </is>
      </c>
      <c r="D1669" t="n">
        <v>2026</v>
      </c>
      <c r="E1669" t="n">
        <v>247.3999938964844</v>
      </c>
      <c r="F1669" t="n">
        <v>15.98</v>
      </c>
      <c r="G1669" t="inlineStr">
        <is>
          <t>Consolidated first (v4) – needs verification for flagged rows</t>
        </is>
      </c>
      <c r="H1669" t="n">
        <v>309</v>
      </c>
      <c r="I1669" t="n">
        <v>197.1000061035156</v>
      </c>
      <c r="L1669" t="inlineStr">
        <is>
          <t>OK</t>
        </is>
      </c>
      <c r="M1669" t="n">
        <v>19.34</v>
      </c>
      <c r="N1669" t="n">
        <v>12.33</v>
      </c>
      <c r="O1669" t="n">
        <v>310.9</v>
      </c>
      <c r="P1669" t="n">
        <v>414.9</v>
      </c>
      <c r="Q1669" t="n">
        <v>239</v>
      </c>
      <c r="R1669" s="3" t="inlineStr">
        <is>
          <t>MISMATCH_NEEDS_CORRECTION</t>
        </is>
      </c>
      <c r="S1669" t="n">
        <v>310.9</v>
      </c>
      <c r="T1669" t="inlineStr">
        <is>
          <t>30-07-2026 09:42 IST</t>
        </is>
      </c>
    </row>
    <row r="1670">
      <c r="A1670" t="n">
        <v>252</v>
      </c>
      <c r="B1670" t="n">
        <v>513361</v>
      </c>
      <c r="C1670" t="inlineStr">
        <is>
          <t>India Steel Works Ltd</t>
        </is>
      </c>
      <c r="D1670" t="n">
        <v>2015</v>
      </c>
      <c r="E1670" t="n">
        <v>21.73999977111816</v>
      </c>
      <c r="G1670" t="inlineStr">
        <is>
          <t>Consolidated first (v4) – needs verification for flagged rows</t>
        </is>
      </c>
      <c r="H1670" t="n">
        <v>4</v>
      </c>
      <c r="I1670" t="n">
        <v>1.960000038146973</v>
      </c>
      <c r="L1670" t="inlineStr">
        <is>
          <t>INCOMPLETE</t>
        </is>
      </c>
      <c r="O1670" t="n">
        <v>3.8</v>
      </c>
      <c r="P1670" t="n">
        <v>8.74</v>
      </c>
      <c r="Q1670" t="n">
        <v>2.61</v>
      </c>
      <c r="R1670" s="3" t="inlineStr">
        <is>
          <t>MISMATCH_NEEDS_CORRECTION</t>
        </is>
      </c>
      <c r="S1670" t="n">
        <v>3.8</v>
      </c>
      <c r="T1670" t="inlineStr">
        <is>
          <t>30-07-2026 09:42 IST</t>
        </is>
      </c>
    </row>
    <row r="1671">
      <c r="A1671" t="n">
        <v>252</v>
      </c>
      <c r="B1671" t="n">
        <v>513361</v>
      </c>
      <c r="C1671" t="inlineStr">
        <is>
          <t>India Steel Works Ltd</t>
        </is>
      </c>
      <c r="D1671" t="n">
        <v>2016</v>
      </c>
      <c r="E1671" t="n">
        <v>21.73999977111816</v>
      </c>
      <c r="G1671" t="inlineStr">
        <is>
          <t>Consolidated first (v4) – needs verification for flagged rows</t>
        </is>
      </c>
      <c r="H1671" t="n">
        <v>4.860000133514404</v>
      </c>
      <c r="I1671" t="n">
        <v>1.779999971389771</v>
      </c>
      <c r="L1671" t="inlineStr">
        <is>
          <t>INCOMPLETE</t>
        </is>
      </c>
      <c r="O1671" t="n">
        <v>3.8</v>
      </c>
      <c r="P1671" t="n">
        <v>8.74</v>
      </c>
      <c r="Q1671" t="n">
        <v>2.61</v>
      </c>
      <c r="R1671" s="3" t="inlineStr">
        <is>
          <t>MISMATCH_NEEDS_CORRECTION</t>
        </is>
      </c>
      <c r="S1671" t="n">
        <v>3.8</v>
      </c>
      <c r="T1671" t="inlineStr">
        <is>
          <t>30-07-2026 09:42 IST</t>
        </is>
      </c>
    </row>
    <row r="1672">
      <c r="A1672" t="n">
        <v>252</v>
      </c>
      <c r="B1672" t="n">
        <v>513361</v>
      </c>
      <c r="C1672" t="inlineStr">
        <is>
          <t>India Steel Works Ltd</t>
        </is>
      </c>
      <c r="D1672" t="n">
        <v>2017</v>
      </c>
      <c r="E1672" t="n">
        <v>21.73999977111816</v>
      </c>
      <c r="G1672" t="inlineStr">
        <is>
          <t>Consolidated first (v4) – needs verification for flagged rows</t>
        </is>
      </c>
      <c r="H1672" t="n">
        <v>5.699999809265137</v>
      </c>
      <c r="I1672" t="n">
        <v>2.190000057220459</v>
      </c>
      <c r="L1672" t="inlineStr">
        <is>
          <t>INCOMPLETE</t>
        </is>
      </c>
      <c r="O1672" t="n">
        <v>3.8</v>
      </c>
      <c r="P1672" t="n">
        <v>8.74</v>
      </c>
      <c r="Q1672" t="n">
        <v>2.61</v>
      </c>
      <c r="R1672" s="3" t="inlineStr">
        <is>
          <t>MISMATCH_NEEDS_CORRECTION</t>
        </is>
      </c>
      <c r="S1672" t="n">
        <v>3.8</v>
      </c>
      <c r="T1672" t="inlineStr">
        <is>
          <t>30-07-2026 09:42 IST</t>
        </is>
      </c>
    </row>
    <row r="1673">
      <c r="A1673" t="n">
        <v>252</v>
      </c>
      <c r="B1673" t="n">
        <v>513361</v>
      </c>
      <c r="C1673" t="inlineStr">
        <is>
          <t>India Steel Works Ltd</t>
        </is>
      </c>
      <c r="D1673" t="n">
        <v>2018</v>
      </c>
      <c r="E1673" t="n">
        <v>21.73999977111816</v>
      </c>
      <c r="G1673" t="inlineStr">
        <is>
          <t>Consolidated first (v4) – needs verification for flagged rows</t>
        </is>
      </c>
      <c r="H1673" t="n">
        <v>4.699999809265137</v>
      </c>
      <c r="I1673" t="n">
        <v>1.110000014305115</v>
      </c>
      <c r="L1673" t="inlineStr">
        <is>
          <t>INCOMPLETE</t>
        </is>
      </c>
      <c r="O1673" t="n">
        <v>3.8</v>
      </c>
      <c r="P1673" t="n">
        <v>8.74</v>
      </c>
      <c r="Q1673" t="n">
        <v>2.61</v>
      </c>
      <c r="R1673" s="3" t="inlineStr">
        <is>
          <t>MISMATCH_NEEDS_CORRECTION</t>
        </is>
      </c>
      <c r="S1673" t="n">
        <v>3.8</v>
      </c>
      <c r="T1673" t="inlineStr">
        <is>
          <t>30-07-2026 09:42 IST</t>
        </is>
      </c>
    </row>
    <row r="1674">
      <c r="A1674" t="n">
        <v>252</v>
      </c>
      <c r="B1674" t="n">
        <v>513361</v>
      </c>
      <c r="C1674" t="inlineStr">
        <is>
          <t>India Steel Works Ltd</t>
        </is>
      </c>
      <c r="D1674" t="n">
        <v>2019</v>
      </c>
      <c r="E1674" t="n">
        <v>21.73999977111816</v>
      </c>
      <c r="F1674" t="n">
        <v>-0.14</v>
      </c>
      <c r="G1674" t="inlineStr">
        <is>
          <t>Consolidated first (v4) – needs verification for flagged rows</t>
        </is>
      </c>
      <c r="H1674" t="n">
        <v>1.440000057220459</v>
      </c>
      <c r="L1674" t="inlineStr">
        <is>
          <t>UNVERIFIED – negative EPS</t>
        </is>
      </c>
      <c r="M1674" t="n">
        <v>-10.29</v>
      </c>
      <c r="O1674" t="n">
        <v>3.8</v>
      </c>
      <c r="P1674" t="n">
        <v>8.74</v>
      </c>
      <c r="Q1674" t="n">
        <v>2.61</v>
      </c>
      <c r="R1674" s="3" t="inlineStr">
        <is>
          <t>MISMATCH_NEEDS_CORRECTION</t>
        </is>
      </c>
      <c r="S1674" t="n">
        <v>3.8</v>
      </c>
      <c r="T1674" t="inlineStr">
        <is>
          <t>30-07-2026 09:42 IST</t>
        </is>
      </c>
    </row>
    <row r="1675">
      <c r="A1675" t="n">
        <v>252</v>
      </c>
      <c r="B1675" t="n">
        <v>513361</v>
      </c>
      <c r="C1675" t="inlineStr">
        <is>
          <t>India Steel Works Ltd</t>
        </is>
      </c>
      <c r="D1675" t="n">
        <v>2020</v>
      </c>
      <c r="E1675" t="n">
        <v>21.73999977111816</v>
      </c>
      <c r="F1675" t="n">
        <v>-0.49</v>
      </c>
      <c r="G1675" t="inlineStr">
        <is>
          <t>Consolidated first (v4) – needs verification for flagged rows</t>
        </is>
      </c>
      <c r="L1675" t="inlineStr">
        <is>
          <t>INCOMPLETE</t>
        </is>
      </c>
      <c r="O1675" t="n">
        <v>3.8</v>
      </c>
      <c r="P1675" t="n">
        <v>8.74</v>
      </c>
      <c r="Q1675" t="n">
        <v>2.61</v>
      </c>
      <c r="R1675" s="3" t="inlineStr">
        <is>
          <t>MISMATCH_NEEDS_CORRECTION</t>
        </is>
      </c>
      <c r="S1675" t="n">
        <v>3.8</v>
      </c>
      <c r="T1675" t="inlineStr">
        <is>
          <t>30-07-2026 09:42 IST</t>
        </is>
      </c>
    </row>
    <row r="1676">
      <c r="A1676" t="n">
        <v>252</v>
      </c>
      <c r="B1676" t="n">
        <v>513361</v>
      </c>
      <c r="C1676" t="inlineStr">
        <is>
          <t>India Steel Works Ltd</t>
        </is>
      </c>
      <c r="D1676" t="n">
        <v>2021</v>
      </c>
      <c r="E1676" t="n">
        <v>21.73999977111816</v>
      </c>
      <c r="F1676" t="n">
        <v>-0.5</v>
      </c>
      <c r="G1676" t="inlineStr">
        <is>
          <t>Consolidated first (v4) – needs verification for flagged rows</t>
        </is>
      </c>
      <c r="H1676" t="n">
        <v>4.46999979019165</v>
      </c>
      <c r="L1676" t="inlineStr">
        <is>
          <t>UNVERIFIED – negative EPS</t>
        </is>
      </c>
      <c r="M1676" t="n">
        <v>-8.94</v>
      </c>
      <c r="O1676" t="n">
        <v>3.8</v>
      </c>
      <c r="P1676" t="n">
        <v>8.74</v>
      </c>
      <c r="Q1676" t="n">
        <v>2.61</v>
      </c>
      <c r="R1676" s="3" t="inlineStr">
        <is>
          <t>MISMATCH_NEEDS_CORRECTION</t>
        </is>
      </c>
      <c r="S1676" t="n">
        <v>3.8</v>
      </c>
      <c r="T1676" t="inlineStr">
        <is>
          <t>30-07-2026 09:42 IST</t>
        </is>
      </c>
    </row>
    <row r="1677">
      <c r="A1677" t="n">
        <v>252</v>
      </c>
      <c r="B1677" t="n">
        <v>513361</v>
      </c>
      <c r="C1677" t="inlineStr">
        <is>
          <t>India Steel Works Ltd</t>
        </is>
      </c>
      <c r="D1677" t="n">
        <v>2022</v>
      </c>
      <c r="E1677" t="n">
        <v>21.73999977111816</v>
      </c>
      <c r="F1677" t="n">
        <v>-1.27</v>
      </c>
      <c r="G1677" t="inlineStr">
        <is>
          <t>Consolidated first (v4) – needs verification for flagged rows</t>
        </is>
      </c>
      <c r="H1677" t="n">
        <v>6.880000114440918</v>
      </c>
      <c r="I1677" t="n">
        <v>1.919999957084656</v>
      </c>
      <c r="L1677" t="inlineStr">
        <is>
          <t>UNVERIFIED – negative EPS</t>
        </is>
      </c>
      <c r="M1677" t="n">
        <v>-5.42</v>
      </c>
      <c r="N1677" t="n">
        <v>-1.51</v>
      </c>
      <c r="O1677" t="n">
        <v>3.8</v>
      </c>
      <c r="P1677" t="n">
        <v>8.74</v>
      </c>
      <c r="Q1677" t="n">
        <v>2.61</v>
      </c>
      <c r="R1677" s="3" t="inlineStr">
        <is>
          <t>MISMATCH_NEEDS_CORRECTION</t>
        </is>
      </c>
      <c r="S1677" t="n">
        <v>3.8</v>
      </c>
      <c r="T1677" t="inlineStr">
        <is>
          <t>30-07-2026 09:42 IST</t>
        </is>
      </c>
    </row>
    <row r="1678">
      <c r="A1678" t="n">
        <v>252</v>
      </c>
      <c r="B1678" t="n">
        <v>513361</v>
      </c>
      <c r="C1678" t="inlineStr">
        <is>
          <t>India Steel Works Ltd</t>
        </is>
      </c>
      <c r="D1678" t="n">
        <v>2023</v>
      </c>
      <c r="E1678" t="n">
        <v>21.73999977111816</v>
      </c>
      <c r="F1678" t="n">
        <v>-0.9</v>
      </c>
      <c r="G1678" t="inlineStr">
        <is>
          <t>Consolidated first (v4) – needs verification for flagged rows</t>
        </is>
      </c>
      <c r="H1678" t="n">
        <v>5.289999961853027</v>
      </c>
      <c r="I1678" t="n">
        <v>1.350000023841858</v>
      </c>
      <c r="L1678" t="inlineStr">
        <is>
          <t>UNVERIFIED – negative EPS</t>
        </is>
      </c>
      <c r="M1678" t="n">
        <v>-5.88</v>
      </c>
      <c r="N1678" t="n">
        <v>-1.5</v>
      </c>
      <c r="O1678" t="n">
        <v>3.8</v>
      </c>
      <c r="P1678" t="n">
        <v>8.74</v>
      </c>
      <c r="Q1678" t="n">
        <v>2.61</v>
      </c>
      <c r="R1678" s="3" t="inlineStr">
        <is>
          <t>MISMATCH_NEEDS_CORRECTION</t>
        </is>
      </c>
      <c r="S1678" t="n">
        <v>3.8</v>
      </c>
      <c r="T1678" t="inlineStr">
        <is>
          <t>30-07-2026 09:42 IST</t>
        </is>
      </c>
    </row>
    <row r="1679">
      <c r="A1679" t="n">
        <v>252</v>
      </c>
      <c r="B1679" t="n">
        <v>513361</v>
      </c>
      <c r="C1679" t="inlineStr">
        <is>
          <t>India Steel Works Ltd</t>
        </is>
      </c>
      <c r="D1679" t="n">
        <v>2024</v>
      </c>
      <c r="E1679" t="n">
        <v>21.73999977111816</v>
      </c>
      <c r="G1679" t="inlineStr">
        <is>
          <t>Consolidated first (v4) – needs verification for flagged rows</t>
        </is>
      </c>
      <c r="H1679" t="n">
        <v>8.739999771118164</v>
      </c>
      <c r="I1679" t="n">
        <v>2.609999895095825</v>
      </c>
      <c r="L1679" t="inlineStr">
        <is>
          <t>INCOMPLETE</t>
        </is>
      </c>
      <c r="O1679" t="n">
        <v>3.8</v>
      </c>
      <c r="P1679" t="n">
        <v>8.74</v>
      </c>
      <c r="Q1679" t="n">
        <v>2.61</v>
      </c>
      <c r="R1679" s="3" t="inlineStr">
        <is>
          <t>MISMATCH_NEEDS_CORRECTION</t>
        </is>
      </c>
      <c r="S1679" t="n">
        <v>3.8</v>
      </c>
      <c r="T1679" t="inlineStr">
        <is>
          <t>30-07-2026 09:42 IST</t>
        </is>
      </c>
    </row>
    <row r="1680">
      <c r="A1680" t="n">
        <v>252</v>
      </c>
      <c r="B1680" t="n">
        <v>513361</v>
      </c>
      <c r="C1680" t="inlineStr">
        <is>
          <t>India Steel Works Ltd</t>
        </is>
      </c>
      <c r="D1680" t="n">
        <v>2025</v>
      </c>
      <c r="E1680" t="n">
        <v>21.73999977111816</v>
      </c>
      <c r="G1680" t="inlineStr">
        <is>
          <t>Consolidated first (v4) – needs verification for flagged rows</t>
        </is>
      </c>
      <c r="H1680" t="n">
        <v>14.57999992370605</v>
      </c>
      <c r="I1680" t="n">
        <v>3.809999942779541</v>
      </c>
      <c r="L1680" t="inlineStr">
        <is>
          <t>INCOMPLETE</t>
        </is>
      </c>
      <c r="O1680" t="n">
        <v>3.8</v>
      </c>
      <c r="P1680" t="n">
        <v>8.74</v>
      </c>
      <c r="Q1680" t="n">
        <v>2.61</v>
      </c>
      <c r="R1680" s="3" t="inlineStr">
        <is>
          <t>MISMATCH_NEEDS_CORRECTION</t>
        </is>
      </c>
      <c r="S1680" t="n">
        <v>3.8</v>
      </c>
      <c r="T1680" t="inlineStr">
        <is>
          <t>30-07-2026 09:42 IST</t>
        </is>
      </c>
    </row>
    <row r="1681">
      <c r="A1681" t="n">
        <v>252</v>
      </c>
      <c r="B1681" t="n">
        <v>513361</v>
      </c>
      <c r="C1681" t="inlineStr">
        <is>
          <t>India Steel Works Ltd</t>
        </is>
      </c>
      <c r="D1681" t="n">
        <v>2026</v>
      </c>
      <c r="E1681" t="n">
        <v>21.73999977111816</v>
      </c>
      <c r="G1681" t="inlineStr">
        <is>
          <t>Consolidated first (v4) – needs verification for flagged rows</t>
        </is>
      </c>
      <c r="H1681" t="n">
        <v>25.63999938964844</v>
      </c>
      <c r="I1681" t="n">
        <v>11.30000019073486</v>
      </c>
      <c r="L1681" t="inlineStr">
        <is>
          <t>INCOMPLETE</t>
        </is>
      </c>
      <c r="O1681" t="n">
        <v>3.8</v>
      </c>
      <c r="P1681" t="n">
        <v>8.74</v>
      </c>
      <c r="Q1681" t="n">
        <v>2.61</v>
      </c>
      <c r="R1681" s="3" t="inlineStr">
        <is>
          <t>MISMATCH_NEEDS_CORRECTION</t>
        </is>
      </c>
      <c r="S1681" t="n">
        <v>3.8</v>
      </c>
      <c r="T1681" t="inlineStr">
        <is>
          <t>30-07-2026 09:42 IST</t>
        </is>
      </c>
    </row>
    <row r="1682">
      <c r="A1682" t="n">
        <v>253</v>
      </c>
      <c r="B1682" t="n">
        <v>513397</v>
      </c>
      <c r="C1682" t="inlineStr">
        <is>
          <t>Vallabh Steel Ltd</t>
        </is>
      </c>
      <c r="D1682" t="n">
        <v>2015</v>
      </c>
      <c r="E1682" t="n">
        <v>8.100000381469727</v>
      </c>
      <c r="F1682" t="n">
        <v>4.61</v>
      </c>
      <c r="G1682" t="inlineStr">
        <is>
          <t>Consolidated first (v4) – needs verification for flagged rows</t>
        </is>
      </c>
      <c r="H1682" t="n">
        <v>39.09999847412109</v>
      </c>
      <c r="I1682" t="n">
        <v>13.35000038146973</v>
      </c>
      <c r="L1682" t="inlineStr">
        <is>
          <t>OK</t>
        </is>
      </c>
      <c r="M1682" t="n">
        <v>8.48</v>
      </c>
      <c r="N1682" t="n">
        <v>2.9</v>
      </c>
      <c r="O1682" t="n">
        <v>10.23</v>
      </c>
      <c r="P1682" t="n">
        <v>20.99</v>
      </c>
      <c r="Q1682" t="n">
        <v>6.6</v>
      </c>
      <c r="R1682" s="3" t="inlineStr">
        <is>
          <t>MISMATCH_NEEDS_CORRECTION</t>
        </is>
      </c>
      <c r="S1682" t="n">
        <v>10.23</v>
      </c>
      <c r="T1682" t="inlineStr">
        <is>
          <t>30-07-2026 09:42 IST</t>
        </is>
      </c>
    </row>
    <row r="1683">
      <c r="A1683" t="n">
        <v>253</v>
      </c>
      <c r="B1683" t="n">
        <v>513397</v>
      </c>
      <c r="C1683" t="inlineStr">
        <is>
          <t>Vallabh Steel Ltd</t>
        </is>
      </c>
      <c r="D1683" t="n">
        <v>2016</v>
      </c>
      <c r="E1683" t="n">
        <v>8.100000381469727</v>
      </c>
      <c r="F1683" t="n">
        <v>2.75</v>
      </c>
      <c r="G1683" t="inlineStr">
        <is>
          <t>Consolidated first (v4) – needs verification for flagged rows</t>
        </is>
      </c>
      <c r="H1683" t="n">
        <v>48.09999847412109</v>
      </c>
      <c r="I1683" t="n">
        <v>24.85000038146973</v>
      </c>
      <c r="L1683" t="inlineStr">
        <is>
          <t>OK</t>
        </is>
      </c>
      <c r="M1683" t="n">
        <v>17.49</v>
      </c>
      <c r="N1683" t="n">
        <v>9.039999999999999</v>
      </c>
      <c r="O1683" t="n">
        <v>10.23</v>
      </c>
      <c r="P1683" t="n">
        <v>20.99</v>
      </c>
      <c r="Q1683" t="n">
        <v>6.6</v>
      </c>
      <c r="R1683" s="3" t="inlineStr">
        <is>
          <t>MISMATCH_NEEDS_CORRECTION</t>
        </is>
      </c>
      <c r="S1683" t="n">
        <v>10.23</v>
      </c>
      <c r="T1683" t="inlineStr">
        <is>
          <t>30-07-2026 09:42 IST</t>
        </is>
      </c>
    </row>
    <row r="1684">
      <c r="A1684" t="n">
        <v>253</v>
      </c>
      <c r="B1684" t="n">
        <v>513397</v>
      </c>
      <c r="C1684" t="inlineStr">
        <is>
          <t>Vallabh Steel Ltd</t>
        </is>
      </c>
      <c r="D1684" t="n">
        <v>2017</v>
      </c>
      <c r="E1684" t="n">
        <v>8.100000381469727</v>
      </c>
      <c r="F1684" t="n">
        <v>1.54</v>
      </c>
      <c r="G1684" t="inlineStr">
        <is>
          <t>Consolidated first (v4) – needs verification for flagged rows</t>
        </is>
      </c>
      <c r="H1684" t="n">
        <v>39.59999847412109</v>
      </c>
      <c r="I1684" t="n">
        <v>26.29999923706055</v>
      </c>
      <c r="L1684" t="inlineStr">
        <is>
          <t>OK</t>
        </is>
      </c>
      <c r="M1684" t="n">
        <v>25.71</v>
      </c>
      <c r="N1684" t="n">
        <v>17.08</v>
      </c>
      <c r="O1684" t="n">
        <v>10.23</v>
      </c>
      <c r="P1684" t="n">
        <v>20.99</v>
      </c>
      <c r="Q1684" t="n">
        <v>6.6</v>
      </c>
      <c r="R1684" s="3" t="inlineStr">
        <is>
          <t>MISMATCH_NEEDS_CORRECTION</t>
        </is>
      </c>
      <c r="S1684" t="n">
        <v>10.23</v>
      </c>
      <c r="T1684" t="inlineStr">
        <is>
          <t>30-07-2026 09:42 IST</t>
        </is>
      </c>
    </row>
    <row r="1685">
      <c r="A1685" t="n">
        <v>253</v>
      </c>
      <c r="B1685" t="n">
        <v>513397</v>
      </c>
      <c r="C1685" t="inlineStr">
        <is>
          <t>Vallabh Steel Ltd</t>
        </is>
      </c>
      <c r="D1685" t="n">
        <v>2018</v>
      </c>
      <c r="E1685" t="n">
        <v>8.100000381469727</v>
      </c>
      <c r="F1685" t="n">
        <v>1.9</v>
      </c>
      <c r="G1685" t="inlineStr">
        <is>
          <t>Consolidated first (v4) – needs verification for flagged rows</t>
        </is>
      </c>
      <c r="H1685" t="n">
        <v>36.09999847412109</v>
      </c>
      <c r="I1685" t="n">
        <v>21.04999923706055</v>
      </c>
      <c r="L1685" t="inlineStr">
        <is>
          <t>OK</t>
        </is>
      </c>
      <c r="M1685" t="n">
        <v>19</v>
      </c>
      <c r="N1685" t="n">
        <v>11.08</v>
      </c>
      <c r="O1685" t="n">
        <v>10.23</v>
      </c>
      <c r="P1685" t="n">
        <v>20.99</v>
      </c>
      <c r="Q1685" t="n">
        <v>6.6</v>
      </c>
      <c r="R1685" s="3" t="inlineStr">
        <is>
          <t>MISMATCH_NEEDS_CORRECTION</t>
        </is>
      </c>
      <c r="S1685" t="n">
        <v>10.23</v>
      </c>
      <c r="T1685" t="inlineStr">
        <is>
          <t>30-07-2026 09:42 IST</t>
        </is>
      </c>
    </row>
    <row r="1686">
      <c r="A1686" t="n">
        <v>253</v>
      </c>
      <c r="B1686" t="n">
        <v>513397</v>
      </c>
      <c r="C1686" t="inlineStr">
        <is>
          <t>Vallabh Steel Ltd</t>
        </is>
      </c>
      <c r="D1686" t="n">
        <v>2019</v>
      </c>
      <c r="E1686" t="n">
        <v>8.100000381469727</v>
      </c>
      <c r="F1686" t="n">
        <v>0.48</v>
      </c>
      <c r="G1686" t="inlineStr">
        <is>
          <t>Consolidated first (v4) – needs verification for flagged rows</t>
        </is>
      </c>
      <c r="H1686" t="n">
        <v>31.39999961853027</v>
      </c>
      <c r="I1686" t="n">
        <v>25.29999923706055</v>
      </c>
      <c r="L1686" t="inlineStr">
        <is>
          <t>UNVERIFIED – tiny EPS &lt;0.5</t>
        </is>
      </c>
      <c r="M1686" t="n">
        <v>65.42</v>
      </c>
      <c r="N1686" t="n">
        <v>52.71</v>
      </c>
      <c r="O1686" t="n">
        <v>10.23</v>
      </c>
      <c r="P1686" t="n">
        <v>20.99</v>
      </c>
      <c r="Q1686" t="n">
        <v>6.6</v>
      </c>
      <c r="R1686" s="3" t="inlineStr">
        <is>
          <t>MISMATCH_NEEDS_CORRECTION</t>
        </is>
      </c>
      <c r="S1686" t="n">
        <v>10.23</v>
      </c>
      <c r="T1686" t="inlineStr">
        <is>
          <t>30-07-2026 09:42 IST</t>
        </is>
      </c>
    </row>
    <row r="1687">
      <c r="A1687" t="n">
        <v>253</v>
      </c>
      <c r="B1687" t="n">
        <v>513397</v>
      </c>
      <c r="C1687" t="inlineStr">
        <is>
          <t>Vallabh Steel Ltd</t>
        </is>
      </c>
      <c r="D1687" t="n">
        <v>2020</v>
      </c>
      <c r="E1687" t="n">
        <v>8.100000381469727</v>
      </c>
      <c r="F1687" t="n">
        <v>-34.79</v>
      </c>
      <c r="G1687" t="inlineStr">
        <is>
          <t>Consolidated first (v4) – needs verification for flagged rows</t>
        </is>
      </c>
      <c r="H1687" t="n">
        <v>25.29999923706055</v>
      </c>
      <c r="I1687" t="n">
        <v>5.889999866485596</v>
      </c>
      <c r="L1687" t="inlineStr">
        <is>
          <t>UNVERIFIED – negative EPS</t>
        </is>
      </c>
      <c r="M1687" t="n">
        <v>-0.73</v>
      </c>
      <c r="N1687" t="n">
        <v>-0.17</v>
      </c>
      <c r="O1687" t="n">
        <v>10.23</v>
      </c>
      <c r="P1687" t="n">
        <v>20.99</v>
      </c>
      <c r="Q1687" t="n">
        <v>6.6</v>
      </c>
      <c r="R1687" s="3" t="inlineStr">
        <is>
          <t>MISMATCH_NEEDS_CORRECTION</t>
        </is>
      </c>
      <c r="S1687" t="n">
        <v>10.23</v>
      </c>
      <c r="T1687" t="inlineStr">
        <is>
          <t>30-07-2026 09:42 IST</t>
        </is>
      </c>
    </row>
    <row r="1688">
      <c r="A1688" t="n">
        <v>253</v>
      </c>
      <c r="B1688" t="n">
        <v>513397</v>
      </c>
      <c r="C1688" t="inlineStr">
        <is>
          <t>Vallabh Steel Ltd</t>
        </is>
      </c>
      <c r="D1688" t="n">
        <v>2021</v>
      </c>
      <c r="E1688" t="n">
        <v>8.100000381469727</v>
      </c>
      <c r="F1688" t="n">
        <v>-42.53</v>
      </c>
      <c r="G1688" t="inlineStr">
        <is>
          <t>Consolidated first (v4) – needs verification for flagged rows</t>
        </is>
      </c>
      <c r="H1688" t="n">
        <v>11.19999980926514</v>
      </c>
      <c r="I1688" t="n">
        <v>6.599999904632568</v>
      </c>
      <c r="L1688" t="inlineStr">
        <is>
          <t>UNVERIFIED – negative EPS</t>
        </is>
      </c>
      <c r="M1688" t="n">
        <v>-0.26</v>
      </c>
      <c r="N1688" t="n">
        <v>-0.16</v>
      </c>
      <c r="O1688" t="n">
        <v>10.23</v>
      </c>
      <c r="P1688" t="n">
        <v>20.99</v>
      </c>
      <c r="Q1688" t="n">
        <v>6.6</v>
      </c>
      <c r="R1688" s="3" t="inlineStr">
        <is>
          <t>MISMATCH_NEEDS_CORRECTION</t>
        </is>
      </c>
      <c r="S1688" t="n">
        <v>10.23</v>
      </c>
      <c r="T1688" t="inlineStr">
        <is>
          <t>30-07-2026 09:42 IST</t>
        </is>
      </c>
    </row>
    <row r="1689">
      <c r="A1689" t="n">
        <v>253</v>
      </c>
      <c r="B1689" t="n">
        <v>513397</v>
      </c>
      <c r="C1689" t="inlineStr">
        <is>
          <t>Vallabh Steel Ltd</t>
        </is>
      </c>
      <c r="D1689" t="n">
        <v>2022</v>
      </c>
      <c r="E1689" t="n">
        <v>8.100000381469727</v>
      </c>
      <c r="F1689" t="n">
        <v>-18.67</v>
      </c>
      <c r="G1689" t="inlineStr">
        <is>
          <t>Consolidated first (v4) – needs verification for flagged rows</t>
        </is>
      </c>
      <c r="H1689" t="n">
        <v>10.14000034332275</v>
      </c>
      <c r="I1689" t="n">
        <v>5.050000190734863</v>
      </c>
      <c r="L1689" t="inlineStr">
        <is>
          <t>UNVERIFIED – negative EPS</t>
        </is>
      </c>
      <c r="M1689" t="n">
        <v>-0.54</v>
      </c>
      <c r="N1689" t="n">
        <v>-0.27</v>
      </c>
      <c r="O1689" t="n">
        <v>10.23</v>
      </c>
      <c r="P1689" t="n">
        <v>20.99</v>
      </c>
      <c r="Q1689" t="n">
        <v>6.6</v>
      </c>
      <c r="R1689" s="3" t="inlineStr">
        <is>
          <t>MISMATCH_NEEDS_CORRECTION</t>
        </is>
      </c>
      <c r="S1689" t="n">
        <v>10.23</v>
      </c>
      <c r="T1689" t="inlineStr">
        <is>
          <t>30-07-2026 09:42 IST</t>
        </is>
      </c>
    </row>
    <row r="1690">
      <c r="A1690" t="n">
        <v>253</v>
      </c>
      <c r="B1690" t="n">
        <v>513397</v>
      </c>
      <c r="C1690" t="inlineStr">
        <is>
          <t>Vallabh Steel Ltd</t>
        </is>
      </c>
      <c r="D1690" t="n">
        <v>2023</v>
      </c>
      <c r="E1690" t="n">
        <v>8.100000381469727</v>
      </c>
      <c r="F1690" t="n">
        <v>-20.34</v>
      </c>
      <c r="G1690" t="inlineStr">
        <is>
          <t>Consolidated first (v4) – needs verification for flagged rows</t>
        </is>
      </c>
      <c r="H1690" t="n">
        <v>9.109999656677246</v>
      </c>
      <c r="I1690" t="n">
        <v>4.429999828338623</v>
      </c>
      <c r="L1690" t="inlineStr">
        <is>
          <t>UNVERIFIED – negative EPS</t>
        </is>
      </c>
      <c r="M1690" t="n">
        <v>-0.45</v>
      </c>
      <c r="N1690" t="n">
        <v>-0.22</v>
      </c>
      <c r="O1690" t="n">
        <v>10.23</v>
      </c>
      <c r="P1690" t="n">
        <v>20.99</v>
      </c>
      <c r="Q1690" t="n">
        <v>6.6</v>
      </c>
      <c r="R1690" s="3" t="inlineStr">
        <is>
          <t>MISMATCH_NEEDS_CORRECTION</t>
        </is>
      </c>
      <c r="S1690" t="n">
        <v>10.23</v>
      </c>
      <c r="T1690" t="inlineStr">
        <is>
          <t>30-07-2026 09:42 IST</t>
        </is>
      </c>
    </row>
    <row r="1691">
      <c r="A1691" t="n">
        <v>253</v>
      </c>
      <c r="B1691" t="n">
        <v>513397</v>
      </c>
      <c r="C1691" t="inlineStr">
        <is>
          <t>Vallabh Steel Ltd</t>
        </is>
      </c>
      <c r="D1691" t="n">
        <v>2024</v>
      </c>
      <c r="E1691" t="n">
        <v>8.100000381469727</v>
      </c>
      <c r="F1691" t="n">
        <v>-3.62</v>
      </c>
      <c r="G1691" t="inlineStr">
        <is>
          <t>Consolidated first (v4) – needs verification for flagged rows</t>
        </is>
      </c>
      <c r="H1691" t="n">
        <v>20.98999977111816</v>
      </c>
      <c r="I1691" t="n">
        <v>6.599999904632568</v>
      </c>
      <c r="L1691" t="inlineStr">
        <is>
          <t>UNVERIFIED – negative EPS</t>
        </is>
      </c>
      <c r="M1691" t="n">
        <v>-5.8</v>
      </c>
      <c r="N1691" t="n">
        <v>-1.82</v>
      </c>
      <c r="O1691" t="n">
        <v>10.23</v>
      </c>
      <c r="P1691" t="n">
        <v>20.99</v>
      </c>
      <c r="Q1691" t="n">
        <v>6.6</v>
      </c>
      <c r="R1691" s="3" t="inlineStr">
        <is>
          <t>MISMATCH_NEEDS_CORRECTION</t>
        </is>
      </c>
      <c r="S1691" t="n">
        <v>10.23</v>
      </c>
      <c r="T1691" t="inlineStr">
        <is>
          <t>30-07-2026 09:42 IST</t>
        </is>
      </c>
    </row>
    <row r="1692">
      <c r="A1692" t="n">
        <v>253</v>
      </c>
      <c r="B1692" t="n">
        <v>513397</v>
      </c>
      <c r="C1692" t="inlineStr">
        <is>
          <t>Vallabh Steel Ltd</t>
        </is>
      </c>
      <c r="D1692" t="n">
        <v>2025</v>
      </c>
      <c r="E1692" t="n">
        <v>8.100000381469727</v>
      </c>
      <c r="F1692" t="n">
        <v>-2.85</v>
      </c>
      <c r="G1692" t="inlineStr">
        <is>
          <t>Consolidated first (v4) – needs verification for flagged rows</t>
        </is>
      </c>
      <c r="H1692" t="n">
        <v>11.4399995803833</v>
      </c>
      <c r="I1692" t="n">
        <v>6.019999980926514</v>
      </c>
      <c r="L1692" t="inlineStr">
        <is>
          <t>UNVERIFIED – negative EPS</t>
        </is>
      </c>
      <c r="M1692" t="n">
        <v>-4.01</v>
      </c>
      <c r="N1692" t="n">
        <v>-2.11</v>
      </c>
      <c r="O1692" t="n">
        <v>10.23</v>
      </c>
      <c r="P1692" t="n">
        <v>20.99</v>
      </c>
      <c r="Q1692" t="n">
        <v>6.6</v>
      </c>
      <c r="R1692" s="3" t="inlineStr">
        <is>
          <t>MISMATCH_NEEDS_CORRECTION</t>
        </is>
      </c>
      <c r="S1692" t="n">
        <v>10.23</v>
      </c>
      <c r="T1692" t="inlineStr">
        <is>
          <t>30-07-2026 09:42 IST</t>
        </is>
      </c>
    </row>
    <row r="1693">
      <c r="A1693" t="n">
        <v>253</v>
      </c>
      <c r="B1693" t="n">
        <v>513397</v>
      </c>
      <c r="C1693" t="inlineStr">
        <is>
          <t>Vallabh Steel Ltd</t>
        </is>
      </c>
      <c r="D1693" t="n">
        <v>2026</v>
      </c>
      <c r="E1693" t="n">
        <v>8.100000381469727</v>
      </c>
      <c r="F1693" t="n">
        <v>-2.36</v>
      </c>
      <c r="G1693" t="inlineStr">
        <is>
          <t>Consolidated first (v4) – needs verification for flagged rows</t>
        </is>
      </c>
      <c r="H1693" t="n">
        <v>14.89999961853027</v>
      </c>
      <c r="I1693" t="n">
        <v>8</v>
      </c>
      <c r="L1693" t="inlineStr">
        <is>
          <t>UNVERIFIED – negative EPS</t>
        </is>
      </c>
      <c r="M1693" t="n">
        <v>-6.31</v>
      </c>
      <c r="N1693" t="n">
        <v>-3.39</v>
      </c>
      <c r="O1693" t="n">
        <v>10.23</v>
      </c>
      <c r="P1693" t="n">
        <v>20.99</v>
      </c>
      <c r="Q1693" t="n">
        <v>6.6</v>
      </c>
      <c r="R1693" s="3" t="inlineStr">
        <is>
          <t>MISMATCH_NEEDS_CORRECTION</t>
        </is>
      </c>
      <c r="S1693" t="n">
        <v>10.23</v>
      </c>
      <c r="T1693" t="inlineStr">
        <is>
          <t>30-07-2026 09:42 IST</t>
        </is>
      </c>
    </row>
    <row r="1694">
      <c r="A1694" t="n">
        <v>254</v>
      </c>
      <c r="B1694" t="n">
        <v>513401</v>
      </c>
      <c r="C1694" t="inlineStr">
        <is>
          <t>Ashima Ltd</t>
        </is>
      </c>
      <c r="D1694" t="n">
        <v>2015</v>
      </c>
      <c r="E1694" t="n">
        <v>17.5</v>
      </c>
      <c r="F1694" t="n">
        <v>4.46</v>
      </c>
      <c r="G1694" t="inlineStr">
        <is>
          <t>Consolidated first (v4) – needs verification for flagged rows</t>
        </is>
      </c>
      <c r="H1694" t="n">
        <v>15.69999980926514</v>
      </c>
      <c r="I1694" t="n">
        <v>8.199999809265137</v>
      </c>
      <c r="L1694" t="inlineStr">
        <is>
          <t>OK</t>
        </is>
      </c>
      <c r="M1694" t="n">
        <v>3.52</v>
      </c>
      <c r="N1694" t="n">
        <v>1.84</v>
      </c>
      <c r="O1694" t="n">
        <v>52.59</v>
      </c>
      <c r="P1694" t="n">
        <v>62.65</v>
      </c>
      <c r="Q1694" t="n">
        <v>31.16</v>
      </c>
      <c r="R1694" s="3" t="inlineStr">
        <is>
          <t>MISMATCH_NEEDS_CORRECTION</t>
        </is>
      </c>
      <c r="S1694" t="n">
        <v>52.59</v>
      </c>
      <c r="T1694" t="inlineStr">
        <is>
          <t>30-07-2026 09:42 IST</t>
        </is>
      </c>
    </row>
    <row r="1695">
      <c r="A1695" t="n">
        <v>254</v>
      </c>
      <c r="B1695" t="n">
        <v>513401</v>
      </c>
      <c r="C1695" t="inlineStr">
        <is>
          <t>Ashima Ltd</t>
        </is>
      </c>
      <c r="D1695" t="n">
        <v>2016</v>
      </c>
      <c r="E1695" t="n">
        <v>17.5</v>
      </c>
      <c r="F1695" t="n">
        <v>1.46</v>
      </c>
      <c r="G1695" t="inlineStr">
        <is>
          <t>Consolidated first (v4) – needs verification for flagged rows</t>
        </is>
      </c>
      <c r="H1695" t="n">
        <v>15.69999980926514</v>
      </c>
      <c r="I1695" t="n">
        <v>7.190000057220459</v>
      </c>
      <c r="L1695" t="inlineStr">
        <is>
          <t>OK</t>
        </is>
      </c>
      <c r="M1695" t="n">
        <v>10.75</v>
      </c>
      <c r="N1695" t="n">
        <v>4.92</v>
      </c>
      <c r="O1695" t="n">
        <v>52.59</v>
      </c>
      <c r="P1695" t="n">
        <v>62.65</v>
      </c>
      <c r="Q1695" t="n">
        <v>31.16</v>
      </c>
      <c r="R1695" s="3" t="inlineStr">
        <is>
          <t>MISMATCH_NEEDS_CORRECTION</t>
        </is>
      </c>
      <c r="S1695" t="n">
        <v>52.59</v>
      </c>
      <c r="T1695" t="inlineStr">
        <is>
          <t>30-07-2026 09:42 IST</t>
        </is>
      </c>
    </row>
    <row r="1696">
      <c r="A1696" t="n">
        <v>254</v>
      </c>
      <c r="B1696" t="n">
        <v>513401</v>
      </c>
      <c r="C1696" t="inlineStr">
        <is>
          <t>Ashima Ltd</t>
        </is>
      </c>
      <c r="D1696" t="n">
        <v>2017</v>
      </c>
      <c r="E1696" t="n">
        <v>17.5</v>
      </c>
      <c r="F1696" t="n">
        <v>6.92</v>
      </c>
      <c r="G1696" t="inlineStr">
        <is>
          <t>Consolidated first (v4) – needs verification for flagged rows</t>
        </is>
      </c>
      <c r="H1696" t="n">
        <v>40</v>
      </c>
      <c r="I1696" t="n">
        <v>12.5</v>
      </c>
      <c r="L1696" t="inlineStr">
        <is>
          <t>OK</t>
        </is>
      </c>
      <c r="M1696" t="n">
        <v>5.78</v>
      </c>
      <c r="N1696" t="n">
        <v>1.81</v>
      </c>
      <c r="O1696" t="n">
        <v>52.59</v>
      </c>
      <c r="P1696" t="n">
        <v>62.65</v>
      </c>
      <c r="Q1696" t="n">
        <v>31.16</v>
      </c>
      <c r="R1696" s="3" t="inlineStr">
        <is>
          <t>MISMATCH_NEEDS_CORRECTION</t>
        </is>
      </c>
      <c r="S1696" t="n">
        <v>52.59</v>
      </c>
      <c r="T1696" t="inlineStr">
        <is>
          <t>30-07-2026 09:42 IST</t>
        </is>
      </c>
    </row>
    <row r="1697">
      <c r="A1697" t="n">
        <v>254</v>
      </c>
      <c r="B1697" t="n">
        <v>513401</v>
      </c>
      <c r="C1697" t="inlineStr">
        <is>
          <t>Ashima Ltd</t>
        </is>
      </c>
      <c r="D1697" t="n">
        <v>2018</v>
      </c>
      <c r="E1697" t="n">
        <v>17.5</v>
      </c>
      <c r="F1697" t="n">
        <v>4.42</v>
      </c>
      <c r="G1697" t="inlineStr">
        <is>
          <t>Consolidated first (v4) – needs verification for flagged rows</t>
        </is>
      </c>
      <c r="H1697" t="n">
        <v>39.5</v>
      </c>
      <c r="I1697" t="n">
        <v>21.79999923706055</v>
      </c>
      <c r="L1697" t="inlineStr">
        <is>
          <t>OK</t>
        </is>
      </c>
      <c r="M1697" t="n">
        <v>8.94</v>
      </c>
      <c r="N1697" t="n">
        <v>4.93</v>
      </c>
      <c r="O1697" t="n">
        <v>52.59</v>
      </c>
      <c r="P1697" t="n">
        <v>62.65</v>
      </c>
      <c r="Q1697" t="n">
        <v>31.16</v>
      </c>
      <c r="R1697" s="3" t="inlineStr">
        <is>
          <t>MISMATCH_NEEDS_CORRECTION</t>
        </is>
      </c>
      <c r="S1697" t="n">
        <v>52.59</v>
      </c>
      <c r="T1697" t="inlineStr">
        <is>
          <t>30-07-2026 09:42 IST</t>
        </is>
      </c>
    </row>
    <row r="1698">
      <c r="A1698" t="n">
        <v>254</v>
      </c>
      <c r="B1698" t="n">
        <v>513401</v>
      </c>
      <c r="C1698" t="inlineStr">
        <is>
          <t>Ashima Ltd</t>
        </is>
      </c>
      <c r="D1698" t="n">
        <v>2019</v>
      </c>
      <c r="E1698" t="n">
        <v>17.5</v>
      </c>
      <c r="F1698" t="n">
        <v>5.36</v>
      </c>
      <c r="G1698" t="inlineStr">
        <is>
          <t>Consolidated first (v4) – needs verification for flagged rows</t>
        </is>
      </c>
      <c r="H1698" t="n">
        <v>30.64999961853027</v>
      </c>
      <c r="I1698" t="n">
        <v>9.5</v>
      </c>
      <c r="L1698" t="inlineStr">
        <is>
          <t>OK</t>
        </is>
      </c>
      <c r="M1698" t="n">
        <v>5.72</v>
      </c>
      <c r="N1698" t="n">
        <v>1.77</v>
      </c>
      <c r="O1698" t="n">
        <v>52.59</v>
      </c>
      <c r="P1698" t="n">
        <v>62.65</v>
      </c>
      <c r="Q1698" t="n">
        <v>31.16</v>
      </c>
      <c r="R1698" s="3" t="inlineStr">
        <is>
          <t>MISMATCH_NEEDS_CORRECTION</t>
        </is>
      </c>
      <c r="S1698" t="n">
        <v>52.59</v>
      </c>
      <c r="T1698" t="inlineStr">
        <is>
          <t>30-07-2026 09:42 IST</t>
        </is>
      </c>
    </row>
    <row r="1699">
      <c r="A1699" t="n">
        <v>254</v>
      </c>
      <c r="B1699" t="n">
        <v>513401</v>
      </c>
      <c r="C1699" t="inlineStr">
        <is>
          <t>Ashima Ltd</t>
        </is>
      </c>
      <c r="D1699" t="n">
        <v>2020</v>
      </c>
      <c r="E1699" t="n">
        <v>17.5</v>
      </c>
      <c r="F1699" t="n">
        <v>-14.71</v>
      </c>
      <c r="G1699" t="inlineStr">
        <is>
          <t>Consolidated first (v4) – needs verification for flagged rows</t>
        </is>
      </c>
      <c r="H1699" t="n">
        <v>12.94999980926514</v>
      </c>
      <c r="I1699" t="n">
        <v>5.989999771118164</v>
      </c>
      <c r="L1699" t="inlineStr">
        <is>
          <t>UNVERIFIED – negative EPS</t>
        </is>
      </c>
      <c r="M1699" t="n">
        <v>-0.88</v>
      </c>
      <c r="N1699" t="n">
        <v>-0.41</v>
      </c>
      <c r="O1699" t="n">
        <v>52.59</v>
      </c>
      <c r="P1699" t="n">
        <v>62.65</v>
      </c>
      <c r="Q1699" t="n">
        <v>31.16</v>
      </c>
      <c r="R1699" s="3" t="inlineStr">
        <is>
          <t>MISMATCH_NEEDS_CORRECTION</t>
        </is>
      </c>
      <c r="S1699" t="n">
        <v>52.59</v>
      </c>
      <c r="T1699" t="inlineStr">
        <is>
          <t>30-07-2026 09:42 IST</t>
        </is>
      </c>
    </row>
    <row r="1700">
      <c r="A1700" t="n">
        <v>254</v>
      </c>
      <c r="B1700" t="n">
        <v>513401</v>
      </c>
      <c r="C1700" t="inlineStr">
        <is>
          <t>Ashima Ltd</t>
        </is>
      </c>
      <c r="D1700" t="n">
        <v>2021</v>
      </c>
      <c r="E1700" t="n">
        <v>17.5</v>
      </c>
      <c r="F1700" t="n">
        <v>1.44</v>
      </c>
      <c r="G1700" t="inlineStr">
        <is>
          <t>Consolidated first (v4) – needs verification for flagged rows</t>
        </is>
      </c>
      <c r="H1700" t="n">
        <v>23.45000076293945</v>
      </c>
      <c r="I1700" t="n">
        <v>9.75</v>
      </c>
      <c r="L1700" t="inlineStr">
        <is>
          <t>OK</t>
        </is>
      </c>
      <c r="M1700" t="n">
        <v>16.28</v>
      </c>
      <c r="N1700" t="n">
        <v>6.77</v>
      </c>
      <c r="O1700" t="n">
        <v>52.59</v>
      </c>
      <c r="P1700" t="n">
        <v>62.65</v>
      </c>
      <c r="Q1700" t="n">
        <v>31.16</v>
      </c>
      <c r="R1700" s="3" t="inlineStr">
        <is>
          <t>MISMATCH_NEEDS_CORRECTION</t>
        </is>
      </c>
      <c r="S1700" t="n">
        <v>52.59</v>
      </c>
      <c r="T1700" t="inlineStr">
        <is>
          <t>30-07-2026 09:42 IST</t>
        </is>
      </c>
    </row>
    <row r="1701">
      <c r="A1701" t="n">
        <v>254</v>
      </c>
      <c r="B1701" t="n">
        <v>513401</v>
      </c>
      <c r="C1701" t="inlineStr">
        <is>
          <t>Ashima Ltd</t>
        </is>
      </c>
      <c r="D1701" t="n">
        <v>2022</v>
      </c>
      <c r="E1701" t="n">
        <v>17.5</v>
      </c>
      <c r="F1701" t="n">
        <v>1.27</v>
      </c>
      <c r="G1701" t="inlineStr">
        <is>
          <t>Consolidated first (v4) – needs verification for flagged rows</t>
        </is>
      </c>
      <c r="H1701" t="n">
        <v>62.59999847412109</v>
      </c>
      <c r="I1701" t="n">
        <v>17.54999923706055</v>
      </c>
      <c r="L1701" t="inlineStr">
        <is>
          <t>OK</t>
        </is>
      </c>
      <c r="M1701" t="n">
        <v>49.29</v>
      </c>
      <c r="N1701" t="n">
        <v>13.82</v>
      </c>
      <c r="O1701" t="n">
        <v>52.59</v>
      </c>
      <c r="P1701" t="n">
        <v>62.65</v>
      </c>
      <c r="Q1701" t="n">
        <v>31.16</v>
      </c>
      <c r="R1701" s="3" t="inlineStr">
        <is>
          <t>MISMATCH_NEEDS_CORRECTION</t>
        </is>
      </c>
      <c r="S1701" t="n">
        <v>52.59</v>
      </c>
      <c r="T1701" t="inlineStr">
        <is>
          <t>30-07-2026 09:42 IST</t>
        </is>
      </c>
    </row>
    <row r="1702">
      <c r="A1702" t="n">
        <v>254</v>
      </c>
      <c r="B1702" t="n">
        <v>513401</v>
      </c>
      <c r="C1702" t="inlineStr">
        <is>
          <t>Ashima Ltd</t>
        </is>
      </c>
      <c r="D1702" t="n">
        <v>2023</v>
      </c>
      <c r="E1702" t="n">
        <v>17.5</v>
      </c>
      <c r="F1702" t="n">
        <v>3.77</v>
      </c>
      <c r="G1702" t="inlineStr">
        <is>
          <t>Consolidated first (v4) – needs verification for flagged rows</t>
        </is>
      </c>
      <c r="H1702" t="n">
        <v>45.90000152587891</v>
      </c>
      <c r="I1702" t="n">
        <v>26.3700008392334</v>
      </c>
      <c r="L1702" t="inlineStr">
        <is>
          <t>OK</t>
        </is>
      </c>
      <c r="M1702" t="n">
        <v>12.18</v>
      </c>
      <c r="N1702" t="n">
        <v>6.99</v>
      </c>
      <c r="O1702" t="n">
        <v>52.59</v>
      </c>
      <c r="P1702" t="n">
        <v>62.65</v>
      </c>
      <c r="Q1702" t="n">
        <v>31.16</v>
      </c>
      <c r="R1702" s="3" t="inlineStr">
        <is>
          <t>MISMATCH_NEEDS_CORRECTION</t>
        </is>
      </c>
      <c r="S1702" t="n">
        <v>52.59</v>
      </c>
      <c r="T1702" t="inlineStr">
        <is>
          <t>30-07-2026 09:42 IST</t>
        </is>
      </c>
    </row>
    <row r="1703">
      <c r="A1703" t="n">
        <v>254</v>
      </c>
      <c r="B1703" t="n">
        <v>513401</v>
      </c>
      <c r="C1703" t="inlineStr">
        <is>
          <t>Ashima Ltd</t>
        </is>
      </c>
      <c r="D1703" t="n">
        <v>2024</v>
      </c>
      <c r="E1703" t="n">
        <v>17.5</v>
      </c>
      <c r="F1703" t="n">
        <v>1.85</v>
      </c>
      <c r="G1703" t="inlineStr">
        <is>
          <t>Consolidated first (v4) – needs verification for flagged rows</t>
        </is>
      </c>
      <c r="H1703" t="n">
        <v>62.65000152587891</v>
      </c>
      <c r="I1703" t="n">
        <v>29.10000038146973</v>
      </c>
      <c r="L1703" t="inlineStr">
        <is>
          <t>OK</t>
        </is>
      </c>
      <c r="M1703" t="n">
        <v>33.86</v>
      </c>
      <c r="N1703" t="n">
        <v>15.73</v>
      </c>
      <c r="O1703" t="n">
        <v>52.59</v>
      </c>
      <c r="P1703" t="n">
        <v>62.65</v>
      </c>
      <c r="Q1703" t="n">
        <v>31.16</v>
      </c>
      <c r="R1703" s="3" t="inlineStr">
        <is>
          <t>MISMATCH_NEEDS_CORRECTION</t>
        </is>
      </c>
      <c r="S1703" t="n">
        <v>52.59</v>
      </c>
      <c r="T1703" t="inlineStr">
        <is>
          <t>30-07-2026 09:42 IST</t>
        </is>
      </c>
    </row>
    <row r="1704">
      <c r="A1704" t="n">
        <v>254</v>
      </c>
      <c r="B1704" t="n">
        <v>513401</v>
      </c>
      <c r="C1704" t="inlineStr">
        <is>
          <t>Ashima Ltd</t>
        </is>
      </c>
      <c r="D1704" t="n">
        <v>2025</v>
      </c>
      <c r="E1704" t="n">
        <v>17.5</v>
      </c>
      <c r="F1704" t="n">
        <v>-58.62</v>
      </c>
      <c r="G1704" t="inlineStr">
        <is>
          <t>Consolidated first (v4) – needs verification for flagged rows</t>
        </is>
      </c>
      <c r="H1704" t="n">
        <v>50.90999984741211</v>
      </c>
      <c r="I1704" t="n">
        <v>18.07999992370605</v>
      </c>
      <c r="L1704" t="inlineStr">
        <is>
          <t>UNVERIFIED – negative EPS</t>
        </is>
      </c>
      <c r="M1704" t="n">
        <v>-0.87</v>
      </c>
      <c r="N1704" t="n">
        <v>-0.31</v>
      </c>
      <c r="O1704" t="n">
        <v>52.59</v>
      </c>
      <c r="P1704" t="n">
        <v>62.65</v>
      </c>
      <c r="Q1704" t="n">
        <v>31.16</v>
      </c>
      <c r="R1704" s="3" t="inlineStr">
        <is>
          <t>MISMATCH_NEEDS_CORRECTION</t>
        </is>
      </c>
      <c r="S1704" t="n">
        <v>52.59</v>
      </c>
      <c r="T1704" t="inlineStr">
        <is>
          <t>30-07-2026 09:42 IST</t>
        </is>
      </c>
    </row>
    <row r="1705">
      <c r="A1705" t="n">
        <v>254</v>
      </c>
      <c r="B1705" t="n">
        <v>513401</v>
      </c>
      <c r="C1705" t="inlineStr">
        <is>
          <t>Ashima Ltd</t>
        </is>
      </c>
      <c r="D1705" t="n">
        <v>2026</v>
      </c>
      <c r="E1705" t="n">
        <v>17.5</v>
      </c>
      <c r="F1705" t="n">
        <v>38.21</v>
      </c>
      <c r="G1705" t="inlineStr">
        <is>
          <t>Consolidated first (v4) – needs verification for flagged rows</t>
        </is>
      </c>
      <c r="H1705" t="n">
        <v>28.77000045776367</v>
      </c>
      <c r="I1705" t="n">
        <v>16.45999908447266</v>
      </c>
      <c r="L1705" t="inlineStr">
        <is>
          <t>OK</t>
        </is>
      </c>
      <c r="M1705" t="n">
        <v>0.75</v>
      </c>
      <c r="N1705" t="n">
        <v>0.43</v>
      </c>
      <c r="O1705" t="n">
        <v>52.59</v>
      </c>
      <c r="P1705" t="n">
        <v>62.65</v>
      </c>
      <c r="Q1705" t="n">
        <v>31.16</v>
      </c>
      <c r="R1705" s="3" t="inlineStr">
        <is>
          <t>MISMATCH_NEEDS_CORRECTION</t>
        </is>
      </c>
      <c r="S1705" t="n">
        <v>52.59</v>
      </c>
      <c r="T1705" t="inlineStr">
        <is>
          <t>30-07-2026 09:42 IST</t>
        </is>
      </c>
    </row>
    <row r="1706">
      <c r="A1706" t="n">
        <v>255</v>
      </c>
      <c r="B1706" t="n">
        <v>513403</v>
      </c>
      <c r="C1706" t="inlineStr">
        <is>
          <t>Pramara Promotions Ltd</t>
        </is>
      </c>
      <c r="D1706" t="n">
        <v>2015</v>
      </c>
      <c r="E1706" t="n">
        <v>14.11999988555908</v>
      </c>
      <c r="F1706" t="n">
        <v>0.66</v>
      </c>
      <c r="G1706" t="inlineStr">
        <is>
          <t>Consolidated first (v4) – needs verification for flagged rows</t>
        </is>
      </c>
      <c r="H1706" t="n">
        <v>6.619999885559082</v>
      </c>
      <c r="I1706" t="n">
        <v>2</v>
      </c>
      <c r="L1706" t="inlineStr">
        <is>
          <t>OK</t>
        </is>
      </c>
      <c r="M1706" t="n">
        <v>10.03</v>
      </c>
      <c r="N1706" t="n">
        <v>3.03</v>
      </c>
      <c r="O1706" t="n">
        <v>5.4</v>
      </c>
      <c r="P1706" t="n">
        <v>7.5</v>
      </c>
      <c r="Q1706" t="n">
        <v>4.75</v>
      </c>
      <c r="R1706" s="3" t="inlineStr">
        <is>
          <t>MISMATCH_NEEDS_CORRECTION</t>
        </is>
      </c>
      <c r="S1706" t="n">
        <v>5.4</v>
      </c>
      <c r="T1706" t="inlineStr">
        <is>
          <t>30-07-2026 09:42 IST</t>
        </is>
      </c>
    </row>
    <row r="1707">
      <c r="A1707" t="n">
        <v>255</v>
      </c>
      <c r="B1707" t="n">
        <v>513403</v>
      </c>
      <c r="C1707" t="inlineStr">
        <is>
          <t>Pramara Promotions Ltd</t>
        </is>
      </c>
      <c r="D1707" t="n">
        <v>2016</v>
      </c>
      <c r="E1707" t="n">
        <v>14.11999988555908</v>
      </c>
      <c r="F1707" t="n">
        <v>-5.68</v>
      </c>
      <c r="G1707" t="inlineStr">
        <is>
          <t>Consolidated first (v4) – needs verification for flagged rows</t>
        </is>
      </c>
      <c r="H1707" t="n">
        <v>7.699999809265137</v>
      </c>
      <c r="I1707" t="n">
        <v>2.190000057220459</v>
      </c>
      <c r="L1707" t="inlineStr">
        <is>
          <t>UNVERIFIED – negative EPS</t>
        </is>
      </c>
      <c r="M1707" t="n">
        <v>-1.36</v>
      </c>
      <c r="N1707" t="n">
        <v>-0.39</v>
      </c>
      <c r="O1707" t="n">
        <v>5.4</v>
      </c>
      <c r="P1707" t="n">
        <v>7.5</v>
      </c>
      <c r="Q1707" t="n">
        <v>4.75</v>
      </c>
      <c r="R1707" s="3" t="inlineStr">
        <is>
          <t>MISMATCH_NEEDS_CORRECTION</t>
        </is>
      </c>
      <c r="S1707" t="n">
        <v>5.4</v>
      </c>
      <c r="T1707" t="inlineStr">
        <is>
          <t>30-07-2026 09:42 IST</t>
        </is>
      </c>
    </row>
    <row r="1708">
      <c r="A1708" t="n">
        <v>255</v>
      </c>
      <c r="B1708" t="n">
        <v>513403</v>
      </c>
      <c r="C1708" t="inlineStr">
        <is>
          <t>Pramara Promotions Ltd</t>
        </is>
      </c>
      <c r="D1708" t="n">
        <v>2017</v>
      </c>
      <c r="E1708" t="n">
        <v>14.11999988555908</v>
      </c>
      <c r="F1708" t="n">
        <v>0.17</v>
      </c>
      <c r="G1708" t="inlineStr">
        <is>
          <t>Consolidated first (v4) – needs verification for flagged rows</t>
        </is>
      </c>
      <c r="H1708" t="n">
        <v>7.489999771118164</v>
      </c>
      <c r="I1708" t="n">
        <v>1.809999942779541</v>
      </c>
      <c r="L1708" t="inlineStr">
        <is>
          <t>UNVERIFIED – tiny EPS &lt;0.5</t>
        </is>
      </c>
      <c r="M1708" t="n">
        <v>44.06</v>
      </c>
      <c r="N1708" t="n">
        <v>10.65</v>
      </c>
      <c r="O1708" t="n">
        <v>5.4</v>
      </c>
      <c r="P1708" t="n">
        <v>7.5</v>
      </c>
      <c r="Q1708" t="n">
        <v>4.75</v>
      </c>
      <c r="R1708" s="3" t="inlineStr">
        <is>
          <t>MISMATCH_NEEDS_CORRECTION</t>
        </is>
      </c>
      <c r="S1708" t="n">
        <v>5.4</v>
      </c>
      <c r="T1708" t="inlineStr">
        <is>
          <t>30-07-2026 09:42 IST</t>
        </is>
      </c>
    </row>
    <row r="1709">
      <c r="A1709" t="n">
        <v>255</v>
      </c>
      <c r="B1709" t="n">
        <v>513403</v>
      </c>
      <c r="C1709" t="inlineStr">
        <is>
          <t>Pramara Promotions Ltd</t>
        </is>
      </c>
      <c r="D1709" t="n">
        <v>2018</v>
      </c>
      <c r="E1709" t="n">
        <v>14.11999988555908</v>
      </c>
      <c r="F1709" t="n">
        <v>0.06</v>
      </c>
      <c r="G1709" t="inlineStr">
        <is>
          <t>Consolidated first (v4) – needs verification for flagged rows</t>
        </is>
      </c>
      <c r="H1709" t="n">
        <v>3.180000066757202</v>
      </c>
      <c r="I1709" t="n">
        <v>1.25</v>
      </c>
      <c r="L1709" t="inlineStr">
        <is>
          <t>UNVERIFIED – tiny EPS &lt;0.5</t>
        </is>
      </c>
      <c r="M1709" t="n">
        <v>53</v>
      </c>
      <c r="N1709" t="n">
        <v>20.83</v>
      </c>
      <c r="O1709" t="n">
        <v>5.4</v>
      </c>
      <c r="P1709" t="n">
        <v>7.5</v>
      </c>
      <c r="Q1709" t="n">
        <v>4.75</v>
      </c>
      <c r="R1709" s="3" t="inlineStr">
        <is>
          <t>MISMATCH_NEEDS_CORRECTION</t>
        </is>
      </c>
      <c r="S1709" t="n">
        <v>5.4</v>
      </c>
      <c r="T1709" t="inlineStr">
        <is>
          <t>30-07-2026 09:42 IST</t>
        </is>
      </c>
    </row>
    <row r="1710">
      <c r="A1710" t="n">
        <v>255</v>
      </c>
      <c r="B1710" t="n">
        <v>513403</v>
      </c>
      <c r="C1710" t="inlineStr">
        <is>
          <t>Pramara Promotions Ltd</t>
        </is>
      </c>
      <c r="D1710" t="n">
        <v>2019</v>
      </c>
      <c r="E1710" t="n">
        <v>14.11999988555908</v>
      </c>
      <c r="F1710" t="n">
        <v>0.13</v>
      </c>
      <c r="G1710" t="inlineStr">
        <is>
          <t>Consolidated first (v4) – needs verification for flagged rows</t>
        </is>
      </c>
      <c r="H1710" t="n">
        <v>4.289999961853027</v>
      </c>
      <c r="I1710" t="n">
        <v>1.25</v>
      </c>
      <c r="L1710" t="inlineStr">
        <is>
          <t>UNVERIFIED – tiny EPS &lt;0.5</t>
        </is>
      </c>
      <c r="M1710" t="n">
        <v>33</v>
      </c>
      <c r="N1710" t="n">
        <v>9.619999999999999</v>
      </c>
      <c r="O1710" t="n">
        <v>5.4</v>
      </c>
      <c r="P1710" t="n">
        <v>7.5</v>
      </c>
      <c r="Q1710" t="n">
        <v>4.75</v>
      </c>
      <c r="R1710" s="3" t="inlineStr">
        <is>
          <t>MISMATCH_NEEDS_CORRECTION</t>
        </is>
      </c>
      <c r="S1710" t="n">
        <v>5.4</v>
      </c>
      <c r="T1710" t="inlineStr">
        <is>
          <t>30-07-2026 09:42 IST</t>
        </is>
      </c>
    </row>
    <row r="1711">
      <c r="A1711" t="n">
        <v>255</v>
      </c>
      <c r="B1711" t="n">
        <v>513403</v>
      </c>
      <c r="C1711" t="inlineStr">
        <is>
          <t>Pramara Promotions Ltd</t>
        </is>
      </c>
      <c r="D1711" t="n">
        <v>2020</v>
      </c>
      <c r="E1711" t="n">
        <v>14.11999988555908</v>
      </c>
      <c r="F1711" t="n">
        <v>0.13</v>
      </c>
      <c r="G1711" t="inlineStr">
        <is>
          <t>Consolidated first (v4) – needs verification for flagged rows</t>
        </is>
      </c>
      <c r="H1711" t="n">
        <v>4.059999942779541</v>
      </c>
      <c r="I1711" t="n">
        <v>1.539999961853027</v>
      </c>
      <c r="L1711" t="inlineStr">
        <is>
          <t>UNVERIFIED – tiny EPS &lt;0.5</t>
        </is>
      </c>
      <c r="M1711" t="n">
        <v>31.23</v>
      </c>
      <c r="N1711" t="n">
        <v>11.85</v>
      </c>
      <c r="O1711" t="n">
        <v>5.4</v>
      </c>
      <c r="P1711" t="n">
        <v>7.5</v>
      </c>
      <c r="Q1711" t="n">
        <v>4.75</v>
      </c>
      <c r="R1711" s="3" t="inlineStr">
        <is>
          <t>MISMATCH_NEEDS_CORRECTION</t>
        </is>
      </c>
      <c r="S1711" t="n">
        <v>5.4</v>
      </c>
      <c r="T1711" t="inlineStr">
        <is>
          <t>30-07-2026 09:42 IST</t>
        </is>
      </c>
    </row>
    <row r="1712">
      <c r="A1712" t="n">
        <v>255</v>
      </c>
      <c r="B1712" t="n">
        <v>513403</v>
      </c>
      <c r="C1712" t="inlineStr">
        <is>
          <t>Pramara Promotions Ltd</t>
        </is>
      </c>
      <c r="D1712" t="n">
        <v>2021</v>
      </c>
      <c r="E1712" t="n">
        <v>14.11999988555908</v>
      </c>
      <c r="F1712" t="n">
        <v>0.05</v>
      </c>
      <c r="G1712" t="inlineStr">
        <is>
          <t>Consolidated first (v4) – needs verification for flagged rows</t>
        </is>
      </c>
      <c r="H1712" t="n">
        <v>6.300000190734863</v>
      </c>
      <c r="I1712" t="n">
        <v>3.150000095367432</v>
      </c>
      <c r="L1712" t="inlineStr">
        <is>
          <t>UNVERIFIED – tiny EPS &lt;0.5</t>
        </is>
      </c>
      <c r="M1712" t="n">
        <v>126</v>
      </c>
      <c r="N1712" t="n">
        <v>63</v>
      </c>
      <c r="O1712" t="n">
        <v>5.4</v>
      </c>
      <c r="P1712" t="n">
        <v>7.5</v>
      </c>
      <c r="Q1712" t="n">
        <v>4.75</v>
      </c>
      <c r="R1712" s="3" t="inlineStr">
        <is>
          <t>MISMATCH_NEEDS_CORRECTION</t>
        </is>
      </c>
      <c r="S1712" t="n">
        <v>5.4</v>
      </c>
      <c r="T1712" t="inlineStr">
        <is>
          <t>30-07-2026 09:42 IST</t>
        </is>
      </c>
    </row>
    <row r="1713">
      <c r="A1713" t="n">
        <v>255</v>
      </c>
      <c r="B1713" t="n">
        <v>513403</v>
      </c>
      <c r="C1713" t="inlineStr">
        <is>
          <t>Pramara Promotions Ltd</t>
        </is>
      </c>
      <c r="D1713" t="n">
        <v>2022</v>
      </c>
      <c r="E1713" t="n">
        <v>14.11999988555908</v>
      </c>
      <c r="F1713" t="n">
        <v>1.85</v>
      </c>
      <c r="G1713" t="inlineStr">
        <is>
          <t>Consolidated first (v4) – needs verification for flagged rows</t>
        </is>
      </c>
      <c r="H1713" t="n">
        <v>14.89000034332275</v>
      </c>
      <c r="I1713" t="n">
        <v>3.099999904632568</v>
      </c>
      <c r="L1713" t="inlineStr">
        <is>
          <t>OK</t>
        </is>
      </c>
      <c r="M1713" t="n">
        <v>8.050000000000001</v>
      </c>
      <c r="N1713" t="n">
        <v>1.68</v>
      </c>
      <c r="O1713" t="n">
        <v>5.4</v>
      </c>
      <c r="P1713" t="n">
        <v>7.5</v>
      </c>
      <c r="Q1713" t="n">
        <v>4.75</v>
      </c>
      <c r="R1713" s="3" t="inlineStr">
        <is>
          <t>MISMATCH_NEEDS_CORRECTION</t>
        </is>
      </c>
      <c r="S1713" t="n">
        <v>5.4</v>
      </c>
      <c r="T1713" t="inlineStr">
        <is>
          <t>30-07-2026 09:42 IST</t>
        </is>
      </c>
    </row>
    <row r="1714">
      <c r="A1714" t="n">
        <v>255</v>
      </c>
      <c r="B1714" t="n">
        <v>513403</v>
      </c>
      <c r="C1714" t="inlineStr">
        <is>
          <t>Pramara Promotions Ltd</t>
        </is>
      </c>
      <c r="D1714" t="n">
        <v>2023</v>
      </c>
      <c r="E1714" t="n">
        <v>14.11999988555908</v>
      </c>
      <c r="F1714" t="n">
        <v>0.16</v>
      </c>
      <c r="G1714" t="inlineStr">
        <is>
          <t>Consolidated first (v4) – needs verification for flagged rows</t>
        </is>
      </c>
      <c r="H1714" t="n">
        <v>8.600000381469727</v>
      </c>
      <c r="I1714" t="n">
        <v>4.5</v>
      </c>
      <c r="L1714" t="inlineStr">
        <is>
          <t>UNVERIFIED – tiny EPS &lt;0.5</t>
        </is>
      </c>
      <c r="M1714" t="n">
        <v>53.75</v>
      </c>
      <c r="N1714" t="n">
        <v>28.12</v>
      </c>
      <c r="O1714" t="n">
        <v>5.4</v>
      </c>
      <c r="P1714" t="n">
        <v>7.5</v>
      </c>
      <c r="Q1714" t="n">
        <v>4.75</v>
      </c>
      <c r="R1714" s="3" t="inlineStr">
        <is>
          <t>MISMATCH_NEEDS_CORRECTION</t>
        </is>
      </c>
      <c r="S1714" t="n">
        <v>5.4</v>
      </c>
      <c r="T1714" t="inlineStr">
        <is>
          <t>30-07-2026 09:42 IST</t>
        </is>
      </c>
    </row>
    <row r="1715">
      <c r="A1715" t="n">
        <v>255</v>
      </c>
      <c r="B1715" t="n">
        <v>513403</v>
      </c>
      <c r="C1715" t="inlineStr">
        <is>
          <t>Pramara Promotions Ltd</t>
        </is>
      </c>
      <c r="D1715" t="n">
        <v>2024</v>
      </c>
      <c r="E1715" t="n">
        <v>14.11999988555908</v>
      </c>
      <c r="F1715" t="n">
        <v>0.08</v>
      </c>
      <c r="G1715" t="inlineStr">
        <is>
          <t>Consolidated first (v4) – needs verification for flagged rows</t>
        </is>
      </c>
      <c r="H1715" t="n">
        <v>7.5</v>
      </c>
      <c r="I1715" t="n">
        <v>4.75</v>
      </c>
      <c r="L1715" t="inlineStr">
        <is>
          <t>UNVERIFIED – tiny EPS &lt;0.5</t>
        </is>
      </c>
      <c r="M1715" t="n">
        <v>93.75</v>
      </c>
      <c r="N1715" t="n">
        <v>59.38</v>
      </c>
      <c r="O1715" t="n">
        <v>5.4</v>
      </c>
      <c r="P1715" t="n">
        <v>7.5</v>
      </c>
      <c r="Q1715" t="n">
        <v>4.75</v>
      </c>
      <c r="R1715" s="3" t="inlineStr">
        <is>
          <t>MISMATCH_NEEDS_CORRECTION</t>
        </is>
      </c>
      <c r="S1715" t="n">
        <v>5.4</v>
      </c>
      <c r="T1715" t="inlineStr">
        <is>
          <t>30-07-2026 09:42 IST</t>
        </is>
      </c>
    </row>
    <row r="1716">
      <c r="A1716" t="n">
        <v>255</v>
      </c>
      <c r="B1716" t="n">
        <v>513403</v>
      </c>
      <c r="C1716" t="inlineStr">
        <is>
          <t>Pramara Promotions Ltd</t>
        </is>
      </c>
      <c r="D1716" t="n">
        <v>2025</v>
      </c>
      <c r="E1716" t="n">
        <v>14.11999988555908</v>
      </c>
      <c r="G1716" t="inlineStr">
        <is>
          <t>Consolidated first (v4) – needs verification for flagged rows</t>
        </is>
      </c>
      <c r="H1716" t="n">
        <v>11.06999969482422</v>
      </c>
      <c r="I1716" t="n">
        <v>4.25</v>
      </c>
      <c r="L1716" t="inlineStr">
        <is>
          <t>INCOMPLETE</t>
        </is>
      </c>
      <c r="O1716" t="n">
        <v>5.4</v>
      </c>
      <c r="P1716" t="n">
        <v>7.5</v>
      </c>
      <c r="Q1716" t="n">
        <v>4.75</v>
      </c>
      <c r="R1716" s="3" t="inlineStr">
        <is>
          <t>MISMATCH_NEEDS_CORRECTION</t>
        </is>
      </c>
      <c r="S1716" t="n">
        <v>5.4</v>
      </c>
      <c r="T1716" t="inlineStr">
        <is>
          <t>30-07-2026 09:42 IST</t>
        </is>
      </c>
    </row>
    <row r="1717">
      <c r="A1717" t="n">
        <v>255</v>
      </c>
      <c r="B1717" t="n">
        <v>513403</v>
      </c>
      <c r="C1717" t="inlineStr">
        <is>
          <t>Pramara Promotions Ltd</t>
        </is>
      </c>
      <c r="D1717" t="n">
        <v>2026</v>
      </c>
      <c r="E1717" t="n">
        <v>14.11999988555908</v>
      </c>
      <c r="F1717" t="n">
        <v>-3.85</v>
      </c>
      <c r="G1717" t="inlineStr">
        <is>
          <t>Consolidated first (v4) – needs verification for flagged rows</t>
        </is>
      </c>
      <c r="H1717" t="n">
        <v>14.11999988555908</v>
      </c>
      <c r="I1717" t="n">
        <v>11.06999969482422</v>
      </c>
      <c r="L1717" t="inlineStr">
        <is>
          <t>UNVERIFIED – negative EPS</t>
        </is>
      </c>
      <c r="M1717" t="n">
        <v>-3.67</v>
      </c>
      <c r="N1717" t="n">
        <v>-2.88</v>
      </c>
      <c r="O1717" t="n">
        <v>5.4</v>
      </c>
      <c r="P1717" t="n">
        <v>7.5</v>
      </c>
      <c r="Q1717" t="n">
        <v>4.75</v>
      </c>
      <c r="R1717" s="3" t="inlineStr">
        <is>
          <t>MISMATCH_NEEDS_CORRECTION</t>
        </is>
      </c>
      <c r="S1717" t="n">
        <v>5.4</v>
      </c>
      <c r="T1717" t="inlineStr">
        <is>
          <t>30-07-2026 09:42 IST</t>
        </is>
      </c>
    </row>
    <row r="1718">
      <c r="A1718" t="n">
        <v>256</v>
      </c>
      <c r="B1718" t="n">
        <v>513430</v>
      </c>
      <c r="C1718" t="inlineStr">
        <is>
          <t>Maithan Alloys Ltd</t>
        </is>
      </c>
      <c r="D1718" t="n">
        <v>2015</v>
      </c>
      <c r="E1718" t="n">
        <v>43.13000106811523</v>
      </c>
      <c r="G1718" t="inlineStr">
        <is>
          <t>Consolidated first (v4) – needs verification for flagged rows</t>
        </is>
      </c>
      <c r="H1718" t="n">
        <v>6.300000190734863</v>
      </c>
      <c r="I1718" t="n">
        <v>3.059999942779541</v>
      </c>
      <c r="L1718" t="inlineStr">
        <is>
          <t>INCOMPLETE</t>
        </is>
      </c>
      <c r="O1718" t="n">
        <v>35.36</v>
      </c>
      <c r="P1718" t="n">
        <v>50.9</v>
      </c>
      <c r="Q1718" t="n">
        <v>23.39</v>
      </c>
      <c r="R1718" s="3" t="inlineStr">
        <is>
          <t>MISMATCH_NEEDS_CORRECTION</t>
        </is>
      </c>
      <c r="S1718" t="n">
        <v>35.36</v>
      </c>
      <c r="T1718" t="inlineStr">
        <is>
          <t>30-07-2026 09:42 IST</t>
        </is>
      </c>
    </row>
    <row r="1719">
      <c r="A1719" t="n">
        <v>256</v>
      </c>
      <c r="B1719" t="n">
        <v>513430</v>
      </c>
      <c r="C1719" t="inlineStr">
        <is>
          <t>Maithan Alloys Ltd</t>
        </is>
      </c>
      <c r="D1719" t="n">
        <v>2016</v>
      </c>
      <c r="E1719" t="n">
        <v>43.13000106811523</v>
      </c>
      <c r="G1719" t="inlineStr">
        <is>
          <t>Consolidated first (v4) – needs verification for flagged rows</t>
        </is>
      </c>
      <c r="H1719" t="n">
        <v>8.890000343322754</v>
      </c>
      <c r="I1719" t="n">
        <v>3.049999952316284</v>
      </c>
      <c r="L1719" t="inlineStr">
        <is>
          <t>INCOMPLETE</t>
        </is>
      </c>
      <c r="O1719" t="n">
        <v>35.36</v>
      </c>
      <c r="P1719" t="n">
        <v>50.9</v>
      </c>
      <c r="Q1719" t="n">
        <v>23.39</v>
      </c>
      <c r="R1719" s="3" t="inlineStr">
        <is>
          <t>MISMATCH_NEEDS_CORRECTION</t>
        </is>
      </c>
      <c r="S1719" t="n">
        <v>35.36</v>
      </c>
      <c r="T1719" t="inlineStr">
        <is>
          <t>30-07-2026 09:42 IST</t>
        </is>
      </c>
    </row>
    <row r="1720">
      <c r="A1720" t="n">
        <v>256</v>
      </c>
      <c r="B1720" t="n">
        <v>513430</v>
      </c>
      <c r="C1720" t="inlineStr">
        <is>
          <t>Maithan Alloys Ltd</t>
        </is>
      </c>
      <c r="D1720" t="n">
        <v>2017</v>
      </c>
      <c r="E1720" t="n">
        <v>43.13000106811523</v>
      </c>
      <c r="G1720" t="inlineStr">
        <is>
          <t>Consolidated first (v4) – needs verification for flagged rows</t>
        </is>
      </c>
      <c r="H1720" t="n">
        <v>8.550000190734863</v>
      </c>
      <c r="I1720" t="n">
        <v>7.599999904632568</v>
      </c>
      <c r="L1720" t="inlineStr">
        <is>
          <t>INCOMPLETE</t>
        </is>
      </c>
      <c r="O1720" t="n">
        <v>35.36</v>
      </c>
      <c r="P1720" t="n">
        <v>50.9</v>
      </c>
      <c r="Q1720" t="n">
        <v>23.39</v>
      </c>
      <c r="R1720" s="3" t="inlineStr">
        <is>
          <t>MISMATCH_NEEDS_CORRECTION</t>
        </is>
      </c>
      <c r="S1720" t="n">
        <v>35.36</v>
      </c>
      <c r="T1720" t="inlineStr">
        <is>
          <t>30-07-2026 09:42 IST</t>
        </is>
      </c>
    </row>
    <row r="1721">
      <c r="A1721" t="n">
        <v>256</v>
      </c>
      <c r="B1721" t="n">
        <v>513430</v>
      </c>
      <c r="C1721" t="inlineStr">
        <is>
          <t>Maithan Alloys Ltd</t>
        </is>
      </c>
      <c r="D1721" t="n">
        <v>2018</v>
      </c>
      <c r="E1721" t="n">
        <v>43.13000106811523</v>
      </c>
      <c r="G1721" t="inlineStr">
        <is>
          <t>Consolidated first (v4) – needs verification for flagged rows</t>
        </is>
      </c>
      <c r="H1721" t="n">
        <v>9.25</v>
      </c>
      <c r="I1721" t="n">
        <v>8.079999923706055</v>
      </c>
      <c r="L1721" t="inlineStr">
        <is>
          <t>INCOMPLETE</t>
        </is>
      </c>
      <c r="O1721" t="n">
        <v>35.36</v>
      </c>
      <c r="P1721" t="n">
        <v>50.9</v>
      </c>
      <c r="Q1721" t="n">
        <v>23.39</v>
      </c>
      <c r="R1721" s="3" t="inlineStr">
        <is>
          <t>MISMATCH_NEEDS_CORRECTION</t>
        </is>
      </c>
      <c r="S1721" t="n">
        <v>35.36</v>
      </c>
      <c r="T1721" t="inlineStr">
        <is>
          <t>30-07-2026 09:42 IST</t>
        </is>
      </c>
    </row>
    <row r="1722">
      <c r="A1722" t="n">
        <v>256</v>
      </c>
      <c r="B1722" t="n">
        <v>513430</v>
      </c>
      <c r="C1722" t="inlineStr">
        <is>
          <t>Maithan Alloys Ltd</t>
        </is>
      </c>
      <c r="D1722" t="n">
        <v>2019</v>
      </c>
      <c r="E1722" t="n">
        <v>43.13000106811523</v>
      </c>
      <c r="G1722" t="inlineStr">
        <is>
          <t>Consolidated first (v4) – needs verification for flagged rows</t>
        </is>
      </c>
      <c r="H1722" t="n">
        <v>9.199999809265137</v>
      </c>
      <c r="I1722" t="n">
        <v>7.75</v>
      </c>
      <c r="L1722" t="inlineStr">
        <is>
          <t>INCOMPLETE</t>
        </is>
      </c>
      <c r="O1722" t="n">
        <v>35.36</v>
      </c>
      <c r="P1722" t="n">
        <v>50.9</v>
      </c>
      <c r="Q1722" t="n">
        <v>23.39</v>
      </c>
      <c r="R1722" s="3" t="inlineStr">
        <is>
          <t>MISMATCH_NEEDS_CORRECTION</t>
        </is>
      </c>
      <c r="S1722" t="n">
        <v>35.36</v>
      </c>
      <c r="T1722" t="inlineStr">
        <is>
          <t>30-07-2026 09:42 IST</t>
        </is>
      </c>
    </row>
    <row r="1723">
      <c r="A1723" t="n">
        <v>256</v>
      </c>
      <c r="B1723" t="n">
        <v>513430</v>
      </c>
      <c r="C1723" t="inlineStr">
        <is>
          <t>Maithan Alloys Ltd</t>
        </is>
      </c>
      <c r="D1723" t="n">
        <v>2020</v>
      </c>
      <c r="E1723" t="n">
        <v>43.13000106811523</v>
      </c>
      <c r="G1723" t="inlineStr">
        <is>
          <t>Consolidated first (v4) – needs verification for flagged rows</t>
        </is>
      </c>
      <c r="H1723" t="n">
        <v>8</v>
      </c>
      <c r="I1723" t="n">
        <v>6.860000133514404</v>
      </c>
      <c r="L1723" t="inlineStr">
        <is>
          <t>INCOMPLETE</t>
        </is>
      </c>
      <c r="O1723" t="n">
        <v>35.36</v>
      </c>
      <c r="P1723" t="n">
        <v>50.9</v>
      </c>
      <c r="Q1723" t="n">
        <v>23.39</v>
      </c>
      <c r="R1723" s="3" t="inlineStr">
        <is>
          <t>MISMATCH_NEEDS_CORRECTION</t>
        </is>
      </c>
      <c r="S1723" t="n">
        <v>35.36</v>
      </c>
      <c r="T1723" t="inlineStr">
        <is>
          <t>30-07-2026 09:42 IST</t>
        </is>
      </c>
    </row>
    <row r="1724">
      <c r="A1724" t="n">
        <v>256</v>
      </c>
      <c r="B1724" t="n">
        <v>513430</v>
      </c>
      <c r="C1724" t="inlineStr">
        <is>
          <t>Maithan Alloys Ltd</t>
        </is>
      </c>
      <c r="D1724" t="n">
        <v>2021</v>
      </c>
      <c r="E1724" t="n">
        <v>43.13000106811523</v>
      </c>
      <c r="F1724" t="n">
        <v>0.37</v>
      </c>
      <c r="G1724" t="inlineStr">
        <is>
          <t>Consolidated first (v4) – needs verification for flagged rows</t>
        </is>
      </c>
      <c r="H1724" t="n">
        <v>18.79000091552734</v>
      </c>
      <c r="I1724" t="n">
        <v>5.820000171661377</v>
      </c>
      <c r="L1724" t="inlineStr">
        <is>
          <t>UNVERIFIED – tiny EPS &lt;0.5</t>
        </is>
      </c>
      <c r="M1724" t="n">
        <v>50.78</v>
      </c>
      <c r="N1724" t="n">
        <v>15.73</v>
      </c>
      <c r="O1724" t="n">
        <v>35.36</v>
      </c>
      <c r="P1724" t="n">
        <v>50.9</v>
      </c>
      <c r="Q1724" t="n">
        <v>23.39</v>
      </c>
      <c r="R1724" s="3" t="inlineStr">
        <is>
          <t>MISMATCH_NEEDS_CORRECTION</t>
        </is>
      </c>
      <c r="S1724" t="n">
        <v>35.36</v>
      </c>
      <c r="T1724" t="inlineStr">
        <is>
          <t>30-07-2026 09:42 IST</t>
        </is>
      </c>
    </row>
    <row r="1725">
      <c r="A1725" t="n">
        <v>256</v>
      </c>
      <c r="B1725" t="n">
        <v>513430</v>
      </c>
      <c r="C1725" t="inlineStr">
        <is>
          <t>Maithan Alloys Ltd</t>
        </is>
      </c>
      <c r="D1725" t="n">
        <v>2022</v>
      </c>
      <c r="E1725" t="n">
        <v>43.13000106811523</v>
      </c>
      <c r="F1725" t="n">
        <v>0.52</v>
      </c>
      <c r="G1725" t="inlineStr">
        <is>
          <t>Consolidated first (v4) – needs verification for flagged rows</t>
        </is>
      </c>
      <c r="H1725" t="n">
        <v>111.5</v>
      </c>
      <c r="I1725" t="n">
        <v>19.70000076293945</v>
      </c>
      <c r="L1725" t="inlineStr">
        <is>
          <t>OK</t>
        </is>
      </c>
      <c r="M1725" t="n">
        <v>214.42</v>
      </c>
      <c r="N1725" t="n">
        <v>37.88</v>
      </c>
      <c r="O1725" t="n">
        <v>35.36</v>
      </c>
      <c r="P1725" t="n">
        <v>50.9</v>
      </c>
      <c r="Q1725" t="n">
        <v>23.39</v>
      </c>
      <c r="R1725" s="3" t="inlineStr">
        <is>
          <t>MISMATCH_NEEDS_CORRECTION</t>
        </is>
      </c>
      <c r="S1725" t="n">
        <v>35.36</v>
      </c>
      <c r="T1725" t="inlineStr">
        <is>
          <t>30-07-2026 09:42 IST</t>
        </is>
      </c>
    </row>
    <row r="1726">
      <c r="A1726" t="n">
        <v>256</v>
      </c>
      <c r="B1726" t="n">
        <v>513430</v>
      </c>
      <c r="C1726" t="inlineStr">
        <is>
          <t>Maithan Alloys Ltd</t>
        </is>
      </c>
      <c r="D1726" t="n">
        <v>2023</v>
      </c>
      <c r="E1726" t="n">
        <v>43.13000106811523</v>
      </c>
      <c r="G1726" t="inlineStr">
        <is>
          <t>Consolidated first (v4) – needs verification for flagged rows</t>
        </is>
      </c>
      <c r="H1726" t="n">
        <v>41</v>
      </c>
      <c r="I1726" t="n">
        <v>18.95999908447266</v>
      </c>
      <c r="L1726" t="inlineStr">
        <is>
          <t>INCOMPLETE</t>
        </is>
      </c>
      <c r="O1726" t="n">
        <v>35.36</v>
      </c>
      <c r="P1726" t="n">
        <v>50.9</v>
      </c>
      <c r="Q1726" t="n">
        <v>23.39</v>
      </c>
      <c r="R1726" s="3" t="inlineStr">
        <is>
          <t>MISMATCH_NEEDS_CORRECTION</t>
        </is>
      </c>
      <c r="S1726" t="n">
        <v>35.36</v>
      </c>
      <c r="T1726" t="inlineStr">
        <is>
          <t>30-07-2026 09:42 IST</t>
        </is>
      </c>
    </row>
    <row r="1727">
      <c r="A1727" t="n">
        <v>256</v>
      </c>
      <c r="B1727" t="n">
        <v>513430</v>
      </c>
      <c r="C1727" t="inlineStr">
        <is>
          <t>Maithan Alloys Ltd</t>
        </is>
      </c>
      <c r="D1727" t="n">
        <v>2024</v>
      </c>
      <c r="E1727" t="n">
        <v>43.13000106811523</v>
      </c>
      <c r="F1727" t="n">
        <v>-1.02</v>
      </c>
      <c r="G1727" t="inlineStr">
        <is>
          <t>Consolidated first (v4) – needs verification for flagged rows</t>
        </is>
      </c>
      <c r="H1727" t="n">
        <v>50.90000152587891</v>
      </c>
      <c r="I1727" t="n">
        <v>23.38999938964844</v>
      </c>
      <c r="L1727" t="inlineStr">
        <is>
          <t>UNVERIFIED – negative EPS</t>
        </is>
      </c>
      <c r="M1727" t="n">
        <v>-49.9</v>
      </c>
      <c r="N1727" t="n">
        <v>-22.93</v>
      </c>
      <c r="O1727" t="n">
        <v>35.36</v>
      </c>
      <c r="P1727" t="n">
        <v>50.9</v>
      </c>
      <c r="Q1727" t="n">
        <v>23.39</v>
      </c>
      <c r="R1727" s="3" t="inlineStr">
        <is>
          <t>MISMATCH_NEEDS_CORRECTION</t>
        </is>
      </c>
      <c r="S1727" t="n">
        <v>35.36</v>
      </c>
      <c r="T1727" t="inlineStr">
        <is>
          <t>30-07-2026 09:42 IST</t>
        </is>
      </c>
    </row>
    <row r="1728">
      <c r="A1728" t="n">
        <v>256</v>
      </c>
      <c r="B1728" t="n">
        <v>513430</v>
      </c>
      <c r="C1728" t="inlineStr">
        <is>
          <t>Maithan Alloys Ltd</t>
        </is>
      </c>
      <c r="D1728" t="n">
        <v>2025</v>
      </c>
      <c r="E1728" t="n">
        <v>43.13000106811523</v>
      </c>
      <c r="F1728" t="n">
        <v>0.39</v>
      </c>
      <c r="G1728" t="inlineStr">
        <is>
          <t>Consolidated first (v4) – needs verification for flagged rows</t>
        </is>
      </c>
      <c r="H1728" t="n">
        <v>44.70000076293945</v>
      </c>
      <c r="I1728" t="n">
        <v>18.70999908447266</v>
      </c>
      <c r="L1728" t="inlineStr">
        <is>
          <t>UNVERIFIED – tiny EPS &lt;0.5</t>
        </is>
      </c>
      <c r="M1728" t="n">
        <v>114.62</v>
      </c>
      <c r="N1728" t="n">
        <v>47.97</v>
      </c>
      <c r="O1728" t="n">
        <v>35.36</v>
      </c>
      <c r="P1728" t="n">
        <v>50.9</v>
      </c>
      <c r="Q1728" t="n">
        <v>23.39</v>
      </c>
      <c r="R1728" s="3" t="inlineStr">
        <is>
          <t>MISMATCH_NEEDS_CORRECTION</t>
        </is>
      </c>
      <c r="S1728" t="n">
        <v>35.36</v>
      </c>
      <c r="T1728" t="inlineStr">
        <is>
          <t>30-07-2026 09:42 IST</t>
        </is>
      </c>
    </row>
    <row r="1729">
      <c r="A1729" t="n">
        <v>256</v>
      </c>
      <c r="B1729" t="n">
        <v>513430</v>
      </c>
      <c r="C1729" t="inlineStr">
        <is>
          <t>Maithan Alloys Ltd</t>
        </is>
      </c>
      <c r="D1729" t="n">
        <v>2026</v>
      </c>
      <c r="E1729" t="n">
        <v>43.13000106811523</v>
      </c>
      <c r="F1729" t="n">
        <v>1.36</v>
      </c>
      <c r="G1729" t="inlineStr">
        <is>
          <t>Consolidated first (v4) – needs verification for flagged rows</t>
        </is>
      </c>
      <c r="H1729" t="n">
        <v>46.54999923706055</v>
      </c>
      <c r="I1729" t="n">
        <v>22.10000038146973</v>
      </c>
      <c r="L1729" t="inlineStr">
        <is>
          <t>OK</t>
        </is>
      </c>
      <c r="M1729" t="n">
        <v>34.23</v>
      </c>
      <c r="N1729" t="n">
        <v>16.25</v>
      </c>
      <c r="O1729" t="n">
        <v>35.36</v>
      </c>
      <c r="P1729" t="n">
        <v>50.9</v>
      </c>
      <c r="Q1729" t="n">
        <v>23.39</v>
      </c>
      <c r="R1729" s="3" t="inlineStr">
        <is>
          <t>MISMATCH_NEEDS_CORRECTION</t>
        </is>
      </c>
      <c r="S1729" t="n">
        <v>35.36</v>
      </c>
      <c r="T1729" t="inlineStr">
        <is>
          <t>30-07-2026 09:42 IST</t>
        </is>
      </c>
    </row>
    <row r="1730">
      <c r="A1730" t="n">
        <v>257</v>
      </c>
      <c r="B1730" t="n">
        <v>513456</v>
      </c>
      <c r="C1730" t="inlineStr">
        <is>
          <t>Kanishk Steel Industries Ltd</t>
        </is>
      </c>
      <c r="D1730" t="n">
        <v>2015</v>
      </c>
      <c r="E1730" t="n">
        <v>51.25</v>
      </c>
      <c r="F1730" t="n">
        <v>0.1</v>
      </c>
      <c r="G1730" t="inlineStr">
        <is>
          <t>Consolidated first (v4) – needs verification for flagged rows</t>
        </is>
      </c>
      <c r="H1730" t="n">
        <v>11.10000038146973</v>
      </c>
      <c r="I1730" t="n">
        <v>4.150000095367432</v>
      </c>
      <c r="L1730" t="inlineStr">
        <is>
          <t>UNVERIFIED – tiny EPS &lt;0.5</t>
        </is>
      </c>
      <c r="M1730" t="n">
        <v>111</v>
      </c>
      <c r="N1730" t="n">
        <v>41.5</v>
      </c>
      <c r="O1730" t="n">
        <v>27.65</v>
      </c>
      <c r="P1730" t="n">
        <v>51</v>
      </c>
      <c r="Q1730" t="n">
        <v>25.64</v>
      </c>
      <c r="R1730" s="3" t="inlineStr">
        <is>
          <t>MISMATCH_NEEDS_CORRECTION</t>
        </is>
      </c>
      <c r="S1730" t="n">
        <v>27.65</v>
      </c>
      <c r="T1730" t="inlineStr">
        <is>
          <t>30-07-2026 09:42 IST</t>
        </is>
      </c>
    </row>
    <row r="1731">
      <c r="A1731" t="n">
        <v>257</v>
      </c>
      <c r="B1731" t="n">
        <v>513456</v>
      </c>
      <c r="C1731" t="inlineStr">
        <is>
          <t>Kanishk Steel Industries Ltd</t>
        </is>
      </c>
      <c r="D1731" t="n">
        <v>2016</v>
      </c>
      <c r="E1731" t="n">
        <v>51.25</v>
      </c>
      <c r="F1731" t="n">
        <v>1.67</v>
      </c>
      <c r="G1731" t="inlineStr">
        <is>
          <t>Consolidated first (v4) – needs verification for flagged rows</t>
        </is>
      </c>
      <c r="H1731" t="n">
        <v>8.920000076293945</v>
      </c>
      <c r="I1731" t="n">
        <v>4.510000228881836</v>
      </c>
      <c r="L1731" t="inlineStr">
        <is>
          <t>OK</t>
        </is>
      </c>
      <c r="M1731" t="n">
        <v>5.34</v>
      </c>
      <c r="N1731" t="n">
        <v>2.7</v>
      </c>
      <c r="O1731" t="n">
        <v>27.65</v>
      </c>
      <c r="P1731" t="n">
        <v>51</v>
      </c>
      <c r="Q1731" t="n">
        <v>25.64</v>
      </c>
      <c r="R1731" s="3" t="inlineStr">
        <is>
          <t>MISMATCH_NEEDS_CORRECTION</t>
        </is>
      </c>
      <c r="S1731" t="n">
        <v>27.65</v>
      </c>
      <c r="T1731" t="inlineStr">
        <is>
          <t>30-07-2026 09:42 IST</t>
        </is>
      </c>
    </row>
    <row r="1732">
      <c r="A1732" t="n">
        <v>257</v>
      </c>
      <c r="B1732" t="n">
        <v>513456</v>
      </c>
      <c r="C1732" t="inlineStr">
        <is>
          <t>Kanishk Steel Industries Ltd</t>
        </is>
      </c>
      <c r="D1732" t="n">
        <v>2017</v>
      </c>
      <c r="E1732" t="n">
        <v>51.25</v>
      </c>
      <c r="F1732" t="n">
        <v>0.17</v>
      </c>
      <c r="G1732" t="inlineStr">
        <is>
          <t>Consolidated first (v4) – needs verification for flagged rows</t>
        </is>
      </c>
      <c r="H1732" t="n">
        <v>12.84000015258789</v>
      </c>
      <c r="I1732" t="n">
        <v>4.71999979019165</v>
      </c>
      <c r="L1732" t="inlineStr">
        <is>
          <t>UNVERIFIED – tiny EPS &lt;0.5</t>
        </is>
      </c>
      <c r="M1732" t="n">
        <v>75.53</v>
      </c>
      <c r="N1732" t="n">
        <v>27.76</v>
      </c>
      <c r="O1732" t="n">
        <v>27.65</v>
      </c>
      <c r="P1732" t="n">
        <v>51</v>
      </c>
      <c r="Q1732" t="n">
        <v>25.64</v>
      </c>
      <c r="R1732" s="3" t="inlineStr">
        <is>
          <t>MISMATCH_NEEDS_CORRECTION</t>
        </is>
      </c>
      <c r="S1732" t="n">
        <v>27.65</v>
      </c>
      <c r="T1732" t="inlineStr">
        <is>
          <t>30-07-2026 09:42 IST</t>
        </is>
      </c>
    </row>
    <row r="1733">
      <c r="A1733" t="n">
        <v>257</v>
      </c>
      <c r="B1733" t="n">
        <v>513456</v>
      </c>
      <c r="C1733" t="inlineStr">
        <is>
          <t>Kanishk Steel Industries Ltd</t>
        </is>
      </c>
      <c r="D1733" t="n">
        <v>2018</v>
      </c>
      <c r="E1733" t="n">
        <v>51.25</v>
      </c>
      <c r="F1733" t="n">
        <v>0.5600000000000001</v>
      </c>
      <c r="G1733" t="inlineStr">
        <is>
          <t>Consolidated first (v4) – needs verification for flagged rows</t>
        </is>
      </c>
      <c r="H1733" t="n">
        <v>15.5</v>
      </c>
      <c r="I1733" t="n">
        <v>7.510000228881836</v>
      </c>
      <c r="L1733" t="inlineStr">
        <is>
          <t>OK</t>
        </is>
      </c>
      <c r="M1733" t="n">
        <v>27.68</v>
      </c>
      <c r="N1733" t="n">
        <v>13.41</v>
      </c>
      <c r="O1733" t="n">
        <v>27.65</v>
      </c>
      <c r="P1733" t="n">
        <v>51</v>
      </c>
      <c r="Q1733" t="n">
        <v>25.64</v>
      </c>
      <c r="R1733" s="3" t="inlineStr">
        <is>
          <t>MISMATCH_NEEDS_CORRECTION</t>
        </is>
      </c>
      <c r="S1733" t="n">
        <v>27.65</v>
      </c>
      <c r="T1733" t="inlineStr">
        <is>
          <t>30-07-2026 09:42 IST</t>
        </is>
      </c>
    </row>
    <row r="1734">
      <c r="A1734" t="n">
        <v>257</v>
      </c>
      <c r="B1734" t="n">
        <v>513456</v>
      </c>
      <c r="C1734" t="inlineStr">
        <is>
          <t>Kanishk Steel Industries Ltd</t>
        </is>
      </c>
      <c r="D1734" t="n">
        <v>2019</v>
      </c>
      <c r="E1734" t="n">
        <v>51.25</v>
      </c>
      <c r="F1734" t="n">
        <v>1.5</v>
      </c>
      <c r="G1734" t="inlineStr">
        <is>
          <t>Consolidated first (v4) – needs verification for flagged rows</t>
        </is>
      </c>
      <c r="H1734" t="n">
        <v>12.53999996185303</v>
      </c>
      <c r="I1734" t="n">
        <v>7</v>
      </c>
      <c r="L1734" t="inlineStr">
        <is>
          <t>OK</t>
        </is>
      </c>
      <c r="M1734" t="n">
        <v>8.359999999999999</v>
      </c>
      <c r="N1734" t="n">
        <v>4.67</v>
      </c>
      <c r="O1734" t="n">
        <v>27.65</v>
      </c>
      <c r="P1734" t="n">
        <v>51</v>
      </c>
      <c r="Q1734" t="n">
        <v>25.64</v>
      </c>
      <c r="R1734" s="3" t="inlineStr">
        <is>
          <t>MISMATCH_NEEDS_CORRECTION</t>
        </is>
      </c>
      <c r="S1734" t="n">
        <v>27.65</v>
      </c>
      <c r="T1734" t="inlineStr">
        <is>
          <t>30-07-2026 09:42 IST</t>
        </is>
      </c>
    </row>
    <row r="1735">
      <c r="A1735" t="n">
        <v>257</v>
      </c>
      <c r="B1735" t="n">
        <v>513456</v>
      </c>
      <c r="C1735" t="inlineStr">
        <is>
          <t>Kanishk Steel Industries Ltd</t>
        </is>
      </c>
      <c r="D1735" t="n">
        <v>2020</v>
      </c>
      <c r="E1735" t="n">
        <v>51.25</v>
      </c>
      <c r="F1735" t="n">
        <v>0.71</v>
      </c>
      <c r="G1735" t="inlineStr">
        <is>
          <t>Consolidated first (v4) – needs verification for flagged rows</t>
        </is>
      </c>
      <c r="H1735" t="n">
        <v>10.97000026702881</v>
      </c>
      <c r="I1735" t="n">
        <v>4.940000057220459</v>
      </c>
      <c r="L1735" t="inlineStr">
        <is>
          <t>OK</t>
        </is>
      </c>
      <c r="M1735" t="n">
        <v>15.45</v>
      </c>
      <c r="N1735" t="n">
        <v>6.96</v>
      </c>
      <c r="O1735" t="n">
        <v>27.65</v>
      </c>
      <c r="P1735" t="n">
        <v>51</v>
      </c>
      <c r="Q1735" t="n">
        <v>25.64</v>
      </c>
      <c r="R1735" s="3" t="inlineStr">
        <is>
          <t>MISMATCH_NEEDS_CORRECTION</t>
        </is>
      </c>
      <c r="S1735" t="n">
        <v>27.65</v>
      </c>
      <c r="T1735" t="inlineStr">
        <is>
          <t>30-07-2026 09:42 IST</t>
        </is>
      </c>
    </row>
    <row r="1736">
      <c r="A1736" t="n">
        <v>257</v>
      </c>
      <c r="B1736" t="n">
        <v>513456</v>
      </c>
      <c r="C1736" t="inlineStr">
        <is>
          <t>Kanishk Steel Industries Ltd</t>
        </is>
      </c>
      <c r="D1736" t="n">
        <v>2021</v>
      </c>
      <c r="E1736" t="n">
        <v>51.25</v>
      </c>
      <c r="F1736" t="n">
        <v>2</v>
      </c>
      <c r="G1736" t="inlineStr">
        <is>
          <t>Consolidated first (v4) – needs verification for flagged rows</t>
        </is>
      </c>
      <c r="H1736" t="n">
        <v>37.09999847412109</v>
      </c>
      <c r="I1736" t="n">
        <v>8.109999656677246</v>
      </c>
      <c r="L1736" t="inlineStr">
        <is>
          <t>OK</t>
        </is>
      </c>
      <c r="M1736" t="n">
        <v>18.55</v>
      </c>
      <c r="N1736" t="n">
        <v>4.05</v>
      </c>
      <c r="O1736" t="n">
        <v>27.65</v>
      </c>
      <c r="P1736" t="n">
        <v>51</v>
      </c>
      <c r="Q1736" t="n">
        <v>25.64</v>
      </c>
      <c r="R1736" s="3" t="inlineStr">
        <is>
          <t>MISMATCH_NEEDS_CORRECTION</t>
        </is>
      </c>
      <c r="S1736" t="n">
        <v>27.65</v>
      </c>
      <c r="T1736" t="inlineStr">
        <is>
          <t>30-07-2026 09:42 IST</t>
        </is>
      </c>
    </row>
    <row r="1737">
      <c r="A1737" t="n">
        <v>257</v>
      </c>
      <c r="B1737" t="n">
        <v>513456</v>
      </c>
      <c r="C1737" t="inlineStr">
        <is>
          <t>Kanishk Steel Industries Ltd</t>
        </is>
      </c>
      <c r="D1737" t="n">
        <v>2022</v>
      </c>
      <c r="E1737" t="n">
        <v>51.25</v>
      </c>
      <c r="F1737" t="n">
        <v>9.26</v>
      </c>
      <c r="G1737" t="inlineStr">
        <is>
          <t>Consolidated first (v4) – needs verification for flagged rows</t>
        </is>
      </c>
      <c r="H1737" t="n">
        <v>45.34999847412109</v>
      </c>
      <c r="I1737" t="n">
        <v>24.89999961853027</v>
      </c>
      <c r="L1737" t="inlineStr">
        <is>
          <t>OK</t>
        </is>
      </c>
      <c r="M1737" t="n">
        <v>4.9</v>
      </c>
      <c r="N1737" t="n">
        <v>2.69</v>
      </c>
      <c r="O1737" t="n">
        <v>27.65</v>
      </c>
      <c r="P1737" t="n">
        <v>51</v>
      </c>
      <c r="Q1737" t="n">
        <v>25.64</v>
      </c>
      <c r="R1737" s="3" t="inlineStr">
        <is>
          <t>MISMATCH_NEEDS_CORRECTION</t>
        </is>
      </c>
      <c r="S1737" t="n">
        <v>27.65</v>
      </c>
      <c r="T1737" t="inlineStr">
        <is>
          <t>30-07-2026 09:42 IST</t>
        </is>
      </c>
    </row>
    <row r="1738">
      <c r="A1738" t="n">
        <v>257</v>
      </c>
      <c r="B1738" t="n">
        <v>513456</v>
      </c>
      <c r="C1738" t="inlineStr">
        <is>
          <t>Kanishk Steel Industries Ltd</t>
        </is>
      </c>
      <c r="D1738" t="n">
        <v>2023</v>
      </c>
      <c r="E1738" t="n">
        <v>51.25</v>
      </c>
      <c r="F1738" t="n">
        <v>3.35</v>
      </c>
      <c r="G1738" t="inlineStr">
        <is>
          <t>Consolidated first (v4) – needs verification for flagged rows</t>
        </is>
      </c>
      <c r="H1738" t="n">
        <v>41.5</v>
      </c>
      <c r="I1738" t="n">
        <v>19.04999923706055</v>
      </c>
      <c r="L1738" t="inlineStr">
        <is>
          <t>OK</t>
        </is>
      </c>
      <c r="M1738" t="n">
        <v>12.39</v>
      </c>
      <c r="N1738" t="n">
        <v>5.69</v>
      </c>
      <c r="O1738" t="n">
        <v>27.65</v>
      </c>
      <c r="P1738" t="n">
        <v>51</v>
      </c>
      <c r="Q1738" t="n">
        <v>25.64</v>
      </c>
      <c r="R1738" s="3" t="inlineStr">
        <is>
          <t>MISMATCH_NEEDS_CORRECTION</t>
        </is>
      </c>
      <c r="S1738" t="n">
        <v>27.65</v>
      </c>
      <c r="T1738" t="inlineStr">
        <is>
          <t>30-07-2026 09:42 IST</t>
        </is>
      </c>
    </row>
    <row r="1739">
      <c r="A1739" t="n">
        <v>257</v>
      </c>
      <c r="B1739" t="n">
        <v>513456</v>
      </c>
      <c r="C1739" t="inlineStr">
        <is>
          <t>Kanishk Steel Industries Ltd</t>
        </is>
      </c>
      <c r="D1739" t="n">
        <v>2024</v>
      </c>
      <c r="E1739" t="n">
        <v>51.25</v>
      </c>
      <c r="F1739" t="n">
        <v>0.92</v>
      </c>
      <c r="G1739" t="inlineStr">
        <is>
          <t>Consolidated first (v4) – needs verification for flagged rows</t>
        </is>
      </c>
      <c r="H1739" t="n">
        <v>51</v>
      </c>
      <c r="I1739" t="n">
        <v>25.63999938964844</v>
      </c>
      <c r="L1739" t="inlineStr">
        <is>
          <t>OK</t>
        </is>
      </c>
      <c r="M1739" t="n">
        <v>55.43</v>
      </c>
      <c r="N1739" t="n">
        <v>27.87</v>
      </c>
      <c r="O1739" t="n">
        <v>27.65</v>
      </c>
      <c r="P1739" t="n">
        <v>51</v>
      </c>
      <c r="Q1739" t="n">
        <v>25.64</v>
      </c>
      <c r="R1739" s="3" t="inlineStr">
        <is>
          <t>MISMATCH_NEEDS_CORRECTION</t>
        </is>
      </c>
      <c r="S1739" t="n">
        <v>27.65</v>
      </c>
      <c r="T1739" t="inlineStr">
        <is>
          <t>30-07-2026 09:42 IST</t>
        </is>
      </c>
    </row>
    <row r="1740">
      <c r="A1740" t="n">
        <v>257</v>
      </c>
      <c r="B1740" t="n">
        <v>513456</v>
      </c>
      <c r="C1740" t="inlineStr">
        <is>
          <t>Kanishk Steel Industries Ltd</t>
        </is>
      </c>
      <c r="D1740" t="n">
        <v>2025</v>
      </c>
      <c r="E1740" t="n">
        <v>51.25</v>
      </c>
      <c r="F1740" t="n">
        <v>2.93</v>
      </c>
      <c r="G1740" t="inlineStr">
        <is>
          <t>Consolidated first (v4) – needs verification for flagged rows</t>
        </is>
      </c>
      <c r="H1740" t="n">
        <v>66</v>
      </c>
      <c r="I1740" t="n">
        <v>24.25</v>
      </c>
      <c r="L1740" t="inlineStr">
        <is>
          <t>OK</t>
        </is>
      </c>
      <c r="M1740" t="n">
        <v>22.53</v>
      </c>
      <c r="N1740" t="n">
        <v>8.279999999999999</v>
      </c>
      <c r="O1740" t="n">
        <v>27.65</v>
      </c>
      <c r="P1740" t="n">
        <v>51</v>
      </c>
      <c r="Q1740" t="n">
        <v>25.64</v>
      </c>
      <c r="R1740" s="3" t="inlineStr">
        <is>
          <t>MISMATCH_NEEDS_CORRECTION</t>
        </is>
      </c>
      <c r="S1740" t="n">
        <v>27.65</v>
      </c>
      <c r="T1740" t="inlineStr">
        <is>
          <t>30-07-2026 09:42 IST</t>
        </is>
      </c>
    </row>
    <row r="1741">
      <c r="A1741" t="n">
        <v>257</v>
      </c>
      <c r="B1741" t="n">
        <v>513456</v>
      </c>
      <c r="C1741" t="inlineStr">
        <is>
          <t>Kanishk Steel Industries Ltd</t>
        </is>
      </c>
      <c r="D1741" t="n">
        <v>2026</v>
      </c>
      <c r="E1741" t="n">
        <v>51.25</v>
      </c>
      <c r="F1741" t="n">
        <v>1.8</v>
      </c>
      <c r="G1741" t="inlineStr">
        <is>
          <t>Consolidated first (v4) – needs verification for flagged rows</t>
        </is>
      </c>
      <c r="H1741" t="n">
        <v>66.94999694824219</v>
      </c>
      <c r="I1741" t="n">
        <v>40.15000152587891</v>
      </c>
      <c r="L1741" t="inlineStr">
        <is>
          <t>OK</t>
        </is>
      </c>
      <c r="M1741" t="n">
        <v>37.19</v>
      </c>
      <c r="N1741" t="n">
        <v>22.31</v>
      </c>
      <c r="O1741" t="n">
        <v>27.65</v>
      </c>
      <c r="P1741" t="n">
        <v>51</v>
      </c>
      <c r="Q1741" t="n">
        <v>25.64</v>
      </c>
      <c r="R1741" s="3" t="inlineStr">
        <is>
          <t>MISMATCH_NEEDS_CORRECTION</t>
        </is>
      </c>
      <c r="S1741" t="n">
        <v>27.65</v>
      </c>
      <c r="T1741" t="inlineStr">
        <is>
          <t>30-07-2026 09:42 IST</t>
        </is>
      </c>
    </row>
    <row r="1742">
      <c r="A1742" t="n">
        <v>258</v>
      </c>
      <c r="B1742" t="n">
        <v>513472</v>
      </c>
      <c r="C1742" t="inlineStr">
        <is>
          <t>Bharat Wire Ropes Ltd</t>
        </is>
      </c>
      <c r="D1742" t="n">
        <v>2015</v>
      </c>
      <c r="E1742" t="n">
        <v>99.84999847412109</v>
      </c>
      <c r="F1742" t="n">
        <v>0.4</v>
      </c>
      <c r="G1742" t="inlineStr">
        <is>
          <t>Consolidated first (v4) – needs verification for flagged rows</t>
        </is>
      </c>
      <c r="H1742" t="n">
        <v>17.3799991607666</v>
      </c>
      <c r="I1742" t="n">
        <v>6.21999979019165</v>
      </c>
      <c r="L1742" t="inlineStr">
        <is>
          <t>UNVERIFIED – tiny EPS &lt;0.5</t>
        </is>
      </c>
      <c r="M1742" t="n">
        <v>43.45</v>
      </c>
      <c r="N1742" t="n">
        <v>15.55</v>
      </c>
      <c r="O1742" t="n">
        <v>214.2</v>
      </c>
      <c r="P1742" t="n">
        <v>354.9</v>
      </c>
      <c r="Q1742" t="n">
        <v>65.65000000000001</v>
      </c>
      <c r="R1742" s="3" t="inlineStr">
        <is>
          <t>MISMATCH_NEEDS_CORRECTION</t>
        </is>
      </c>
      <c r="S1742" t="n">
        <v>214.2</v>
      </c>
      <c r="T1742" t="inlineStr">
        <is>
          <t>30-07-2026 09:42 IST</t>
        </is>
      </c>
    </row>
    <row r="1743">
      <c r="A1743" t="n">
        <v>258</v>
      </c>
      <c r="B1743" t="n">
        <v>513472</v>
      </c>
      <c r="C1743" t="inlineStr">
        <is>
          <t>Bharat Wire Ropes Ltd</t>
        </is>
      </c>
      <c r="D1743" t="n">
        <v>2016</v>
      </c>
      <c r="E1743" t="n">
        <v>99.84999847412109</v>
      </c>
      <c r="F1743" t="n">
        <v>1.19</v>
      </c>
      <c r="G1743" t="inlineStr">
        <is>
          <t>Consolidated first (v4) – needs verification for flagged rows</t>
        </is>
      </c>
      <c r="H1743" t="n">
        <v>31</v>
      </c>
      <c r="I1743" t="n">
        <v>12.81999969482422</v>
      </c>
      <c r="L1743" t="inlineStr">
        <is>
          <t>OK</t>
        </is>
      </c>
      <c r="M1743" t="n">
        <v>26.05</v>
      </c>
      <c r="N1743" t="n">
        <v>10.77</v>
      </c>
      <c r="O1743" t="n">
        <v>214.2</v>
      </c>
      <c r="P1743" t="n">
        <v>354.9</v>
      </c>
      <c r="Q1743" t="n">
        <v>65.65000000000001</v>
      </c>
      <c r="R1743" s="3" t="inlineStr">
        <is>
          <t>MISMATCH_NEEDS_CORRECTION</t>
        </is>
      </c>
      <c r="S1743" t="n">
        <v>214.2</v>
      </c>
      <c r="T1743" t="inlineStr">
        <is>
          <t>30-07-2026 09:42 IST</t>
        </is>
      </c>
    </row>
    <row r="1744">
      <c r="A1744" t="n">
        <v>258</v>
      </c>
      <c r="B1744" t="n">
        <v>513472</v>
      </c>
      <c r="C1744" t="inlineStr">
        <is>
          <t>Bharat Wire Ropes Ltd</t>
        </is>
      </c>
      <c r="D1744" t="n">
        <v>2017</v>
      </c>
      <c r="E1744" t="n">
        <v>99.84999847412109</v>
      </c>
      <c r="F1744" t="n">
        <v>0.75</v>
      </c>
      <c r="G1744" t="inlineStr">
        <is>
          <t>Consolidated first (v4) – needs verification for flagged rows</t>
        </is>
      </c>
      <c r="H1744" t="n">
        <v>32</v>
      </c>
      <c r="I1744" t="n">
        <v>18.39999961853027</v>
      </c>
      <c r="L1744" t="inlineStr">
        <is>
          <t>OK</t>
        </is>
      </c>
      <c r="M1744" t="n">
        <v>42.67</v>
      </c>
      <c r="N1744" t="n">
        <v>24.53</v>
      </c>
      <c r="O1744" t="n">
        <v>214.2</v>
      </c>
      <c r="P1744" t="n">
        <v>354.9</v>
      </c>
      <c r="Q1744" t="n">
        <v>65.65000000000001</v>
      </c>
      <c r="R1744" s="3" t="inlineStr">
        <is>
          <t>MISMATCH_NEEDS_CORRECTION</t>
        </is>
      </c>
      <c r="S1744" t="n">
        <v>214.2</v>
      </c>
      <c r="T1744" t="inlineStr">
        <is>
          <t>30-07-2026 09:42 IST</t>
        </is>
      </c>
    </row>
    <row r="1745">
      <c r="A1745" t="n">
        <v>258</v>
      </c>
      <c r="B1745" t="n">
        <v>513472</v>
      </c>
      <c r="C1745" t="inlineStr">
        <is>
          <t>Bharat Wire Ropes Ltd</t>
        </is>
      </c>
      <c r="D1745" t="n">
        <v>2018</v>
      </c>
      <c r="E1745" t="n">
        <v>99.84999847412109</v>
      </c>
      <c r="F1745" t="n">
        <v>1.12</v>
      </c>
      <c r="G1745" t="inlineStr">
        <is>
          <t>Consolidated first (v4) – needs verification for flagged rows</t>
        </is>
      </c>
      <c r="H1745" t="n">
        <v>35.31999969482422</v>
      </c>
      <c r="I1745" t="n">
        <v>15.40999984741211</v>
      </c>
      <c r="L1745" t="inlineStr">
        <is>
          <t>OK</t>
        </is>
      </c>
      <c r="M1745" t="n">
        <v>31.54</v>
      </c>
      <c r="N1745" t="n">
        <v>13.76</v>
      </c>
      <c r="O1745" t="n">
        <v>214.2</v>
      </c>
      <c r="P1745" t="n">
        <v>354.9</v>
      </c>
      <c r="Q1745" t="n">
        <v>65.65000000000001</v>
      </c>
      <c r="R1745" s="3" t="inlineStr">
        <is>
          <t>MISMATCH_NEEDS_CORRECTION</t>
        </is>
      </c>
      <c r="S1745" t="n">
        <v>214.2</v>
      </c>
      <c r="T1745" t="inlineStr">
        <is>
          <t>30-07-2026 09:42 IST</t>
        </is>
      </c>
    </row>
    <row r="1746">
      <c r="A1746" t="n">
        <v>258</v>
      </c>
      <c r="B1746" t="n">
        <v>513472</v>
      </c>
      <c r="C1746" t="inlineStr">
        <is>
          <t>Bharat Wire Ropes Ltd</t>
        </is>
      </c>
      <c r="D1746" t="n">
        <v>2019</v>
      </c>
      <c r="E1746" t="n">
        <v>99.84999847412109</v>
      </c>
      <c r="F1746" t="n">
        <v>-5.15</v>
      </c>
      <c r="G1746" t="inlineStr">
        <is>
          <t>Consolidated first (v4) – needs verification for flagged rows</t>
        </is>
      </c>
      <c r="H1746" t="n">
        <v>20</v>
      </c>
      <c r="I1746" t="n">
        <v>4.800000190734863</v>
      </c>
      <c r="L1746" t="inlineStr">
        <is>
          <t>UNVERIFIED – negative EPS</t>
        </is>
      </c>
      <c r="M1746" t="n">
        <v>-3.88</v>
      </c>
      <c r="N1746" t="n">
        <v>-0.93</v>
      </c>
      <c r="O1746" t="n">
        <v>214.2</v>
      </c>
      <c r="P1746" t="n">
        <v>354.9</v>
      </c>
      <c r="Q1746" t="n">
        <v>65.65000000000001</v>
      </c>
      <c r="R1746" s="3" t="inlineStr">
        <is>
          <t>MISMATCH_NEEDS_CORRECTION</t>
        </is>
      </c>
      <c r="S1746" t="n">
        <v>214.2</v>
      </c>
      <c r="T1746" t="inlineStr">
        <is>
          <t>30-07-2026 09:42 IST</t>
        </is>
      </c>
    </row>
    <row r="1747">
      <c r="A1747" t="n">
        <v>258</v>
      </c>
      <c r="B1747" t="n">
        <v>513472</v>
      </c>
      <c r="C1747" t="inlineStr">
        <is>
          <t>Bharat Wire Ropes Ltd</t>
        </is>
      </c>
      <c r="D1747" t="n">
        <v>2020</v>
      </c>
      <c r="E1747" t="n">
        <v>99.84999847412109</v>
      </c>
      <c r="F1747" t="n">
        <v>-9.300000000000001</v>
      </c>
      <c r="G1747" t="inlineStr">
        <is>
          <t>Consolidated first (v4) – needs verification for flagged rows</t>
        </is>
      </c>
      <c r="H1747" t="n">
        <v>7.590000152587891</v>
      </c>
      <c r="I1747" t="n">
        <v>2.930000066757202</v>
      </c>
      <c r="L1747" t="inlineStr">
        <is>
          <t>UNVERIFIED – negative EPS</t>
        </is>
      </c>
      <c r="M1747" t="n">
        <v>-0.82</v>
      </c>
      <c r="N1747" t="n">
        <v>-0.32</v>
      </c>
      <c r="O1747" t="n">
        <v>214.2</v>
      </c>
      <c r="P1747" t="n">
        <v>354.9</v>
      </c>
      <c r="Q1747" t="n">
        <v>65.65000000000001</v>
      </c>
      <c r="R1747" s="3" t="inlineStr">
        <is>
          <t>MISMATCH_NEEDS_CORRECTION</t>
        </is>
      </c>
      <c r="S1747" t="n">
        <v>214.2</v>
      </c>
      <c r="T1747" t="inlineStr">
        <is>
          <t>30-07-2026 09:42 IST</t>
        </is>
      </c>
    </row>
    <row r="1748">
      <c r="A1748" t="n">
        <v>258</v>
      </c>
      <c r="B1748" t="n">
        <v>513472</v>
      </c>
      <c r="C1748" t="inlineStr">
        <is>
          <t>Bharat Wire Ropes Ltd</t>
        </is>
      </c>
      <c r="D1748" t="n">
        <v>2021</v>
      </c>
      <c r="E1748" t="n">
        <v>99.84999847412109</v>
      </c>
      <c r="F1748" t="n">
        <v>0.33</v>
      </c>
      <c r="G1748" t="inlineStr">
        <is>
          <t>Consolidated first (v4) – needs verification for flagged rows</t>
        </is>
      </c>
      <c r="H1748" t="n">
        <v>14.9399995803833</v>
      </c>
      <c r="I1748" t="n">
        <v>2.700000047683716</v>
      </c>
      <c r="L1748" t="inlineStr">
        <is>
          <t>UNVERIFIED – tiny EPS &lt;0.5</t>
        </is>
      </c>
      <c r="M1748" t="n">
        <v>45.27</v>
      </c>
      <c r="N1748" t="n">
        <v>8.18</v>
      </c>
      <c r="O1748" t="n">
        <v>214.2</v>
      </c>
      <c r="P1748" t="n">
        <v>354.9</v>
      </c>
      <c r="Q1748" t="n">
        <v>65.65000000000001</v>
      </c>
      <c r="R1748" s="3" t="inlineStr">
        <is>
          <t>MISMATCH_NEEDS_CORRECTION</t>
        </is>
      </c>
      <c r="S1748" t="n">
        <v>214.2</v>
      </c>
      <c r="T1748" t="inlineStr">
        <is>
          <t>30-07-2026 09:42 IST</t>
        </is>
      </c>
    </row>
    <row r="1749">
      <c r="A1749" t="n">
        <v>258</v>
      </c>
      <c r="B1749" t="n">
        <v>513472</v>
      </c>
      <c r="C1749" t="inlineStr">
        <is>
          <t>Bharat Wire Ropes Ltd</t>
        </is>
      </c>
      <c r="D1749" t="n">
        <v>2022</v>
      </c>
      <c r="E1749" t="n">
        <v>99.84999847412109</v>
      </c>
      <c r="F1749" t="n">
        <v>0.5</v>
      </c>
      <c r="G1749" t="inlineStr">
        <is>
          <t>Consolidated first (v4) – needs verification for flagged rows</t>
        </is>
      </c>
      <c r="H1749" t="n">
        <v>11.19999980926514</v>
      </c>
      <c r="I1749" t="n">
        <v>6.519999980926514</v>
      </c>
      <c r="L1749" t="inlineStr">
        <is>
          <t>OK</t>
        </is>
      </c>
      <c r="M1749" t="n">
        <v>22.4</v>
      </c>
      <c r="N1749" t="n">
        <v>13.04</v>
      </c>
      <c r="O1749" t="n">
        <v>214.2</v>
      </c>
      <c r="P1749" t="n">
        <v>354.9</v>
      </c>
      <c r="Q1749" t="n">
        <v>65.65000000000001</v>
      </c>
      <c r="R1749" s="3" t="inlineStr">
        <is>
          <t>MISMATCH_NEEDS_CORRECTION</t>
        </is>
      </c>
      <c r="S1749" t="n">
        <v>214.2</v>
      </c>
      <c r="T1749" t="inlineStr">
        <is>
          <t>30-07-2026 09:42 IST</t>
        </is>
      </c>
    </row>
    <row r="1750">
      <c r="A1750" t="n">
        <v>258</v>
      </c>
      <c r="B1750" t="n">
        <v>513472</v>
      </c>
      <c r="C1750" t="inlineStr">
        <is>
          <t>Bharat Wire Ropes Ltd</t>
        </is>
      </c>
      <c r="D1750" t="n">
        <v>2023</v>
      </c>
      <c r="E1750" t="n">
        <v>99.84999847412109</v>
      </c>
      <c r="F1750" t="n">
        <v>-5.53</v>
      </c>
      <c r="G1750" t="inlineStr">
        <is>
          <t>Consolidated first (v4) – needs verification for flagged rows</t>
        </is>
      </c>
      <c r="H1750" t="n">
        <v>14.84000015258789</v>
      </c>
      <c r="I1750" t="n">
        <v>7.239999771118164</v>
      </c>
      <c r="L1750" t="inlineStr">
        <is>
          <t>UNVERIFIED – negative EPS</t>
        </is>
      </c>
      <c r="M1750" t="n">
        <v>-2.68</v>
      </c>
      <c r="N1750" t="n">
        <v>-1.31</v>
      </c>
      <c r="O1750" t="n">
        <v>214.2</v>
      </c>
      <c r="P1750" t="n">
        <v>354.9</v>
      </c>
      <c r="Q1750" t="n">
        <v>65.65000000000001</v>
      </c>
      <c r="R1750" s="3" t="inlineStr">
        <is>
          <t>MISMATCH_NEEDS_CORRECTION</t>
        </is>
      </c>
      <c r="S1750" t="n">
        <v>214.2</v>
      </c>
      <c r="T1750" t="inlineStr">
        <is>
          <t>30-07-2026 09:42 IST</t>
        </is>
      </c>
    </row>
    <row r="1751">
      <c r="A1751" t="n">
        <v>258</v>
      </c>
      <c r="B1751" t="n">
        <v>513472</v>
      </c>
      <c r="C1751" t="inlineStr">
        <is>
          <t>Bharat Wire Ropes Ltd</t>
        </is>
      </c>
      <c r="D1751" t="n">
        <v>2024</v>
      </c>
      <c r="E1751" t="n">
        <v>99.84999847412109</v>
      </c>
      <c r="F1751" t="n">
        <v>0.78</v>
      </c>
      <c r="G1751" t="inlineStr">
        <is>
          <t>Consolidated first (v4) – needs verification for flagged rows</t>
        </is>
      </c>
      <c r="H1751" t="n">
        <v>70.98000335693359</v>
      </c>
      <c r="I1751" t="n">
        <v>12.11999988555908</v>
      </c>
      <c r="L1751" t="inlineStr">
        <is>
          <t>OK</t>
        </is>
      </c>
      <c r="M1751" t="n">
        <v>91</v>
      </c>
      <c r="N1751" t="n">
        <v>15.54</v>
      </c>
      <c r="O1751" t="n">
        <v>214.2</v>
      </c>
      <c r="P1751" t="n">
        <v>354.9</v>
      </c>
      <c r="Q1751" t="n">
        <v>65.65000000000001</v>
      </c>
      <c r="R1751" s="3" t="inlineStr">
        <is>
          <t>MISMATCH_NEEDS_CORRECTION</t>
        </is>
      </c>
      <c r="S1751" t="n">
        <v>214.2</v>
      </c>
      <c r="T1751" t="inlineStr">
        <is>
          <t>30-07-2026 09:42 IST</t>
        </is>
      </c>
    </row>
    <row r="1752">
      <c r="A1752" t="n">
        <v>258</v>
      </c>
      <c r="B1752" t="n">
        <v>513472</v>
      </c>
      <c r="C1752" t="inlineStr">
        <is>
          <t>Bharat Wire Ropes Ltd</t>
        </is>
      </c>
      <c r="D1752" t="n">
        <v>2025</v>
      </c>
      <c r="E1752" t="n">
        <v>99.84999847412109</v>
      </c>
      <c r="F1752" t="n">
        <v>4.2</v>
      </c>
      <c r="G1752" t="inlineStr">
        <is>
          <t>Consolidated first (v4) – needs verification for flagged rows</t>
        </is>
      </c>
      <c r="H1752" t="n">
        <v>124.6999969482422</v>
      </c>
      <c r="I1752" t="n">
        <v>37.97000122070312</v>
      </c>
      <c r="L1752" t="inlineStr">
        <is>
          <t>OK</t>
        </is>
      </c>
      <c r="M1752" t="n">
        <v>29.69</v>
      </c>
      <c r="N1752" t="n">
        <v>9.039999999999999</v>
      </c>
      <c r="O1752" t="n">
        <v>214.2</v>
      </c>
      <c r="P1752" t="n">
        <v>354.9</v>
      </c>
      <c r="Q1752" t="n">
        <v>65.65000000000001</v>
      </c>
      <c r="R1752" s="3" t="inlineStr">
        <is>
          <t>MISMATCH_NEEDS_CORRECTION</t>
        </is>
      </c>
      <c r="S1752" t="n">
        <v>214.2</v>
      </c>
      <c r="T1752" t="inlineStr">
        <is>
          <t>30-07-2026 09:42 IST</t>
        </is>
      </c>
    </row>
    <row r="1753">
      <c r="A1753" t="n">
        <v>258</v>
      </c>
      <c r="B1753" t="n">
        <v>513472</v>
      </c>
      <c r="C1753" t="inlineStr">
        <is>
          <t>Bharat Wire Ropes Ltd</t>
        </is>
      </c>
      <c r="D1753" t="n">
        <v>2026</v>
      </c>
      <c r="E1753" t="n">
        <v>99.84999847412109</v>
      </c>
      <c r="F1753" t="n">
        <v>5.19</v>
      </c>
      <c r="G1753" t="inlineStr">
        <is>
          <t>Consolidated first (v4) – needs verification for flagged rows</t>
        </is>
      </c>
      <c r="H1753" t="n">
        <v>124.5999984741211</v>
      </c>
      <c r="I1753" t="n">
        <v>80.08000183105469</v>
      </c>
      <c r="L1753" t="inlineStr">
        <is>
          <t>OK</t>
        </is>
      </c>
      <c r="M1753" t="n">
        <v>24.01</v>
      </c>
      <c r="N1753" t="n">
        <v>15.43</v>
      </c>
      <c r="O1753" t="n">
        <v>214.2</v>
      </c>
      <c r="P1753" t="n">
        <v>354.9</v>
      </c>
      <c r="Q1753" t="n">
        <v>65.65000000000001</v>
      </c>
      <c r="R1753" s="3" t="inlineStr">
        <is>
          <t>MISMATCH_NEEDS_CORRECTION</t>
        </is>
      </c>
      <c r="S1753" t="n">
        <v>214.2</v>
      </c>
      <c r="T1753" t="inlineStr">
        <is>
          <t>30-07-2026 09:42 IST</t>
        </is>
      </c>
    </row>
    <row r="1754">
      <c r="A1754" t="n">
        <v>259</v>
      </c>
      <c r="B1754" t="n">
        <v>513488</v>
      </c>
      <c r="C1754" t="inlineStr">
        <is>
          <t>Shree Steel Wire Ropes Ltd</t>
        </is>
      </c>
      <c r="D1754" t="n">
        <v>2015</v>
      </c>
      <c r="E1754" t="n">
        <v>28.72999954223633</v>
      </c>
      <c r="F1754" t="n">
        <v>2.02</v>
      </c>
      <c r="G1754" t="inlineStr">
        <is>
          <t>Consolidated first (v4) – needs verification for flagged rows</t>
        </is>
      </c>
      <c r="H1754" t="n">
        <v>15.97999954223633</v>
      </c>
      <c r="I1754" t="n">
        <v>8.550000190734863</v>
      </c>
      <c r="L1754" t="inlineStr">
        <is>
          <t>OK</t>
        </is>
      </c>
      <c r="M1754" t="n">
        <v>7.91</v>
      </c>
      <c r="N1754" t="n">
        <v>4.23</v>
      </c>
      <c r="O1754" t="n">
        <v>38.9</v>
      </c>
      <c r="P1754" t="n">
        <v>50.8</v>
      </c>
      <c r="Q1754" t="n">
        <v>34.2</v>
      </c>
      <c r="R1754" s="3" t="inlineStr">
        <is>
          <t>MISMATCH_NEEDS_CORRECTION</t>
        </is>
      </c>
      <c r="S1754" t="n">
        <v>38.9</v>
      </c>
      <c r="T1754" t="inlineStr">
        <is>
          <t>30-07-2026 09:42 IST</t>
        </is>
      </c>
    </row>
    <row r="1755">
      <c r="A1755" t="n">
        <v>259</v>
      </c>
      <c r="B1755" t="n">
        <v>513488</v>
      </c>
      <c r="C1755" t="inlineStr">
        <is>
          <t>Shree Steel Wire Ropes Ltd</t>
        </is>
      </c>
      <c r="D1755" t="n">
        <v>2016</v>
      </c>
      <c r="E1755" t="n">
        <v>28.72999954223633</v>
      </c>
      <c r="F1755" t="n">
        <v>2.99</v>
      </c>
      <c r="G1755" t="inlineStr">
        <is>
          <t>Consolidated first (v4) – needs verification for flagged rows</t>
        </is>
      </c>
      <c r="H1755" t="n">
        <v>17.52000045776367</v>
      </c>
      <c r="I1755" t="n">
        <v>10.5</v>
      </c>
      <c r="L1755" t="inlineStr">
        <is>
          <t>OK</t>
        </is>
      </c>
      <c r="M1755" t="n">
        <v>5.86</v>
      </c>
      <c r="N1755" t="n">
        <v>3.51</v>
      </c>
      <c r="O1755" t="n">
        <v>38.9</v>
      </c>
      <c r="P1755" t="n">
        <v>50.8</v>
      </c>
      <c r="Q1755" t="n">
        <v>34.2</v>
      </c>
      <c r="R1755" s="3" t="inlineStr">
        <is>
          <t>MISMATCH_NEEDS_CORRECTION</t>
        </is>
      </c>
      <c r="S1755" t="n">
        <v>38.9</v>
      </c>
      <c r="T1755" t="inlineStr">
        <is>
          <t>30-07-2026 09:42 IST</t>
        </is>
      </c>
    </row>
    <row r="1756">
      <c r="A1756" t="n">
        <v>259</v>
      </c>
      <c r="B1756" t="n">
        <v>513488</v>
      </c>
      <c r="C1756" t="inlineStr">
        <is>
          <t>Shree Steel Wire Ropes Ltd</t>
        </is>
      </c>
      <c r="D1756" t="n">
        <v>2017</v>
      </c>
      <c r="E1756" t="n">
        <v>28.72999954223633</v>
      </c>
      <c r="F1756" t="n">
        <v>1.6</v>
      </c>
      <c r="G1756" t="inlineStr">
        <is>
          <t>Consolidated first (v4) – needs verification for flagged rows</t>
        </is>
      </c>
      <c r="H1756" t="n">
        <v>24.47999954223633</v>
      </c>
      <c r="I1756" t="n">
        <v>13.10000038146973</v>
      </c>
      <c r="L1756" t="inlineStr">
        <is>
          <t>OK</t>
        </is>
      </c>
      <c r="M1756" t="n">
        <v>15.3</v>
      </c>
      <c r="N1756" t="n">
        <v>8.19</v>
      </c>
      <c r="O1756" t="n">
        <v>38.9</v>
      </c>
      <c r="P1756" t="n">
        <v>50.8</v>
      </c>
      <c r="Q1756" t="n">
        <v>34.2</v>
      </c>
      <c r="R1756" s="3" t="inlineStr">
        <is>
          <t>MISMATCH_NEEDS_CORRECTION</t>
        </is>
      </c>
      <c r="S1756" t="n">
        <v>38.9</v>
      </c>
      <c r="T1756" t="inlineStr">
        <is>
          <t>30-07-2026 09:42 IST</t>
        </is>
      </c>
    </row>
    <row r="1757">
      <c r="A1757" t="n">
        <v>259</v>
      </c>
      <c r="B1757" t="n">
        <v>513488</v>
      </c>
      <c r="C1757" t="inlineStr">
        <is>
          <t>Shree Steel Wire Ropes Ltd</t>
        </is>
      </c>
      <c r="D1757" t="n">
        <v>2018</v>
      </c>
      <c r="E1757" t="n">
        <v>28.72999954223633</v>
      </c>
      <c r="F1757" t="n">
        <v>2.08</v>
      </c>
      <c r="G1757" t="inlineStr">
        <is>
          <t>Consolidated first (v4) – needs verification for flagged rows</t>
        </is>
      </c>
      <c r="H1757" t="n">
        <v>23.39999961853027</v>
      </c>
      <c r="I1757" t="n">
        <v>10.60999965667725</v>
      </c>
      <c r="L1757" t="inlineStr">
        <is>
          <t>OK</t>
        </is>
      </c>
      <c r="M1757" t="n">
        <v>11.25</v>
      </c>
      <c r="N1757" t="n">
        <v>5.1</v>
      </c>
      <c r="O1757" t="n">
        <v>38.9</v>
      </c>
      <c r="P1757" t="n">
        <v>50.8</v>
      </c>
      <c r="Q1757" t="n">
        <v>34.2</v>
      </c>
      <c r="R1757" s="3" t="inlineStr">
        <is>
          <t>MISMATCH_NEEDS_CORRECTION</t>
        </is>
      </c>
      <c r="S1757" t="n">
        <v>38.9</v>
      </c>
      <c r="T1757" t="inlineStr">
        <is>
          <t>30-07-2026 09:42 IST</t>
        </is>
      </c>
    </row>
    <row r="1758">
      <c r="A1758" t="n">
        <v>259</v>
      </c>
      <c r="B1758" t="n">
        <v>513488</v>
      </c>
      <c r="C1758" t="inlineStr">
        <is>
          <t>Shree Steel Wire Ropes Ltd</t>
        </is>
      </c>
      <c r="D1758" t="n">
        <v>2019</v>
      </c>
      <c r="E1758" t="n">
        <v>28.72999954223633</v>
      </c>
      <c r="F1758" t="n">
        <v>1.39</v>
      </c>
      <c r="G1758" t="inlineStr">
        <is>
          <t>Consolidated first (v4) – needs verification for flagged rows</t>
        </is>
      </c>
      <c r="H1758" t="n">
        <v>16.01000022888184</v>
      </c>
      <c r="I1758" t="n">
        <v>9.729999542236328</v>
      </c>
      <c r="L1758" t="inlineStr">
        <is>
          <t>OK</t>
        </is>
      </c>
      <c r="M1758" t="n">
        <v>11.52</v>
      </c>
      <c r="N1758" t="n">
        <v>7</v>
      </c>
      <c r="O1758" t="n">
        <v>38.9</v>
      </c>
      <c r="P1758" t="n">
        <v>50.8</v>
      </c>
      <c r="Q1758" t="n">
        <v>34.2</v>
      </c>
      <c r="R1758" s="3" t="inlineStr">
        <is>
          <t>MISMATCH_NEEDS_CORRECTION</t>
        </is>
      </c>
      <c r="S1758" t="n">
        <v>38.9</v>
      </c>
      <c r="T1758" t="inlineStr">
        <is>
          <t>30-07-2026 09:42 IST</t>
        </is>
      </c>
    </row>
    <row r="1759">
      <c r="A1759" t="n">
        <v>259</v>
      </c>
      <c r="B1759" t="n">
        <v>513488</v>
      </c>
      <c r="C1759" t="inlineStr">
        <is>
          <t>Shree Steel Wire Ropes Ltd</t>
        </is>
      </c>
      <c r="D1759" t="n">
        <v>2020</v>
      </c>
      <c r="E1759" t="n">
        <v>28.72999954223633</v>
      </c>
      <c r="F1759" t="n">
        <v>5.83</v>
      </c>
      <c r="G1759" t="inlineStr">
        <is>
          <t>Consolidated first (v4) – needs verification for flagged rows</t>
        </is>
      </c>
      <c r="H1759" t="n">
        <v>27.5</v>
      </c>
      <c r="I1759" t="n">
        <v>9.739999771118164</v>
      </c>
      <c r="L1759" t="inlineStr">
        <is>
          <t>OK</t>
        </is>
      </c>
      <c r="M1759" t="n">
        <v>4.72</v>
      </c>
      <c r="N1759" t="n">
        <v>1.67</v>
      </c>
      <c r="O1759" t="n">
        <v>38.9</v>
      </c>
      <c r="P1759" t="n">
        <v>50.8</v>
      </c>
      <c r="Q1759" t="n">
        <v>34.2</v>
      </c>
      <c r="R1759" s="3" t="inlineStr">
        <is>
          <t>MISMATCH_NEEDS_CORRECTION</t>
        </is>
      </c>
      <c r="S1759" t="n">
        <v>38.9</v>
      </c>
      <c r="T1759" t="inlineStr">
        <is>
          <t>30-07-2026 09:42 IST</t>
        </is>
      </c>
    </row>
    <row r="1760">
      <c r="A1760" t="n">
        <v>259</v>
      </c>
      <c r="B1760" t="n">
        <v>513488</v>
      </c>
      <c r="C1760" t="inlineStr">
        <is>
          <t>Shree Steel Wire Ropes Ltd</t>
        </is>
      </c>
      <c r="D1760" t="n">
        <v>2021</v>
      </c>
      <c r="E1760" t="n">
        <v>28.72999954223633</v>
      </c>
      <c r="F1760" t="n">
        <v>2.63</v>
      </c>
      <c r="G1760" t="inlineStr">
        <is>
          <t>Consolidated first (v4) – needs verification for flagged rows</t>
        </is>
      </c>
      <c r="H1760" t="n">
        <v>35</v>
      </c>
      <c r="I1760" t="n">
        <v>19.04999923706055</v>
      </c>
      <c r="L1760" t="inlineStr">
        <is>
          <t>OK</t>
        </is>
      </c>
      <c r="M1760" t="n">
        <v>13.31</v>
      </c>
      <c r="N1760" t="n">
        <v>7.24</v>
      </c>
      <c r="O1760" t="n">
        <v>38.9</v>
      </c>
      <c r="P1760" t="n">
        <v>50.8</v>
      </c>
      <c r="Q1760" t="n">
        <v>34.2</v>
      </c>
      <c r="R1760" s="3" t="inlineStr">
        <is>
          <t>MISMATCH_NEEDS_CORRECTION</t>
        </is>
      </c>
      <c r="S1760" t="n">
        <v>38.9</v>
      </c>
      <c r="T1760" t="inlineStr">
        <is>
          <t>30-07-2026 09:42 IST</t>
        </is>
      </c>
    </row>
    <row r="1761">
      <c r="A1761" t="n">
        <v>259</v>
      </c>
      <c r="B1761" t="n">
        <v>513488</v>
      </c>
      <c r="C1761" t="inlineStr">
        <is>
          <t>Shree Steel Wire Ropes Ltd</t>
        </is>
      </c>
      <c r="D1761" t="n">
        <v>2022</v>
      </c>
      <c r="E1761" t="n">
        <v>28.72999954223633</v>
      </c>
      <c r="F1761" t="n">
        <v>0.82</v>
      </c>
      <c r="G1761" t="inlineStr">
        <is>
          <t>Consolidated first (v4) – needs verification for flagged rows</t>
        </is>
      </c>
      <c r="H1761" t="n">
        <v>34.90000152587891</v>
      </c>
      <c r="I1761" t="n">
        <v>18.10000038146973</v>
      </c>
      <c r="L1761" t="inlineStr">
        <is>
          <t>OK</t>
        </is>
      </c>
      <c r="M1761" t="n">
        <v>42.56</v>
      </c>
      <c r="N1761" t="n">
        <v>22.07</v>
      </c>
      <c r="O1761" t="n">
        <v>38.9</v>
      </c>
      <c r="P1761" t="n">
        <v>50.8</v>
      </c>
      <c r="Q1761" t="n">
        <v>34.2</v>
      </c>
      <c r="R1761" s="3" t="inlineStr">
        <is>
          <t>MISMATCH_NEEDS_CORRECTION</t>
        </is>
      </c>
      <c r="S1761" t="n">
        <v>38.9</v>
      </c>
      <c r="T1761" t="inlineStr">
        <is>
          <t>30-07-2026 09:42 IST</t>
        </is>
      </c>
    </row>
    <row r="1762">
      <c r="A1762" t="n">
        <v>259</v>
      </c>
      <c r="B1762" t="n">
        <v>513488</v>
      </c>
      <c r="C1762" t="inlineStr">
        <is>
          <t>Shree Steel Wire Ropes Ltd</t>
        </is>
      </c>
      <c r="D1762" t="n">
        <v>2023</v>
      </c>
      <c r="E1762" t="n">
        <v>28.72999954223633</v>
      </c>
      <c r="F1762" t="n">
        <v>2.36</v>
      </c>
      <c r="G1762" t="inlineStr">
        <is>
          <t>Consolidated first (v4) – needs verification for flagged rows</t>
        </is>
      </c>
      <c r="H1762" t="n">
        <v>48.04000091552734</v>
      </c>
      <c r="I1762" t="n">
        <v>25.68000030517578</v>
      </c>
      <c r="L1762" t="inlineStr">
        <is>
          <t>OK</t>
        </is>
      </c>
      <c r="M1762" t="n">
        <v>20.36</v>
      </c>
      <c r="N1762" t="n">
        <v>10.88</v>
      </c>
      <c r="O1762" t="n">
        <v>38.9</v>
      </c>
      <c r="P1762" t="n">
        <v>50.8</v>
      </c>
      <c r="Q1762" t="n">
        <v>34.2</v>
      </c>
      <c r="R1762" s="3" t="inlineStr">
        <is>
          <t>MISMATCH_NEEDS_CORRECTION</t>
        </is>
      </c>
      <c r="S1762" t="n">
        <v>38.9</v>
      </c>
      <c r="T1762" t="inlineStr">
        <is>
          <t>30-07-2026 09:42 IST</t>
        </is>
      </c>
    </row>
    <row r="1763">
      <c r="A1763" t="n">
        <v>259</v>
      </c>
      <c r="B1763" t="n">
        <v>513488</v>
      </c>
      <c r="C1763" t="inlineStr">
        <is>
          <t>Shree Steel Wire Ropes Ltd</t>
        </is>
      </c>
      <c r="D1763" t="n">
        <v>2024</v>
      </c>
      <c r="E1763" t="n">
        <v>28.72999954223633</v>
      </c>
      <c r="F1763" t="n">
        <v>-0.45</v>
      </c>
      <c r="G1763" t="inlineStr">
        <is>
          <t>Consolidated first (v4) – needs verification for flagged rows</t>
        </is>
      </c>
      <c r="H1763" t="n">
        <v>50.79999923706055</v>
      </c>
      <c r="I1763" t="n">
        <v>34.20000076293945</v>
      </c>
      <c r="L1763" t="inlineStr">
        <is>
          <t>UNVERIFIED – negative EPS</t>
        </is>
      </c>
      <c r="M1763" t="n">
        <v>-112.89</v>
      </c>
      <c r="N1763" t="n">
        <v>-76</v>
      </c>
      <c r="O1763" t="n">
        <v>38.9</v>
      </c>
      <c r="P1763" t="n">
        <v>50.8</v>
      </c>
      <c r="Q1763" t="n">
        <v>34.2</v>
      </c>
      <c r="R1763" s="3" t="inlineStr">
        <is>
          <t>MISMATCH_NEEDS_CORRECTION</t>
        </is>
      </c>
      <c r="S1763" t="n">
        <v>38.9</v>
      </c>
      <c r="T1763" t="inlineStr">
        <is>
          <t>30-07-2026 09:42 IST</t>
        </is>
      </c>
    </row>
    <row r="1764">
      <c r="A1764" t="n">
        <v>259</v>
      </c>
      <c r="B1764" t="n">
        <v>513488</v>
      </c>
      <c r="C1764" t="inlineStr">
        <is>
          <t>Shree Steel Wire Ropes Ltd</t>
        </is>
      </c>
      <c r="D1764" t="n">
        <v>2025</v>
      </c>
      <c r="E1764" t="n">
        <v>28.72999954223633</v>
      </c>
      <c r="F1764" t="n">
        <v>-0.75</v>
      </c>
      <c r="G1764" t="inlineStr">
        <is>
          <t>Consolidated first (v4) – needs verification for flagged rows</t>
        </is>
      </c>
      <c r="H1764" t="n">
        <v>43</v>
      </c>
      <c r="I1764" t="n">
        <v>23.04999923706055</v>
      </c>
      <c r="L1764" t="inlineStr">
        <is>
          <t>UNVERIFIED – negative EPS</t>
        </is>
      </c>
      <c r="M1764" t="n">
        <v>-57.33</v>
      </c>
      <c r="N1764" t="n">
        <v>-30.73</v>
      </c>
      <c r="O1764" t="n">
        <v>38.9</v>
      </c>
      <c r="P1764" t="n">
        <v>50.8</v>
      </c>
      <c r="Q1764" t="n">
        <v>34.2</v>
      </c>
      <c r="R1764" s="3" t="inlineStr">
        <is>
          <t>MISMATCH_NEEDS_CORRECTION</t>
        </is>
      </c>
      <c r="S1764" t="n">
        <v>38.9</v>
      </c>
      <c r="T1764" t="inlineStr">
        <is>
          <t>30-07-2026 09:42 IST</t>
        </is>
      </c>
    </row>
    <row r="1765">
      <c r="A1765" t="n">
        <v>259</v>
      </c>
      <c r="B1765" t="n">
        <v>513488</v>
      </c>
      <c r="C1765" t="inlineStr">
        <is>
          <t>Shree Steel Wire Ropes Ltd</t>
        </is>
      </c>
      <c r="D1765" t="n">
        <v>2026</v>
      </c>
      <c r="E1765" t="n">
        <v>28.72999954223633</v>
      </c>
      <c r="F1765" t="n">
        <v>-1.87</v>
      </c>
      <c r="G1765" t="inlineStr">
        <is>
          <t>Consolidated first (v4) – needs verification for flagged rows</t>
        </is>
      </c>
      <c r="H1765" t="n">
        <v>43.15999984741211</v>
      </c>
      <c r="I1765" t="n">
        <v>16.60000038146973</v>
      </c>
      <c r="L1765" t="inlineStr">
        <is>
          <t>UNVERIFIED – negative EPS</t>
        </is>
      </c>
      <c r="M1765" t="n">
        <v>-23.08</v>
      </c>
      <c r="N1765" t="n">
        <v>-8.880000000000001</v>
      </c>
      <c r="O1765" t="n">
        <v>38.9</v>
      </c>
      <c r="P1765" t="n">
        <v>50.8</v>
      </c>
      <c r="Q1765" t="n">
        <v>34.2</v>
      </c>
      <c r="R1765" s="3" t="inlineStr">
        <is>
          <t>MISMATCH_NEEDS_CORRECTION</t>
        </is>
      </c>
      <c r="S1765" t="n">
        <v>38.9</v>
      </c>
      <c r="T1765" t="inlineStr">
        <is>
          <t>30-07-2026 09:42 IST</t>
        </is>
      </c>
    </row>
    <row r="1766">
      <c r="A1766" t="n">
        <v>260</v>
      </c>
      <c r="B1766" t="n">
        <v>513513</v>
      </c>
      <c r="C1766" t="inlineStr">
        <is>
          <t>Aditya Ispat Ltd</t>
        </is>
      </c>
      <c r="D1766" t="n">
        <v>2015</v>
      </c>
      <c r="E1766" t="n">
        <v>9.899999618530273</v>
      </c>
      <c r="F1766" t="n">
        <v>0.6</v>
      </c>
      <c r="G1766" t="inlineStr">
        <is>
          <t>Consolidated first (v4) – needs verification for flagged rows</t>
        </is>
      </c>
      <c r="H1766" t="n">
        <v>4.650000095367432</v>
      </c>
      <c r="I1766" t="n">
        <v>2.710000038146973</v>
      </c>
      <c r="L1766" t="inlineStr">
        <is>
          <t>OK</t>
        </is>
      </c>
      <c r="M1766" t="n">
        <v>7.75</v>
      </c>
      <c r="N1766" t="n">
        <v>4.52</v>
      </c>
      <c r="O1766" t="n">
        <v>10</v>
      </c>
      <c r="P1766" t="n">
        <v>13</v>
      </c>
      <c r="Q1766" t="n">
        <v>9</v>
      </c>
      <c r="R1766" s="2" t="inlineStr">
        <is>
          <t>VERIFIED_OK</t>
        </is>
      </c>
      <c r="S1766" t="n">
        <v>10</v>
      </c>
      <c r="T1766" t="inlineStr">
        <is>
          <t>30-07-2026 09:42 IST</t>
        </is>
      </c>
    </row>
    <row r="1767">
      <c r="A1767" t="n">
        <v>260</v>
      </c>
      <c r="B1767" t="n">
        <v>513513</v>
      </c>
      <c r="C1767" t="inlineStr">
        <is>
          <t>Aditya Ispat Ltd</t>
        </is>
      </c>
      <c r="D1767" t="n">
        <v>2016</v>
      </c>
      <c r="E1767" t="n">
        <v>9.899999618530273</v>
      </c>
      <c r="F1767" t="n">
        <v>0.6</v>
      </c>
      <c r="G1767" t="inlineStr">
        <is>
          <t>Consolidated first (v4) – needs verification for flagged rows</t>
        </is>
      </c>
      <c r="H1767" t="n">
        <v>6.940000057220459</v>
      </c>
      <c r="I1767" t="n">
        <v>2.700000047683716</v>
      </c>
      <c r="L1767" t="inlineStr">
        <is>
          <t>OK</t>
        </is>
      </c>
      <c r="M1767" t="n">
        <v>11.57</v>
      </c>
      <c r="N1767" t="n">
        <v>4.5</v>
      </c>
      <c r="O1767" t="n">
        <v>10</v>
      </c>
      <c r="P1767" t="n">
        <v>13</v>
      </c>
      <c r="Q1767" t="n">
        <v>9</v>
      </c>
      <c r="R1767" s="2" t="inlineStr">
        <is>
          <t>VERIFIED_OK</t>
        </is>
      </c>
      <c r="S1767" t="n">
        <v>10</v>
      </c>
      <c r="T1767" t="inlineStr">
        <is>
          <t>30-07-2026 09:42 IST</t>
        </is>
      </c>
    </row>
    <row r="1768">
      <c r="A1768" t="n">
        <v>260</v>
      </c>
      <c r="B1768" t="n">
        <v>513513</v>
      </c>
      <c r="C1768" t="inlineStr">
        <is>
          <t>Aditya Ispat Ltd</t>
        </is>
      </c>
      <c r="D1768" t="n">
        <v>2017</v>
      </c>
      <c r="E1768" t="n">
        <v>9.899999618530273</v>
      </c>
      <c r="F1768" t="n">
        <v>0.79</v>
      </c>
      <c r="G1768" t="inlineStr">
        <is>
          <t>Consolidated first (v4) – needs verification for flagged rows</t>
        </is>
      </c>
      <c r="H1768" t="n">
        <v>8.680000305175781</v>
      </c>
      <c r="I1768" t="n">
        <v>4.300000190734863</v>
      </c>
      <c r="L1768" t="inlineStr">
        <is>
          <t>OK</t>
        </is>
      </c>
      <c r="M1768" t="n">
        <v>10.99</v>
      </c>
      <c r="N1768" t="n">
        <v>5.44</v>
      </c>
      <c r="O1768" t="n">
        <v>10</v>
      </c>
      <c r="P1768" t="n">
        <v>13</v>
      </c>
      <c r="Q1768" t="n">
        <v>9</v>
      </c>
      <c r="R1768" s="2" t="inlineStr">
        <is>
          <t>VERIFIED_OK</t>
        </is>
      </c>
      <c r="S1768" t="n">
        <v>10</v>
      </c>
      <c r="T1768" t="inlineStr">
        <is>
          <t>30-07-2026 09:42 IST</t>
        </is>
      </c>
    </row>
    <row r="1769">
      <c r="A1769" t="n">
        <v>260</v>
      </c>
      <c r="B1769" t="n">
        <v>513513</v>
      </c>
      <c r="C1769" t="inlineStr">
        <is>
          <t>Aditya Ispat Ltd</t>
        </is>
      </c>
      <c r="D1769" t="n">
        <v>2018</v>
      </c>
      <c r="E1769" t="n">
        <v>9.899999618530273</v>
      </c>
      <c r="F1769" t="n">
        <v>0.9</v>
      </c>
      <c r="G1769" t="inlineStr">
        <is>
          <t>Consolidated first (v4) – needs verification for flagged rows</t>
        </is>
      </c>
      <c r="H1769" t="n">
        <v>8.300000190734863</v>
      </c>
      <c r="I1769" t="n">
        <v>3.920000076293945</v>
      </c>
      <c r="L1769" t="inlineStr">
        <is>
          <t>OK</t>
        </is>
      </c>
      <c r="M1769" t="n">
        <v>9.220000000000001</v>
      </c>
      <c r="N1769" t="n">
        <v>4.36</v>
      </c>
      <c r="O1769" t="n">
        <v>10</v>
      </c>
      <c r="P1769" t="n">
        <v>13</v>
      </c>
      <c r="Q1769" t="n">
        <v>9</v>
      </c>
      <c r="R1769" s="2" t="inlineStr">
        <is>
          <t>VERIFIED_OK</t>
        </is>
      </c>
      <c r="S1769" t="n">
        <v>10</v>
      </c>
      <c r="T1769" t="inlineStr">
        <is>
          <t>30-07-2026 09:42 IST</t>
        </is>
      </c>
    </row>
    <row r="1770">
      <c r="A1770" t="n">
        <v>260</v>
      </c>
      <c r="B1770" t="n">
        <v>513513</v>
      </c>
      <c r="C1770" t="inlineStr">
        <is>
          <t>Aditya Ispat Ltd</t>
        </is>
      </c>
      <c r="D1770" t="n">
        <v>2019</v>
      </c>
      <c r="E1770" t="n">
        <v>9.899999618530273</v>
      </c>
      <c r="F1770" t="n">
        <v>0.82</v>
      </c>
      <c r="G1770" t="inlineStr">
        <is>
          <t>Consolidated first (v4) – needs verification for flagged rows</t>
        </is>
      </c>
      <c r="H1770" t="n">
        <v>7.75</v>
      </c>
      <c r="I1770" t="n">
        <v>2.630000114440918</v>
      </c>
      <c r="L1770" t="inlineStr">
        <is>
          <t>OK</t>
        </is>
      </c>
      <c r="M1770" t="n">
        <v>9.449999999999999</v>
      </c>
      <c r="N1770" t="n">
        <v>3.21</v>
      </c>
      <c r="O1770" t="n">
        <v>10</v>
      </c>
      <c r="P1770" t="n">
        <v>13</v>
      </c>
      <c r="Q1770" t="n">
        <v>9</v>
      </c>
      <c r="R1770" s="2" t="inlineStr">
        <is>
          <t>VERIFIED_OK</t>
        </is>
      </c>
      <c r="S1770" t="n">
        <v>10</v>
      </c>
      <c r="T1770" t="inlineStr">
        <is>
          <t>30-07-2026 09:42 IST</t>
        </is>
      </c>
    </row>
    <row r="1771">
      <c r="A1771" t="n">
        <v>260</v>
      </c>
      <c r="B1771" t="n">
        <v>513513</v>
      </c>
      <c r="C1771" t="inlineStr">
        <is>
          <t>Aditya Ispat Ltd</t>
        </is>
      </c>
      <c r="D1771" t="n">
        <v>2020</v>
      </c>
      <c r="E1771" t="n">
        <v>9.899999618530273</v>
      </c>
      <c r="F1771" t="n">
        <v>0.47</v>
      </c>
      <c r="G1771" t="inlineStr">
        <is>
          <t>Consolidated first (v4) – needs verification for flagged rows</t>
        </is>
      </c>
      <c r="H1771" t="n">
        <v>8.340000152587891</v>
      </c>
      <c r="I1771" t="n">
        <v>3.269999980926514</v>
      </c>
      <c r="L1771" t="inlineStr">
        <is>
          <t>UNVERIFIED – tiny EPS &lt;0.5</t>
        </is>
      </c>
      <c r="M1771" t="n">
        <v>17.74</v>
      </c>
      <c r="N1771" t="n">
        <v>6.96</v>
      </c>
      <c r="O1771" t="n">
        <v>10</v>
      </c>
      <c r="P1771" t="n">
        <v>13</v>
      </c>
      <c r="Q1771" t="n">
        <v>9</v>
      </c>
      <c r="R1771" s="2" t="inlineStr">
        <is>
          <t>VERIFIED_OK</t>
        </is>
      </c>
      <c r="S1771" t="n">
        <v>10</v>
      </c>
      <c r="T1771" t="inlineStr">
        <is>
          <t>30-07-2026 09:42 IST</t>
        </is>
      </c>
    </row>
    <row r="1772">
      <c r="A1772" t="n">
        <v>260</v>
      </c>
      <c r="B1772" t="n">
        <v>513513</v>
      </c>
      <c r="C1772" t="inlineStr">
        <is>
          <t>Aditya Ispat Ltd</t>
        </is>
      </c>
      <c r="D1772" t="n">
        <v>2021</v>
      </c>
      <c r="E1772" t="n">
        <v>9.899999618530273</v>
      </c>
      <c r="F1772" t="n">
        <v>0.75</v>
      </c>
      <c r="G1772" t="inlineStr">
        <is>
          <t>Consolidated first (v4) – needs verification for flagged rows</t>
        </is>
      </c>
      <c r="H1772" t="n">
        <v>15.36999988555908</v>
      </c>
      <c r="I1772" t="n">
        <v>3.650000095367432</v>
      </c>
      <c r="L1772" t="inlineStr">
        <is>
          <t>OK</t>
        </is>
      </c>
      <c r="M1772" t="n">
        <v>20.49</v>
      </c>
      <c r="N1772" t="n">
        <v>4.87</v>
      </c>
      <c r="O1772" t="n">
        <v>10</v>
      </c>
      <c r="P1772" t="n">
        <v>13</v>
      </c>
      <c r="Q1772" t="n">
        <v>9</v>
      </c>
      <c r="R1772" s="2" t="inlineStr">
        <is>
          <t>VERIFIED_OK</t>
        </is>
      </c>
      <c r="S1772" t="n">
        <v>10</v>
      </c>
      <c r="T1772" t="inlineStr">
        <is>
          <t>30-07-2026 09:42 IST</t>
        </is>
      </c>
    </row>
    <row r="1773">
      <c r="A1773" t="n">
        <v>260</v>
      </c>
      <c r="B1773" t="n">
        <v>513513</v>
      </c>
      <c r="C1773" t="inlineStr">
        <is>
          <t>Aditya Ispat Ltd</t>
        </is>
      </c>
      <c r="D1773" t="n">
        <v>2022</v>
      </c>
      <c r="E1773" t="n">
        <v>9.899999618530273</v>
      </c>
      <c r="F1773" t="n">
        <v>0.71</v>
      </c>
      <c r="G1773" t="inlineStr">
        <is>
          <t>Consolidated first (v4) – needs verification for flagged rows</t>
        </is>
      </c>
      <c r="H1773" t="n">
        <v>13.39999961853027</v>
      </c>
      <c r="I1773" t="n">
        <v>8.159999847412109</v>
      </c>
      <c r="L1773" t="inlineStr">
        <is>
          <t>OK</t>
        </is>
      </c>
      <c r="M1773" t="n">
        <v>18.87</v>
      </c>
      <c r="N1773" t="n">
        <v>11.49</v>
      </c>
      <c r="O1773" t="n">
        <v>10</v>
      </c>
      <c r="P1773" t="n">
        <v>13</v>
      </c>
      <c r="Q1773" t="n">
        <v>9</v>
      </c>
      <c r="R1773" s="2" t="inlineStr">
        <is>
          <t>VERIFIED_OK</t>
        </is>
      </c>
      <c r="S1773" t="n">
        <v>10</v>
      </c>
      <c r="T1773" t="inlineStr">
        <is>
          <t>30-07-2026 09:42 IST</t>
        </is>
      </c>
    </row>
    <row r="1774">
      <c r="A1774" t="n">
        <v>260</v>
      </c>
      <c r="B1774" t="n">
        <v>513513</v>
      </c>
      <c r="C1774" t="inlineStr">
        <is>
          <t>Aditya Ispat Ltd</t>
        </is>
      </c>
      <c r="D1774" t="n">
        <v>2023</v>
      </c>
      <c r="E1774" t="n">
        <v>9.899999618530273</v>
      </c>
      <c r="F1774" t="n">
        <v>0.5600000000000001</v>
      </c>
      <c r="G1774" t="inlineStr">
        <is>
          <t>Consolidated first (v4) – needs verification for flagged rows</t>
        </is>
      </c>
      <c r="H1774" t="n">
        <v>10.97999954223633</v>
      </c>
      <c r="I1774" t="n">
        <v>7.510000228881836</v>
      </c>
      <c r="L1774" t="inlineStr">
        <is>
          <t>OK</t>
        </is>
      </c>
      <c r="M1774" t="n">
        <v>19.61</v>
      </c>
      <c r="N1774" t="n">
        <v>13.41</v>
      </c>
      <c r="O1774" t="n">
        <v>10</v>
      </c>
      <c r="P1774" t="n">
        <v>13</v>
      </c>
      <c r="Q1774" t="n">
        <v>9</v>
      </c>
      <c r="R1774" s="2" t="inlineStr">
        <is>
          <t>VERIFIED_OK</t>
        </is>
      </c>
      <c r="S1774" t="n">
        <v>10</v>
      </c>
      <c r="T1774" t="inlineStr">
        <is>
          <t>30-07-2026 09:42 IST</t>
        </is>
      </c>
    </row>
    <row r="1775">
      <c r="A1775" t="n">
        <v>260</v>
      </c>
      <c r="B1775" t="n">
        <v>513513</v>
      </c>
      <c r="C1775" t="inlineStr">
        <is>
          <t>Aditya Ispat Ltd</t>
        </is>
      </c>
      <c r="D1775" t="n">
        <v>2024</v>
      </c>
      <c r="E1775" t="n">
        <v>9.899999618530273</v>
      </c>
      <c r="F1775" t="n">
        <v>-4.32</v>
      </c>
      <c r="G1775" t="inlineStr">
        <is>
          <t>Consolidated first (v4) – needs verification for flagged rows</t>
        </is>
      </c>
      <c r="H1775" t="n">
        <v>13</v>
      </c>
      <c r="I1775" t="n">
        <v>9</v>
      </c>
      <c r="L1775" t="inlineStr">
        <is>
          <t>UNVERIFIED – negative EPS</t>
        </is>
      </c>
      <c r="M1775" t="n">
        <v>-3.01</v>
      </c>
      <c r="N1775" t="n">
        <v>-2.08</v>
      </c>
      <c r="O1775" t="n">
        <v>10</v>
      </c>
      <c r="P1775" t="n">
        <v>13</v>
      </c>
      <c r="Q1775" t="n">
        <v>9</v>
      </c>
      <c r="R1775" s="2" t="inlineStr">
        <is>
          <t>VERIFIED_OK</t>
        </is>
      </c>
      <c r="S1775" t="n">
        <v>10</v>
      </c>
      <c r="T1775" t="inlineStr">
        <is>
          <t>30-07-2026 09:42 IST</t>
        </is>
      </c>
    </row>
    <row r="1776">
      <c r="A1776" t="n">
        <v>260</v>
      </c>
      <c r="B1776" t="n">
        <v>513513</v>
      </c>
      <c r="C1776" t="inlineStr">
        <is>
          <t>Aditya Ispat Ltd</t>
        </is>
      </c>
      <c r="D1776" t="n">
        <v>2025</v>
      </c>
      <c r="E1776" t="n">
        <v>9.899999618530273</v>
      </c>
      <c r="F1776" t="n">
        <v>-1.46</v>
      </c>
      <c r="G1776" t="inlineStr">
        <is>
          <t>Consolidated first (v4) – needs verification for flagged rows</t>
        </is>
      </c>
      <c r="H1776" t="n">
        <v>11.86999988555908</v>
      </c>
      <c r="I1776" t="n">
        <v>8.260000228881836</v>
      </c>
      <c r="L1776" t="inlineStr">
        <is>
          <t>UNVERIFIED – negative EPS</t>
        </is>
      </c>
      <c r="M1776" t="n">
        <v>-8.130000000000001</v>
      </c>
      <c r="N1776" t="n">
        <v>-5.66</v>
      </c>
      <c r="O1776" t="n">
        <v>10</v>
      </c>
      <c r="P1776" t="n">
        <v>13</v>
      </c>
      <c r="Q1776" t="n">
        <v>9</v>
      </c>
      <c r="R1776" s="2" t="inlineStr">
        <is>
          <t>VERIFIED_OK</t>
        </is>
      </c>
      <c r="S1776" t="n">
        <v>10</v>
      </c>
      <c r="T1776" t="inlineStr">
        <is>
          <t>30-07-2026 09:42 IST</t>
        </is>
      </c>
    </row>
    <row r="1777">
      <c r="A1777" t="n">
        <v>260</v>
      </c>
      <c r="B1777" t="n">
        <v>513513</v>
      </c>
      <c r="C1777" t="inlineStr">
        <is>
          <t>Aditya Ispat Ltd</t>
        </is>
      </c>
      <c r="D1777" t="n">
        <v>2026</v>
      </c>
      <c r="E1777" t="n">
        <v>9.899999618530273</v>
      </c>
      <c r="F1777" t="n">
        <v>-16.04</v>
      </c>
      <c r="G1777" t="inlineStr">
        <is>
          <t>Consolidated first (v4) – needs verification for flagged rows</t>
        </is>
      </c>
      <c r="H1777" t="n">
        <v>11.96000003814697</v>
      </c>
      <c r="I1777" t="n">
        <v>8.010000228881836</v>
      </c>
      <c r="L1777" t="inlineStr">
        <is>
          <t>UNVERIFIED – negative EPS</t>
        </is>
      </c>
      <c r="M1777" t="n">
        <v>-0.75</v>
      </c>
      <c r="N1777" t="n">
        <v>-0.5</v>
      </c>
      <c r="O1777" t="n">
        <v>10</v>
      </c>
      <c r="P1777" t="n">
        <v>13</v>
      </c>
      <c r="Q1777" t="n">
        <v>9</v>
      </c>
      <c r="R1777" s="2" t="inlineStr">
        <is>
          <t>VERIFIED_OK</t>
        </is>
      </c>
      <c r="S1777" t="n">
        <v>10</v>
      </c>
      <c r="T1777" t="inlineStr">
        <is>
          <t>30-07-2026 09:42 IST</t>
        </is>
      </c>
    </row>
    <row r="1778">
      <c r="A1778" t="n">
        <v>261</v>
      </c>
      <c r="B1778" t="n">
        <v>513528</v>
      </c>
      <c r="C1778" t="inlineStr">
        <is>
          <t>Glittek Granites Ltd</t>
        </is>
      </c>
      <c r="D1778" t="n">
        <v>2015</v>
      </c>
      <c r="E1778" t="n">
        <v>59.61000061035156</v>
      </c>
      <c r="F1778" t="n">
        <v>0.29</v>
      </c>
      <c r="G1778" t="inlineStr">
        <is>
          <t>Consolidated first (v4) – needs verification for flagged rows</t>
        </is>
      </c>
      <c r="H1778" t="n">
        <v>3.700000047683716</v>
      </c>
      <c r="I1778" t="n">
        <v>1.879999995231628</v>
      </c>
      <c r="L1778" t="inlineStr">
        <is>
          <t>UNVERIFIED – tiny EPS &lt;0.5</t>
        </is>
      </c>
      <c r="M1778" t="n">
        <v>12.76</v>
      </c>
      <c r="N1778" t="n">
        <v>6.48</v>
      </c>
      <c r="O1778" t="n">
        <v>4.24</v>
      </c>
      <c r="P1778" t="n">
        <v>6</v>
      </c>
      <c r="Q1778" t="n">
        <v>2.65</v>
      </c>
      <c r="R1778" s="3" t="inlineStr">
        <is>
          <t>MISMATCH_NEEDS_CORRECTION</t>
        </is>
      </c>
      <c r="S1778" t="n">
        <v>4.24</v>
      </c>
      <c r="T1778" t="inlineStr">
        <is>
          <t>30-07-2026 09:42 IST</t>
        </is>
      </c>
    </row>
    <row r="1779">
      <c r="A1779" t="n">
        <v>261</v>
      </c>
      <c r="B1779" t="n">
        <v>513528</v>
      </c>
      <c r="C1779" t="inlineStr">
        <is>
          <t>Glittek Granites Ltd</t>
        </is>
      </c>
      <c r="D1779" t="n">
        <v>2016</v>
      </c>
      <c r="E1779" t="n">
        <v>59.61000061035156</v>
      </c>
      <c r="F1779" t="n">
        <v>0.28</v>
      </c>
      <c r="G1779" t="inlineStr">
        <is>
          <t>Consolidated first (v4) – needs verification for flagged rows</t>
        </is>
      </c>
      <c r="H1779" t="n">
        <v>3.099999904632568</v>
      </c>
      <c r="I1779" t="n">
        <v>1.710000038146973</v>
      </c>
      <c r="L1779" t="inlineStr">
        <is>
          <t>UNVERIFIED – tiny EPS &lt;0.5</t>
        </is>
      </c>
      <c r="M1779" t="n">
        <v>11.07</v>
      </c>
      <c r="N1779" t="n">
        <v>6.11</v>
      </c>
      <c r="O1779" t="n">
        <v>4.24</v>
      </c>
      <c r="P1779" t="n">
        <v>6</v>
      </c>
      <c r="Q1779" t="n">
        <v>2.65</v>
      </c>
      <c r="R1779" s="3" t="inlineStr">
        <is>
          <t>MISMATCH_NEEDS_CORRECTION</t>
        </is>
      </c>
      <c r="S1779" t="n">
        <v>4.24</v>
      </c>
      <c r="T1779" t="inlineStr">
        <is>
          <t>30-07-2026 09:42 IST</t>
        </is>
      </c>
    </row>
    <row r="1780">
      <c r="A1780" t="n">
        <v>261</v>
      </c>
      <c r="B1780" t="n">
        <v>513528</v>
      </c>
      <c r="C1780" t="inlineStr">
        <is>
          <t>Glittek Granites Ltd</t>
        </is>
      </c>
      <c r="D1780" t="n">
        <v>2017</v>
      </c>
      <c r="E1780" t="n">
        <v>59.61000061035156</v>
      </c>
      <c r="G1780" t="inlineStr">
        <is>
          <t>Consolidated first (v4) – needs verification for flagged rows</t>
        </is>
      </c>
      <c r="H1780" t="n">
        <v>3.75</v>
      </c>
      <c r="I1780" t="n">
        <v>1.519999980926514</v>
      </c>
      <c r="L1780" t="inlineStr">
        <is>
          <t>INCOMPLETE</t>
        </is>
      </c>
      <c r="O1780" t="n">
        <v>4.24</v>
      </c>
      <c r="P1780" t="n">
        <v>6</v>
      </c>
      <c r="Q1780" t="n">
        <v>2.65</v>
      </c>
      <c r="R1780" s="3" t="inlineStr">
        <is>
          <t>MISMATCH_NEEDS_CORRECTION</t>
        </is>
      </c>
      <c r="S1780" t="n">
        <v>4.24</v>
      </c>
      <c r="T1780" t="inlineStr">
        <is>
          <t>30-07-2026 09:42 IST</t>
        </is>
      </c>
    </row>
    <row r="1781">
      <c r="A1781" t="n">
        <v>261</v>
      </c>
      <c r="B1781" t="n">
        <v>513528</v>
      </c>
      <c r="C1781" t="inlineStr">
        <is>
          <t>Glittek Granites Ltd</t>
        </is>
      </c>
      <c r="D1781" t="n">
        <v>2018</v>
      </c>
      <c r="E1781" t="n">
        <v>59.61000061035156</v>
      </c>
      <c r="F1781" t="n">
        <v>0.47</v>
      </c>
      <c r="G1781" t="inlineStr">
        <is>
          <t>Consolidated first (v4) – needs verification for flagged rows</t>
        </is>
      </c>
      <c r="H1781" t="n">
        <v>4.670000076293945</v>
      </c>
      <c r="I1781" t="n">
        <v>1.700000047683716</v>
      </c>
      <c r="L1781" t="inlineStr">
        <is>
          <t>UNVERIFIED – tiny EPS &lt;0.5</t>
        </is>
      </c>
      <c r="M1781" t="n">
        <v>9.94</v>
      </c>
      <c r="N1781" t="n">
        <v>3.62</v>
      </c>
      <c r="O1781" t="n">
        <v>4.24</v>
      </c>
      <c r="P1781" t="n">
        <v>6</v>
      </c>
      <c r="Q1781" t="n">
        <v>2.65</v>
      </c>
      <c r="R1781" s="3" t="inlineStr">
        <is>
          <t>MISMATCH_NEEDS_CORRECTION</t>
        </is>
      </c>
      <c r="S1781" t="n">
        <v>4.24</v>
      </c>
      <c r="T1781" t="inlineStr">
        <is>
          <t>30-07-2026 09:42 IST</t>
        </is>
      </c>
    </row>
    <row r="1782">
      <c r="A1782" t="n">
        <v>261</v>
      </c>
      <c r="B1782" t="n">
        <v>513528</v>
      </c>
      <c r="C1782" t="inlineStr">
        <is>
          <t>Glittek Granites Ltd</t>
        </is>
      </c>
      <c r="D1782" t="n">
        <v>2019</v>
      </c>
      <c r="E1782" t="n">
        <v>59.61000061035156</v>
      </c>
      <c r="F1782" t="n">
        <v>-0.35</v>
      </c>
      <c r="G1782" t="inlineStr">
        <is>
          <t>Consolidated first (v4) – needs verification for flagged rows</t>
        </is>
      </c>
      <c r="H1782" t="n">
        <v>1.970000028610229</v>
      </c>
      <c r="L1782" t="inlineStr">
        <is>
          <t>UNVERIFIED – negative EPS</t>
        </is>
      </c>
      <c r="M1782" t="n">
        <v>-5.63</v>
      </c>
      <c r="O1782" t="n">
        <v>4.24</v>
      </c>
      <c r="P1782" t="n">
        <v>6</v>
      </c>
      <c r="Q1782" t="n">
        <v>2.65</v>
      </c>
      <c r="R1782" s="3" t="inlineStr">
        <is>
          <t>MISMATCH_NEEDS_CORRECTION</t>
        </is>
      </c>
      <c r="S1782" t="n">
        <v>4.24</v>
      </c>
      <c r="T1782" t="inlineStr">
        <is>
          <t>30-07-2026 09:42 IST</t>
        </is>
      </c>
    </row>
    <row r="1783">
      <c r="A1783" t="n">
        <v>261</v>
      </c>
      <c r="B1783" t="n">
        <v>513528</v>
      </c>
      <c r="C1783" t="inlineStr">
        <is>
          <t>Glittek Granites Ltd</t>
        </is>
      </c>
      <c r="D1783" t="n">
        <v>2020</v>
      </c>
      <c r="E1783" t="n">
        <v>59.61000061035156</v>
      </c>
      <c r="F1783" t="n">
        <v>-0.49</v>
      </c>
      <c r="G1783" t="inlineStr">
        <is>
          <t>Consolidated first (v4) – needs verification for flagged rows</t>
        </is>
      </c>
      <c r="H1783" t="n">
        <v>1.850000023841858</v>
      </c>
      <c r="L1783" t="inlineStr">
        <is>
          <t>UNVERIFIED – negative EPS</t>
        </is>
      </c>
      <c r="M1783" t="n">
        <v>-3.78</v>
      </c>
      <c r="O1783" t="n">
        <v>4.24</v>
      </c>
      <c r="P1783" t="n">
        <v>6</v>
      </c>
      <c r="Q1783" t="n">
        <v>2.65</v>
      </c>
      <c r="R1783" s="3" t="inlineStr">
        <is>
          <t>MISMATCH_NEEDS_CORRECTION</t>
        </is>
      </c>
      <c r="S1783" t="n">
        <v>4.24</v>
      </c>
      <c r="T1783" t="inlineStr">
        <is>
          <t>30-07-2026 09:42 IST</t>
        </is>
      </c>
    </row>
    <row r="1784">
      <c r="A1784" t="n">
        <v>261</v>
      </c>
      <c r="B1784" t="n">
        <v>513528</v>
      </c>
      <c r="C1784" t="inlineStr">
        <is>
          <t>Glittek Granites Ltd</t>
        </is>
      </c>
      <c r="D1784" t="n">
        <v>2021</v>
      </c>
      <c r="E1784" t="n">
        <v>59.61000061035156</v>
      </c>
      <c r="F1784" t="n">
        <v>-1.19</v>
      </c>
      <c r="G1784" t="inlineStr">
        <is>
          <t>Consolidated first (v4) – needs verification for flagged rows</t>
        </is>
      </c>
      <c r="H1784" t="n">
        <v>3.720000028610229</v>
      </c>
      <c r="I1784" t="n">
        <v>1.200000047683716</v>
      </c>
      <c r="L1784" t="inlineStr">
        <is>
          <t>UNVERIFIED – negative EPS</t>
        </is>
      </c>
      <c r="M1784" t="n">
        <v>-3.13</v>
      </c>
      <c r="N1784" t="n">
        <v>-1.01</v>
      </c>
      <c r="O1784" t="n">
        <v>4.24</v>
      </c>
      <c r="P1784" t="n">
        <v>6</v>
      </c>
      <c r="Q1784" t="n">
        <v>2.65</v>
      </c>
      <c r="R1784" s="3" t="inlineStr">
        <is>
          <t>MISMATCH_NEEDS_CORRECTION</t>
        </is>
      </c>
      <c r="S1784" t="n">
        <v>4.24</v>
      </c>
      <c r="T1784" t="inlineStr">
        <is>
          <t>30-07-2026 09:42 IST</t>
        </is>
      </c>
    </row>
    <row r="1785">
      <c r="A1785" t="n">
        <v>261</v>
      </c>
      <c r="B1785" t="n">
        <v>513528</v>
      </c>
      <c r="C1785" t="inlineStr">
        <is>
          <t>Glittek Granites Ltd</t>
        </is>
      </c>
      <c r="D1785" t="n">
        <v>2022</v>
      </c>
      <c r="E1785" t="n">
        <v>59.61000061035156</v>
      </c>
      <c r="F1785" t="n">
        <v>-0.89</v>
      </c>
      <c r="G1785" t="inlineStr">
        <is>
          <t>Consolidated first (v4) – needs verification for flagged rows</t>
        </is>
      </c>
      <c r="H1785" t="n">
        <v>5.489999771118164</v>
      </c>
      <c r="I1785" t="n">
        <v>2.170000076293945</v>
      </c>
      <c r="L1785" t="inlineStr">
        <is>
          <t>UNVERIFIED – negative EPS</t>
        </is>
      </c>
      <c r="M1785" t="n">
        <v>-6.17</v>
      </c>
      <c r="N1785" t="n">
        <v>-2.44</v>
      </c>
      <c r="O1785" t="n">
        <v>4.24</v>
      </c>
      <c r="P1785" t="n">
        <v>6</v>
      </c>
      <c r="Q1785" t="n">
        <v>2.65</v>
      </c>
      <c r="R1785" s="3" t="inlineStr">
        <is>
          <t>MISMATCH_NEEDS_CORRECTION</t>
        </is>
      </c>
      <c r="S1785" t="n">
        <v>4.24</v>
      </c>
      <c r="T1785" t="inlineStr">
        <is>
          <t>30-07-2026 09:42 IST</t>
        </is>
      </c>
    </row>
    <row r="1786">
      <c r="A1786" t="n">
        <v>261</v>
      </c>
      <c r="B1786" t="n">
        <v>513528</v>
      </c>
      <c r="C1786" t="inlineStr">
        <is>
          <t>Glittek Granites Ltd</t>
        </is>
      </c>
      <c r="D1786" t="n">
        <v>2023</v>
      </c>
      <c r="E1786" t="n">
        <v>59.61000061035156</v>
      </c>
      <c r="F1786" t="n">
        <v>-0.3</v>
      </c>
      <c r="G1786" t="inlineStr">
        <is>
          <t>Consolidated first (v4) – needs verification for flagged rows</t>
        </is>
      </c>
      <c r="H1786" t="n">
        <v>4.659999847412109</v>
      </c>
      <c r="I1786" t="n">
        <v>2.390000104904175</v>
      </c>
      <c r="L1786" t="inlineStr">
        <is>
          <t>UNVERIFIED – negative EPS</t>
        </is>
      </c>
      <c r="M1786" t="n">
        <v>-15.53</v>
      </c>
      <c r="N1786" t="n">
        <v>-7.97</v>
      </c>
      <c r="O1786" t="n">
        <v>4.24</v>
      </c>
      <c r="P1786" t="n">
        <v>6</v>
      </c>
      <c r="Q1786" t="n">
        <v>2.65</v>
      </c>
      <c r="R1786" s="3" t="inlineStr">
        <is>
          <t>MISMATCH_NEEDS_CORRECTION</t>
        </is>
      </c>
      <c r="S1786" t="n">
        <v>4.24</v>
      </c>
      <c r="T1786" t="inlineStr">
        <is>
          <t>30-07-2026 09:42 IST</t>
        </is>
      </c>
    </row>
    <row r="1787">
      <c r="A1787" t="n">
        <v>261</v>
      </c>
      <c r="B1787" t="n">
        <v>513528</v>
      </c>
      <c r="C1787" t="inlineStr">
        <is>
          <t>Glittek Granites Ltd</t>
        </is>
      </c>
      <c r="D1787" t="n">
        <v>2024</v>
      </c>
      <c r="E1787" t="n">
        <v>59.61000061035156</v>
      </c>
      <c r="F1787" t="n">
        <v>-2.37</v>
      </c>
      <c r="G1787" t="inlineStr">
        <is>
          <t>Consolidated first (v4) – needs verification for flagged rows</t>
        </is>
      </c>
      <c r="H1787" t="n">
        <v>6</v>
      </c>
      <c r="I1787" t="n">
        <v>2.650000095367432</v>
      </c>
      <c r="L1787" t="inlineStr">
        <is>
          <t>UNVERIFIED – negative EPS</t>
        </is>
      </c>
      <c r="M1787" t="n">
        <v>-2.53</v>
      </c>
      <c r="N1787" t="n">
        <v>-1.12</v>
      </c>
      <c r="O1787" t="n">
        <v>4.24</v>
      </c>
      <c r="P1787" t="n">
        <v>6</v>
      </c>
      <c r="Q1787" t="n">
        <v>2.65</v>
      </c>
      <c r="R1787" s="3" t="inlineStr">
        <is>
          <t>MISMATCH_NEEDS_CORRECTION</t>
        </is>
      </c>
      <c r="S1787" t="n">
        <v>4.24</v>
      </c>
      <c r="T1787" t="inlineStr">
        <is>
          <t>30-07-2026 09:42 IST</t>
        </is>
      </c>
    </row>
    <row r="1788">
      <c r="A1788" t="n">
        <v>261</v>
      </c>
      <c r="B1788" t="n">
        <v>513528</v>
      </c>
      <c r="C1788" t="inlineStr">
        <is>
          <t>Glittek Granites Ltd</t>
        </is>
      </c>
      <c r="D1788" t="n">
        <v>2025</v>
      </c>
      <c r="E1788" t="n">
        <v>59.61000061035156</v>
      </c>
      <c r="F1788" t="n">
        <v>2.64</v>
      </c>
      <c r="G1788" t="inlineStr">
        <is>
          <t>Consolidated first (v4) – needs verification for flagged rows</t>
        </is>
      </c>
      <c r="H1788" t="n">
        <v>14.98999977111816</v>
      </c>
      <c r="I1788" t="n">
        <v>2.490000009536743</v>
      </c>
      <c r="L1788" t="inlineStr">
        <is>
          <t>OK</t>
        </is>
      </c>
      <c r="M1788" t="n">
        <v>5.68</v>
      </c>
      <c r="N1788" t="n">
        <v>0.9399999999999999</v>
      </c>
      <c r="O1788" t="n">
        <v>4.24</v>
      </c>
      <c r="P1788" t="n">
        <v>6</v>
      </c>
      <c r="Q1788" t="n">
        <v>2.65</v>
      </c>
      <c r="R1788" s="3" t="inlineStr">
        <is>
          <t>MISMATCH_NEEDS_CORRECTION</t>
        </is>
      </c>
      <c r="S1788" t="n">
        <v>4.24</v>
      </c>
      <c r="T1788" t="inlineStr">
        <is>
          <t>30-07-2026 09:42 IST</t>
        </is>
      </c>
    </row>
    <row r="1789">
      <c r="A1789" t="n">
        <v>261</v>
      </c>
      <c r="B1789" t="n">
        <v>513528</v>
      </c>
      <c r="C1789" t="inlineStr">
        <is>
          <t>Glittek Granites Ltd</t>
        </is>
      </c>
      <c r="D1789" t="n">
        <v>2026</v>
      </c>
      <c r="E1789" t="n">
        <v>59.61000061035156</v>
      </c>
      <c r="F1789" t="n">
        <v>-0.15</v>
      </c>
      <c r="G1789" t="inlineStr">
        <is>
          <t>Consolidated first (v4) – needs verification for flagged rows</t>
        </is>
      </c>
      <c r="H1789" t="n">
        <v>80.19999694824219</v>
      </c>
      <c r="I1789" t="n">
        <v>11.67000007629395</v>
      </c>
      <c r="L1789" t="inlineStr">
        <is>
          <t>UNVERIFIED – negative EPS</t>
        </is>
      </c>
      <c r="M1789" t="n">
        <v>-534.67</v>
      </c>
      <c r="N1789" t="n">
        <v>-77.8</v>
      </c>
      <c r="O1789" t="n">
        <v>4.24</v>
      </c>
      <c r="P1789" t="n">
        <v>6</v>
      </c>
      <c r="Q1789" t="n">
        <v>2.65</v>
      </c>
      <c r="R1789" s="3" t="inlineStr">
        <is>
          <t>MISMATCH_NEEDS_CORRECTION</t>
        </is>
      </c>
      <c r="S1789" t="n">
        <v>4.24</v>
      </c>
      <c r="T1789" t="inlineStr">
        <is>
          <t>30-07-2026 09:42 IST</t>
        </is>
      </c>
    </row>
    <row r="1790">
      <c r="A1790" t="n">
        <v>262</v>
      </c>
      <c r="B1790" t="n">
        <v>513540</v>
      </c>
      <c r="C1790" t="inlineStr">
        <is>
          <t>Bandaram Pharma Packtech Ltd</t>
        </is>
      </c>
      <c r="D1790" t="n">
        <v>2017</v>
      </c>
      <c r="E1790" t="n">
        <v>25.51000022888184</v>
      </c>
      <c r="F1790" t="n">
        <v>2.3</v>
      </c>
      <c r="G1790" t="inlineStr">
        <is>
          <t>Consolidated first (v4) – needs verification for flagged rows</t>
        </is>
      </c>
      <c r="H1790" t="n">
        <v>45.40000152587891</v>
      </c>
      <c r="I1790" t="n">
        <v>24.20000076293945</v>
      </c>
      <c r="L1790" t="inlineStr">
        <is>
          <t>OK</t>
        </is>
      </c>
      <c r="M1790" t="n">
        <v>19.74</v>
      </c>
      <c r="N1790" t="n">
        <v>10.52</v>
      </c>
      <c r="O1790" t="n">
        <v>15.91</v>
      </c>
      <c r="P1790" t="n">
        <v>23.1</v>
      </c>
      <c r="Q1790" t="n">
        <v>11.3</v>
      </c>
      <c r="R1790" s="3" t="inlineStr">
        <is>
          <t>MISMATCH_NEEDS_CORRECTION</t>
        </is>
      </c>
      <c r="S1790" t="n">
        <v>15.91</v>
      </c>
      <c r="T1790" t="inlineStr">
        <is>
          <t>30-07-2026 09:42 IST</t>
        </is>
      </c>
    </row>
    <row r="1791">
      <c r="A1791" t="n">
        <v>262</v>
      </c>
      <c r="B1791" t="n">
        <v>513540</v>
      </c>
      <c r="C1791" t="inlineStr">
        <is>
          <t>Bandaram Pharma Packtech Ltd</t>
        </is>
      </c>
      <c r="D1791" t="n">
        <v>2018</v>
      </c>
      <c r="E1791" t="n">
        <v>25.51000022888184</v>
      </c>
      <c r="F1791" t="n">
        <v>1.37</v>
      </c>
      <c r="G1791" t="inlineStr">
        <is>
          <t>Consolidated first (v4) – needs verification for flagged rows</t>
        </is>
      </c>
      <c r="H1791" t="n">
        <v>39.04999923706055</v>
      </c>
      <c r="I1791" t="n">
        <v>28</v>
      </c>
      <c r="L1791" t="inlineStr">
        <is>
          <t>OK</t>
        </is>
      </c>
      <c r="M1791" t="n">
        <v>28.5</v>
      </c>
      <c r="N1791" t="n">
        <v>20.44</v>
      </c>
      <c r="O1791" t="n">
        <v>15.91</v>
      </c>
      <c r="P1791" t="n">
        <v>23.1</v>
      </c>
      <c r="Q1791" t="n">
        <v>11.3</v>
      </c>
      <c r="R1791" s="3" t="inlineStr">
        <is>
          <t>MISMATCH_NEEDS_CORRECTION</t>
        </is>
      </c>
      <c r="S1791" t="n">
        <v>15.91</v>
      </c>
      <c r="T1791" t="inlineStr">
        <is>
          <t>30-07-2026 09:42 IST</t>
        </is>
      </c>
    </row>
    <row r="1792">
      <c r="A1792" t="n">
        <v>262</v>
      </c>
      <c r="B1792" t="n">
        <v>513540</v>
      </c>
      <c r="C1792" t="inlineStr">
        <is>
          <t>Bandaram Pharma Packtech Ltd</t>
        </is>
      </c>
      <c r="D1792" t="n">
        <v>2019</v>
      </c>
      <c r="E1792" t="n">
        <v>25.51000022888184</v>
      </c>
      <c r="F1792" t="n">
        <v>0.18</v>
      </c>
      <c r="G1792" t="inlineStr">
        <is>
          <t>Consolidated first (v4) – needs verification for flagged rows</t>
        </is>
      </c>
      <c r="H1792" t="n">
        <v>31</v>
      </c>
      <c r="I1792" t="n">
        <v>26.60000038146973</v>
      </c>
      <c r="L1792" t="inlineStr">
        <is>
          <t>UNVERIFIED – tiny EPS &lt;0.5</t>
        </is>
      </c>
      <c r="M1792" t="n">
        <v>172.22</v>
      </c>
      <c r="N1792" t="n">
        <v>147.78</v>
      </c>
      <c r="O1792" t="n">
        <v>15.91</v>
      </c>
      <c r="P1792" t="n">
        <v>23.1</v>
      </c>
      <c r="Q1792" t="n">
        <v>11.3</v>
      </c>
      <c r="R1792" s="3" t="inlineStr">
        <is>
          <t>MISMATCH_NEEDS_CORRECTION</t>
        </is>
      </c>
      <c r="S1792" t="n">
        <v>15.91</v>
      </c>
      <c r="T1792" t="inlineStr">
        <is>
          <t>30-07-2026 09:42 IST</t>
        </is>
      </c>
    </row>
    <row r="1793">
      <c r="A1793" t="n">
        <v>262</v>
      </c>
      <c r="B1793" t="n">
        <v>513540</v>
      </c>
      <c r="C1793" t="inlineStr">
        <is>
          <t>Bandaram Pharma Packtech Ltd</t>
        </is>
      </c>
      <c r="D1793" t="n">
        <v>2020</v>
      </c>
      <c r="E1793" t="n">
        <v>25.51000022888184</v>
      </c>
      <c r="F1793" t="n">
        <v>-4.8</v>
      </c>
      <c r="G1793" t="inlineStr">
        <is>
          <t>Consolidated first (v4) – needs verification for flagged rows</t>
        </is>
      </c>
      <c r="H1793" t="n">
        <v>26.60000038146973</v>
      </c>
      <c r="I1793" t="n">
        <v>24.04999923706055</v>
      </c>
      <c r="L1793" t="inlineStr">
        <is>
          <t>UNVERIFIED – negative EPS</t>
        </is>
      </c>
      <c r="M1793" t="n">
        <v>-5.54</v>
      </c>
      <c r="N1793" t="n">
        <v>-5.01</v>
      </c>
      <c r="O1793" t="n">
        <v>15.91</v>
      </c>
      <c r="P1793" t="n">
        <v>23.1</v>
      </c>
      <c r="Q1793" t="n">
        <v>11.3</v>
      </c>
      <c r="R1793" s="3" t="inlineStr">
        <is>
          <t>MISMATCH_NEEDS_CORRECTION</t>
        </is>
      </c>
      <c r="S1793" t="n">
        <v>15.91</v>
      </c>
      <c r="T1793" t="inlineStr">
        <is>
          <t>30-07-2026 09:42 IST</t>
        </is>
      </c>
    </row>
    <row r="1794">
      <c r="A1794" t="n">
        <v>262</v>
      </c>
      <c r="B1794" t="n">
        <v>513540</v>
      </c>
      <c r="C1794" t="inlineStr">
        <is>
          <t>Bandaram Pharma Packtech Ltd</t>
        </is>
      </c>
      <c r="D1794" t="n">
        <v>2021</v>
      </c>
      <c r="E1794" t="n">
        <v>25.51000022888184</v>
      </c>
      <c r="F1794" t="n">
        <v>-1.33</v>
      </c>
      <c r="G1794" t="inlineStr">
        <is>
          <t>Consolidated first (v4) – needs verification for flagged rows</t>
        </is>
      </c>
      <c r="H1794" t="n">
        <v>24.04999923706055</v>
      </c>
      <c r="I1794" t="n">
        <v>8.609999656677246</v>
      </c>
      <c r="L1794" t="inlineStr">
        <is>
          <t>UNVERIFIED – negative EPS</t>
        </is>
      </c>
      <c r="M1794" t="n">
        <v>-18.08</v>
      </c>
      <c r="N1794" t="n">
        <v>-6.47</v>
      </c>
      <c r="O1794" t="n">
        <v>15.91</v>
      </c>
      <c r="P1794" t="n">
        <v>23.1</v>
      </c>
      <c r="Q1794" t="n">
        <v>11.3</v>
      </c>
      <c r="R1794" s="3" t="inlineStr">
        <is>
          <t>MISMATCH_NEEDS_CORRECTION</t>
        </is>
      </c>
      <c r="S1794" t="n">
        <v>15.91</v>
      </c>
      <c r="T1794" t="inlineStr">
        <is>
          <t>30-07-2026 09:42 IST</t>
        </is>
      </c>
    </row>
    <row r="1795">
      <c r="A1795" t="n">
        <v>262</v>
      </c>
      <c r="B1795" t="n">
        <v>513540</v>
      </c>
      <c r="C1795" t="inlineStr">
        <is>
          <t>Bandaram Pharma Packtech Ltd</t>
        </is>
      </c>
      <c r="D1795" t="n">
        <v>2022</v>
      </c>
      <c r="E1795" t="n">
        <v>25.51000022888184</v>
      </c>
      <c r="F1795" t="n">
        <v>1.01</v>
      </c>
      <c r="G1795" t="inlineStr">
        <is>
          <t>Consolidated first (v4) – needs verification for flagged rows</t>
        </is>
      </c>
      <c r="H1795" t="n">
        <v>13.56999969482422</v>
      </c>
      <c r="I1795" t="n">
        <v>7.25</v>
      </c>
      <c r="L1795" t="inlineStr">
        <is>
          <t>OK</t>
        </is>
      </c>
      <c r="M1795" t="n">
        <v>13.44</v>
      </c>
      <c r="N1795" t="n">
        <v>7.18</v>
      </c>
      <c r="O1795" t="n">
        <v>15.91</v>
      </c>
      <c r="P1795" t="n">
        <v>23.1</v>
      </c>
      <c r="Q1795" t="n">
        <v>11.3</v>
      </c>
      <c r="R1795" s="3" t="inlineStr">
        <is>
          <t>MISMATCH_NEEDS_CORRECTION</t>
        </is>
      </c>
      <c r="S1795" t="n">
        <v>15.91</v>
      </c>
      <c r="T1795" t="inlineStr">
        <is>
          <t>30-07-2026 09:42 IST</t>
        </is>
      </c>
    </row>
    <row r="1796">
      <c r="A1796" t="n">
        <v>262</v>
      </c>
      <c r="B1796" t="n">
        <v>513540</v>
      </c>
      <c r="C1796" t="inlineStr">
        <is>
          <t>Bandaram Pharma Packtech Ltd</t>
        </is>
      </c>
      <c r="D1796" t="n">
        <v>2023</v>
      </c>
      <c r="E1796" t="n">
        <v>25.51000022888184</v>
      </c>
      <c r="F1796" t="n">
        <v>1.11</v>
      </c>
      <c r="G1796" t="inlineStr">
        <is>
          <t>Consolidated first (v4) – needs verification for flagged rows</t>
        </is>
      </c>
      <c r="H1796" t="n">
        <v>25.40999984741211</v>
      </c>
      <c r="I1796" t="n">
        <v>9.050000190734863</v>
      </c>
      <c r="L1796" t="inlineStr">
        <is>
          <t>OK</t>
        </is>
      </c>
      <c r="M1796" t="n">
        <v>22.89</v>
      </c>
      <c r="N1796" t="n">
        <v>8.15</v>
      </c>
      <c r="O1796" t="n">
        <v>15.91</v>
      </c>
      <c r="P1796" t="n">
        <v>23.1</v>
      </c>
      <c r="Q1796" t="n">
        <v>11.3</v>
      </c>
      <c r="R1796" s="3" t="inlineStr">
        <is>
          <t>MISMATCH_NEEDS_CORRECTION</t>
        </is>
      </c>
      <c r="S1796" t="n">
        <v>15.91</v>
      </c>
      <c r="T1796" t="inlineStr">
        <is>
          <t>30-07-2026 09:42 IST</t>
        </is>
      </c>
    </row>
    <row r="1797">
      <c r="A1797" t="n">
        <v>262</v>
      </c>
      <c r="B1797" t="n">
        <v>513540</v>
      </c>
      <c r="C1797" t="inlineStr">
        <is>
          <t>Bandaram Pharma Packtech Ltd</t>
        </is>
      </c>
      <c r="D1797" t="n">
        <v>2024</v>
      </c>
      <c r="E1797" t="n">
        <v>25.51000022888184</v>
      </c>
      <c r="F1797" t="n">
        <v>0.55</v>
      </c>
      <c r="G1797" t="inlineStr">
        <is>
          <t>Consolidated first (v4) – needs verification for flagged rows</t>
        </is>
      </c>
      <c r="H1797" t="n">
        <v>23.10000038146973</v>
      </c>
      <c r="I1797" t="n">
        <v>11.30000019073486</v>
      </c>
      <c r="L1797" t="inlineStr">
        <is>
          <t>OK</t>
        </is>
      </c>
      <c r="M1797" t="n">
        <v>42</v>
      </c>
      <c r="N1797" t="n">
        <v>20.55</v>
      </c>
      <c r="O1797" t="n">
        <v>15.91</v>
      </c>
      <c r="P1797" t="n">
        <v>23.1</v>
      </c>
      <c r="Q1797" t="n">
        <v>11.3</v>
      </c>
      <c r="R1797" s="3" t="inlineStr">
        <is>
          <t>MISMATCH_NEEDS_CORRECTION</t>
        </is>
      </c>
      <c r="S1797" t="n">
        <v>15.91</v>
      </c>
      <c r="T1797" t="inlineStr">
        <is>
          <t>30-07-2026 09:42 IST</t>
        </is>
      </c>
    </row>
    <row r="1798">
      <c r="A1798" t="n">
        <v>262</v>
      </c>
      <c r="B1798" t="n">
        <v>513540</v>
      </c>
      <c r="C1798" t="inlineStr">
        <is>
          <t>Bandaram Pharma Packtech Ltd</t>
        </is>
      </c>
      <c r="D1798" t="n">
        <v>2025</v>
      </c>
      <c r="E1798" t="n">
        <v>25.51000022888184</v>
      </c>
      <c r="F1798" t="n">
        <v>0.2</v>
      </c>
      <c r="G1798" t="inlineStr">
        <is>
          <t>Consolidated first (v4) – needs verification for flagged rows</t>
        </is>
      </c>
      <c r="H1798" t="n">
        <v>45.70999908447266</v>
      </c>
      <c r="I1798" t="n">
        <v>12.3100004196167</v>
      </c>
      <c r="L1798" t="inlineStr">
        <is>
          <t>UNVERIFIED – tiny EPS &lt;0.5</t>
        </is>
      </c>
      <c r="M1798" t="n">
        <v>228.55</v>
      </c>
      <c r="N1798" t="n">
        <v>61.55</v>
      </c>
      <c r="O1798" t="n">
        <v>15.91</v>
      </c>
      <c r="P1798" t="n">
        <v>23.1</v>
      </c>
      <c r="Q1798" t="n">
        <v>11.3</v>
      </c>
      <c r="R1798" s="3" t="inlineStr">
        <is>
          <t>MISMATCH_NEEDS_CORRECTION</t>
        </is>
      </c>
      <c r="S1798" t="n">
        <v>15.91</v>
      </c>
      <c r="T1798" t="inlineStr">
        <is>
          <t>30-07-2026 09:42 IST</t>
        </is>
      </c>
    </row>
    <row r="1799">
      <c r="A1799" t="n">
        <v>262</v>
      </c>
      <c r="B1799" t="n">
        <v>513540</v>
      </c>
      <c r="C1799" t="inlineStr">
        <is>
          <t>Bandaram Pharma Packtech Ltd</t>
        </is>
      </c>
      <c r="D1799" t="n">
        <v>2026</v>
      </c>
      <c r="E1799" t="n">
        <v>25.51000022888184</v>
      </c>
      <c r="F1799" t="n">
        <v>0.12</v>
      </c>
      <c r="G1799" t="inlineStr">
        <is>
          <t>Consolidated first (v4) – needs verification for flagged rows</t>
        </is>
      </c>
      <c r="H1799" t="n">
        <v>41.36000061035156</v>
      </c>
      <c r="I1799" t="n">
        <v>17.80999946594238</v>
      </c>
      <c r="L1799" t="inlineStr">
        <is>
          <t>UNVERIFIED – tiny EPS &lt;0.5</t>
        </is>
      </c>
      <c r="M1799" t="n">
        <v>344.67</v>
      </c>
      <c r="N1799" t="n">
        <v>148.42</v>
      </c>
      <c r="O1799" t="n">
        <v>15.91</v>
      </c>
      <c r="P1799" t="n">
        <v>23.1</v>
      </c>
      <c r="Q1799" t="n">
        <v>11.3</v>
      </c>
      <c r="R1799" s="3" t="inlineStr">
        <is>
          <t>MISMATCH_NEEDS_CORRECTION</t>
        </is>
      </c>
      <c r="S1799" t="n">
        <v>15.91</v>
      </c>
      <c r="T1799" t="inlineStr">
        <is>
          <t>30-07-2026 09:42 IST</t>
        </is>
      </c>
    </row>
    <row r="1800">
      <c r="A1800" t="n">
        <v>263</v>
      </c>
      <c r="B1800" t="n">
        <v>513548</v>
      </c>
      <c r="C1800" t="inlineStr">
        <is>
          <t>Hind Aluminium Industries Ltd</t>
        </is>
      </c>
      <c r="D1800" t="n">
        <v>2015</v>
      </c>
      <c r="E1800" t="n">
        <v>180.8999938964844</v>
      </c>
      <c r="F1800" t="n">
        <v>1.56</v>
      </c>
      <c r="G1800" t="inlineStr">
        <is>
          <t>Consolidated first (v4) – needs verification for flagged rows</t>
        </is>
      </c>
      <c r="H1800" t="n">
        <v>21.10000038146973</v>
      </c>
      <c r="I1800" t="n">
        <v>12</v>
      </c>
      <c r="L1800" t="inlineStr">
        <is>
          <t>OK</t>
        </is>
      </c>
      <c r="M1800" t="n">
        <v>13.53</v>
      </c>
      <c r="N1800" t="n">
        <v>7.69</v>
      </c>
      <c r="O1800" t="n">
        <v>463.65</v>
      </c>
      <c r="P1800" t="n">
        <v>752.2</v>
      </c>
      <c r="Q1800" t="n">
        <v>242.3</v>
      </c>
      <c r="R1800" s="3" t="inlineStr">
        <is>
          <t>MISMATCH_NEEDS_CORRECTION</t>
        </is>
      </c>
      <c r="S1800" t="n">
        <v>463.65</v>
      </c>
      <c r="T1800" t="inlineStr">
        <is>
          <t>30-07-2026 09:42 IST</t>
        </is>
      </c>
    </row>
    <row r="1801">
      <c r="A1801" t="n">
        <v>263</v>
      </c>
      <c r="B1801" t="n">
        <v>513548</v>
      </c>
      <c r="C1801" t="inlineStr">
        <is>
          <t>Hind Aluminium Industries Ltd</t>
        </is>
      </c>
      <c r="D1801" t="n">
        <v>2016</v>
      </c>
      <c r="E1801" t="n">
        <v>180.8999938964844</v>
      </c>
      <c r="F1801" t="n">
        <v>2.5</v>
      </c>
      <c r="G1801" t="inlineStr">
        <is>
          <t>Consolidated first (v4) – needs verification for flagged rows</t>
        </is>
      </c>
      <c r="H1801" t="n">
        <v>12.60000038146973</v>
      </c>
      <c r="I1801" t="n">
        <v>11.15999984741211</v>
      </c>
      <c r="L1801" t="inlineStr">
        <is>
          <t>OK</t>
        </is>
      </c>
      <c r="M1801" t="n">
        <v>5.04</v>
      </c>
      <c r="N1801" t="n">
        <v>4.46</v>
      </c>
      <c r="O1801" t="n">
        <v>463.65</v>
      </c>
      <c r="P1801" t="n">
        <v>752.2</v>
      </c>
      <c r="Q1801" t="n">
        <v>242.3</v>
      </c>
      <c r="R1801" s="3" t="inlineStr">
        <is>
          <t>MISMATCH_NEEDS_CORRECTION</t>
        </is>
      </c>
      <c r="S1801" t="n">
        <v>463.65</v>
      </c>
      <c r="T1801" t="inlineStr">
        <is>
          <t>30-07-2026 09:42 IST</t>
        </is>
      </c>
    </row>
    <row r="1802">
      <c r="A1802" t="n">
        <v>263</v>
      </c>
      <c r="B1802" t="n">
        <v>513548</v>
      </c>
      <c r="C1802" t="inlineStr">
        <is>
          <t>Hind Aluminium Industries Ltd</t>
        </is>
      </c>
      <c r="D1802" t="n">
        <v>2017</v>
      </c>
      <c r="E1802" t="n">
        <v>180.8999938964844</v>
      </c>
      <c r="F1802" t="n">
        <v>4.08</v>
      </c>
      <c r="G1802" t="inlineStr">
        <is>
          <t>Consolidated first (v4) – needs verification for flagged rows</t>
        </is>
      </c>
      <c r="H1802" t="n">
        <v>63.59999847412109</v>
      </c>
      <c r="I1802" t="n">
        <v>11.15999984741211</v>
      </c>
      <c r="L1802" t="inlineStr">
        <is>
          <t>OK</t>
        </is>
      </c>
      <c r="M1802" t="n">
        <v>15.59</v>
      </c>
      <c r="N1802" t="n">
        <v>2.74</v>
      </c>
      <c r="O1802" t="n">
        <v>463.65</v>
      </c>
      <c r="P1802" t="n">
        <v>752.2</v>
      </c>
      <c r="Q1802" t="n">
        <v>242.3</v>
      </c>
      <c r="R1802" s="3" t="inlineStr">
        <is>
          <t>MISMATCH_NEEDS_CORRECTION</t>
        </is>
      </c>
      <c r="S1802" t="n">
        <v>463.65</v>
      </c>
      <c r="T1802" t="inlineStr">
        <is>
          <t>30-07-2026 09:42 IST</t>
        </is>
      </c>
    </row>
    <row r="1803">
      <c r="A1803" t="n">
        <v>263</v>
      </c>
      <c r="B1803" t="n">
        <v>513548</v>
      </c>
      <c r="C1803" t="inlineStr">
        <is>
          <t>Hind Aluminium Industries Ltd</t>
        </is>
      </c>
      <c r="D1803" t="n">
        <v>2018</v>
      </c>
      <c r="E1803" t="n">
        <v>180.8999938964844</v>
      </c>
      <c r="F1803" t="n">
        <v>8.1</v>
      </c>
      <c r="G1803" t="inlineStr">
        <is>
          <t>Consolidated first (v4) – needs verification for flagged rows</t>
        </is>
      </c>
      <c r="H1803" t="n">
        <v>98.5</v>
      </c>
      <c r="I1803" t="n">
        <v>52.34999847412109</v>
      </c>
      <c r="L1803" t="inlineStr">
        <is>
          <t>OK</t>
        </is>
      </c>
      <c r="M1803" t="n">
        <v>12.16</v>
      </c>
      <c r="N1803" t="n">
        <v>6.46</v>
      </c>
      <c r="O1803" t="n">
        <v>463.65</v>
      </c>
      <c r="P1803" t="n">
        <v>752.2</v>
      </c>
      <c r="Q1803" t="n">
        <v>242.3</v>
      </c>
      <c r="R1803" s="3" t="inlineStr">
        <is>
          <t>MISMATCH_NEEDS_CORRECTION</t>
        </is>
      </c>
      <c r="S1803" t="n">
        <v>463.65</v>
      </c>
      <c r="T1803" t="inlineStr">
        <is>
          <t>30-07-2026 09:42 IST</t>
        </is>
      </c>
    </row>
    <row r="1804">
      <c r="A1804" t="n">
        <v>263</v>
      </c>
      <c r="B1804" t="n">
        <v>513548</v>
      </c>
      <c r="C1804" t="inlineStr">
        <is>
          <t>Hind Aluminium Industries Ltd</t>
        </is>
      </c>
      <c r="D1804" t="n">
        <v>2019</v>
      </c>
      <c r="E1804" t="n">
        <v>180.8999938964844</v>
      </c>
      <c r="F1804" t="n">
        <v>13.34</v>
      </c>
      <c r="G1804" t="inlineStr">
        <is>
          <t>Consolidated first (v4) – needs verification for flagged rows</t>
        </is>
      </c>
      <c r="H1804" t="n">
        <v>72</v>
      </c>
      <c r="I1804" t="n">
        <v>44.25</v>
      </c>
      <c r="L1804" t="inlineStr">
        <is>
          <t>OK</t>
        </is>
      </c>
      <c r="M1804" t="n">
        <v>5.4</v>
      </c>
      <c r="N1804" t="n">
        <v>3.32</v>
      </c>
      <c r="O1804" t="n">
        <v>463.65</v>
      </c>
      <c r="P1804" t="n">
        <v>752.2</v>
      </c>
      <c r="Q1804" t="n">
        <v>242.3</v>
      </c>
      <c r="R1804" s="3" t="inlineStr">
        <is>
          <t>MISMATCH_NEEDS_CORRECTION</t>
        </is>
      </c>
      <c r="S1804" t="n">
        <v>463.65</v>
      </c>
      <c r="T1804" t="inlineStr">
        <is>
          <t>30-07-2026 09:42 IST</t>
        </is>
      </c>
    </row>
    <row r="1805">
      <c r="A1805" t="n">
        <v>263</v>
      </c>
      <c r="B1805" t="n">
        <v>513548</v>
      </c>
      <c r="C1805" t="inlineStr">
        <is>
          <t>Hind Aluminium Industries Ltd</t>
        </is>
      </c>
      <c r="D1805" t="n">
        <v>2020</v>
      </c>
      <c r="E1805" t="n">
        <v>180.8999938964844</v>
      </c>
      <c r="F1805" t="n">
        <v>7.07</v>
      </c>
      <c r="G1805" t="inlineStr">
        <is>
          <t>Consolidated first (v4) – needs verification for flagged rows</t>
        </is>
      </c>
      <c r="H1805" t="n">
        <v>46.09999847412109</v>
      </c>
      <c r="I1805" t="n">
        <v>23.75</v>
      </c>
      <c r="L1805" t="inlineStr">
        <is>
          <t>OK</t>
        </is>
      </c>
      <c r="M1805" t="n">
        <v>6.52</v>
      </c>
      <c r="N1805" t="n">
        <v>3.36</v>
      </c>
      <c r="O1805" t="n">
        <v>463.65</v>
      </c>
      <c r="P1805" t="n">
        <v>752.2</v>
      </c>
      <c r="Q1805" t="n">
        <v>242.3</v>
      </c>
      <c r="R1805" s="3" t="inlineStr">
        <is>
          <t>MISMATCH_NEEDS_CORRECTION</t>
        </is>
      </c>
      <c r="S1805" t="n">
        <v>463.65</v>
      </c>
      <c r="T1805" t="inlineStr">
        <is>
          <t>30-07-2026 09:42 IST</t>
        </is>
      </c>
    </row>
    <row r="1806">
      <c r="A1806" t="n">
        <v>263</v>
      </c>
      <c r="B1806" t="n">
        <v>513548</v>
      </c>
      <c r="C1806" t="inlineStr">
        <is>
          <t>Hind Aluminium Industries Ltd</t>
        </is>
      </c>
      <c r="D1806" t="n">
        <v>2021</v>
      </c>
      <c r="E1806" t="n">
        <v>180.8999938964844</v>
      </c>
      <c r="F1806" t="n">
        <v>6.8</v>
      </c>
      <c r="G1806" t="inlineStr">
        <is>
          <t>Consolidated first (v4) – needs verification for flagged rows</t>
        </is>
      </c>
      <c r="H1806" t="n">
        <v>92.65000152587891</v>
      </c>
      <c r="I1806" t="n">
        <v>45.5</v>
      </c>
      <c r="L1806" t="inlineStr">
        <is>
          <t>OK</t>
        </is>
      </c>
      <c r="M1806" t="n">
        <v>13.63</v>
      </c>
      <c r="N1806" t="n">
        <v>6.69</v>
      </c>
      <c r="O1806" t="n">
        <v>463.65</v>
      </c>
      <c r="P1806" t="n">
        <v>752.2</v>
      </c>
      <c r="Q1806" t="n">
        <v>242.3</v>
      </c>
      <c r="R1806" s="3" t="inlineStr">
        <is>
          <t>MISMATCH_NEEDS_CORRECTION</t>
        </is>
      </c>
      <c r="S1806" t="n">
        <v>463.65</v>
      </c>
      <c r="T1806" t="inlineStr">
        <is>
          <t>30-07-2026 09:42 IST</t>
        </is>
      </c>
    </row>
    <row r="1807">
      <c r="A1807" t="n">
        <v>263</v>
      </c>
      <c r="B1807" t="n">
        <v>513548</v>
      </c>
      <c r="C1807" t="inlineStr">
        <is>
          <t>Hind Aluminium Industries Ltd</t>
        </is>
      </c>
      <c r="D1807" t="n">
        <v>2022</v>
      </c>
      <c r="E1807" t="n">
        <v>180.8999938964844</v>
      </c>
      <c r="F1807" t="n">
        <v>5.95</v>
      </c>
      <c r="G1807" t="inlineStr">
        <is>
          <t>Consolidated first (v4) – needs verification for flagged rows</t>
        </is>
      </c>
      <c r="H1807" t="n">
        <v>78</v>
      </c>
      <c r="I1807" t="n">
        <v>59.95000076293945</v>
      </c>
      <c r="L1807" t="inlineStr">
        <is>
          <t>OK</t>
        </is>
      </c>
      <c r="M1807" t="n">
        <v>13.11</v>
      </c>
      <c r="N1807" t="n">
        <v>10.08</v>
      </c>
      <c r="O1807" t="n">
        <v>463.65</v>
      </c>
      <c r="P1807" t="n">
        <v>752.2</v>
      </c>
      <c r="Q1807" t="n">
        <v>242.3</v>
      </c>
      <c r="R1807" s="3" t="inlineStr">
        <is>
          <t>MISMATCH_NEEDS_CORRECTION</t>
        </is>
      </c>
      <c r="S1807" t="n">
        <v>463.65</v>
      </c>
      <c r="T1807" t="inlineStr">
        <is>
          <t>30-07-2026 09:42 IST</t>
        </is>
      </c>
    </row>
    <row r="1808">
      <c r="A1808" t="n">
        <v>263</v>
      </c>
      <c r="B1808" t="n">
        <v>513548</v>
      </c>
      <c r="C1808" t="inlineStr">
        <is>
          <t>Hind Aluminium Industries Ltd</t>
        </is>
      </c>
      <c r="D1808" t="n">
        <v>2023</v>
      </c>
      <c r="E1808" t="n">
        <v>180.8999938964844</v>
      </c>
      <c r="F1808" t="n">
        <v>7.86</v>
      </c>
      <c r="G1808" t="inlineStr">
        <is>
          <t>Consolidated first (v4) – needs verification for flagged rows</t>
        </is>
      </c>
      <c r="H1808" t="n">
        <v>296.8999938964844</v>
      </c>
      <c r="I1808" t="n">
        <v>55.95000076293945</v>
      </c>
      <c r="L1808" t="inlineStr">
        <is>
          <t>OK</t>
        </is>
      </c>
      <c r="M1808" t="n">
        <v>37.77</v>
      </c>
      <c r="N1808" t="n">
        <v>7.12</v>
      </c>
      <c r="O1808" t="n">
        <v>463.65</v>
      </c>
      <c r="P1808" t="n">
        <v>752.2</v>
      </c>
      <c r="Q1808" t="n">
        <v>242.3</v>
      </c>
      <c r="R1808" s="3" t="inlineStr">
        <is>
          <t>MISMATCH_NEEDS_CORRECTION</t>
        </is>
      </c>
      <c r="S1808" t="n">
        <v>463.65</v>
      </c>
      <c r="T1808" t="inlineStr">
        <is>
          <t>30-07-2026 09:42 IST</t>
        </is>
      </c>
    </row>
    <row r="1809">
      <c r="A1809" t="n">
        <v>263</v>
      </c>
      <c r="B1809" t="n">
        <v>513548</v>
      </c>
      <c r="C1809" t="inlineStr">
        <is>
          <t>Hind Aluminium Industries Ltd</t>
        </is>
      </c>
      <c r="D1809" t="n">
        <v>2024</v>
      </c>
      <c r="E1809" t="n">
        <v>180.8999938964844</v>
      </c>
      <c r="F1809" t="n">
        <v>27.52</v>
      </c>
      <c r="G1809" t="inlineStr">
        <is>
          <t>Consolidated first (v4) – needs verification for flagged rows</t>
        </is>
      </c>
      <c r="H1809" t="n">
        <v>752.2000122070312</v>
      </c>
      <c r="I1809" t="n">
        <v>242.3000030517578</v>
      </c>
      <c r="L1809" t="inlineStr">
        <is>
          <t>OK</t>
        </is>
      </c>
      <c r="M1809" t="n">
        <v>27.33</v>
      </c>
      <c r="N1809" t="n">
        <v>8.800000000000001</v>
      </c>
      <c r="O1809" t="n">
        <v>463.65</v>
      </c>
      <c r="P1809" t="n">
        <v>752.2</v>
      </c>
      <c r="Q1809" t="n">
        <v>242.3</v>
      </c>
      <c r="R1809" s="3" t="inlineStr">
        <is>
          <t>MISMATCH_NEEDS_CORRECTION</t>
        </is>
      </c>
      <c r="S1809" t="n">
        <v>463.65</v>
      </c>
      <c r="T1809" t="inlineStr">
        <is>
          <t>30-07-2026 09:42 IST</t>
        </is>
      </c>
    </row>
    <row r="1810">
      <c r="A1810" t="n">
        <v>263</v>
      </c>
      <c r="B1810" t="n">
        <v>513548</v>
      </c>
      <c r="C1810" t="inlineStr">
        <is>
          <t>Hind Aluminium Industries Ltd</t>
        </is>
      </c>
      <c r="D1810" t="n">
        <v>2025</v>
      </c>
      <c r="E1810" t="n">
        <v>180.8999938964844</v>
      </c>
      <c r="F1810" t="n">
        <v>14.95</v>
      </c>
      <c r="G1810" t="inlineStr">
        <is>
          <t>Consolidated first (v4) – needs verification for flagged rows</t>
        </is>
      </c>
      <c r="H1810" t="n">
        <v>382.8999938964844</v>
      </c>
      <c r="I1810" t="n">
        <v>165.75</v>
      </c>
      <c r="L1810" t="inlineStr">
        <is>
          <t>OK</t>
        </is>
      </c>
      <c r="M1810" t="n">
        <v>25.61</v>
      </c>
      <c r="N1810" t="n">
        <v>11.09</v>
      </c>
      <c r="O1810" t="n">
        <v>463.65</v>
      </c>
      <c r="P1810" t="n">
        <v>752.2</v>
      </c>
      <c r="Q1810" t="n">
        <v>242.3</v>
      </c>
      <c r="R1810" s="3" t="inlineStr">
        <is>
          <t>MISMATCH_NEEDS_CORRECTION</t>
        </is>
      </c>
      <c r="S1810" t="n">
        <v>463.65</v>
      </c>
      <c r="T1810" t="inlineStr">
        <is>
          <t>30-07-2026 09:42 IST</t>
        </is>
      </c>
    </row>
    <row r="1811">
      <c r="A1811" t="n">
        <v>263</v>
      </c>
      <c r="B1811" t="n">
        <v>513548</v>
      </c>
      <c r="C1811" t="inlineStr">
        <is>
          <t>Hind Aluminium Industries Ltd</t>
        </is>
      </c>
      <c r="D1811" t="n">
        <v>2026</v>
      </c>
      <c r="E1811" t="n">
        <v>180.8999938964844</v>
      </c>
      <c r="F1811" t="n">
        <v>12.21</v>
      </c>
      <c r="G1811" t="inlineStr">
        <is>
          <t>Consolidated first (v4) – needs verification for flagged rows</t>
        </is>
      </c>
      <c r="H1811" t="n">
        <v>210</v>
      </c>
      <c r="I1811" t="n">
        <v>125</v>
      </c>
      <c r="L1811" t="inlineStr">
        <is>
          <t>OK</t>
        </is>
      </c>
      <c r="M1811" t="n">
        <v>17.2</v>
      </c>
      <c r="N1811" t="n">
        <v>10.24</v>
      </c>
      <c r="O1811" t="n">
        <v>463.65</v>
      </c>
      <c r="P1811" t="n">
        <v>752.2</v>
      </c>
      <c r="Q1811" t="n">
        <v>242.3</v>
      </c>
      <c r="R1811" s="3" t="inlineStr">
        <is>
          <t>MISMATCH_NEEDS_CORRECTION</t>
        </is>
      </c>
      <c r="S1811" t="n">
        <v>463.65</v>
      </c>
      <c r="T1811" t="inlineStr">
        <is>
          <t>30-07-2026 09:42 IST</t>
        </is>
      </c>
    </row>
    <row r="1812">
      <c r="A1812" t="n">
        <v>264</v>
      </c>
      <c r="B1812" t="n">
        <v>513599</v>
      </c>
      <c r="C1812" t="inlineStr">
        <is>
          <t>Hindustan Copper Ltd</t>
        </is>
      </c>
      <c r="D1812" t="n">
        <v>2015</v>
      </c>
      <c r="E1812" t="n">
        <v>482.6499938964844</v>
      </c>
      <c r="G1812" t="inlineStr">
        <is>
          <t>Consolidated first (v4) – needs verification for flagged rows</t>
        </is>
      </c>
      <c r="H1812" t="n">
        <v>81.5</v>
      </c>
      <c r="I1812" t="n">
        <v>45</v>
      </c>
      <c r="L1812" t="inlineStr">
        <is>
          <t>INCOMPLETE</t>
        </is>
      </c>
      <c r="O1812" t="n">
        <v>484.05</v>
      </c>
      <c r="P1812" t="n">
        <v>759.2</v>
      </c>
      <c r="Q1812" t="n">
        <v>226.25</v>
      </c>
      <c r="R1812" s="2" t="inlineStr">
        <is>
          <t>VERIFIED_OK</t>
        </is>
      </c>
      <c r="S1812" t="n">
        <v>484.05</v>
      </c>
      <c r="T1812" t="inlineStr">
        <is>
          <t>30-07-2026 09:42 IST</t>
        </is>
      </c>
    </row>
    <row r="1813">
      <c r="A1813" t="n">
        <v>264</v>
      </c>
      <c r="B1813" t="n">
        <v>513599</v>
      </c>
      <c r="C1813" t="inlineStr">
        <is>
          <t>Hindustan Copper Ltd</t>
        </is>
      </c>
      <c r="D1813" t="n">
        <v>2016</v>
      </c>
      <c r="E1813" t="n">
        <v>482.6499938964844</v>
      </c>
      <c r="G1813" t="inlineStr">
        <is>
          <t>Consolidated first (v4) – needs verification for flagged rows</t>
        </is>
      </c>
      <c r="H1813" t="n">
        <v>73.59999847412109</v>
      </c>
      <c r="I1813" t="n">
        <v>42.29999923706055</v>
      </c>
      <c r="L1813" t="inlineStr">
        <is>
          <t>INCOMPLETE</t>
        </is>
      </c>
      <c r="O1813" t="n">
        <v>484.05</v>
      </c>
      <c r="P1813" t="n">
        <v>759.2</v>
      </c>
      <c r="Q1813" t="n">
        <v>226.25</v>
      </c>
      <c r="R1813" s="2" t="inlineStr">
        <is>
          <t>VERIFIED_OK</t>
        </is>
      </c>
      <c r="S1813" t="n">
        <v>484.05</v>
      </c>
      <c r="T1813" t="inlineStr">
        <is>
          <t>30-07-2026 09:42 IST</t>
        </is>
      </c>
    </row>
    <row r="1814">
      <c r="A1814" t="n">
        <v>264</v>
      </c>
      <c r="B1814" t="n">
        <v>513599</v>
      </c>
      <c r="C1814" t="inlineStr">
        <is>
          <t>Hindustan Copper Ltd</t>
        </is>
      </c>
      <c r="D1814" t="n">
        <v>2017</v>
      </c>
      <c r="E1814" t="n">
        <v>482.6499938964844</v>
      </c>
      <c r="G1814" t="inlineStr">
        <is>
          <t>Consolidated first (v4) – needs verification for flagged rows</t>
        </is>
      </c>
      <c r="H1814" t="n">
        <v>110.5500030517578</v>
      </c>
      <c r="I1814" t="n">
        <v>55.45000076293945</v>
      </c>
      <c r="L1814" t="inlineStr">
        <is>
          <t>INCOMPLETE</t>
        </is>
      </c>
      <c r="O1814" t="n">
        <v>484.05</v>
      </c>
      <c r="P1814" t="n">
        <v>759.2</v>
      </c>
      <c r="Q1814" t="n">
        <v>226.25</v>
      </c>
      <c r="R1814" s="2" t="inlineStr">
        <is>
          <t>VERIFIED_OK</t>
        </is>
      </c>
      <c r="S1814" t="n">
        <v>484.05</v>
      </c>
      <c r="T1814" t="inlineStr">
        <is>
          <t>30-07-2026 09:42 IST</t>
        </is>
      </c>
    </row>
    <row r="1815">
      <c r="A1815" t="n">
        <v>264</v>
      </c>
      <c r="B1815" t="n">
        <v>513599</v>
      </c>
      <c r="C1815" t="inlineStr">
        <is>
          <t>Hindustan Copper Ltd</t>
        </is>
      </c>
      <c r="D1815" t="n">
        <v>2018</v>
      </c>
      <c r="E1815" t="n">
        <v>482.6499938964844</v>
      </c>
      <c r="G1815" t="inlineStr">
        <is>
          <t>Consolidated first (v4) – needs verification for flagged rows</t>
        </is>
      </c>
      <c r="H1815" t="n">
        <v>102.6999969482422</v>
      </c>
      <c r="I1815" t="n">
        <v>44.90000152587891</v>
      </c>
      <c r="L1815" t="inlineStr">
        <is>
          <t>INCOMPLETE</t>
        </is>
      </c>
      <c r="O1815" t="n">
        <v>484.05</v>
      </c>
      <c r="P1815" t="n">
        <v>759.2</v>
      </c>
      <c r="Q1815" t="n">
        <v>226.25</v>
      </c>
      <c r="R1815" s="2" t="inlineStr">
        <is>
          <t>VERIFIED_OK</t>
        </is>
      </c>
      <c r="S1815" t="n">
        <v>484.05</v>
      </c>
      <c r="T1815" t="inlineStr">
        <is>
          <t>30-07-2026 09:42 IST</t>
        </is>
      </c>
    </row>
    <row r="1816">
      <c r="A1816" t="n">
        <v>264</v>
      </c>
      <c r="B1816" t="n">
        <v>513599</v>
      </c>
      <c r="C1816" t="inlineStr">
        <is>
          <t>Hindustan Copper Ltd</t>
        </is>
      </c>
      <c r="D1816" t="n">
        <v>2019</v>
      </c>
      <c r="E1816" t="n">
        <v>482.6499938964844</v>
      </c>
      <c r="F1816" t="n">
        <v>1.57</v>
      </c>
      <c r="G1816" t="inlineStr">
        <is>
          <t>Consolidated first (v4) – needs verification for flagged rows</t>
        </is>
      </c>
      <c r="H1816" t="n">
        <v>52.70000076293945</v>
      </c>
      <c r="I1816" t="n">
        <v>27.89999961853027</v>
      </c>
      <c r="L1816" t="inlineStr">
        <is>
          <t>OK</t>
        </is>
      </c>
      <c r="M1816" t="n">
        <v>33.57</v>
      </c>
      <c r="N1816" t="n">
        <v>17.77</v>
      </c>
      <c r="O1816" t="n">
        <v>484.05</v>
      </c>
      <c r="P1816" t="n">
        <v>759.2</v>
      </c>
      <c r="Q1816" t="n">
        <v>226.25</v>
      </c>
      <c r="R1816" s="2" t="inlineStr">
        <is>
          <t>VERIFIED_OK</t>
        </is>
      </c>
      <c r="S1816" t="n">
        <v>484.05</v>
      </c>
      <c r="T1816" t="inlineStr">
        <is>
          <t>30-07-2026 09:42 IST</t>
        </is>
      </c>
    </row>
    <row r="1817">
      <c r="A1817" t="n">
        <v>264</v>
      </c>
      <c r="B1817" t="n">
        <v>513599</v>
      </c>
      <c r="C1817" t="inlineStr">
        <is>
          <t>Hindustan Copper Ltd</t>
        </is>
      </c>
      <c r="D1817" t="n">
        <v>2020</v>
      </c>
      <c r="E1817" t="n">
        <v>482.6499938964844</v>
      </c>
      <c r="F1817" t="n">
        <v>-6.16</v>
      </c>
      <c r="G1817" t="inlineStr">
        <is>
          <t>Consolidated first (v4) – needs verification for flagged rows</t>
        </is>
      </c>
      <c r="H1817" t="n">
        <v>67.30000305175781</v>
      </c>
      <c r="I1817" t="n">
        <v>18.29999923706055</v>
      </c>
      <c r="L1817" t="inlineStr">
        <is>
          <t>UNVERIFIED – negative EPS</t>
        </is>
      </c>
      <c r="M1817" t="n">
        <v>-10.93</v>
      </c>
      <c r="N1817" t="n">
        <v>-2.97</v>
      </c>
      <c r="O1817" t="n">
        <v>484.05</v>
      </c>
      <c r="P1817" t="n">
        <v>759.2</v>
      </c>
      <c r="Q1817" t="n">
        <v>226.25</v>
      </c>
      <c r="R1817" s="2" t="inlineStr">
        <is>
          <t>VERIFIED_OK</t>
        </is>
      </c>
      <c r="S1817" t="n">
        <v>484.05</v>
      </c>
      <c r="T1817" t="inlineStr">
        <is>
          <t>30-07-2026 09:42 IST</t>
        </is>
      </c>
    </row>
    <row r="1818">
      <c r="A1818" t="n">
        <v>264</v>
      </c>
      <c r="B1818" t="n">
        <v>513599</v>
      </c>
      <c r="C1818" t="inlineStr">
        <is>
          <t>Hindustan Copper Ltd</t>
        </is>
      </c>
      <c r="D1818" t="n">
        <v>2021</v>
      </c>
      <c r="E1818" t="n">
        <v>482.6499938964844</v>
      </c>
      <c r="F1818" t="n">
        <v>1.19</v>
      </c>
      <c r="G1818" t="inlineStr">
        <is>
          <t>Consolidated first (v4) – needs verification for flagged rows</t>
        </is>
      </c>
      <c r="H1818" t="n">
        <v>196.8999938964844</v>
      </c>
      <c r="I1818" t="n">
        <v>53.59999847412109</v>
      </c>
      <c r="L1818" t="inlineStr">
        <is>
          <t>OK</t>
        </is>
      </c>
      <c r="M1818" t="n">
        <v>165.46</v>
      </c>
      <c r="N1818" t="n">
        <v>45.04</v>
      </c>
      <c r="O1818" t="n">
        <v>484.05</v>
      </c>
      <c r="P1818" t="n">
        <v>759.2</v>
      </c>
      <c r="Q1818" t="n">
        <v>226.25</v>
      </c>
      <c r="R1818" s="2" t="inlineStr">
        <is>
          <t>VERIFIED_OK</t>
        </is>
      </c>
      <c r="S1818" t="n">
        <v>484.05</v>
      </c>
      <c r="T1818" t="inlineStr">
        <is>
          <t>30-07-2026 09:42 IST</t>
        </is>
      </c>
    </row>
    <row r="1819">
      <c r="A1819" t="n">
        <v>264</v>
      </c>
      <c r="B1819" t="n">
        <v>513599</v>
      </c>
      <c r="C1819" t="inlineStr">
        <is>
          <t>Hindustan Copper Ltd</t>
        </is>
      </c>
      <c r="D1819" t="n">
        <v>2022</v>
      </c>
      <c r="E1819" t="n">
        <v>482.6499938964844</v>
      </c>
      <c r="F1819" t="n">
        <v>3.87</v>
      </c>
      <c r="G1819" t="inlineStr">
        <is>
          <t>Consolidated first (v4) – needs verification for flagged rows</t>
        </is>
      </c>
      <c r="H1819" t="n">
        <v>146.3500061035156</v>
      </c>
      <c r="I1819" t="n">
        <v>82.65000152587891</v>
      </c>
      <c r="L1819" t="inlineStr">
        <is>
          <t>OK</t>
        </is>
      </c>
      <c r="M1819" t="n">
        <v>37.82</v>
      </c>
      <c r="N1819" t="n">
        <v>21.36</v>
      </c>
      <c r="O1819" t="n">
        <v>484.05</v>
      </c>
      <c r="P1819" t="n">
        <v>759.2</v>
      </c>
      <c r="Q1819" t="n">
        <v>226.25</v>
      </c>
      <c r="R1819" s="2" t="inlineStr">
        <is>
          <t>VERIFIED_OK</t>
        </is>
      </c>
      <c r="S1819" t="n">
        <v>484.05</v>
      </c>
      <c r="T1819" t="inlineStr">
        <is>
          <t>30-07-2026 09:42 IST</t>
        </is>
      </c>
    </row>
    <row r="1820">
      <c r="A1820" t="n">
        <v>264</v>
      </c>
      <c r="B1820" t="n">
        <v>513599</v>
      </c>
      <c r="C1820" t="inlineStr">
        <is>
          <t>Hindustan Copper Ltd</t>
        </is>
      </c>
      <c r="D1820" t="n">
        <v>2023</v>
      </c>
      <c r="E1820" t="n">
        <v>482.6499938964844</v>
      </c>
      <c r="F1820" t="n">
        <v>3.06</v>
      </c>
      <c r="G1820" t="inlineStr">
        <is>
          <t>Consolidated first (v4) – needs verification for flagged rows</t>
        </is>
      </c>
      <c r="H1820" t="n">
        <v>277.8999938964844</v>
      </c>
      <c r="I1820" t="n">
        <v>94</v>
      </c>
      <c r="L1820" t="inlineStr">
        <is>
          <t>OK</t>
        </is>
      </c>
      <c r="M1820" t="n">
        <v>90.81999999999999</v>
      </c>
      <c r="N1820" t="n">
        <v>30.72</v>
      </c>
      <c r="O1820" t="n">
        <v>484.05</v>
      </c>
      <c r="P1820" t="n">
        <v>759.2</v>
      </c>
      <c r="Q1820" t="n">
        <v>226.25</v>
      </c>
      <c r="R1820" s="2" t="inlineStr">
        <is>
          <t>VERIFIED_OK</t>
        </is>
      </c>
      <c r="S1820" t="n">
        <v>484.05</v>
      </c>
      <c r="T1820" t="inlineStr">
        <is>
          <t>30-07-2026 09:42 IST</t>
        </is>
      </c>
    </row>
    <row r="1821">
      <c r="A1821" t="n">
        <v>264</v>
      </c>
      <c r="B1821" t="n">
        <v>513599</v>
      </c>
      <c r="C1821" t="inlineStr">
        <is>
          <t>Hindustan Copper Ltd</t>
        </is>
      </c>
      <c r="D1821" t="n">
        <v>2024</v>
      </c>
      <c r="E1821" t="n">
        <v>482.6499938964844</v>
      </c>
      <c r="F1821" t="n">
        <v>3.05</v>
      </c>
      <c r="G1821" t="inlineStr">
        <is>
          <t>Consolidated first (v4) – needs verification for flagged rows</t>
        </is>
      </c>
      <c r="H1821" t="n">
        <v>415.6000061035156</v>
      </c>
      <c r="I1821" t="n">
        <v>231.1000061035156</v>
      </c>
      <c r="L1821" t="inlineStr">
        <is>
          <t>OK</t>
        </is>
      </c>
      <c r="M1821" t="n">
        <v>136.26</v>
      </c>
      <c r="N1821" t="n">
        <v>75.77</v>
      </c>
      <c r="O1821" t="n">
        <v>484.05</v>
      </c>
      <c r="P1821" t="n">
        <v>759.2</v>
      </c>
      <c r="Q1821" t="n">
        <v>226.25</v>
      </c>
      <c r="R1821" s="2" t="inlineStr">
        <is>
          <t>VERIFIED_OK</t>
        </is>
      </c>
      <c r="S1821" t="n">
        <v>484.05</v>
      </c>
      <c r="T1821" t="inlineStr">
        <is>
          <t>30-07-2026 09:42 IST</t>
        </is>
      </c>
    </row>
    <row r="1822">
      <c r="A1822" t="n">
        <v>264</v>
      </c>
      <c r="B1822" t="n">
        <v>513599</v>
      </c>
      <c r="C1822" t="inlineStr">
        <is>
          <t>Hindustan Copper Ltd</t>
        </is>
      </c>
      <c r="D1822" t="n">
        <v>2025</v>
      </c>
      <c r="E1822" t="n">
        <v>482.6499938964844</v>
      </c>
      <c r="F1822" t="n">
        <v>4.81</v>
      </c>
      <c r="G1822" t="inlineStr">
        <is>
          <t>Consolidated first (v4) – needs verification for flagged rows</t>
        </is>
      </c>
      <c r="H1822" t="n">
        <v>545.9500122070312</v>
      </c>
      <c r="I1822" t="n">
        <v>183.8999938964844</v>
      </c>
      <c r="L1822" t="inlineStr">
        <is>
          <t>OK</t>
        </is>
      </c>
      <c r="M1822" t="n">
        <v>113.5</v>
      </c>
      <c r="N1822" t="n">
        <v>38.23</v>
      </c>
      <c r="O1822" t="n">
        <v>484.05</v>
      </c>
      <c r="P1822" t="n">
        <v>759.2</v>
      </c>
      <c r="Q1822" t="n">
        <v>226.25</v>
      </c>
      <c r="R1822" s="2" t="inlineStr">
        <is>
          <t>VERIFIED_OK</t>
        </is>
      </c>
      <c r="S1822" t="n">
        <v>484.05</v>
      </c>
      <c r="T1822" t="inlineStr">
        <is>
          <t>30-07-2026 09:42 IST</t>
        </is>
      </c>
    </row>
    <row r="1823">
      <c r="A1823" t="n">
        <v>264</v>
      </c>
      <c r="B1823" t="n">
        <v>513599</v>
      </c>
      <c r="C1823" t="inlineStr">
        <is>
          <t>Hindustan Copper Ltd</t>
        </is>
      </c>
      <c r="D1823" t="n">
        <v>2026</v>
      </c>
      <c r="E1823" t="n">
        <v>482.6499938964844</v>
      </c>
      <c r="F1823" t="n">
        <v>9.5</v>
      </c>
      <c r="G1823" t="inlineStr">
        <is>
          <t>Consolidated first (v4) – needs verification for flagged rows</t>
        </is>
      </c>
      <c r="H1823" t="n">
        <v>759.2000122070312</v>
      </c>
      <c r="I1823" t="n">
        <v>446.6000061035156</v>
      </c>
      <c r="L1823" t="inlineStr">
        <is>
          <t>OK</t>
        </is>
      </c>
      <c r="M1823" t="n">
        <v>79.92</v>
      </c>
      <c r="N1823" t="n">
        <v>47.01</v>
      </c>
      <c r="O1823" t="n">
        <v>484.05</v>
      </c>
      <c r="P1823" t="n">
        <v>759.2</v>
      </c>
      <c r="Q1823" t="n">
        <v>226.25</v>
      </c>
      <c r="R1823" s="2" t="inlineStr">
        <is>
          <t>VERIFIED_OK</t>
        </is>
      </c>
      <c r="S1823" t="n">
        <v>484.05</v>
      </c>
      <c r="T1823" t="inlineStr">
        <is>
          <t>30-07-2026 09:42 IST</t>
        </is>
      </c>
    </row>
    <row r="1824">
      <c r="A1824" t="n">
        <v>265</v>
      </c>
      <c r="B1824" t="n">
        <v>514010</v>
      </c>
      <c r="C1824" t="inlineStr">
        <is>
          <t>Hindusthan Udyog Ltd</t>
        </is>
      </c>
      <c r="D1824" t="n">
        <v>2015</v>
      </c>
      <c r="E1824" t="n">
        <v>17.88999938964844</v>
      </c>
      <c r="F1824" t="n">
        <v>-0.14</v>
      </c>
      <c r="G1824" t="inlineStr">
        <is>
          <t>Consolidated first (v4) – needs verification for flagged rows</t>
        </is>
      </c>
      <c r="H1824" t="n">
        <v>63</v>
      </c>
      <c r="I1824" t="n">
        <v>5.710000038146973</v>
      </c>
      <c r="L1824" t="inlineStr">
        <is>
          <t>UNVERIFIED – negative EPS</t>
        </is>
      </c>
      <c r="M1824" t="n">
        <v>-450</v>
      </c>
      <c r="N1824" t="n">
        <v>-40.79</v>
      </c>
      <c r="O1824" t="n">
        <v>69.59999999999999</v>
      </c>
      <c r="P1824" t="n">
        <v>82.64</v>
      </c>
      <c r="Q1824" t="n">
        <v>36.66</v>
      </c>
      <c r="R1824" s="3" t="inlineStr">
        <is>
          <t>MISMATCH_NEEDS_CORRECTION</t>
        </is>
      </c>
      <c r="S1824" t="n">
        <v>69.59999999999999</v>
      </c>
      <c r="T1824" t="inlineStr">
        <is>
          <t>30-07-2026 09:42 IST</t>
        </is>
      </c>
    </row>
    <row r="1825">
      <c r="A1825" t="n">
        <v>265</v>
      </c>
      <c r="B1825" t="n">
        <v>514010</v>
      </c>
      <c r="C1825" t="inlineStr">
        <is>
          <t>Hindusthan Udyog Ltd</t>
        </is>
      </c>
      <c r="D1825" t="n">
        <v>2016</v>
      </c>
      <c r="E1825" t="n">
        <v>17.88999938964844</v>
      </c>
      <c r="F1825" t="n">
        <v>0.02</v>
      </c>
      <c r="G1825" t="inlineStr">
        <is>
          <t>Consolidated first (v4) – needs verification for flagged rows</t>
        </is>
      </c>
      <c r="H1825" t="n">
        <v>72.90000152587891</v>
      </c>
      <c r="I1825" t="n">
        <v>10.94999980926514</v>
      </c>
      <c r="L1825" t="inlineStr">
        <is>
          <t>UNVERIFIED – tiny EPS &lt;0.5</t>
        </is>
      </c>
      <c r="M1825" t="n">
        <v>3645</v>
      </c>
      <c r="N1825" t="n">
        <v>547.5</v>
      </c>
      <c r="O1825" t="n">
        <v>69.59999999999999</v>
      </c>
      <c r="P1825" t="n">
        <v>82.64</v>
      </c>
      <c r="Q1825" t="n">
        <v>36.66</v>
      </c>
      <c r="R1825" s="3" t="inlineStr">
        <is>
          <t>MISMATCH_NEEDS_CORRECTION</t>
        </is>
      </c>
      <c r="S1825" t="n">
        <v>69.59999999999999</v>
      </c>
      <c r="T1825" t="inlineStr">
        <is>
          <t>30-07-2026 09:42 IST</t>
        </is>
      </c>
    </row>
    <row r="1826">
      <c r="A1826" t="n">
        <v>265</v>
      </c>
      <c r="B1826" t="n">
        <v>514010</v>
      </c>
      <c r="C1826" t="inlineStr">
        <is>
          <t>Hindusthan Udyog Ltd</t>
        </is>
      </c>
      <c r="D1826" t="n">
        <v>2017</v>
      </c>
      <c r="E1826" t="n">
        <v>17.88999938964844</v>
      </c>
      <c r="F1826" t="n">
        <v>-0.19</v>
      </c>
      <c r="G1826" t="inlineStr">
        <is>
          <t>Consolidated first (v4) – needs verification for flagged rows</t>
        </is>
      </c>
      <c r="H1826" t="n">
        <v>13</v>
      </c>
      <c r="I1826" t="n">
        <v>4.619999885559082</v>
      </c>
      <c r="L1826" t="inlineStr">
        <is>
          <t>UNVERIFIED – negative EPS</t>
        </is>
      </c>
      <c r="M1826" t="n">
        <v>-68.42</v>
      </c>
      <c r="N1826" t="n">
        <v>-24.32</v>
      </c>
      <c r="O1826" t="n">
        <v>69.59999999999999</v>
      </c>
      <c r="P1826" t="n">
        <v>82.64</v>
      </c>
      <c r="Q1826" t="n">
        <v>36.66</v>
      </c>
      <c r="R1826" s="3" t="inlineStr">
        <is>
          <t>MISMATCH_NEEDS_CORRECTION</t>
        </is>
      </c>
      <c r="S1826" t="n">
        <v>69.59999999999999</v>
      </c>
      <c r="T1826" t="inlineStr">
        <is>
          <t>30-07-2026 09:42 IST</t>
        </is>
      </c>
    </row>
    <row r="1827">
      <c r="A1827" t="n">
        <v>265</v>
      </c>
      <c r="B1827" t="n">
        <v>514010</v>
      </c>
      <c r="C1827" t="inlineStr">
        <is>
          <t>Hindusthan Udyog Ltd</t>
        </is>
      </c>
      <c r="D1827" t="n">
        <v>2018</v>
      </c>
      <c r="E1827" t="n">
        <v>17.88999938964844</v>
      </c>
      <c r="F1827" t="n">
        <v>-0.08</v>
      </c>
      <c r="G1827" t="inlineStr">
        <is>
          <t>Consolidated first (v4) – needs verification for flagged rows</t>
        </is>
      </c>
      <c r="H1827" t="n">
        <v>9.399999618530273</v>
      </c>
      <c r="I1827" t="n">
        <v>2.470000028610229</v>
      </c>
      <c r="L1827" t="inlineStr">
        <is>
          <t>UNVERIFIED – negative EPS</t>
        </is>
      </c>
      <c r="M1827" t="n">
        <v>-117.5</v>
      </c>
      <c r="N1827" t="n">
        <v>-30.88</v>
      </c>
      <c r="O1827" t="n">
        <v>69.59999999999999</v>
      </c>
      <c r="P1827" t="n">
        <v>82.64</v>
      </c>
      <c r="Q1827" t="n">
        <v>36.66</v>
      </c>
      <c r="R1827" s="3" t="inlineStr">
        <is>
          <t>MISMATCH_NEEDS_CORRECTION</t>
        </is>
      </c>
      <c r="S1827" t="n">
        <v>69.59999999999999</v>
      </c>
      <c r="T1827" t="inlineStr">
        <is>
          <t>30-07-2026 09:42 IST</t>
        </is>
      </c>
    </row>
    <row r="1828">
      <c r="A1828" t="n">
        <v>265</v>
      </c>
      <c r="B1828" t="n">
        <v>514010</v>
      </c>
      <c r="C1828" t="inlineStr">
        <is>
          <t>Hindusthan Udyog Ltd</t>
        </is>
      </c>
      <c r="D1828" t="n">
        <v>2019</v>
      </c>
      <c r="E1828" t="n">
        <v>17.88999938964844</v>
      </c>
      <c r="F1828" t="n">
        <v>0.05</v>
      </c>
      <c r="G1828" t="inlineStr">
        <is>
          <t>Consolidated first (v4) – needs verification for flagged rows</t>
        </is>
      </c>
      <c r="H1828" t="n">
        <v>3</v>
      </c>
      <c r="L1828" t="inlineStr">
        <is>
          <t>UNVERIFIED – tiny EPS &lt;0.5</t>
        </is>
      </c>
      <c r="M1828" t="n">
        <v>60</v>
      </c>
      <c r="O1828" t="n">
        <v>69.59999999999999</v>
      </c>
      <c r="P1828" t="n">
        <v>82.64</v>
      </c>
      <c r="Q1828" t="n">
        <v>36.66</v>
      </c>
      <c r="R1828" s="3" t="inlineStr">
        <is>
          <t>MISMATCH_NEEDS_CORRECTION</t>
        </is>
      </c>
      <c r="S1828" t="n">
        <v>69.59999999999999</v>
      </c>
      <c r="T1828" t="inlineStr">
        <is>
          <t>30-07-2026 09:42 IST</t>
        </is>
      </c>
    </row>
    <row r="1829">
      <c r="A1829" t="n">
        <v>265</v>
      </c>
      <c r="B1829" t="n">
        <v>514010</v>
      </c>
      <c r="C1829" t="inlineStr">
        <is>
          <t>Hindusthan Udyog Ltd</t>
        </is>
      </c>
      <c r="D1829" t="n">
        <v>2020</v>
      </c>
      <c r="E1829" t="n">
        <v>17.88999938964844</v>
      </c>
      <c r="F1829" t="n">
        <v>-0.27</v>
      </c>
      <c r="G1829" t="inlineStr">
        <is>
          <t>Consolidated first (v4) – needs verification for flagged rows</t>
        </is>
      </c>
      <c r="H1829" t="n">
        <v>1.929999947547913</v>
      </c>
      <c r="L1829" t="inlineStr">
        <is>
          <t>UNVERIFIED – negative EPS</t>
        </is>
      </c>
      <c r="M1829" t="n">
        <v>-7.15</v>
      </c>
      <c r="O1829" t="n">
        <v>69.59999999999999</v>
      </c>
      <c r="P1829" t="n">
        <v>82.64</v>
      </c>
      <c r="Q1829" t="n">
        <v>36.66</v>
      </c>
      <c r="R1829" s="3" t="inlineStr">
        <is>
          <t>MISMATCH_NEEDS_CORRECTION</t>
        </is>
      </c>
      <c r="S1829" t="n">
        <v>69.59999999999999</v>
      </c>
      <c r="T1829" t="inlineStr">
        <is>
          <t>30-07-2026 09:42 IST</t>
        </is>
      </c>
    </row>
    <row r="1830">
      <c r="A1830" t="n">
        <v>265</v>
      </c>
      <c r="B1830" t="n">
        <v>514010</v>
      </c>
      <c r="C1830" t="inlineStr">
        <is>
          <t>Hindusthan Udyog Ltd</t>
        </is>
      </c>
      <c r="D1830" t="n">
        <v>2021</v>
      </c>
      <c r="E1830" t="n">
        <v>17.88999938964844</v>
      </c>
      <c r="F1830" t="n">
        <v>-0.58</v>
      </c>
      <c r="G1830" t="inlineStr">
        <is>
          <t>Consolidated first (v4) – needs verification for flagged rows</t>
        </is>
      </c>
      <c r="H1830" t="n">
        <v>6.71999979019165</v>
      </c>
      <c r="I1830" t="n">
        <v>1.269999980926514</v>
      </c>
      <c r="L1830" t="inlineStr">
        <is>
          <t>UNVERIFIED – negative EPS</t>
        </is>
      </c>
      <c r="M1830" t="n">
        <v>-11.59</v>
      </c>
      <c r="N1830" t="n">
        <v>-2.19</v>
      </c>
      <c r="O1830" t="n">
        <v>69.59999999999999</v>
      </c>
      <c r="P1830" t="n">
        <v>82.64</v>
      </c>
      <c r="Q1830" t="n">
        <v>36.66</v>
      </c>
      <c r="R1830" s="3" t="inlineStr">
        <is>
          <t>MISMATCH_NEEDS_CORRECTION</t>
        </is>
      </c>
      <c r="S1830" t="n">
        <v>69.59999999999999</v>
      </c>
      <c r="T1830" t="inlineStr">
        <is>
          <t>30-07-2026 09:42 IST</t>
        </is>
      </c>
    </row>
    <row r="1831">
      <c r="A1831" t="n">
        <v>265</v>
      </c>
      <c r="B1831" t="n">
        <v>514010</v>
      </c>
      <c r="C1831" t="inlineStr">
        <is>
          <t>Hindusthan Udyog Ltd</t>
        </is>
      </c>
      <c r="D1831" t="n">
        <v>2022</v>
      </c>
      <c r="E1831" t="n">
        <v>17.88999938964844</v>
      </c>
      <c r="F1831" t="n">
        <v>-0.8</v>
      </c>
      <c r="G1831" t="inlineStr">
        <is>
          <t>Consolidated first (v4) – needs verification for flagged rows</t>
        </is>
      </c>
      <c r="H1831" t="n">
        <v>10.36999988555908</v>
      </c>
      <c r="I1831" t="n">
        <v>4.119999885559082</v>
      </c>
      <c r="L1831" t="inlineStr">
        <is>
          <t>UNVERIFIED – negative EPS</t>
        </is>
      </c>
      <c r="M1831" t="n">
        <v>-12.96</v>
      </c>
      <c r="N1831" t="n">
        <v>-5.15</v>
      </c>
      <c r="O1831" t="n">
        <v>69.59999999999999</v>
      </c>
      <c r="P1831" t="n">
        <v>82.64</v>
      </c>
      <c r="Q1831" t="n">
        <v>36.66</v>
      </c>
      <c r="R1831" s="3" t="inlineStr">
        <is>
          <t>MISMATCH_NEEDS_CORRECTION</t>
        </is>
      </c>
      <c r="S1831" t="n">
        <v>69.59999999999999</v>
      </c>
      <c r="T1831" t="inlineStr">
        <is>
          <t>30-07-2026 09:42 IST</t>
        </is>
      </c>
    </row>
    <row r="1832">
      <c r="A1832" t="n">
        <v>265</v>
      </c>
      <c r="B1832" t="n">
        <v>514010</v>
      </c>
      <c r="C1832" t="inlineStr">
        <is>
          <t>Hindusthan Udyog Ltd</t>
        </is>
      </c>
      <c r="D1832" t="n">
        <v>2023</v>
      </c>
      <c r="E1832" t="n">
        <v>17.88999938964844</v>
      </c>
      <c r="F1832" t="n">
        <v>0.34</v>
      </c>
      <c r="G1832" t="inlineStr">
        <is>
          <t>Consolidated first (v4) – needs verification for flagged rows</t>
        </is>
      </c>
      <c r="H1832" t="n">
        <v>32.79000091552734</v>
      </c>
      <c r="I1832" t="n">
        <v>3.740000009536743</v>
      </c>
      <c r="L1832" t="inlineStr">
        <is>
          <t>UNVERIFIED – tiny EPS &lt;0.5</t>
        </is>
      </c>
      <c r="M1832" t="n">
        <v>96.44</v>
      </c>
      <c r="N1832" t="n">
        <v>11</v>
      </c>
      <c r="O1832" t="n">
        <v>69.59999999999999</v>
      </c>
      <c r="P1832" t="n">
        <v>82.64</v>
      </c>
      <c r="Q1832" t="n">
        <v>36.66</v>
      </c>
      <c r="R1832" s="3" t="inlineStr">
        <is>
          <t>MISMATCH_NEEDS_CORRECTION</t>
        </is>
      </c>
      <c r="S1832" t="n">
        <v>69.59999999999999</v>
      </c>
      <c r="T1832" t="inlineStr">
        <is>
          <t>30-07-2026 09:42 IST</t>
        </is>
      </c>
    </row>
    <row r="1833">
      <c r="A1833" t="n">
        <v>265</v>
      </c>
      <c r="B1833" t="n">
        <v>514010</v>
      </c>
      <c r="C1833" t="inlineStr">
        <is>
          <t>Hindusthan Udyog Ltd</t>
        </is>
      </c>
      <c r="D1833" t="n">
        <v>2024</v>
      </c>
      <c r="E1833" t="n">
        <v>17.88999938964844</v>
      </c>
      <c r="F1833" t="n">
        <v>-0.07000000000000001</v>
      </c>
      <c r="G1833" t="inlineStr">
        <is>
          <t>Consolidated first (v4) – needs verification for flagged rows</t>
        </is>
      </c>
      <c r="H1833" t="n">
        <v>82.63999938964844</v>
      </c>
      <c r="I1833" t="n">
        <v>31.60000038146973</v>
      </c>
      <c r="L1833" t="inlineStr">
        <is>
          <t>UNVERIFIED – negative EPS</t>
        </is>
      </c>
      <c r="M1833" t="n">
        <v>-1180.57</v>
      </c>
      <c r="N1833" t="n">
        <v>-451.43</v>
      </c>
      <c r="O1833" t="n">
        <v>69.59999999999999</v>
      </c>
      <c r="P1833" t="n">
        <v>82.64</v>
      </c>
      <c r="Q1833" t="n">
        <v>36.66</v>
      </c>
      <c r="R1833" s="3" t="inlineStr">
        <is>
          <t>MISMATCH_NEEDS_CORRECTION</t>
        </is>
      </c>
      <c r="S1833" t="n">
        <v>69.59999999999999</v>
      </c>
      <c r="T1833" t="inlineStr">
        <is>
          <t>30-07-2026 09:42 IST</t>
        </is>
      </c>
    </row>
    <row r="1834">
      <c r="A1834" t="n">
        <v>265</v>
      </c>
      <c r="B1834" t="n">
        <v>514010</v>
      </c>
      <c r="C1834" t="inlineStr">
        <is>
          <t>Hindusthan Udyog Ltd</t>
        </is>
      </c>
      <c r="D1834" t="n">
        <v>2025</v>
      </c>
      <c r="E1834" t="n">
        <v>17.88999938964844</v>
      </c>
      <c r="F1834" t="n">
        <v>-0.29</v>
      </c>
      <c r="G1834" t="inlineStr">
        <is>
          <t>Consolidated first (v4) – needs verification for flagged rows</t>
        </is>
      </c>
      <c r="H1834" t="n">
        <v>75.87999725341797</v>
      </c>
      <c r="I1834" t="n">
        <v>23.25</v>
      </c>
      <c r="L1834" t="inlineStr">
        <is>
          <t>UNVERIFIED – negative EPS</t>
        </is>
      </c>
      <c r="M1834" t="n">
        <v>-261.66</v>
      </c>
      <c r="N1834" t="n">
        <v>-80.17</v>
      </c>
      <c r="O1834" t="n">
        <v>69.59999999999999</v>
      </c>
      <c r="P1834" t="n">
        <v>82.64</v>
      </c>
      <c r="Q1834" t="n">
        <v>36.66</v>
      </c>
      <c r="R1834" s="3" t="inlineStr">
        <is>
          <t>MISMATCH_NEEDS_CORRECTION</t>
        </is>
      </c>
      <c r="S1834" t="n">
        <v>69.59999999999999</v>
      </c>
      <c r="T1834" t="inlineStr">
        <is>
          <t>30-07-2026 09:42 IST</t>
        </is>
      </c>
    </row>
    <row r="1835">
      <c r="A1835" t="n">
        <v>265</v>
      </c>
      <c r="B1835" t="n">
        <v>514010</v>
      </c>
      <c r="C1835" t="inlineStr">
        <is>
          <t>Hindusthan Udyog Ltd</t>
        </is>
      </c>
      <c r="D1835" t="n">
        <v>2026</v>
      </c>
      <c r="E1835" t="n">
        <v>17.88999938964844</v>
      </c>
      <c r="F1835" t="n">
        <v>-0.34</v>
      </c>
      <c r="G1835" t="inlineStr">
        <is>
          <t>Consolidated first (v4) – needs verification for flagged rows</t>
        </is>
      </c>
      <c r="H1835" t="n">
        <v>27.64999961853027</v>
      </c>
      <c r="I1835" t="n">
        <v>13.96000003814697</v>
      </c>
      <c r="L1835" t="inlineStr">
        <is>
          <t>UNVERIFIED – negative EPS</t>
        </is>
      </c>
      <c r="M1835" t="n">
        <v>-81.31999999999999</v>
      </c>
      <c r="N1835" t="n">
        <v>-41.06</v>
      </c>
      <c r="O1835" t="n">
        <v>69.59999999999999</v>
      </c>
      <c r="P1835" t="n">
        <v>82.64</v>
      </c>
      <c r="Q1835" t="n">
        <v>36.66</v>
      </c>
      <c r="R1835" s="3" t="inlineStr">
        <is>
          <t>MISMATCH_NEEDS_CORRECTION</t>
        </is>
      </c>
      <c r="S1835" t="n">
        <v>69.59999999999999</v>
      </c>
      <c r="T1835" t="inlineStr">
        <is>
          <t>30-07-2026 09:42 IST</t>
        </is>
      </c>
    </row>
    <row r="1836">
      <c r="A1836" t="n">
        <v>266</v>
      </c>
      <c r="B1836" t="n">
        <v>514028</v>
      </c>
      <c r="C1836" t="inlineStr">
        <is>
          <t>Venus Remedies Ltd</t>
        </is>
      </c>
      <c r="D1836" t="n">
        <v>2015</v>
      </c>
      <c r="E1836" t="n">
        <v>25.89999961853027</v>
      </c>
      <c r="F1836" t="n">
        <v>-0.11</v>
      </c>
      <c r="G1836" t="inlineStr">
        <is>
          <t>Consolidated first (v4) – needs verification for flagged rows</t>
        </is>
      </c>
      <c r="H1836" t="n">
        <v>12.48999977111816</v>
      </c>
      <c r="I1836" t="n">
        <v>8.800000190734863</v>
      </c>
      <c r="L1836" t="inlineStr">
        <is>
          <t>UNVERIFIED – negative EPS</t>
        </is>
      </c>
      <c r="M1836" t="n">
        <v>-113.55</v>
      </c>
      <c r="N1836" t="n">
        <v>-80</v>
      </c>
      <c r="O1836" t="n">
        <v>29.11</v>
      </c>
      <c r="P1836" t="n">
        <v>71</v>
      </c>
      <c r="Q1836" t="n">
        <v>22.31</v>
      </c>
      <c r="R1836" s="3" t="inlineStr">
        <is>
          <t>MISMATCH_NEEDS_CORRECTION</t>
        </is>
      </c>
      <c r="S1836" t="n">
        <v>29.11</v>
      </c>
      <c r="T1836" t="inlineStr">
        <is>
          <t>30-07-2026 09:42 IST</t>
        </is>
      </c>
    </row>
    <row r="1837">
      <c r="A1837" t="n">
        <v>266</v>
      </c>
      <c r="B1837" t="n">
        <v>514028</v>
      </c>
      <c r="C1837" t="inlineStr">
        <is>
          <t>Venus Remedies Ltd</t>
        </is>
      </c>
      <c r="D1837" t="n">
        <v>2016</v>
      </c>
      <c r="E1837" t="n">
        <v>25.89999961853027</v>
      </c>
      <c r="F1837" t="n">
        <v>-0.12</v>
      </c>
      <c r="G1837" t="inlineStr">
        <is>
          <t>Consolidated first (v4) – needs verification for flagged rows</t>
        </is>
      </c>
      <c r="H1837" t="n">
        <v>13</v>
      </c>
      <c r="I1837" t="n">
        <v>8.310000419616699</v>
      </c>
      <c r="L1837" t="inlineStr">
        <is>
          <t>UNVERIFIED – negative EPS</t>
        </is>
      </c>
      <c r="M1837" t="n">
        <v>-108.33</v>
      </c>
      <c r="N1837" t="n">
        <v>-69.25</v>
      </c>
      <c r="O1837" t="n">
        <v>29.11</v>
      </c>
      <c r="P1837" t="n">
        <v>71</v>
      </c>
      <c r="Q1837" t="n">
        <v>22.31</v>
      </c>
      <c r="R1837" s="3" t="inlineStr">
        <is>
          <t>MISMATCH_NEEDS_CORRECTION</t>
        </is>
      </c>
      <c r="S1837" t="n">
        <v>29.11</v>
      </c>
      <c r="T1837" t="inlineStr">
        <is>
          <t>30-07-2026 09:42 IST</t>
        </is>
      </c>
    </row>
    <row r="1838">
      <c r="A1838" t="n">
        <v>266</v>
      </c>
      <c r="B1838" t="n">
        <v>514028</v>
      </c>
      <c r="C1838" t="inlineStr">
        <is>
          <t>Venus Remedies Ltd</t>
        </is>
      </c>
      <c r="D1838" t="n">
        <v>2017</v>
      </c>
      <c r="E1838" t="n">
        <v>25.89999961853027</v>
      </c>
      <c r="F1838" t="n">
        <v>0.06</v>
      </c>
      <c r="G1838" t="inlineStr">
        <is>
          <t>Consolidated first (v4) – needs verification for flagged rows</t>
        </is>
      </c>
      <c r="H1838" t="n">
        <v>20.5</v>
      </c>
      <c r="I1838" t="n">
        <v>9.979999542236328</v>
      </c>
      <c r="L1838" t="inlineStr">
        <is>
          <t>UNVERIFIED – tiny EPS &lt;0.5</t>
        </is>
      </c>
      <c r="M1838" t="n">
        <v>341.67</v>
      </c>
      <c r="N1838" t="n">
        <v>166.33</v>
      </c>
      <c r="O1838" t="n">
        <v>29.11</v>
      </c>
      <c r="P1838" t="n">
        <v>71</v>
      </c>
      <c r="Q1838" t="n">
        <v>22.31</v>
      </c>
      <c r="R1838" s="3" t="inlineStr">
        <is>
          <t>MISMATCH_NEEDS_CORRECTION</t>
        </is>
      </c>
      <c r="S1838" t="n">
        <v>29.11</v>
      </c>
      <c r="T1838" t="inlineStr">
        <is>
          <t>30-07-2026 09:42 IST</t>
        </is>
      </c>
    </row>
    <row r="1839">
      <c r="A1839" t="n">
        <v>266</v>
      </c>
      <c r="B1839" t="n">
        <v>514028</v>
      </c>
      <c r="C1839" t="inlineStr">
        <is>
          <t>Venus Remedies Ltd</t>
        </is>
      </c>
      <c r="D1839" t="n">
        <v>2018</v>
      </c>
      <c r="E1839" t="n">
        <v>25.89999961853027</v>
      </c>
      <c r="F1839" t="n">
        <v>0.14</v>
      </c>
      <c r="G1839" t="inlineStr">
        <is>
          <t>Consolidated first (v4) – needs verification for flagged rows</t>
        </is>
      </c>
      <c r="H1839" t="n">
        <v>19.5</v>
      </c>
      <c r="I1839" t="n">
        <v>9.5</v>
      </c>
      <c r="L1839" t="inlineStr">
        <is>
          <t>UNVERIFIED – tiny EPS &lt;0.5</t>
        </is>
      </c>
      <c r="M1839" t="n">
        <v>139.29</v>
      </c>
      <c r="N1839" t="n">
        <v>67.86</v>
      </c>
      <c r="O1839" t="n">
        <v>29.11</v>
      </c>
      <c r="P1839" t="n">
        <v>71</v>
      </c>
      <c r="Q1839" t="n">
        <v>22.31</v>
      </c>
      <c r="R1839" s="3" t="inlineStr">
        <is>
          <t>MISMATCH_NEEDS_CORRECTION</t>
        </is>
      </c>
      <c r="S1839" t="n">
        <v>29.11</v>
      </c>
      <c r="T1839" t="inlineStr">
        <is>
          <t>30-07-2026 09:42 IST</t>
        </is>
      </c>
    </row>
    <row r="1840">
      <c r="A1840" t="n">
        <v>266</v>
      </c>
      <c r="B1840" t="n">
        <v>514028</v>
      </c>
      <c r="C1840" t="inlineStr">
        <is>
          <t>Venus Remedies Ltd</t>
        </is>
      </c>
      <c r="D1840" t="n">
        <v>2019</v>
      </c>
      <c r="E1840" t="n">
        <v>25.89999961853027</v>
      </c>
      <c r="F1840" t="n">
        <v>-0.51</v>
      </c>
      <c r="G1840" t="inlineStr">
        <is>
          <t>Consolidated first (v4) – needs verification for flagged rows</t>
        </is>
      </c>
      <c r="H1840" t="n">
        <v>14.32999992370605</v>
      </c>
      <c r="I1840" t="n">
        <v>4.730000019073486</v>
      </c>
      <c r="L1840" t="inlineStr">
        <is>
          <t>UNVERIFIED – negative EPS</t>
        </is>
      </c>
      <c r="M1840" t="n">
        <v>-28.1</v>
      </c>
      <c r="N1840" t="n">
        <v>-9.27</v>
      </c>
      <c r="O1840" t="n">
        <v>29.11</v>
      </c>
      <c r="P1840" t="n">
        <v>71</v>
      </c>
      <c r="Q1840" t="n">
        <v>22.31</v>
      </c>
      <c r="R1840" s="3" t="inlineStr">
        <is>
          <t>MISMATCH_NEEDS_CORRECTION</t>
        </is>
      </c>
      <c r="S1840" t="n">
        <v>29.11</v>
      </c>
      <c r="T1840" t="inlineStr">
        <is>
          <t>30-07-2026 09:42 IST</t>
        </is>
      </c>
    </row>
    <row r="1841">
      <c r="A1841" t="n">
        <v>266</v>
      </c>
      <c r="B1841" t="n">
        <v>514028</v>
      </c>
      <c r="C1841" t="inlineStr">
        <is>
          <t>Venus Remedies Ltd</t>
        </is>
      </c>
      <c r="D1841" t="n">
        <v>2020</v>
      </c>
      <c r="E1841" t="n">
        <v>25.89999961853027</v>
      </c>
      <c r="F1841" t="n">
        <v>-0.46</v>
      </c>
      <c r="G1841" t="inlineStr">
        <is>
          <t>Consolidated first (v4) – needs verification for flagged rows</t>
        </is>
      </c>
      <c r="H1841" t="n">
        <v>4.730000019073486</v>
      </c>
      <c r="I1841" t="n">
        <v>3.950000047683716</v>
      </c>
      <c r="L1841" t="inlineStr">
        <is>
          <t>UNVERIFIED – negative EPS</t>
        </is>
      </c>
      <c r="M1841" t="n">
        <v>-10.28</v>
      </c>
      <c r="N1841" t="n">
        <v>-8.59</v>
      </c>
      <c r="O1841" t="n">
        <v>29.11</v>
      </c>
      <c r="P1841" t="n">
        <v>71</v>
      </c>
      <c r="Q1841" t="n">
        <v>22.31</v>
      </c>
      <c r="R1841" s="3" t="inlineStr">
        <is>
          <t>MISMATCH_NEEDS_CORRECTION</t>
        </is>
      </c>
      <c r="S1841" t="n">
        <v>29.11</v>
      </c>
      <c r="T1841" t="inlineStr">
        <is>
          <t>30-07-2026 09:42 IST</t>
        </is>
      </c>
    </row>
    <row r="1842">
      <c r="A1842" t="n">
        <v>266</v>
      </c>
      <c r="B1842" t="n">
        <v>514028</v>
      </c>
      <c r="C1842" t="inlineStr">
        <is>
          <t>Venus Remedies Ltd</t>
        </is>
      </c>
      <c r="D1842" t="n">
        <v>2021</v>
      </c>
      <c r="E1842" t="n">
        <v>25.89999961853027</v>
      </c>
      <c r="F1842" t="n">
        <v>-0.15</v>
      </c>
      <c r="G1842" t="inlineStr">
        <is>
          <t>Consolidated first (v4) – needs verification for flagged rows</t>
        </is>
      </c>
      <c r="H1842" t="n">
        <v>38.79999923706055</v>
      </c>
      <c r="I1842" t="n">
        <v>3.619999885559082</v>
      </c>
      <c r="L1842" t="inlineStr">
        <is>
          <t>UNVERIFIED – negative EPS</t>
        </is>
      </c>
      <c r="M1842" t="n">
        <v>-258.67</v>
      </c>
      <c r="N1842" t="n">
        <v>-24.13</v>
      </c>
      <c r="O1842" t="n">
        <v>29.11</v>
      </c>
      <c r="P1842" t="n">
        <v>71</v>
      </c>
      <c r="Q1842" t="n">
        <v>22.31</v>
      </c>
      <c r="R1842" s="3" t="inlineStr">
        <is>
          <t>MISMATCH_NEEDS_CORRECTION</t>
        </is>
      </c>
      <c r="S1842" t="n">
        <v>29.11</v>
      </c>
      <c r="T1842" t="inlineStr">
        <is>
          <t>30-07-2026 09:42 IST</t>
        </is>
      </c>
    </row>
    <row r="1843">
      <c r="A1843" t="n">
        <v>266</v>
      </c>
      <c r="B1843" t="n">
        <v>514028</v>
      </c>
      <c r="C1843" t="inlineStr">
        <is>
          <t>Venus Remedies Ltd</t>
        </is>
      </c>
      <c r="D1843" t="n">
        <v>2022</v>
      </c>
      <c r="E1843" t="n">
        <v>25.89999961853027</v>
      </c>
      <c r="F1843" t="n">
        <v>-0.63</v>
      </c>
      <c r="G1843" t="inlineStr">
        <is>
          <t>Consolidated first (v4) – needs verification for flagged rows</t>
        </is>
      </c>
      <c r="H1843" t="n">
        <v>35.40000152587891</v>
      </c>
      <c r="I1843" t="n">
        <v>15.94999980926514</v>
      </c>
      <c r="L1843" t="inlineStr">
        <is>
          <t>UNVERIFIED – negative EPS</t>
        </is>
      </c>
      <c r="M1843" t="n">
        <v>-56.19</v>
      </c>
      <c r="N1843" t="n">
        <v>-25.32</v>
      </c>
      <c r="O1843" t="n">
        <v>29.11</v>
      </c>
      <c r="P1843" t="n">
        <v>71</v>
      </c>
      <c r="Q1843" t="n">
        <v>22.31</v>
      </c>
      <c r="R1843" s="3" t="inlineStr">
        <is>
          <t>MISMATCH_NEEDS_CORRECTION</t>
        </is>
      </c>
      <c r="S1843" t="n">
        <v>29.11</v>
      </c>
      <c r="T1843" t="inlineStr">
        <is>
          <t>30-07-2026 09:42 IST</t>
        </is>
      </c>
    </row>
    <row r="1844">
      <c r="A1844" t="n">
        <v>266</v>
      </c>
      <c r="B1844" t="n">
        <v>514028</v>
      </c>
      <c r="C1844" t="inlineStr">
        <is>
          <t>Venus Remedies Ltd</t>
        </is>
      </c>
      <c r="D1844" t="n">
        <v>2023</v>
      </c>
      <c r="E1844" t="n">
        <v>25.89999961853027</v>
      </c>
      <c r="F1844" t="n">
        <v>0.22</v>
      </c>
      <c r="G1844" t="inlineStr">
        <is>
          <t>Consolidated first (v4) – needs verification for flagged rows</t>
        </is>
      </c>
      <c r="H1844" t="n">
        <v>33</v>
      </c>
      <c r="I1844" t="n">
        <v>21.98999977111816</v>
      </c>
      <c r="L1844" t="inlineStr">
        <is>
          <t>UNVERIFIED – tiny EPS &lt;0.5</t>
        </is>
      </c>
      <c r="M1844" t="n">
        <v>150</v>
      </c>
      <c r="N1844" t="n">
        <v>99.95</v>
      </c>
      <c r="O1844" t="n">
        <v>29.11</v>
      </c>
      <c r="P1844" t="n">
        <v>71</v>
      </c>
      <c r="Q1844" t="n">
        <v>22.31</v>
      </c>
      <c r="R1844" s="3" t="inlineStr">
        <is>
          <t>MISMATCH_NEEDS_CORRECTION</t>
        </is>
      </c>
      <c r="S1844" t="n">
        <v>29.11</v>
      </c>
      <c r="T1844" t="inlineStr">
        <is>
          <t>30-07-2026 09:42 IST</t>
        </is>
      </c>
    </row>
    <row r="1845">
      <c r="A1845" t="n">
        <v>266</v>
      </c>
      <c r="B1845" t="n">
        <v>514028</v>
      </c>
      <c r="C1845" t="inlineStr">
        <is>
          <t>Venus Remedies Ltd</t>
        </is>
      </c>
      <c r="D1845" t="n">
        <v>2024</v>
      </c>
      <c r="E1845" t="n">
        <v>25.89999961853027</v>
      </c>
      <c r="F1845" t="n">
        <v>0.23</v>
      </c>
      <c r="G1845" t="inlineStr">
        <is>
          <t>Consolidated first (v4) – needs verification for flagged rows</t>
        </is>
      </c>
      <c r="H1845" t="n">
        <v>69.18000030517578</v>
      </c>
      <c r="I1845" t="n">
        <v>22.30999946594238</v>
      </c>
      <c r="L1845" t="inlineStr">
        <is>
          <t>UNVERIFIED – tiny EPS &lt;0.5</t>
        </is>
      </c>
      <c r="M1845" t="n">
        <v>300.78</v>
      </c>
      <c r="N1845" t="n">
        <v>97</v>
      </c>
      <c r="O1845" t="n">
        <v>29.11</v>
      </c>
      <c r="P1845" t="n">
        <v>71</v>
      </c>
      <c r="Q1845" t="n">
        <v>22.31</v>
      </c>
      <c r="R1845" s="3" t="inlineStr">
        <is>
          <t>MISMATCH_NEEDS_CORRECTION</t>
        </is>
      </c>
      <c r="S1845" t="n">
        <v>29.11</v>
      </c>
      <c r="T1845" t="inlineStr">
        <is>
          <t>30-07-2026 09:42 IST</t>
        </is>
      </c>
    </row>
    <row r="1846">
      <c r="A1846" t="n">
        <v>266</v>
      </c>
      <c r="B1846" t="n">
        <v>514028</v>
      </c>
      <c r="C1846" t="inlineStr">
        <is>
          <t>Venus Remedies Ltd</t>
        </is>
      </c>
      <c r="D1846" t="n">
        <v>2025</v>
      </c>
      <c r="E1846" t="n">
        <v>25.89999961853027</v>
      </c>
      <c r="F1846" t="n">
        <v>0.33</v>
      </c>
      <c r="G1846" t="inlineStr">
        <is>
          <t>Consolidated first (v4) – needs verification for flagged rows</t>
        </is>
      </c>
      <c r="H1846" t="n">
        <v>71</v>
      </c>
      <c r="I1846" t="n">
        <v>31.25</v>
      </c>
      <c r="L1846" t="inlineStr">
        <is>
          <t>UNVERIFIED – tiny EPS &lt;0.5</t>
        </is>
      </c>
      <c r="M1846" t="n">
        <v>215.15</v>
      </c>
      <c r="N1846" t="n">
        <v>94.7</v>
      </c>
      <c r="O1846" t="n">
        <v>29.11</v>
      </c>
      <c r="P1846" t="n">
        <v>71</v>
      </c>
      <c r="Q1846" t="n">
        <v>22.31</v>
      </c>
      <c r="R1846" s="3" t="inlineStr">
        <is>
          <t>MISMATCH_NEEDS_CORRECTION</t>
        </is>
      </c>
      <c r="S1846" t="n">
        <v>29.11</v>
      </c>
      <c r="T1846" t="inlineStr">
        <is>
          <t>30-07-2026 09:42 IST</t>
        </is>
      </c>
    </row>
    <row r="1847">
      <c r="A1847" t="n">
        <v>266</v>
      </c>
      <c r="B1847" t="n">
        <v>514028</v>
      </c>
      <c r="C1847" t="inlineStr">
        <is>
          <t>Venus Remedies Ltd</t>
        </is>
      </c>
      <c r="D1847" t="n">
        <v>2026</v>
      </c>
      <c r="E1847" t="n">
        <v>25.89999961853027</v>
      </c>
      <c r="F1847" t="n">
        <v>0.39</v>
      </c>
      <c r="G1847" t="inlineStr">
        <is>
          <t>Consolidated first (v4) – needs verification for flagged rows</t>
        </is>
      </c>
      <c r="H1847" t="n">
        <v>49.79999923706055</v>
      </c>
      <c r="I1847" t="n">
        <v>22.01000022888184</v>
      </c>
      <c r="L1847" t="inlineStr">
        <is>
          <t>UNVERIFIED – tiny EPS &lt;0.5</t>
        </is>
      </c>
      <c r="M1847" t="n">
        <v>127.69</v>
      </c>
      <c r="N1847" t="n">
        <v>56.44</v>
      </c>
      <c r="O1847" t="n">
        <v>29.11</v>
      </c>
      <c r="P1847" t="n">
        <v>71</v>
      </c>
      <c r="Q1847" t="n">
        <v>22.31</v>
      </c>
      <c r="R1847" s="3" t="inlineStr">
        <is>
          <t>MISMATCH_NEEDS_CORRECTION</t>
        </is>
      </c>
      <c r="S1847" t="n">
        <v>29.11</v>
      </c>
      <c r="T1847" t="inlineStr">
        <is>
          <t>30-07-2026 09:42 IST</t>
        </is>
      </c>
    </row>
    <row r="1848">
      <c r="A1848" t="n">
        <v>268</v>
      </c>
      <c r="B1848" t="n">
        <v>514060</v>
      </c>
      <c r="C1848" t="inlineStr">
        <is>
          <t>Jasubhai Steel</t>
        </is>
      </c>
      <c r="D1848" t="n">
        <v>2015</v>
      </c>
      <c r="E1848" t="n">
        <v>3.049999952316284</v>
      </c>
      <c r="F1848" t="n">
        <v>0.47</v>
      </c>
      <c r="G1848" t="inlineStr">
        <is>
          <t>Consolidated first (v4) – needs verification for flagged rows</t>
        </is>
      </c>
      <c r="H1848" t="n">
        <v>4.550000190734863</v>
      </c>
      <c r="I1848" t="n">
        <v>4.550000190734863</v>
      </c>
      <c r="L1848" t="inlineStr">
        <is>
          <t>UNVERIFIED – tiny EPS &lt;0.5</t>
        </is>
      </c>
      <c r="M1848" t="n">
        <v>9.68</v>
      </c>
      <c r="N1848" t="n">
        <v>9.68</v>
      </c>
      <c r="O1848" t="n">
        <v>17.67</v>
      </c>
      <c r="P1848" t="n">
        <v>141.85</v>
      </c>
      <c r="Q1848" t="n">
        <v>9.1</v>
      </c>
      <c r="R1848" s="3" t="inlineStr">
        <is>
          <t>MISMATCH_NEEDS_CORRECTION</t>
        </is>
      </c>
      <c r="S1848" t="n">
        <v>17.67</v>
      </c>
      <c r="T1848" t="inlineStr">
        <is>
          <t>30-07-2026 09:42 IST</t>
        </is>
      </c>
    </row>
    <row r="1849">
      <c r="A1849" t="n">
        <v>268</v>
      </c>
      <c r="B1849" t="n">
        <v>514060</v>
      </c>
      <c r="C1849" t="inlineStr">
        <is>
          <t>Jasubhai Steel</t>
        </is>
      </c>
      <c r="D1849" t="n">
        <v>2016</v>
      </c>
      <c r="E1849" t="n">
        <v>3.049999952316284</v>
      </c>
      <c r="F1849" t="n">
        <v>-0.01</v>
      </c>
      <c r="G1849" t="inlineStr">
        <is>
          <t>Consolidated first (v4) – needs verification for flagged rows</t>
        </is>
      </c>
      <c r="H1849" t="n">
        <v>12.5</v>
      </c>
      <c r="I1849" t="n">
        <v>4.550000190734863</v>
      </c>
      <c r="L1849" t="inlineStr">
        <is>
          <t>UNVERIFIED – negative EPS</t>
        </is>
      </c>
      <c r="M1849" t="n">
        <v>-1250</v>
      </c>
      <c r="N1849" t="n">
        <v>-455</v>
      </c>
      <c r="O1849" t="n">
        <v>17.67</v>
      </c>
      <c r="P1849" t="n">
        <v>141.85</v>
      </c>
      <c r="Q1849" t="n">
        <v>9.1</v>
      </c>
      <c r="R1849" s="3" t="inlineStr">
        <is>
          <t>MISMATCH_NEEDS_CORRECTION</t>
        </is>
      </c>
      <c r="S1849" t="n">
        <v>17.67</v>
      </c>
      <c r="T1849" t="inlineStr">
        <is>
          <t>30-07-2026 09:42 IST</t>
        </is>
      </c>
    </row>
    <row r="1850">
      <c r="A1850" t="n">
        <v>268</v>
      </c>
      <c r="B1850" t="n">
        <v>514060</v>
      </c>
      <c r="C1850" t="inlineStr">
        <is>
          <t>Jasubhai Steel</t>
        </is>
      </c>
      <c r="D1850" t="n">
        <v>2017</v>
      </c>
      <c r="E1850" t="n">
        <v>3.049999952316284</v>
      </c>
      <c r="F1850" t="n">
        <v>-0.01</v>
      </c>
      <c r="G1850" t="inlineStr">
        <is>
          <t>Consolidated first (v4) – needs verification for flagged rows</t>
        </is>
      </c>
      <c r="H1850" t="n">
        <v>12.5</v>
      </c>
      <c r="I1850" t="n">
        <v>11.88000011444092</v>
      </c>
      <c r="L1850" t="inlineStr">
        <is>
          <t>UNVERIFIED – negative EPS</t>
        </is>
      </c>
      <c r="M1850" t="n">
        <v>-1250</v>
      </c>
      <c r="N1850" t="n">
        <v>-1188</v>
      </c>
      <c r="O1850" t="n">
        <v>17.67</v>
      </c>
      <c r="P1850" t="n">
        <v>141.85</v>
      </c>
      <c r="Q1850" t="n">
        <v>9.1</v>
      </c>
      <c r="R1850" s="3" t="inlineStr">
        <is>
          <t>MISMATCH_NEEDS_CORRECTION</t>
        </is>
      </c>
      <c r="S1850" t="n">
        <v>17.67</v>
      </c>
      <c r="T1850" t="inlineStr">
        <is>
          <t>30-07-2026 09:42 IST</t>
        </is>
      </c>
    </row>
    <row r="1851">
      <c r="A1851" t="n">
        <v>268</v>
      </c>
      <c r="B1851" t="n">
        <v>514060</v>
      </c>
      <c r="C1851" t="inlineStr">
        <is>
          <t>Jasubhai Steel</t>
        </is>
      </c>
      <c r="D1851" t="n">
        <v>2018</v>
      </c>
      <c r="E1851" t="n">
        <v>3.049999952316284</v>
      </c>
      <c r="F1851" t="n">
        <v>-0.01</v>
      </c>
      <c r="G1851" t="inlineStr">
        <is>
          <t>Consolidated first (v4) – needs verification for flagged rows</t>
        </is>
      </c>
      <c r="H1851" t="n">
        <v>11.88000011444092</v>
      </c>
      <c r="I1851" t="n">
        <v>11.28999996185303</v>
      </c>
      <c r="L1851" t="inlineStr">
        <is>
          <t>UNVERIFIED – negative EPS</t>
        </is>
      </c>
      <c r="M1851" t="n">
        <v>-1188</v>
      </c>
      <c r="N1851" t="n">
        <v>-1129</v>
      </c>
      <c r="O1851" t="n">
        <v>17.67</v>
      </c>
      <c r="P1851" t="n">
        <v>141.85</v>
      </c>
      <c r="Q1851" t="n">
        <v>9.1</v>
      </c>
      <c r="R1851" s="3" t="inlineStr">
        <is>
          <t>MISMATCH_NEEDS_CORRECTION</t>
        </is>
      </c>
      <c r="S1851" t="n">
        <v>17.67</v>
      </c>
      <c r="T1851" t="inlineStr">
        <is>
          <t>30-07-2026 09:42 IST</t>
        </is>
      </c>
    </row>
    <row r="1852">
      <c r="A1852" t="n">
        <v>268</v>
      </c>
      <c r="B1852" t="n">
        <v>514060</v>
      </c>
      <c r="C1852" t="inlineStr">
        <is>
          <t>Jasubhai Steel</t>
        </is>
      </c>
      <c r="D1852" t="n">
        <v>2019</v>
      </c>
      <c r="E1852" t="n">
        <v>3.049999952316284</v>
      </c>
      <c r="F1852" t="n">
        <v>-0.01</v>
      </c>
      <c r="G1852" t="inlineStr">
        <is>
          <t>Consolidated first (v4) – needs verification for flagged rows</t>
        </is>
      </c>
      <c r="H1852" t="n">
        <v>13.71000003814697</v>
      </c>
      <c r="I1852" t="n">
        <v>11.28999996185303</v>
      </c>
      <c r="L1852" t="inlineStr">
        <is>
          <t>UNVERIFIED – negative EPS</t>
        </is>
      </c>
      <c r="M1852" t="n">
        <v>-1371</v>
      </c>
      <c r="N1852" t="n">
        <v>-1129</v>
      </c>
      <c r="O1852" t="n">
        <v>17.67</v>
      </c>
      <c r="P1852" t="n">
        <v>141.85</v>
      </c>
      <c r="Q1852" t="n">
        <v>9.1</v>
      </c>
      <c r="R1852" s="3" t="inlineStr">
        <is>
          <t>MISMATCH_NEEDS_CORRECTION</t>
        </is>
      </c>
      <c r="S1852" t="n">
        <v>17.67</v>
      </c>
      <c r="T1852" t="inlineStr">
        <is>
          <t>30-07-2026 09:42 IST</t>
        </is>
      </c>
    </row>
    <row r="1853">
      <c r="A1853" t="n">
        <v>268</v>
      </c>
      <c r="B1853" t="n">
        <v>514060</v>
      </c>
      <c r="C1853" t="inlineStr">
        <is>
          <t>Jasubhai Steel</t>
        </is>
      </c>
      <c r="D1853" t="n">
        <v>2020</v>
      </c>
      <c r="E1853" t="n">
        <v>3.049999952316284</v>
      </c>
      <c r="F1853" t="n">
        <v>-0.02</v>
      </c>
      <c r="G1853" t="inlineStr">
        <is>
          <t>Consolidated first (v4) – needs verification for flagged rows</t>
        </is>
      </c>
      <c r="H1853" t="n">
        <v>13.71000003814697</v>
      </c>
      <c r="I1853" t="n">
        <v>13.71000003814697</v>
      </c>
      <c r="L1853" t="inlineStr">
        <is>
          <t>UNVERIFIED – negative EPS</t>
        </is>
      </c>
      <c r="M1853" t="n">
        <v>-685.5</v>
      </c>
      <c r="N1853" t="n">
        <v>-685.5</v>
      </c>
      <c r="O1853" t="n">
        <v>17.67</v>
      </c>
      <c r="P1853" t="n">
        <v>141.85</v>
      </c>
      <c r="Q1853" t="n">
        <v>9.1</v>
      </c>
      <c r="R1853" s="3" t="inlineStr">
        <is>
          <t>MISMATCH_NEEDS_CORRECTION</t>
        </is>
      </c>
      <c r="S1853" t="n">
        <v>17.67</v>
      </c>
      <c r="T1853" t="inlineStr">
        <is>
          <t>30-07-2026 09:42 IST</t>
        </is>
      </c>
    </row>
    <row r="1854">
      <c r="A1854" t="n">
        <v>268</v>
      </c>
      <c r="B1854" t="n">
        <v>514060</v>
      </c>
      <c r="C1854" t="inlineStr">
        <is>
          <t>Jasubhai Steel</t>
        </is>
      </c>
      <c r="D1854" t="n">
        <v>2021</v>
      </c>
      <c r="E1854" t="n">
        <v>3.049999952316284</v>
      </c>
      <c r="F1854" t="n">
        <v>-0.02</v>
      </c>
      <c r="G1854" t="inlineStr">
        <is>
          <t>Consolidated first (v4) – needs verification for flagged rows</t>
        </is>
      </c>
      <c r="H1854" t="n">
        <v>13.71000003814697</v>
      </c>
      <c r="I1854" t="n">
        <v>13.71000003814697</v>
      </c>
      <c r="L1854" t="inlineStr">
        <is>
          <t>UNVERIFIED – negative EPS</t>
        </is>
      </c>
      <c r="M1854" t="n">
        <v>-685.5</v>
      </c>
      <c r="N1854" t="n">
        <v>-685.5</v>
      </c>
      <c r="O1854" t="n">
        <v>17.67</v>
      </c>
      <c r="P1854" t="n">
        <v>141.85</v>
      </c>
      <c r="Q1854" t="n">
        <v>9.1</v>
      </c>
      <c r="R1854" s="3" t="inlineStr">
        <is>
          <t>MISMATCH_NEEDS_CORRECTION</t>
        </is>
      </c>
      <c r="S1854" t="n">
        <v>17.67</v>
      </c>
      <c r="T1854" t="inlineStr">
        <is>
          <t>30-07-2026 09:42 IST</t>
        </is>
      </c>
    </row>
    <row r="1855">
      <c r="A1855" t="n">
        <v>268</v>
      </c>
      <c r="B1855" t="n">
        <v>514060</v>
      </c>
      <c r="C1855" t="inlineStr">
        <is>
          <t>Jasubhai Steel</t>
        </is>
      </c>
      <c r="D1855" t="n">
        <v>2022</v>
      </c>
      <c r="E1855" t="n">
        <v>3.049999952316284</v>
      </c>
      <c r="F1855" t="n">
        <v>-0.02</v>
      </c>
      <c r="G1855" t="inlineStr">
        <is>
          <t>Consolidated first (v4) – needs verification for flagged rows</t>
        </is>
      </c>
      <c r="H1855" t="n">
        <v>13.71000003814697</v>
      </c>
      <c r="I1855" t="n">
        <v>13.71000003814697</v>
      </c>
      <c r="L1855" t="inlineStr">
        <is>
          <t>UNVERIFIED – negative EPS</t>
        </is>
      </c>
      <c r="M1855" t="n">
        <v>-685.5</v>
      </c>
      <c r="N1855" t="n">
        <v>-685.5</v>
      </c>
      <c r="O1855" t="n">
        <v>17.67</v>
      </c>
      <c r="P1855" t="n">
        <v>141.85</v>
      </c>
      <c r="Q1855" t="n">
        <v>9.1</v>
      </c>
      <c r="R1855" s="3" t="inlineStr">
        <is>
          <t>MISMATCH_NEEDS_CORRECTION</t>
        </is>
      </c>
      <c r="S1855" t="n">
        <v>17.67</v>
      </c>
      <c r="T1855" t="inlineStr">
        <is>
          <t>30-07-2026 09:42 IST</t>
        </is>
      </c>
    </row>
    <row r="1856">
      <c r="A1856" t="n">
        <v>268</v>
      </c>
      <c r="B1856" t="n">
        <v>514060</v>
      </c>
      <c r="C1856" t="inlineStr">
        <is>
          <t>Jasubhai Steel</t>
        </is>
      </c>
      <c r="D1856" t="n">
        <v>2023</v>
      </c>
      <c r="E1856" t="n">
        <v>3.049999952316284</v>
      </c>
      <c r="F1856" t="n">
        <v>-0.03</v>
      </c>
      <c r="G1856" t="inlineStr">
        <is>
          <t>Consolidated first (v4) – needs verification for flagged rows</t>
        </is>
      </c>
      <c r="H1856" t="n">
        <v>54.20000076293945</v>
      </c>
      <c r="I1856" t="n">
        <v>13.71000003814697</v>
      </c>
      <c r="L1856" t="inlineStr">
        <is>
          <t>UNVERIFIED – negative EPS</t>
        </is>
      </c>
      <c r="M1856" t="n">
        <v>-1806.67</v>
      </c>
      <c r="N1856" t="n">
        <v>-457</v>
      </c>
      <c r="O1856" t="n">
        <v>17.67</v>
      </c>
      <c r="P1856" t="n">
        <v>141.85</v>
      </c>
      <c r="Q1856" t="n">
        <v>9.1</v>
      </c>
      <c r="R1856" s="3" t="inlineStr">
        <is>
          <t>MISMATCH_NEEDS_CORRECTION</t>
        </is>
      </c>
      <c r="S1856" t="n">
        <v>17.67</v>
      </c>
      <c r="T1856" t="inlineStr">
        <is>
          <t>30-07-2026 09:42 IST</t>
        </is>
      </c>
    </row>
    <row r="1857">
      <c r="A1857" t="n">
        <v>268</v>
      </c>
      <c r="B1857" t="n">
        <v>514060</v>
      </c>
      <c r="C1857" t="inlineStr">
        <is>
          <t>Jasubhai Steel</t>
        </is>
      </c>
      <c r="D1857" t="n">
        <v>2024</v>
      </c>
      <c r="E1857" t="n">
        <v>3.049999952316284</v>
      </c>
      <c r="F1857" t="n">
        <v>0.33</v>
      </c>
      <c r="G1857" t="inlineStr">
        <is>
          <t>Consolidated first (v4) – needs verification for flagged rows</t>
        </is>
      </c>
      <c r="H1857" t="n">
        <v>141.8500061035156</v>
      </c>
      <c r="I1857" t="n">
        <v>9.359999656677246</v>
      </c>
      <c r="L1857" t="inlineStr">
        <is>
          <t>UNVERIFIED – tiny EPS &lt;0.5</t>
        </is>
      </c>
      <c r="M1857" t="n">
        <v>429.85</v>
      </c>
      <c r="N1857" t="n">
        <v>28.36</v>
      </c>
      <c r="O1857" t="n">
        <v>17.67</v>
      </c>
      <c r="P1857" t="n">
        <v>141.85</v>
      </c>
      <c r="Q1857" t="n">
        <v>9.1</v>
      </c>
      <c r="R1857" s="3" t="inlineStr">
        <is>
          <t>MISMATCH_NEEDS_CORRECTION</t>
        </is>
      </c>
      <c r="S1857" t="n">
        <v>17.67</v>
      </c>
      <c r="T1857" t="inlineStr">
        <is>
          <t>30-07-2026 09:42 IST</t>
        </is>
      </c>
    </row>
    <row r="1858">
      <c r="A1858" t="n">
        <v>268</v>
      </c>
      <c r="B1858" t="n">
        <v>514060</v>
      </c>
      <c r="C1858" t="inlineStr">
        <is>
          <t>Jasubhai Steel</t>
        </is>
      </c>
      <c r="D1858" t="n">
        <v>2025</v>
      </c>
      <c r="E1858" t="n">
        <v>3.049999952316284</v>
      </c>
      <c r="F1858" t="n">
        <v>0.27</v>
      </c>
      <c r="G1858" t="inlineStr">
        <is>
          <t>Consolidated first (v4) – needs verification for flagged rows</t>
        </is>
      </c>
      <c r="H1858" t="n">
        <v>12.18000030517578</v>
      </c>
      <c r="I1858" t="n">
        <v>5.559999942779541</v>
      </c>
      <c r="L1858" t="inlineStr">
        <is>
          <t>UNVERIFIED – tiny EPS &lt;0.5</t>
        </is>
      </c>
      <c r="M1858" t="n">
        <v>45.11</v>
      </c>
      <c r="N1858" t="n">
        <v>20.59</v>
      </c>
      <c r="O1858" t="n">
        <v>17.67</v>
      </c>
      <c r="P1858" t="n">
        <v>141.85</v>
      </c>
      <c r="Q1858" t="n">
        <v>9.1</v>
      </c>
      <c r="R1858" s="3" t="inlineStr">
        <is>
          <t>MISMATCH_NEEDS_CORRECTION</t>
        </is>
      </c>
      <c r="S1858" t="n">
        <v>17.67</v>
      </c>
      <c r="T1858" t="inlineStr">
        <is>
          <t>30-07-2026 09:42 IST</t>
        </is>
      </c>
    </row>
    <row r="1859">
      <c r="A1859" t="n">
        <v>268</v>
      </c>
      <c r="B1859" t="n">
        <v>514060</v>
      </c>
      <c r="C1859" t="inlineStr">
        <is>
          <t>Jasubhai Steel</t>
        </is>
      </c>
      <c r="D1859" t="n">
        <v>2026</v>
      </c>
      <c r="E1859" t="n">
        <v>3.049999952316284</v>
      </c>
      <c r="F1859" t="n">
        <v>-0.95</v>
      </c>
      <c r="G1859" t="inlineStr">
        <is>
          <t>Consolidated first (v4) – needs verification for flagged rows</t>
        </is>
      </c>
      <c r="H1859" t="n">
        <v>6.650000095367432</v>
      </c>
      <c r="I1859" t="n">
        <v>3</v>
      </c>
      <c r="L1859" t="inlineStr">
        <is>
          <t>UNVERIFIED – negative EPS</t>
        </is>
      </c>
      <c r="M1859" t="n">
        <v>-7</v>
      </c>
      <c r="N1859" t="n">
        <v>-3.16</v>
      </c>
      <c r="O1859" t="n">
        <v>17.67</v>
      </c>
      <c r="P1859" t="n">
        <v>141.85</v>
      </c>
      <c r="Q1859" t="n">
        <v>9.1</v>
      </c>
      <c r="R1859" s="3" t="inlineStr">
        <is>
          <t>MISMATCH_NEEDS_CORRECTION</t>
        </is>
      </c>
      <c r="S1859" t="n">
        <v>17.67</v>
      </c>
      <c r="T1859" t="inlineStr">
        <is>
          <t>30-07-2026 09:42 IST</t>
        </is>
      </c>
    </row>
    <row r="1860">
      <c r="A1860" t="n">
        <v>270</v>
      </c>
      <c r="B1860" t="n">
        <v>514118</v>
      </c>
      <c r="C1860" t="inlineStr">
        <is>
          <t>Rollatainers Ltd</t>
        </is>
      </c>
      <c r="D1860" t="n">
        <v>2026</v>
      </c>
      <c r="E1860" t="n">
        <v>0.2099999934434891</v>
      </c>
      <c r="G1860" t="inlineStr">
        <is>
          <t>Consolidated first (v4) – needs verification for flagged rows</t>
        </is>
      </c>
      <c r="L1860" t="inlineStr">
        <is>
          <t>INCOMPLETE</t>
        </is>
      </c>
      <c r="O1860" t="n">
        <v>0.21</v>
      </c>
      <c r="P1860" t="n">
        <v>0.21</v>
      </c>
      <c r="Q1860" t="n">
        <v>0.21</v>
      </c>
      <c r="R1860" s="2" t="inlineStr">
        <is>
          <t>VERIFIED_OK</t>
        </is>
      </c>
      <c r="S1860" t="n">
        <v>0.21</v>
      </c>
      <c r="T1860" t="inlineStr">
        <is>
          <t>30-07-2026 09:42 IST</t>
        </is>
      </c>
    </row>
    <row r="1861">
      <c r="A1861" t="n">
        <v>271</v>
      </c>
      <c r="B1861" t="n">
        <v>514128</v>
      </c>
      <c r="C1861" t="inlineStr">
        <is>
          <t>Konark Synthetic Ltd</t>
        </is>
      </c>
      <c r="D1861" t="n">
        <v>2015</v>
      </c>
      <c r="E1861" t="n">
        <v>44.5</v>
      </c>
      <c r="F1861" t="n">
        <v>0.53</v>
      </c>
      <c r="G1861" t="inlineStr">
        <is>
          <t>Consolidated first (v4) – needs verification for flagged rows</t>
        </is>
      </c>
      <c r="H1861" t="n">
        <v>20</v>
      </c>
      <c r="I1861" t="n">
        <v>11.55000019073486</v>
      </c>
      <c r="L1861" t="inlineStr">
        <is>
          <t>OK</t>
        </is>
      </c>
      <c r="M1861" t="n">
        <v>37.74</v>
      </c>
      <c r="N1861" t="n">
        <v>21.79</v>
      </c>
      <c r="O1861" t="n">
        <v>22.78</v>
      </c>
      <c r="P1861" t="n">
        <v>56</v>
      </c>
      <c r="Q1861" t="n">
        <v>15.76</v>
      </c>
      <c r="R1861" s="3" t="inlineStr">
        <is>
          <t>MISMATCH_NEEDS_CORRECTION</t>
        </is>
      </c>
      <c r="S1861" t="n">
        <v>22.78</v>
      </c>
      <c r="T1861" t="inlineStr">
        <is>
          <t>30-07-2026 09:42 IST</t>
        </is>
      </c>
    </row>
    <row r="1862">
      <c r="A1862" t="n">
        <v>271</v>
      </c>
      <c r="B1862" t="n">
        <v>514128</v>
      </c>
      <c r="C1862" t="inlineStr">
        <is>
          <t>Konark Synthetic Ltd</t>
        </is>
      </c>
      <c r="D1862" t="n">
        <v>2016</v>
      </c>
      <c r="E1862" t="n">
        <v>44.5</v>
      </c>
      <c r="F1862" t="n">
        <v>-5.65</v>
      </c>
      <c r="G1862" t="inlineStr">
        <is>
          <t>Consolidated first (v4) – needs verification for flagged rows</t>
        </is>
      </c>
      <c r="H1862" t="n">
        <v>21</v>
      </c>
      <c r="I1862" t="n">
        <v>12.64999961853027</v>
      </c>
      <c r="L1862" t="inlineStr">
        <is>
          <t>UNVERIFIED – negative EPS</t>
        </is>
      </c>
      <c r="M1862" t="n">
        <v>-3.72</v>
      </c>
      <c r="N1862" t="n">
        <v>-2.24</v>
      </c>
      <c r="O1862" t="n">
        <v>22.78</v>
      </c>
      <c r="P1862" t="n">
        <v>56</v>
      </c>
      <c r="Q1862" t="n">
        <v>15.76</v>
      </c>
      <c r="R1862" s="3" t="inlineStr">
        <is>
          <t>MISMATCH_NEEDS_CORRECTION</t>
        </is>
      </c>
      <c r="S1862" t="n">
        <v>22.78</v>
      </c>
      <c r="T1862" t="inlineStr">
        <is>
          <t>30-07-2026 09:42 IST</t>
        </is>
      </c>
    </row>
    <row r="1863">
      <c r="A1863" t="n">
        <v>271</v>
      </c>
      <c r="B1863" t="n">
        <v>514128</v>
      </c>
      <c r="C1863" t="inlineStr">
        <is>
          <t>Konark Synthetic Ltd</t>
        </is>
      </c>
      <c r="D1863" t="n">
        <v>2017</v>
      </c>
      <c r="E1863" t="n">
        <v>44.5</v>
      </c>
      <c r="F1863" t="n">
        <v>-11.42</v>
      </c>
      <c r="G1863" t="inlineStr">
        <is>
          <t>Consolidated first (v4) – needs verification for flagged rows</t>
        </is>
      </c>
      <c r="H1863" t="n">
        <v>23.04999923706055</v>
      </c>
      <c r="I1863" t="n">
        <v>12.61999988555908</v>
      </c>
      <c r="L1863" t="inlineStr">
        <is>
          <t>UNVERIFIED – negative EPS</t>
        </is>
      </c>
      <c r="M1863" t="n">
        <v>-2.02</v>
      </c>
      <c r="N1863" t="n">
        <v>-1.11</v>
      </c>
      <c r="O1863" t="n">
        <v>22.78</v>
      </c>
      <c r="P1863" t="n">
        <v>56</v>
      </c>
      <c r="Q1863" t="n">
        <v>15.76</v>
      </c>
      <c r="R1863" s="3" t="inlineStr">
        <is>
          <t>MISMATCH_NEEDS_CORRECTION</t>
        </is>
      </c>
      <c r="S1863" t="n">
        <v>22.78</v>
      </c>
      <c r="T1863" t="inlineStr">
        <is>
          <t>30-07-2026 09:42 IST</t>
        </is>
      </c>
    </row>
    <row r="1864">
      <c r="A1864" t="n">
        <v>271</v>
      </c>
      <c r="B1864" t="n">
        <v>514128</v>
      </c>
      <c r="C1864" t="inlineStr">
        <is>
          <t>Konark Synthetic Ltd</t>
        </is>
      </c>
      <c r="D1864" t="n">
        <v>2018</v>
      </c>
      <c r="E1864" t="n">
        <v>44.5</v>
      </c>
      <c r="F1864" t="n">
        <v>-14.33</v>
      </c>
      <c r="G1864" t="inlineStr">
        <is>
          <t>Consolidated first (v4) – needs verification for flagged rows</t>
        </is>
      </c>
      <c r="H1864" t="n">
        <v>25.64999961853027</v>
      </c>
      <c r="I1864" t="n">
        <v>10.39999961853027</v>
      </c>
      <c r="L1864" t="inlineStr">
        <is>
          <t>UNVERIFIED – negative EPS</t>
        </is>
      </c>
      <c r="M1864" t="n">
        <v>-1.79</v>
      </c>
      <c r="N1864" t="n">
        <v>-0.73</v>
      </c>
      <c r="O1864" t="n">
        <v>22.78</v>
      </c>
      <c r="P1864" t="n">
        <v>56</v>
      </c>
      <c r="Q1864" t="n">
        <v>15.76</v>
      </c>
      <c r="R1864" s="3" t="inlineStr">
        <is>
          <t>MISMATCH_NEEDS_CORRECTION</t>
        </is>
      </c>
      <c r="S1864" t="n">
        <v>22.78</v>
      </c>
      <c r="T1864" t="inlineStr">
        <is>
          <t>30-07-2026 09:42 IST</t>
        </is>
      </c>
    </row>
    <row r="1865">
      <c r="A1865" t="n">
        <v>271</v>
      </c>
      <c r="B1865" t="n">
        <v>514128</v>
      </c>
      <c r="C1865" t="inlineStr">
        <is>
          <t>Konark Synthetic Ltd</t>
        </is>
      </c>
      <c r="D1865" t="n">
        <v>2019</v>
      </c>
      <c r="E1865" t="n">
        <v>44.5</v>
      </c>
      <c r="F1865" t="n">
        <v>-10.62</v>
      </c>
      <c r="G1865" t="inlineStr">
        <is>
          <t>Consolidated first (v4) – needs verification for flagged rows</t>
        </is>
      </c>
      <c r="H1865" t="n">
        <v>21.89999961853027</v>
      </c>
      <c r="I1865" t="n">
        <v>8.340000152587891</v>
      </c>
      <c r="L1865" t="inlineStr">
        <is>
          <t>UNVERIFIED – negative EPS</t>
        </is>
      </c>
      <c r="M1865" t="n">
        <v>-2.06</v>
      </c>
      <c r="N1865" t="n">
        <v>-0.79</v>
      </c>
      <c r="O1865" t="n">
        <v>22.78</v>
      </c>
      <c r="P1865" t="n">
        <v>56</v>
      </c>
      <c r="Q1865" t="n">
        <v>15.76</v>
      </c>
      <c r="R1865" s="3" t="inlineStr">
        <is>
          <t>MISMATCH_NEEDS_CORRECTION</t>
        </is>
      </c>
      <c r="S1865" t="n">
        <v>22.78</v>
      </c>
      <c r="T1865" t="inlineStr">
        <is>
          <t>30-07-2026 09:42 IST</t>
        </is>
      </c>
    </row>
    <row r="1866">
      <c r="A1866" t="n">
        <v>271</v>
      </c>
      <c r="B1866" t="n">
        <v>514128</v>
      </c>
      <c r="C1866" t="inlineStr">
        <is>
          <t>Konark Synthetic Ltd</t>
        </is>
      </c>
      <c r="D1866" t="n">
        <v>2020</v>
      </c>
      <c r="E1866" t="n">
        <v>44.5</v>
      </c>
      <c r="F1866" t="n">
        <v>-41.46</v>
      </c>
      <c r="G1866" t="inlineStr">
        <is>
          <t>Consolidated first (v4) – needs verification for flagged rows</t>
        </is>
      </c>
      <c r="H1866" t="n">
        <v>20.79999923706055</v>
      </c>
      <c r="I1866" t="n">
        <v>6.690000057220459</v>
      </c>
      <c r="L1866" t="inlineStr">
        <is>
          <t>UNVERIFIED – negative EPS</t>
        </is>
      </c>
      <c r="M1866" t="n">
        <v>-0.5</v>
      </c>
      <c r="N1866" t="n">
        <v>-0.16</v>
      </c>
      <c r="O1866" t="n">
        <v>22.78</v>
      </c>
      <c r="P1866" t="n">
        <v>56</v>
      </c>
      <c r="Q1866" t="n">
        <v>15.76</v>
      </c>
      <c r="R1866" s="3" t="inlineStr">
        <is>
          <t>MISMATCH_NEEDS_CORRECTION</t>
        </is>
      </c>
      <c r="S1866" t="n">
        <v>22.78</v>
      </c>
      <c r="T1866" t="inlineStr">
        <is>
          <t>30-07-2026 09:42 IST</t>
        </is>
      </c>
    </row>
    <row r="1867">
      <c r="A1867" t="n">
        <v>271</v>
      </c>
      <c r="B1867" t="n">
        <v>514128</v>
      </c>
      <c r="C1867" t="inlineStr">
        <is>
          <t>Konark Synthetic Ltd</t>
        </is>
      </c>
      <c r="D1867" t="n">
        <v>2021</v>
      </c>
      <c r="E1867" t="n">
        <v>44.5</v>
      </c>
      <c r="F1867" t="n">
        <v>-18.04</v>
      </c>
      <c r="G1867" t="inlineStr">
        <is>
          <t>Consolidated first (v4) – needs verification for flagged rows</t>
        </is>
      </c>
      <c r="H1867" t="n">
        <v>17.85000038146973</v>
      </c>
      <c r="I1867" t="n">
        <v>5.929999828338623</v>
      </c>
      <c r="L1867" t="inlineStr">
        <is>
          <t>UNVERIFIED – negative EPS</t>
        </is>
      </c>
      <c r="M1867" t="n">
        <v>-0.99</v>
      </c>
      <c r="N1867" t="n">
        <v>-0.33</v>
      </c>
      <c r="O1867" t="n">
        <v>22.78</v>
      </c>
      <c r="P1867" t="n">
        <v>56</v>
      </c>
      <c r="Q1867" t="n">
        <v>15.76</v>
      </c>
      <c r="R1867" s="3" t="inlineStr">
        <is>
          <t>MISMATCH_NEEDS_CORRECTION</t>
        </is>
      </c>
      <c r="S1867" t="n">
        <v>22.78</v>
      </c>
      <c r="T1867" t="inlineStr">
        <is>
          <t>30-07-2026 09:42 IST</t>
        </is>
      </c>
    </row>
    <row r="1868">
      <c r="A1868" t="n">
        <v>271</v>
      </c>
      <c r="B1868" t="n">
        <v>514128</v>
      </c>
      <c r="C1868" t="inlineStr">
        <is>
          <t>Konark Synthetic Ltd</t>
        </is>
      </c>
      <c r="D1868" t="n">
        <v>2022</v>
      </c>
      <c r="E1868" t="n">
        <v>44.5</v>
      </c>
      <c r="F1868" t="n">
        <v>-4.41</v>
      </c>
      <c r="G1868" t="inlineStr">
        <is>
          <t>Consolidated first (v4) – needs verification for flagged rows</t>
        </is>
      </c>
      <c r="H1868" t="n">
        <v>17.04000091552734</v>
      </c>
      <c r="I1868" t="n">
        <v>10.25</v>
      </c>
      <c r="L1868" t="inlineStr">
        <is>
          <t>UNVERIFIED – negative EPS</t>
        </is>
      </c>
      <c r="M1868" t="n">
        <v>-3.86</v>
      </c>
      <c r="N1868" t="n">
        <v>-2.32</v>
      </c>
      <c r="O1868" t="n">
        <v>22.78</v>
      </c>
      <c r="P1868" t="n">
        <v>56</v>
      </c>
      <c r="Q1868" t="n">
        <v>15.76</v>
      </c>
      <c r="R1868" s="3" t="inlineStr">
        <is>
          <t>MISMATCH_NEEDS_CORRECTION</t>
        </is>
      </c>
      <c r="S1868" t="n">
        <v>22.78</v>
      </c>
      <c r="T1868" t="inlineStr">
        <is>
          <t>30-07-2026 09:42 IST</t>
        </is>
      </c>
    </row>
    <row r="1869">
      <c r="A1869" t="n">
        <v>271</v>
      </c>
      <c r="B1869" t="n">
        <v>514128</v>
      </c>
      <c r="C1869" t="inlineStr">
        <is>
          <t>Konark Synthetic Ltd</t>
        </is>
      </c>
      <c r="D1869" t="n">
        <v>2023</v>
      </c>
      <c r="E1869" t="n">
        <v>44.5</v>
      </c>
      <c r="F1869" t="n">
        <v>-18.94</v>
      </c>
      <c r="G1869" t="inlineStr">
        <is>
          <t>Consolidated first (v4) – needs verification for flagged rows</t>
        </is>
      </c>
      <c r="H1869" t="n">
        <v>17.04999923706055</v>
      </c>
      <c r="I1869" t="n">
        <v>10.48999977111816</v>
      </c>
      <c r="L1869" t="inlineStr">
        <is>
          <t>UNVERIFIED – negative EPS</t>
        </is>
      </c>
      <c r="M1869" t="n">
        <v>-0.9</v>
      </c>
      <c r="N1869" t="n">
        <v>-0.55</v>
      </c>
      <c r="O1869" t="n">
        <v>22.78</v>
      </c>
      <c r="P1869" t="n">
        <v>56</v>
      </c>
      <c r="Q1869" t="n">
        <v>15.76</v>
      </c>
      <c r="R1869" s="3" t="inlineStr">
        <is>
          <t>MISMATCH_NEEDS_CORRECTION</t>
        </is>
      </c>
      <c r="S1869" t="n">
        <v>22.78</v>
      </c>
      <c r="T1869" t="inlineStr">
        <is>
          <t>30-07-2026 09:42 IST</t>
        </is>
      </c>
    </row>
    <row r="1870">
      <c r="A1870" t="n">
        <v>271</v>
      </c>
      <c r="B1870" t="n">
        <v>514128</v>
      </c>
      <c r="C1870" t="inlineStr">
        <is>
          <t>Konark Synthetic Ltd</t>
        </is>
      </c>
      <c r="D1870" t="n">
        <v>2024</v>
      </c>
      <c r="E1870" t="n">
        <v>44.5</v>
      </c>
      <c r="F1870" t="n">
        <v>0.26</v>
      </c>
      <c r="G1870" t="inlineStr">
        <is>
          <t>Consolidated first (v4) – needs verification for flagged rows</t>
        </is>
      </c>
      <c r="H1870" t="n">
        <v>56</v>
      </c>
      <c r="I1870" t="n">
        <v>13.52999973297119</v>
      </c>
      <c r="L1870" t="inlineStr">
        <is>
          <t>UNVERIFIED – tiny EPS &lt;0.5</t>
        </is>
      </c>
      <c r="M1870" t="n">
        <v>215.38</v>
      </c>
      <c r="N1870" t="n">
        <v>52.04</v>
      </c>
      <c r="O1870" t="n">
        <v>22.78</v>
      </c>
      <c r="P1870" t="n">
        <v>56</v>
      </c>
      <c r="Q1870" t="n">
        <v>15.76</v>
      </c>
      <c r="R1870" s="3" t="inlineStr">
        <is>
          <t>MISMATCH_NEEDS_CORRECTION</t>
        </is>
      </c>
      <c r="S1870" t="n">
        <v>22.78</v>
      </c>
      <c r="T1870" t="inlineStr">
        <is>
          <t>30-07-2026 09:42 IST</t>
        </is>
      </c>
    </row>
    <row r="1871">
      <c r="A1871" t="n">
        <v>271</v>
      </c>
      <c r="B1871" t="n">
        <v>514128</v>
      </c>
      <c r="C1871" t="inlineStr">
        <is>
          <t>Konark Synthetic Ltd</t>
        </is>
      </c>
      <c r="D1871" t="n">
        <v>2025</v>
      </c>
      <c r="E1871" t="n">
        <v>44.5</v>
      </c>
      <c r="F1871" t="n">
        <v>-5.87</v>
      </c>
      <c r="G1871" t="inlineStr">
        <is>
          <t>Consolidated first (v4) – needs verification for flagged rows</t>
        </is>
      </c>
      <c r="H1871" t="n">
        <v>45.79999923706055</v>
      </c>
      <c r="I1871" t="n">
        <v>25</v>
      </c>
      <c r="L1871" t="inlineStr">
        <is>
          <t>UNVERIFIED – negative EPS</t>
        </is>
      </c>
      <c r="M1871" t="n">
        <v>-7.8</v>
      </c>
      <c r="N1871" t="n">
        <v>-4.26</v>
      </c>
      <c r="O1871" t="n">
        <v>22.78</v>
      </c>
      <c r="P1871" t="n">
        <v>56</v>
      </c>
      <c r="Q1871" t="n">
        <v>15.76</v>
      </c>
      <c r="R1871" s="3" t="inlineStr">
        <is>
          <t>MISMATCH_NEEDS_CORRECTION</t>
        </is>
      </c>
      <c r="S1871" t="n">
        <v>22.78</v>
      </c>
      <c r="T1871" t="inlineStr">
        <is>
          <t>30-07-2026 09:42 IST</t>
        </is>
      </c>
    </row>
    <row r="1872">
      <c r="A1872" t="n">
        <v>271</v>
      </c>
      <c r="B1872" t="n">
        <v>514128</v>
      </c>
      <c r="C1872" t="inlineStr">
        <is>
          <t>Konark Synthetic Ltd</t>
        </is>
      </c>
      <c r="D1872" t="n">
        <v>2026</v>
      </c>
      <c r="E1872" t="n">
        <v>44.5</v>
      </c>
      <c r="G1872" t="inlineStr">
        <is>
          <t>Consolidated first (v4) – needs verification for flagged rows</t>
        </is>
      </c>
      <c r="H1872" t="n">
        <v>50.34999847412109</v>
      </c>
      <c r="I1872" t="n">
        <v>33.90000152587891</v>
      </c>
      <c r="L1872" t="inlineStr">
        <is>
          <t>INCOMPLETE</t>
        </is>
      </c>
      <c r="O1872" t="n">
        <v>22.78</v>
      </c>
      <c r="P1872" t="n">
        <v>56</v>
      </c>
      <c r="Q1872" t="n">
        <v>15.76</v>
      </c>
      <c r="R1872" s="3" t="inlineStr">
        <is>
          <t>MISMATCH_NEEDS_CORRECTION</t>
        </is>
      </c>
      <c r="S1872" t="n">
        <v>22.78</v>
      </c>
      <c r="T1872" t="inlineStr">
        <is>
          <t>30-07-2026 09:42 IST</t>
        </is>
      </c>
    </row>
    <row r="1873">
      <c r="A1873" t="n">
        <v>273</v>
      </c>
      <c r="B1873" t="n">
        <v>514167</v>
      </c>
      <c r="C1873" t="inlineStr">
        <is>
          <t>Gandhimathi Appliances Ltd</t>
        </is>
      </c>
      <c r="D1873" t="n">
        <v>2015</v>
      </c>
      <c r="E1873" t="n">
        <v>1214.949951171875</v>
      </c>
      <c r="G1873" t="inlineStr">
        <is>
          <t>Consolidated first (v4) – needs verification for flagged rows</t>
        </is>
      </c>
      <c r="H1873" t="n">
        <v>183.8000030517578</v>
      </c>
      <c r="I1873" t="n">
        <v>109</v>
      </c>
      <c r="L1873" t="inlineStr">
        <is>
          <t>INCOMPLETE</t>
        </is>
      </c>
      <c r="O1873" t="n">
        <v>730.05</v>
      </c>
      <c r="P1873" t="n">
        <v>823.85</v>
      </c>
      <c r="Q1873" t="n">
        <v>565.8</v>
      </c>
      <c r="R1873" s="3" t="inlineStr">
        <is>
          <t>MISMATCH_NEEDS_CORRECTION</t>
        </is>
      </c>
      <c r="S1873" t="n">
        <v>730.05</v>
      </c>
      <c r="T1873" t="inlineStr">
        <is>
          <t>30-07-2026 09:42 IST</t>
        </is>
      </c>
    </row>
    <row r="1874">
      <c r="A1874" t="n">
        <v>273</v>
      </c>
      <c r="B1874" t="n">
        <v>514167</v>
      </c>
      <c r="C1874" t="inlineStr">
        <is>
          <t>Gandhimathi Appliances Ltd</t>
        </is>
      </c>
      <c r="D1874" t="n">
        <v>2016</v>
      </c>
      <c r="E1874" t="n">
        <v>1214.949951171875</v>
      </c>
      <c r="G1874" t="inlineStr">
        <is>
          <t>Consolidated first (v4) – needs verification for flagged rows</t>
        </is>
      </c>
      <c r="H1874" t="n">
        <v>239.8500061035156</v>
      </c>
      <c r="I1874" t="n">
        <v>112.0999984741211</v>
      </c>
      <c r="L1874" t="inlineStr">
        <is>
          <t>INCOMPLETE</t>
        </is>
      </c>
      <c r="O1874" t="n">
        <v>730.05</v>
      </c>
      <c r="P1874" t="n">
        <v>823.85</v>
      </c>
      <c r="Q1874" t="n">
        <v>565.8</v>
      </c>
      <c r="R1874" s="3" t="inlineStr">
        <is>
          <t>MISMATCH_NEEDS_CORRECTION</t>
        </is>
      </c>
      <c r="S1874" t="n">
        <v>730.05</v>
      </c>
      <c r="T1874" t="inlineStr">
        <is>
          <t>30-07-2026 09:42 IST</t>
        </is>
      </c>
    </row>
    <row r="1875">
      <c r="A1875" t="n">
        <v>273</v>
      </c>
      <c r="B1875" t="n">
        <v>514167</v>
      </c>
      <c r="C1875" t="inlineStr">
        <is>
          <t>Gandhimathi Appliances Ltd</t>
        </is>
      </c>
      <c r="D1875" t="n">
        <v>2017</v>
      </c>
      <c r="E1875" t="n">
        <v>1214.949951171875</v>
      </c>
      <c r="G1875" t="inlineStr">
        <is>
          <t>Consolidated first (v4) – needs verification for flagged rows</t>
        </is>
      </c>
      <c r="H1875" t="n">
        <v>429</v>
      </c>
      <c r="I1875" t="n">
        <v>168</v>
      </c>
      <c r="L1875" t="inlineStr">
        <is>
          <t>INCOMPLETE</t>
        </is>
      </c>
      <c r="O1875" t="n">
        <v>730.05</v>
      </c>
      <c r="P1875" t="n">
        <v>823.85</v>
      </c>
      <c r="Q1875" t="n">
        <v>565.8</v>
      </c>
      <c r="R1875" s="3" t="inlineStr">
        <is>
          <t>MISMATCH_NEEDS_CORRECTION</t>
        </is>
      </c>
      <c r="S1875" t="n">
        <v>730.05</v>
      </c>
      <c r="T1875" t="inlineStr">
        <is>
          <t>30-07-2026 09:42 IST</t>
        </is>
      </c>
    </row>
    <row r="1876">
      <c r="A1876" t="n">
        <v>273</v>
      </c>
      <c r="B1876" t="n">
        <v>514167</v>
      </c>
      <c r="C1876" t="inlineStr">
        <is>
          <t>Gandhimathi Appliances Ltd</t>
        </is>
      </c>
      <c r="D1876" t="n">
        <v>2018</v>
      </c>
      <c r="E1876" t="n">
        <v>1214.949951171875</v>
      </c>
      <c r="G1876" t="inlineStr">
        <is>
          <t>Consolidated first (v4) – needs verification for flagged rows</t>
        </is>
      </c>
      <c r="H1876" t="n">
        <v>480</v>
      </c>
      <c r="I1876" t="n">
        <v>242</v>
      </c>
      <c r="L1876" t="inlineStr">
        <is>
          <t>INCOMPLETE</t>
        </is>
      </c>
      <c r="O1876" t="n">
        <v>730.05</v>
      </c>
      <c r="P1876" t="n">
        <v>823.85</v>
      </c>
      <c r="Q1876" t="n">
        <v>565.8</v>
      </c>
      <c r="R1876" s="3" t="inlineStr">
        <is>
          <t>MISMATCH_NEEDS_CORRECTION</t>
        </is>
      </c>
      <c r="S1876" t="n">
        <v>730.05</v>
      </c>
      <c r="T1876" t="inlineStr">
        <is>
          <t>30-07-2026 09:42 IST</t>
        </is>
      </c>
    </row>
    <row r="1877">
      <c r="A1877" t="n">
        <v>273</v>
      </c>
      <c r="B1877" t="n">
        <v>514167</v>
      </c>
      <c r="C1877" t="inlineStr">
        <is>
          <t>Gandhimathi Appliances Ltd</t>
        </is>
      </c>
      <c r="D1877" t="n">
        <v>2019</v>
      </c>
      <c r="E1877" t="n">
        <v>1214.949951171875</v>
      </c>
      <c r="G1877" t="inlineStr">
        <is>
          <t>Consolidated first (v4) – needs verification for flagged rows</t>
        </is>
      </c>
      <c r="H1877" t="n">
        <v>374.75</v>
      </c>
      <c r="I1877" t="n">
        <v>229</v>
      </c>
      <c r="L1877" t="inlineStr">
        <is>
          <t>INCOMPLETE</t>
        </is>
      </c>
      <c r="O1877" t="n">
        <v>730.05</v>
      </c>
      <c r="P1877" t="n">
        <v>823.85</v>
      </c>
      <c r="Q1877" t="n">
        <v>565.8</v>
      </c>
      <c r="R1877" s="3" t="inlineStr">
        <is>
          <t>MISMATCH_NEEDS_CORRECTION</t>
        </is>
      </c>
      <c r="S1877" t="n">
        <v>730.05</v>
      </c>
      <c r="T1877" t="inlineStr">
        <is>
          <t>30-07-2026 09:42 IST</t>
        </is>
      </c>
    </row>
    <row r="1878">
      <c r="A1878" t="n">
        <v>273</v>
      </c>
      <c r="B1878" t="n">
        <v>514167</v>
      </c>
      <c r="C1878" t="inlineStr">
        <is>
          <t>Gandhimathi Appliances Ltd</t>
        </is>
      </c>
      <c r="D1878" t="n">
        <v>2020</v>
      </c>
      <c r="E1878" t="n">
        <v>1214.949951171875</v>
      </c>
      <c r="F1878" t="n">
        <v>29.17</v>
      </c>
      <c r="G1878" t="inlineStr">
        <is>
          <t>Consolidated first (v4) – needs verification for flagged rows</t>
        </is>
      </c>
      <c r="H1878" t="n">
        <v>403.2999877929688</v>
      </c>
      <c r="I1878" t="n">
        <v>138.25</v>
      </c>
      <c r="L1878" t="inlineStr">
        <is>
          <t>OK</t>
        </is>
      </c>
      <c r="M1878" t="n">
        <v>13.83</v>
      </c>
      <c r="N1878" t="n">
        <v>4.74</v>
      </c>
      <c r="O1878" t="n">
        <v>730.05</v>
      </c>
      <c r="P1878" t="n">
        <v>823.85</v>
      </c>
      <c r="Q1878" t="n">
        <v>565.8</v>
      </c>
      <c r="R1878" s="3" t="inlineStr">
        <is>
          <t>MISMATCH_NEEDS_CORRECTION</t>
        </is>
      </c>
      <c r="S1878" t="n">
        <v>730.05</v>
      </c>
      <c r="T1878" t="inlineStr">
        <is>
          <t>30-07-2026 09:42 IST</t>
        </is>
      </c>
    </row>
    <row r="1879">
      <c r="A1879" t="n">
        <v>273</v>
      </c>
      <c r="B1879" t="n">
        <v>514167</v>
      </c>
      <c r="C1879" t="inlineStr">
        <is>
          <t>Gandhimathi Appliances Ltd</t>
        </is>
      </c>
      <c r="D1879" t="n">
        <v>2021</v>
      </c>
      <c r="E1879" t="n">
        <v>1214.949951171875</v>
      </c>
      <c r="F1879" t="n">
        <v>19.94</v>
      </c>
      <c r="G1879" t="inlineStr">
        <is>
          <t>Consolidated first (v4) – needs verification for flagged rows</t>
        </is>
      </c>
      <c r="H1879" t="n">
        <v>687.7000122070312</v>
      </c>
      <c r="I1879" t="n">
        <v>426.2000122070312</v>
      </c>
      <c r="L1879" t="inlineStr">
        <is>
          <t>OK</t>
        </is>
      </c>
      <c r="M1879" t="n">
        <v>34.49</v>
      </c>
      <c r="N1879" t="n">
        <v>21.37</v>
      </c>
      <c r="O1879" t="n">
        <v>730.05</v>
      </c>
      <c r="P1879" t="n">
        <v>823.85</v>
      </c>
      <c r="Q1879" t="n">
        <v>565.8</v>
      </c>
      <c r="R1879" s="3" t="inlineStr">
        <is>
          <t>MISMATCH_NEEDS_CORRECTION</t>
        </is>
      </c>
      <c r="S1879" t="n">
        <v>730.05</v>
      </c>
      <c r="T1879" t="inlineStr">
        <is>
          <t>30-07-2026 09:42 IST</t>
        </is>
      </c>
    </row>
    <row r="1880">
      <c r="A1880" t="n">
        <v>273</v>
      </c>
      <c r="B1880" t="n">
        <v>514167</v>
      </c>
      <c r="C1880" t="inlineStr">
        <is>
          <t>Gandhimathi Appliances Ltd</t>
        </is>
      </c>
      <c r="D1880" t="n">
        <v>2022</v>
      </c>
      <c r="E1880" t="n">
        <v>1214.949951171875</v>
      </c>
      <c r="F1880" t="n">
        <v>28.39</v>
      </c>
      <c r="G1880" t="inlineStr">
        <is>
          <t>Consolidated first (v4) – needs verification for flagged rows</t>
        </is>
      </c>
      <c r="H1880" t="n">
        <v>985.0499877929688</v>
      </c>
      <c r="I1880" t="n">
        <v>517.6500244140625</v>
      </c>
      <c r="L1880" t="inlineStr">
        <is>
          <t>OK</t>
        </is>
      </c>
      <c r="M1880" t="n">
        <v>34.7</v>
      </c>
      <c r="N1880" t="n">
        <v>18.23</v>
      </c>
      <c r="O1880" t="n">
        <v>730.05</v>
      </c>
      <c r="P1880" t="n">
        <v>823.85</v>
      </c>
      <c r="Q1880" t="n">
        <v>565.8</v>
      </c>
      <c r="R1880" s="3" t="inlineStr">
        <is>
          <t>MISMATCH_NEEDS_CORRECTION</t>
        </is>
      </c>
      <c r="S1880" t="n">
        <v>730.05</v>
      </c>
      <c r="T1880" t="inlineStr">
        <is>
          <t>30-07-2026 09:42 IST</t>
        </is>
      </c>
    </row>
    <row r="1881">
      <c r="A1881" t="n">
        <v>273</v>
      </c>
      <c r="B1881" t="n">
        <v>514167</v>
      </c>
      <c r="C1881" t="inlineStr">
        <is>
          <t>Gandhimathi Appliances Ltd</t>
        </is>
      </c>
      <c r="D1881" t="n">
        <v>2023</v>
      </c>
      <c r="E1881" t="n">
        <v>1214.949951171875</v>
      </c>
      <c r="F1881" t="n">
        <v>31.82</v>
      </c>
      <c r="G1881" t="inlineStr">
        <is>
          <t>Consolidated first (v4) – needs verification for flagged rows</t>
        </is>
      </c>
      <c r="H1881" t="n">
        <v>1158.949951171875</v>
      </c>
      <c r="I1881" t="n">
        <v>796.0499877929688</v>
      </c>
      <c r="L1881" t="inlineStr">
        <is>
          <t>OK</t>
        </is>
      </c>
      <c r="M1881" t="n">
        <v>36.42</v>
      </c>
      <c r="N1881" t="n">
        <v>25.02</v>
      </c>
      <c r="O1881" t="n">
        <v>730.05</v>
      </c>
      <c r="P1881" t="n">
        <v>823.85</v>
      </c>
      <c r="Q1881" t="n">
        <v>565.8</v>
      </c>
      <c r="R1881" s="3" t="inlineStr">
        <is>
          <t>MISMATCH_NEEDS_CORRECTION</t>
        </is>
      </c>
      <c r="S1881" t="n">
        <v>730.05</v>
      </c>
      <c r="T1881" t="inlineStr">
        <is>
          <t>30-07-2026 09:42 IST</t>
        </is>
      </c>
    </row>
    <row r="1882">
      <c r="A1882" t="n">
        <v>273</v>
      </c>
      <c r="B1882" t="n">
        <v>514167</v>
      </c>
      <c r="C1882" t="inlineStr">
        <is>
          <t>Gandhimathi Appliances Ltd</t>
        </is>
      </c>
      <c r="D1882" t="n">
        <v>2024</v>
      </c>
      <c r="E1882" t="n">
        <v>1214.949951171875</v>
      </c>
      <c r="F1882" t="n">
        <v>16.01</v>
      </c>
      <c r="G1882" t="inlineStr">
        <is>
          <t>Consolidated first (v4) – needs verification for flagged rows</t>
        </is>
      </c>
      <c r="H1882" t="n">
        <v>2480</v>
      </c>
      <c r="I1882" t="n">
        <v>900.7999877929688</v>
      </c>
      <c r="L1882" t="inlineStr">
        <is>
          <t>OK</t>
        </is>
      </c>
      <c r="M1882" t="n">
        <v>154.9</v>
      </c>
      <c r="N1882" t="n">
        <v>56.26</v>
      </c>
      <c r="O1882" t="n">
        <v>730.05</v>
      </c>
      <c r="P1882" t="n">
        <v>823.85</v>
      </c>
      <c r="Q1882" t="n">
        <v>565.8</v>
      </c>
      <c r="R1882" s="3" t="inlineStr">
        <is>
          <t>MISMATCH_NEEDS_CORRECTION</t>
        </is>
      </c>
      <c r="S1882" t="n">
        <v>730.05</v>
      </c>
      <c r="T1882" t="inlineStr">
        <is>
          <t>30-07-2026 09:42 IST</t>
        </is>
      </c>
    </row>
    <row r="1883">
      <c r="A1883" t="n">
        <v>273</v>
      </c>
      <c r="B1883" t="n">
        <v>514167</v>
      </c>
      <c r="C1883" t="inlineStr">
        <is>
          <t>Gandhimathi Appliances Ltd</t>
        </is>
      </c>
      <c r="D1883" t="n">
        <v>2025</v>
      </c>
      <c r="E1883" t="n">
        <v>1214.949951171875</v>
      </c>
      <c r="F1883" t="n">
        <v>40.51</v>
      </c>
      <c r="G1883" t="inlineStr">
        <is>
          <t>Consolidated first (v4) – needs verification for flagged rows</t>
        </is>
      </c>
      <c r="H1883" t="n">
        <v>2050</v>
      </c>
      <c r="I1883" t="n">
        <v>830</v>
      </c>
      <c r="L1883" t="inlineStr">
        <is>
          <t>OK</t>
        </is>
      </c>
      <c r="M1883" t="n">
        <v>50.6</v>
      </c>
      <c r="N1883" t="n">
        <v>20.49</v>
      </c>
      <c r="O1883" t="n">
        <v>730.05</v>
      </c>
      <c r="P1883" t="n">
        <v>823.85</v>
      </c>
      <c r="Q1883" t="n">
        <v>565.8</v>
      </c>
      <c r="R1883" s="3" t="inlineStr">
        <is>
          <t>MISMATCH_NEEDS_CORRECTION</t>
        </is>
      </c>
      <c r="S1883" t="n">
        <v>730.05</v>
      </c>
      <c r="T1883" t="inlineStr">
        <is>
          <t>30-07-2026 09:42 IST</t>
        </is>
      </c>
    </row>
    <row r="1884">
      <c r="A1884" t="n">
        <v>273</v>
      </c>
      <c r="B1884" t="n">
        <v>514167</v>
      </c>
      <c r="C1884" t="inlineStr">
        <is>
          <t>Gandhimathi Appliances Ltd</t>
        </is>
      </c>
      <c r="D1884" t="n">
        <v>2026</v>
      </c>
      <c r="E1884" t="n">
        <v>1214.949951171875</v>
      </c>
      <c r="F1884" t="n">
        <v>14.26</v>
      </c>
      <c r="G1884" t="inlineStr">
        <is>
          <t>Consolidated first (v4) – needs verification for flagged rows</t>
        </is>
      </c>
      <c r="H1884" t="n">
        <v>1270.5</v>
      </c>
      <c r="I1884" t="n">
        <v>653.25</v>
      </c>
      <c r="L1884" t="inlineStr">
        <is>
          <t>OK</t>
        </is>
      </c>
      <c r="M1884" t="n">
        <v>89.09999999999999</v>
      </c>
      <c r="N1884" t="n">
        <v>45.81</v>
      </c>
      <c r="O1884" t="n">
        <v>730.05</v>
      </c>
      <c r="P1884" t="n">
        <v>823.85</v>
      </c>
      <c r="Q1884" t="n">
        <v>565.8</v>
      </c>
      <c r="R1884" s="3" t="inlineStr">
        <is>
          <t>MISMATCH_NEEDS_CORRECTION</t>
        </is>
      </c>
      <c r="S1884" t="n">
        <v>730.05</v>
      </c>
      <c r="T1884" t="inlineStr">
        <is>
          <t>30-07-2026 09:42 IST</t>
        </is>
      </c>
    </row>
    <row r="1885">
      <c r="A1885" t="n">
        <v>274</v>
      </c>
      <c r="B1885" t="n">
        <v>514175</v>
      </c>
      <c r="C1885" t="inlineStr">
        <is>
          <t>Vardhman Polytex Ltd</t>
        </is>
      </c>
      <c r="D1885" t="n">
        <v>2015</v>
      </c>
      <c r="E1885" t="n">
        <v>6.150000095367432</v>
      </c>
      <c r="F1885" t="n">
        <v>-1.54</v>
      </c>
      <c r="G1885" t="inlineStr">
        <is>
          <t>Consolidated first (v4) – needs verification for flagged rows</t>
        </is>
      </c>
      <c r="H1885" t="n">
        <v>6.800000190734863</v>
      </c>
      <c r="I1885" t="n">
        <v>3.400000095367432</v>
      </c>
      <c r="L1885" t="inlineStr">
        <is>
          <t>UNVERIFIED – negative EPS</t>
        </is>
      </c>
      <c r="M1885" t="n">
        <v>-4.42</v>
      </c>
      <c r="N1885" t="n">
        <v>-2.21</v>
      </c>
      <c r="O1885" t="n">
        <v>5.98</v>
      </c>
      <c r="P1885" t="n">
        <v>10.6</v>
      </c>
      <c r="Q1885" t="n">
        <v>5.1</v>
      </c>
      <c r="R1885" s="2" t="inlineStr">
        <is>
          <t>VERIFIED_OK</t>
        </is>
      </c>
      <c r="S1885" t="n">
        <v>5.98</v>
      </c>
      <c r="T1885" t="inlineStr">
        <is>
          <t>30-07-2026 09:42 IST</t>
        </is>
      </c>
    </row>
    <row r="1886">
      <c r="A1886" t="n">
        <v>274</v>
      </c>
      <c r="B1886" t="n">
        <v>514175</v>
      </c>
      <c r="C1886" t="inlineStr">
        <is>
          <t>Vardhman Polytex Ltd</t>
        </is>
      </c>
      <c r="D1886" t="n">
        <v>2016</v>
      </c>
      <c r="E1886" t="n">
        <v>6.150000095367432</v>
      </c>
      <c r="F1886" t="n">
        <v>-0.52</v>
      </c>
      <c r="G1886" t="inlineStr">
        <is>
          <t>Consolidated first (v4) – needs verification for flagged rows</t>
        </is>
      </c>
      <c r="H1886" t="n">
        <v>9.664999961853027</v>
      </c>
      <c r="I1886" t="n">
        <v>3.309999942779541</v>
      </c>
      <c r="L1886" t="inlineStr">
        <is>
          <t>UNVERIFIED – negative EPS</t>
        </is>
      </c>
      <c r="M1886" t="n">
        <v>-18.59</v>
      </c>
      <c r="N1886" t="n">
        <v>-6.37</v>
      </c>
      <c r="O1886" t="n">
        <v>5.98</v>
      </c>
      <c r="P1886" t="n">
        <v>10.6</v>
      </c>
      <c r="Q1886" t="n">
        <v>5.1</v>
      </c>
      <c r="R1886" s="2" t="inlineStr">
        <is>
          <t>VERIFIED_OK</t>
        </is>
      </c>
      <c r="S1886" t="n">
        <v>5.98</v>
      </c>
      <c r="T1886" t="inlineStr">
        <is>
          <t>30-07-2026 09:42 IST</t>
        </is>
      </c>
    </row>
    <row r="1887">
      <c r="A1887" t="n">
        <v>274</v>
      </c>
      <c r="B1887" t="n">
        <v>514175</v>
      </c>
      <c r="C1887" t="inlineStr">
        <is>
          <t>Vardhman Polytex Ltd</t>
        </is>
      </c>
      <c r="D1887" t="n">
        <v>2017</v>
      </c>
      <c r="E1887" t="n">
        <v>6.150000095367432</v>
      </c>
      <c r="F1887" t="n">
        <v>-1.15</v>
      </c>
      <c r="G1887" t="inlineStr">
        <is>
          <t>Consolidated first (v4) – needs verification for flagged rows</t>
        </is>
      </c>
      <c r="H1887" t="n">
        <v>8.680000305175781</v>
      </c>
      <c r="I1887" t="n">
        <v>3.005000114440918</v>
      </c>
      <c r="L1887" t="inlineStr">
        <is>
          <t>UNVERIFIED – negative EPS</t>
        </is>
      </c>
      <c r="M1887" t="n">
        <v>-7.55</v>
      </c>
      <c r="N1887" t="n">
        <v>-2.61</v>
      </c>
      <c r="O1887" t="n">
        <v>5.98</v>
      </c>
      <c r="P1887" t="n">
        <v>10.6</v>
      </c>
      <c r="Q1887" t="n">
        <v>5.1</v>
      </c>
      <c r="R1887" s="2" t="inlineStr">
        <is>
          <t>VERIFIED_OK</t>
        </is>
      </c>
      <c r="S1887" t="n">
        <v>5.98</v>
      </c>
      <c r="T1887" t="inlineStr">
        <is>
          <t>30-07-2026 09:42 IST</t>
        </is>
      </c>
    </row>
    <row r="1888">
      <c r="A1888" t="n">
        <v>274</v>
      </c>
      <c r="B1888" t="n">
        <v>514175</v>
      </c>
      <c r="C1888" t="inlineStr">
        <is>
          <t>Vardhman Polytex Ltd</t>
        </is>
      </c>
      <c r="D1888" t="n">
        <v>2018</v>
      </c>
      <c r="E1888" t="n">
        <v>6.150000095367432</v>
      </c>
      <c r="F1888" t="n">
        <v>-5.9</v>
      </c>
      <c r="G1888" t="inlineStr">
        <is>
          <t>Consolidated first (v4) – needs verification for flagged rows</t>
        </is>
      </c>
      <c r="H1888" t="n">
        <v>4.190000057220459</v>
      </c>
      <c r="L1888" t="inlineStr">
        <is>
          <t>UNVERIFIED – negative EPS</t>
        </is>
      </c>
      <c r="M1888" t="n">
        <v>-0.71</v>
      </c>
      <c r="O1888" t="n">
        <v>5.98</v>
      </c>
      <c r="P1888" t="n">
        <v>10.6</v>
      </c>
      <c r="Q1888" t="n">
        <v>5.1</v>
      </c>
      <c r="R1888" s="2" t="inlineStr">
        <is>
          <t>VERIFIED_OK</t>
        </is>
      </c>
      <c r="S1888" t="n">
        <v>5.98</v>
      </c>
      <c r="T1888" t="inlineStr">
        <is>
          <t>30-07-2026 09:42 IST</t>
        </is>
      </c>
    </row>
    <row r="1889">
      <c r="A1889" t="n">
        <v>274</v>
      </c>
      <c r="B1889" t="n">
        <v>514175</v>
      </c>
      <c r="C1889" t="inlineStr">
        <is>
          <t>Vardhman Polytex Ltd</t>
        </is>
      </c>
      <c r="D1889" t="n">
        <v>2019</v>
      </c>
      <c r="E1889" t="n">
        <v>6.150000095367432</v>
      </c>
      <c r="F1889" t="n">
        <v>-2.54</v>
      </c>
      <c r="G1889" t="inlineStr">
        <is>
          <t>Consolidated first (v4) – needs verification for flagged rows</t>
        </is>
      </c>
      <c r="H1889" t="n">
        <v>1.248999953269958</v>
      </c>
      <c r="L1889" t="inlineStr">
        <is>
          <t>UNVERIFIED – negative EPS</t>
        </is>
      </c>
      <c r="M1889" t="n">
        <v>-0.49</v>
      </c>
      <c r="O1889" t="n">
        <v>5.98</v>
      </c>
      <c r="P1889" t="n">
        <v>10.6</v>
      </c>
      <c r="Q1889" t="n">
        <v>5.1</v>
      </c>
      <c r="R1889" s="2" t="inlineStr">
        <is>
          <t>VERIFIED_OK</t>
        </is>
      </c>
      <c r="S1889" t="n">
        <v>5.98</v>
      </c>
      <c r="T1889" t="inlineStr">
        <is>
          <t>30-07-2026 09:42 IST</t>
        </is>
      </c>
    </row>
    <row r="1890">
      <c r="A1890" t="n">
        <v>274</v>
      </c>
      <c r="B1890" t="n">
        <v>514175</v>
      </c>
      <c r="C1890" t="inlineStr">
        <is>
          <t>Vardhman Polytex Ltd</t>
        </is>
      </c>
      <c r="D1890" t="n">
        <v>2020</v>
      </c>
      <c r="E1890" t="n">
        <v>6.150000095367432</v>
      </c>
      <c r="F1890" t="n">
        <v>3.5</v>
      </c>
      <c r="G1890" t="inlineStr">
        <is>
          <t>Consolidated first (v4) – needs verification for flagged rows</t>
        </is>
      </c>
      <c r="H1890" t="n">
        <v>1.649999976158142</v>
      </c>
      <c r="L1890" t="inlineStr">
        <is>
          <t>OK</t>
        </is>
      </c>
      <c r="M1890" t="n">
        <v>0.47</v>
      </c>
      <c r="O1890" t="n">
        <v>5.98</v>
      </c>
      <c r="P1890" t="n">
        <v>10.6</v>
      </c>
      <c r="Q1890" t="n">
        <v>5.1</v>
      </c>
      <c r="R1890" s="2" t="inlineStr">
        <is>
          <t>VERIFIED_OK</t>
        </is>
      </c>
      <c r="S1890" t="n">
        <v>5.98</v>
      </c>
      <c r="T1890" t="inlineStr">
        <is>
          <t>30-07-2026 09:42 IST</t>
        </is>
      </c>
    </row>
    <row r="1891">
      <c r="A1891" t="n">
        <v>274</v>
      </c>
      <c r="B1891" t="n">
        <v>514175</v>
      </c>
      <c r="C1891" t="inlineStr">
        <is>
          <t>Vardhman Polytex Ltd</t>
        </is>
      </c>
      <c r="D1891" t="n">
        <v>2021</v>
      </c>
      <c r="E1891" t="n">
        <v>6.150000095367432</v>
      </c>
      <c r="F1891" t="n">
        <v>-1.95</v>
      </c>
      <c r="G1891" t="inlineStr">
        <is>
          <t>Consolidated first (v4) – needs verification for flagged rows</t>
        </is>
      </c>
      <c r="H1891" t="n">
        <v>3.674999952316284</v>
      </c>
      <c r="I1891" t="n">
        <v>1.220000028610229</v>
      </c>
      <c r="L1891" t="inlineStr">
        <is>
          <t>UNVERIFIED – negative EPS</t>
        </is>
      </c>
      <c r="M1891" t="n">
        <v>-1.88</v>
      </c>
      <c r="N1891" t="n">
        <v>-0.63</v>
      </c>
      <c r="O1891" t="n">
        <v>5.98</v>
      </c>
      <c r="P1891" t="n">
        <v>10.6</v>
      </c>
      <c r="Q1891" t="n">
        <v>5.1</v>
      </c>
      <c r="R1891" s="2" t="inlineStr">
        <is>
          <t>VERIFIED_OK</t>
        </is>
      </c>
      <c r="S1891" t="n">
        <v>5.98</v>
      </c>
      <c r="T1891" t="inlineStr">
        <is>
          <t>30-07-2026 09:42 IST</t>
        </is>
      </c>
    </row>
    <row r="1892">
      <c r="A1892" t="n">
        <v>274</v>
      </c>
      <c r="B1892" t="n">
        <v>514175</v>
      </c>
      <c r="C1892" t="inlineStr">
        <is>
          <t>Vardhman Polytex Ltd</t>
        </is>
      </c>
      <c r="D1892" t="n">
        <v>2022</v>
      </c>
      <c r="E1892" t="n">
        <v>6.150000095367432</v>
      </c>
      <c r="F1892" t="n">
        <v>-0.53</v>
      </c>
      <c r="G1892" t="inlineStr">
        <is>
          <t>Consolidated first (v4) – needs verification for flagged rows</t>
        </is>
      </c>
      <c r="H1892" t="n">
        <v>3.400000095367432</v>
      </c>
      <c r="I1892" t="n">
        <v>1.700000047683716</v>
      </c>
      <c r="L1892" t="inlineStr">
        <is>
          <t>UNVERIFIED – negative EPS</t>
        </is>
      </c>
      <c r="M1892" t="n">
        <v>-6.42</v>
      </c>
      <c r="N1892" t="n">
        <v>-3.21</v>
      </c>
      <c r="O1892" t="n">
        <v>5.98</v>
      </c>
      <c r="P1892" t="n">
        <v>10.6</v>
      </c>
      <c r="Q1892" t="n">
        <v>5.1</v>
      </c>
      <c r="R1892" s="2" t="inlineStr">
        <is>
          <t>VERIFIED_OK</t>
        </is>
      </c>
      <c r="S1892" t="n">
        <v>5.98</v>
      </c>
      <c r="T1892" t="inlineStr">
        <is>
          <t>30-07-2026 09:42 IST</t>
        </is>
      </c>
    </row>
    <row r="1893">
      <c r="A1893" t="n">
        <v>274</v>
      </c>
      <c r="B1893" t="n">
        <v>514175</v>
      </c>
      <c r="C1893" t="inlineStr">
        <is>
          <t>Vardhman Polytex Ltd</t>
        </is>
      </c>
      <c r="D1893" t="n">
        <v>2023</v>
      </c>
      <c r="E1893" t="n">
        <v>6.150000095367432</v>
      </c>
      <c r="G1893" t="inlineStr">
        <is>
          <t>Consolidated first (v4) – needs verification for flagged rows</t>
        </is>
      </c>
      <c r="H1893" t="n">
        <v>7.400000095367432</v>
      </c>
      <c r="I1893" t="n">
        <v>1.789999961853027</v>
      </c>
      <c r="L1893" t="inlineStr">
        <is>
          <t>INCOMPLETE</t>
        </is>
      </c>
      <c r="O1893" t="n">
        <v>5.98</v>
      </c>
      <c r="P1893" t="n">
        <v>10.6</v>
      </c>
      <c r="Q1893" t="n">
        <v>5.1</v>
      </c>
      <c r="R1893" s="2" t="inlineStr">
        <is>
          <t>VERIFIED_OK</t>
        </is>
      </c>
      <c r="S1893" t="n">
        <v>5.98</v>
      </c>
      <c r="T1893" t="inlineStr">
        <is>
          <t>30-07-2026 09:42 IST</t>
        </is>
      </c>
    </row>
    <row r="1894">
      <c r="A1894" t="n">
        <v>274</v>
      </c>
      <c r="B1894" t="n">
        <v>514175</v>
      </c>
      <c r="C1894" t="inlineStr">
        <is>
          <t>Vardhman Polytex Ltd</t>
        </is>
      </c>
      <c r="D1894" t="n">
        <v>2024</v>
      </c>
      <c r="E1894" t="n">
        <v>6.150000095367432</v>
      </c>
      <c r="G1894" t="inlineStr">
        <is>
          <t>Consolidated first (v4) – needs verification for flagged rows</t>
        </is>
      </c>
      <c r="H1894" t="n">
        <v>14.32999992370605</v>
      </c>
      <c r="I1894" t="n">
        <v>5.625999927520752</v>
      </c>
      <c r="L1894" t="inlineStr">
        <is>
          <t>INCOMPLETE</t>
        </is>
      </c>
      <c r="O1894" t="n">
        <v>5.98</v>
      </c>
      <c r="P1894" t="n">
        <v>10.6</v>
      </c>
      <c r="Q1894" t="n">
        <v>5.1</v>
      </c>
      <c r="R1894" s="2" t="inlineStr">
        <is>
          <t>VERIFIED_OK</t>
        </is>
      </c>
      <c r="S1894" t="n">
        <v>5.98</v>
      </c>
      <c r="T1894" t="inlineStr">
        <is>
          <t>30-07-2026 09:42 IST</t>
        </is>
      </c>
    </row>
    <row r="1895">
      <c r="A1895" t="n">
        <v>274</v>
      </c>
      <c r="B1895" t="n">
        <v>514175</v>
      </c>
      <c r="C1895" t="inlineStr">
        <is>
          <t>Vardhman Polytex Ltd</t>
        </is>
      </c>
      <c r="D1895" t="n">
        <v>2025</v>
      </c>
      <c r="E1895" t="n">
        <v>6.150000095367432</v>
      </c>
      <c r="G1895" t="inlineStr">
        <is>
          <t>Consolidated first (v4) – needs verification for flagged rows</t>
        </is>
      </c>
      <c r="H1895" t="n">
        <v>15.28999996185303</v>
      </c>
      <c r="I1895" t="n">
        <v>5.510000228881836</v>
      </c>
      <c r="L1895" t="inlineStr">
        <is>
          <t>INCOMPLETE</t>
        </is>
      </c>
      <c r="O1895" t="n">
        <v>5.98</v>
      </c>
      <c r="P1895" t="n">
        <v>10.6</v>
      </c>
      <c r="Q1895" t="n">
        <v>5.1</v>
      </c>
      <c r="R1895" s="2" t="inlineStr">
        <is>
          <t>VERIFIED_OK</t>
        </is>
      </c>
      <c r="S1895" t="n">
        <v>5.98</v>
      </c>
      <c r="T1895" t="inlineStr">
        <is>
          <t>30-07-2026 09:42 IST</t>
        </is>
      </c>
    </row>
    <row r="1896">
      <c r="A1896" t="n">
        <v>274</v>
      </c>
      <c r="B1896" t="n">
        <v>514175</v>
      </c>
      <c r="C1896" t="inlineStr">
        <is>
          <t>Vardhman Polytex Ltd</t>
        </is>
      </c>
      <c r="D1896" t="n">
        <v>2026</v>
      </c>
      <c r="E1896" t="n">
        <v>6.150000095367432</v>
      </c>
      <c r="G1896" t="inlineStr">
        <is>
          <t>Consolidated first (v4) – needs verification for flagged rows</t>
        </is>
      </c>
      <c r="H1896" t="n">
        <v>9.060000419616699</v>
      </c>
      <c r="I1896" t="n">
        <v>5.019999980926514</v>
      </c>
      <c r="L1896" t="inlineStr">
        <is>
          <t>INCOMPLETE</t>
        </is>
      </c>
      <c r="O1896" t="n">
        <v>5.98</v>
      </c>
      <c r="P1896" t="n">
        <v>10.6</v>
      </c>
      <c r="Q1896" t="n">
        <v>5.1</v>
      </c>
      <c r="R1896" s="2" t="inlineStr">
        <is>
          <t>VERIFIED_OK</t>
        </is>
      </c>
      <c r="S1896" t="n">
        <v>5.98</v>
      </c>
      <c r="T1896" t="inlineStr">
        <is>
          <t>30-07-2026 09:42 IST</t>
        </is>
      </c>
    </row>
    <row r="1897">
      <c r="A1897" t="n">
        <v>275</v>
      </c>
      <c r="B1897" t="n">
        <v>514183</v>
      </c>
      <c r="C1897" t="inlineStr">
        <is>
          <t>Black Rose Industries Ltd</t>
        </is>
      </c>
      <c r="D1897" t="n">
        <v>2015</v>
      </c>
      <c r="E1897" t="n">
        <v>100.8000030517578</v>
      </c>
      <c r="F1897" t="n">
        <v>0.1</v>
      </c>
      <c r="G1897" t="inlineStr">
        <is>
          <t>Consolidated first (v4) – needs verification for flagged rows</t>
        </is>
      </c>
      <c r="H1897" t="n">
        <v>33.20000076293945</v>
      </c>
      <c r="I1897" t="n">
        <v>12.5</v>
      </c>
      <c r="L1897" t="inlineStr">
        <is>
          <t>UNVERIFIED – tiny EPS &lt;0.5</t>
        </is>
      </c>
      <c r="M1897" t="n">
        <v>332</v>
      </c>
      <c r="N1897" t="n">
        <v>125</v>
      </c>
      <c r="O1897" t="n">
        <v>131.65</v>
      </c>
      <c r="P1897" t="n">
        <v>162</v>
      </c>
      <c r="Q1897" t="n">
        <v>118</v>
      </c>
      <c r="R1897" s="3" t="inlineStr">
        <is>
          <t>MISMATCH_NEEDS_CORRECTION</t>
        </is>
      </c>
      <c r="S1897" t="n">
        <v>131.65</v>
      </c>
      <c r="T1897" t="inlineStr">
        <is>
          <t>30-07-2026 09:42 IST</t>
        </is>
      </c>
    </row>
    <row r="1898">
      <c r="A1898" t="n">
        <v>275</v>
      </c>
      <c r="B1898" t="n">
        <v>514183</v>
      </c>
      <c r="C1898" t="inlineStr">
        <is>
          <t>Black Rose Industries Ltd</t>
        </is>
      </c>
      <c r="D1898" t="n">
        <v>2016</v>
      </c>
      <c r="E1898" t="n">
        <v>100.8000030517578</v>
      </c>
      <c r="F1898" t="n">
        <v>0.32</v>
      </c>
      <c r="G1898" t="inlineStr">
        <is>
          <t>Consolidated first (v4) – needs verification for flagged rows</t>
        </is>
      </c>
      <c r="H1898" t="n">
        <v>29.79999923706055</v>
      </c>
      <c r="I1898" t="n">
        <v>14.39999961853027</v>
      </c>
      <c r="L1898" t="inlineStr">
        <is>
          <t>UNVERIFIED – tiny EPS &lt;0.5</t>
        </is>
      </c>
      <c r="M1898" t="n">
        <v>93.12</v>
      </c>
      <c r="N1898" t="n">
        <v>45</v>
      </c>
      <c r="O1898" t="n">
        <v>131.65</v>
      </c>
      <c r="P1898" t="n">
        <v>162</v>
      </c>
      <c r="Q1898" t="n">
        <v>118</v>
      </c>
      <c r="R1898" s="3" t="inlineStr">
        <is>
          <t>MISMATCH_NEEDS_CORRECTION</t>
        </is>
      </c>
      <c r="S1898" t="n">
        <v>131.65</v>
      </c>
      <c r="T1898" t="inlineStr">
        <is>
          <t>30-07-2026 09:42 IST</t>
        </is>
      </c>
    </row>
    <row r="1899">
      <c r="A1899" t="n">
        <v>275</v>
      </c>
      <c r="B1899" t="n">
        <v>514183</v>
      </c>
      <c r="C1899" t="inlineStr">
        <is>
          <t>Black Rose Industries Ltd</t>
        </is>
      </c>
      <c r="D1899" t="n">
        <v>2017</v>
      </c>
      <c r="E1899" t="n">
        <v>100.8000030517578</v>
      </c>
      <c r="F1899" t="n">
        <v>0.98</v>
      </c>
      <c r="G1899" t="inlineStr">
        <is>
          <t>Consolidated first (v4) – needs verification for flagged rows</t>
        </is>
      </c>
      <c r="H1899" t="n">
        <v>46.54999923706055</v>
      </c>
      <c r="I1899" t="n">
        <v>21</v>
      </c>
      <c r="L1899" t="inlineStr">
        <is>
          <t>OK</t>
        </is>
      </c>
      <c r="M1899" t="n">
        <v>47.5</v>
      </c>
      <c r="N1899" t="n">
        <v>21.43</v>
      </c>
      <c r="O1899" t="n">
        <v>131.65</v>
      </c>
      <c r="P1899" t="n">
        <v>162</v>
      </c>
      <c r="Q1899" t="n">
        <v>118</v>
      </c>
      <c r="R1899" s="3" t="inlineStr">
        <is>
          <t>MISMATCH_NEEDS_CORRECTION</t>
        </is>
      </c>
      <c r="S1899" t="n">
        <v>131.65</v>
      </c>
      <c r="T1899" t="inlineStr">
        <is>
          <t>30-07-2026 09:42 IST</t>
        </is>
      </c>
    </row>
    <row r="1900">
      <c r="A1900" t="n">
        <v>275</v>
      </c>
      <c r="B1900" t="n">
        <v>514183</v>
      </c>
      <c r="C1900" t="inlineStr">
        <is>
          <t>Black Rose Industries Ltd</t>
        </is>
      </c>
      <c r="D1900" t="n">
        <v>2018</v>
      </c>
      <c r="E1900" t="n">
        <v>100.8000030517578</v>
      </c>
      <c r="F1900" t="n">
        <v>2.3</v>
      </c>
      <c r="G1900" t="inlineStr">
        <is>
          <t>Consolidated first (v4) – needs verification for flagged rows</t>
        </is>
      </c>
      <c r="H1900" t="n">
        <v>61.5</v>
      </c>
      <c r="I1900" t="n">
        <v>37</v>
      </c>
      <c r="L1900" t="inlineStr">
        <is>
          <t>OK</t>
        </is>
      </c>
      <c r="M1900" t="n">
        <v>26.74</v>
      </c>
      <c r="N1900" t="n">
        <v>16.09</v>
      </c>
      <c r="O1900" t="n">
        <v>131.65</v>
      </c>
      <c r="P1900" t="n">
        <v>162</v>
      </c>
      <c r="Q1900" t="n">
        <v>118</v>
      </c>
      <c r="R1900" s="3" t="inlineStr">
        <is>
          <t>MISMATCH_NEEDS_CORRECTION</t>
        </is>
      </c>
      <c r="S1900" t="n">
        <v>131.65</v>
      </c>
      <c r="T1900" t="inlineStr">
        <is>
          <t>30-07-2026 09:42 IST</t>
        </is>
      </c>
    </row>
    <row r="1901">
      <c r="A1901" t="n">
        <v>275</v>
      </c>
      <c r="B1901" t="n">
        <v>514183</v>
      </c>
      <c r="C1901" t="inlineStr">
        <is>
          <t>Black Rose Industries Ltd</t>
        </is>
      </c>
      <c r="D1901" t="n">
        <v>2019</v>
      </c>
      <c r="E1901" t="n">
        <v>100.8000030517578</v>
      </c>
      <c r="F1901" t="n">
        <v>2.72</v>
      </c>
      <c r="G1901" t="inlineStr">
        <is>
          <t>Consolidated first (v4) – needs verification for flagged rows</t>
        </is>
      </c>
      <c r="H1901" t="n">
        <v>118.5</v>
      </c>
      <c r="I1901" t="n">
        <v>37.20000076293945</v>
      </c>
      <c r="L1901" t="inlineStr">
        <is>
          <t>OK</t>
        </is>
      </c>
      <c r="M1901" t="n">
        <v>43.57</v>
      </c>
      <c r="N1901" t="n">
        <v>13.68</v>
      </c>
      <c r="O1901" t="n">
        <v>131.65</v>
      </c>
      <c r="P1901" t="n">
        <v>162</v>
      </c>
      <c r="Q1901" t="n">
        <v>118</v>
      </c>
      <c r="R1901" s="3" t="inlineStr">
        <is>
          <t>MISMATCH_NEEDS_CORRECTION</t>
        </is>
      </c>
      <c r="S1901" t="n">
        <v>131.65</v>
      </c>
      <c r="T1901" t="inlineStr">
        <is>
          <t>30-07-2026 09:42 IST</t>
        </is>
      </c>
    </row>
    <row r="1902">
      <c r="A1902" t="n">
        <v>275</v>
      </c>
      <c r="B1902" t="n">
        <v>514183</v>
      </c>
      <c r="C1902" t="inlineStr">
        <is>
          <t>Black Rose Industries Ltd</t>
        </is>
      </c>
      <c r="D1902" t="n">
        <v>2020</v>
      </c>
      <c r="E1902" t="n">
        <v>100.8000030517578</v>
      </c>
      <c r="F1902" t="n">
        <v>4.05</v>
      </c>
      <c r="G1902" t="inlineStr">
        <is>
          <t>Consolidated first (v4) – needs verification for flagged rows</t>
        </is>
      </c>
      <c r="H1902" t="n">
        <v>163</v>
      </c>
      <c r="I1902" t="n">
        <v>60.5</v>
      </c>
      <c r="L1902" t="inlineStr">
        <is>
          <t>OK</t>
        </is>
      </c>
      <c r="M1902" t="n">
        <v>40.25</v>
      </c>
      <c r="N1902" t="n">
        <v>14.94</v>
      </c>
      <c r="O1902" t="n">
        <v>131.65</v>
      </c>
      <c r="P1902" t="n">
        <v>162</v>
      </c>
      <c r="Q1902" t="n">
        <v>118</v>
      </c>
      <c r="R1902" s="3" t="inlineStr">
        <is>
          <t>MISMATCH_NEEDS_CORRECTION</t>
        </is>
      </c>
      <c r="S1902" t="n">
        <v>131.65</v>
      </c>
      <c r="T1902" t="inlineStr">
        <is>
          <t>30-07-2026 09:42 IST</t>
        </is>
      </c>
    </row>
    <row r="1903">
      <c r="A1903" t="n">
        <v>275</v>
      </c>
      <c r="B1903" t="n">
        <v>514183</v>
      </c>
      <c r="C1903" t="inlineStr">
        <is>
          <t>Black Rose Industries Ltd</t>
        </is>
      </c>
      <c r="D1903" t="n">
        <v>2021</v>
      </c>
      <c r="E1903" t="n">
        <v>100.8000030517578</v>
      </c>
      <c r="F1903" t="n">
        <v>5.38</v>
      </c>
      <c r="G1903" t="inlineStr">
        <is>
          <t>Consolidated first (v4) – needs verification for flagged rows</t>
        </is>
      </c>
      <c r="H1903" t="n">
        <v>239</v>
      </c>
      <c r="I1903" t="n">
        <v>124.25</v>
      </c>
      <c r="L1903" t="inlineStr">
        <is>
          <t>OK</t>
        </is>
      </c>
      <c r="M1903" t="n">
        <v>44.42</v>
      </c>
      <c r="N1903" t="n">
        <v>23.09</v>
      </c>
      <c r="O1903" t="n">
        <v>131.65</v>
      </c>
      <c r="P1903" t="n">
        <v>162</v>
      </c>
      <c r="Q1903" t="n">
        <v>118</v>
      </c>
      <c r="R1903" s="3" t="inlineStr">
        <is>
          <t>MISMATCH_NEEDS_CORRECTION</t>
        </is>
      </c>
      <c r="S1903" t="n">
        <v>131.65</v>
      </c>
      <c r="T1903" t="inlineStr">
        <is>
          <t>30-07-2026 09:42 IST</t>
        </is>
      </c>
    </row>
    <row r="1904">
      <c r="A1904" t="n">
        <v>275</v>
      </c>
      <c r="B1904" t="n">
        <v>514183</v>
      </c>
      <c r="C1904" t="inlineStr">
        <is>
          <t>Black Rose Industries Ltd</t>
        </is>
      </c>
      <c r="D1904" t="n">
        <v>2022</v>
      </c>
      <c r="E1904" t="n">
        <v>100.8000030517578</v>
      </c>
      <c r="F1904" t="n">
        <v>6.25</v>
      </c>
      <c r="G1904" t="inlineStr">
        <is>
          <t>Consolidated first (v4) – needs verification for flagged rows</t>
        </is>
      </c>
      <c r="H1904" t="n">
        <v>235</v>
      </c>
      <c r="I1904" t="n">
        <v>155</v>
      </c>
      <c r="L1904" t="inlineStr">
        <is>
          <t>OK</t>
        </is>
      </c>
      <c r="M1904" t="n">
        <v>37.6</v>
      </c>
      <c r="N1904" t="n">
        <v>24.8</v>
      </c>
      <c r="O1904" t="n">
        <v>131.65</v>
      </c>
      <c r="P1904" t="n">
        <v>162</v>
      </c>
      <c r="Q1904" t="n">
        <v>118</v>
      </c>
      <c r="R1904" s="3" t="inlineStr">
        <is>
          <t>MISMATCH_NEEDS_CORRECTION</t>
        </is>
      </c>
      <c r="S1904" t="n">
        <v>131.65</v>
      </c>
      <c r="T1904" t="inlineStr">
        <is>
          <t>30-07-2026 09:42 IST</t>
        </is>
      </c>
    </row>
    <row r="1905">
      <c r="A1905" t="n">
        <v>275</v>
      </c>
      <c r="B1905" t="n">
        <v>514183</v>
      </c>
      <c r="C1905" t="inlineStr">
        <is>
          <t>Black Rose Industries Ltd</t>
        </is>
      </c>
      <c r="D1905" t="n">
        <v>2023</v>
      </c>
      <c r="E1905" t="n">
        <v>100.8000030517578</v>
      </c>
      <c r="F1905" t="n">
        <v>1.55</v>
      </c>
      <c r="G1905" t="inlineStr">
        <is>
          <t>Consolidated first (v4) – needs verification for flagged rows</t>
        </is>
      </c>
      <c r="H1905" t="n">
        <v>173.1999969482422</v>
      </c>
      <c r="I1905" t="n">
        <v>94.94999694824219</v>
      </c>
      <c r="L1905" t="inlineStr">
        <is>
          <t>OK</t>
        </is>
      </c>
      <c r="M1905" t="n">
        <v>111.74</v>
      </c>
      <c r="N1905" t="n">
        <v>61.26</v>
      </c>
      <c r="O1905" t="n">
        <v>131.65</v>
      </c>
      <c r="P1905" t="n">
        <v>162</v>
      </c>
      <c r="Q1905" t="n">
        <v>118</v>
      </c>
      <c r="R1905" s="3" t="inlineStr">
        <is>
          <t>MISMATCH_NEEDS_CORRECTION</t>
        </is>
      </c>
      <c r="S1905" t="n">
        <v>131.65</v>
      </c>
      <c r="T1905" t="inlineStr">
        <is>
          <t>30-07-2026 09:42 IST</t>
        </is>
      </c>
    </row>
    <row r="1906">
      <c r="A1906" t="n">
        <v>275</v>
      </c>
      <c r="B1906" t="n">
        <v>514183</v>
      </c>
      <c r="C1906" t="inlineStr">
        <is>
          <t>Black Rose Industries Ltd</t>
        </is>
      </c>
      <c r="D1906" t="n">
        <v>2024</v>
      </c>
      <c r="E1906" t="n">
        <v>100.8000030517578</v>
      </c>
      <c r="F1906" t="n">
        <v>4.16</v>
      </c>
      <c r="G1906" t="inlineStr">
        <is>
          <t>Consolidated first (v4) – needs verification for flagged rows</t>
        </is>
      </c>
      <c r="H1906" t="n">
        <v>162</v>
      </c>
      <c r="I1906" t="n">
        <v>118</v>
      </c>
      <c r="L1906" t="inlineStr">
        <is>
          <t>OK</t>
        </is>
      </c>
      <c r="M1906" t="n">
        <v>38.94</v>
      </c>
      <c r="N1906" t="n">
        <v>28.37</v>
      </c>
      <c r="O1906" t="n">
        <v>131.65</v>
      </c>
      <c r="P1906" t="n">
        <v>162</v>
      </c>
      <c r="Q1906" t="n">
        <v>118</v>
      </c>
      <c r="R1906" s="3" t="inlineStr">
        <is>
          <t>MISMATCH_NEEDS_CORRECTION</t>
        </is>
      </c>
      <c r="S1906" t="n">
        <v>131.65</v>
      </c>
      <c r="T1906" t="inlineStr">
        <is>
          <t>30-07-2026 09:42 IST</t>
        </is>
      </c>
    </row>
    <row r="1907">
      <c r="A1907" t="n">
        <v>275</v>
      </c>
      <c r="B1907" t="n">
        <v>514183</v>
      </c>
      <c r="C1907" t="inlineStr">
        <is>
          <t>Black Rose Industries Ltd</t>
        </is>
      </c>
      <c r="D1907" t="n">
        <v>2025</v>
      </c>
      <c r="E1907" t="n">
        <v>100.8000030517578</v>
      </c>
      <c r="F1907" t="n">
        <v>4.11</v>
      </c>
      <c r="G1907" t="inlineStr">
        <is>
          <t>Consolidated first (v4) – needs verification for flagged rows</t>
        </is>
      </c>
      <c r="H1907" t="n">
        <v>137.9499969482422</v>
      </c>
      <c r="I1907" t="n">
        <v>87</v>
      </c>
      <c r="L1907" t="inlineStr">
        <is>
          <t>OK</t>
        </is>
      </c>
      <c r="M1907" t="n">
        <v>33.56</v>
      </c>
      <c r="N1907" t="n">
        <v>21.17</v>
      </c>
      <c r="O1907" t="n">
        <v>131.65</v>
      </c>
      <c r="P1907" t="n">
        <v>162</v>
      </c>
      <c r="Q1907" t="n">
        <v>118</v>
      </c>
      <c r="R1907" s="3" t="inlineStr">
        <is>
          <t>MISMATCH_NEEDS_CORRECTION</t>
        </is>
      </c>
      <c r="S1907" t="n">
        <v>131.65</v>
      </c>
      <c r="T1907" t="inlineStr">
        <is>
          <t>30-07-2026 09:42 IST</t>
        </is>
      </c>
    </row>
    <row r="1908">
      <c r="A1908" t="n">
        <v>275</v>
      </c>
      <c r="B1908" t="n">
        <v>514183</v>
      </c>
      <c r="C1908" t="inlineStr">
        <is>
          <t>Black Rose Industries Ltd</t>
        </is>
      </c>
      <c r="D1908" t="n">
        <v>2026</v>
      </c>
      <c r="E1908" t="n">
        <v>100.8000030517578</v>
      </c>
      <c r="F1908" t="n">
        <v>4.4</v>
      </c>
      <c r="G1908" t="inlineStr">
        <is>
          <t>Consolidated first (v4) – needs verification for flagged rows</t>
        </is>
      </c>
      <c r="H1908" t="n">
        <v>130</v>
      </c>
      <c r="I1908" t="n">
        <v>61</v>
      </c>
      <c r="L1908" t="inlineStr">
        <is>
          <t>OK</t>
        </is>
      </c>
      <c r="M1908" t="n">
        <v>29.55</v>
      </c>
      <c r="N1908" t="n">
        <v>13.86</v>
      </c>
      <c r="O1908" t="n">
        <v>131.65</v>
      </c>
      <c r="P1908" t="n">
        <v>162</v>
      </c>
      <c r="Q1908" t="n">
        <v>118</v>
      </c>
      <c r="R1908" s="3" t="inlineStr">
        <is>
          <t>MISMATCH_NEEDS_CORRECTION</t>
        </is>
      </c>
      <c r="S1908" t="n">
        <v>131.65</v>
      </c>
      <c r="T1908" t="inlineStr">
        <is>
          <t>30-07-2026 09:42 IST</t>
        </is>
      </c>
    </row>
    <row r="1909">
      <c r="A1909" t="n">
        <v>277</v>
      </c>
      <c r="B1909" t="n">
        <v>514215</v>
      </c>
      <c r="C1909" t="inlineStr">
        <is>
          <t>Binny Ltd</t>
        </is>
      </c>
      <c r="D1909" t="n">
        <v>2015</v>
      </c>
      <c r="E1909" t="n">
        <v>140.9499969482422</v>
      </c>
      <c r="G1909" t="inlineStr">
        <is>
          <t>Consolidated first (v4) – needs verification for flagged rows</t>
        </is>
      </c>
      <c r="H1909" t="n">
        <v>234.1999969482422</v>
      </c>
      <c r="L1909" t="inlineStr">
        <is>
          <t>INCOMPLETE</t>
        </is>
      </c>
      <c r="O1909" t="n">
        <v>140.95</v>
      </c>
      <c r="P1909" t="n">
        <v>140.95</v>
      </c>
      <c r="Q1909" t="n">
        <v>140.95</v>
      </c>
      <c r="R1909" s="2" t="inlineStr">
        <is>
          <t>VERIFIED_OK</t>
        </is>
      </c>
      <c r="S1909" t="n">
        <v>140.95</v>
      </c>
      <c r="T1909" t="inlineStr">
        <is>
          <t>30-07-2026 09:42 IST</t>
        </is>
      </c>
    </row>
    <row r="1910">
      <c r="A1910" t="n">
        <v>277</v>
      </c>
      <c r="B1910" t="n">
        <v>514215</v>
      </c>
      <c r="C1910" t="inlineStr">
        <is>
          <t>Binny Ltd</t>
        </is>
      </c>
      <c r="D1910" t="n">
        <v>2016</v>
      </c>
      <c r="E1910" t="n">
        <v>140.9499969482422</v>
      </c>
      <c r="G1910" t="inlineStr">
        <is>
          <t>Consolidated first (v4) – needs verification for flagged rows</t>
        </is>
      </c>
      <c r="H1910" t="n">
        <v>182.5</v>
      </c>
      <c r="I1910" t="n">
        <v>72</v>
      </c>
      <c r="L1910" t="inlineStr">
        <is>
          <t>INCOMPLETE</t>
        </is>
      </c>
      <c r="O1910" t="n">
        <v>140.95</v>
      </c>
      <c r="P1910" t="n">
        <v>140.95</v>
      </c>
      <c r="Q1910" t="n">
        <v>140.95</v>
      </c>
      <c r="R1910" s="2" t="inlineStr">
        <is>
          <t>VERIFIED_OK</t>
        </is>
      </c>
      <c r="S1910" t="n">
        <v>140.95</v>
      </c>
      <c r="T1910" t="inlineStr">
        <is>
          <t>30-07-2026 09:42 IST</t>
        </is>
      </c>
    </row>
    <row r="1911">
      <c r="A1911" t="n">
        <v>277</v>
      </c>
      <c r="B1911" t="n">
        <v>514215</v>
      </c>
      <c r="C1911" t="inlineStr">
        <is>
          <t>Binny Ltd</t>
        </is>
      </c>
      <c r="D1911" t="n">
        <v>2017</v>
      </c>
      <c r="E1911" t="n">
        <v>140.9499969482422</v>
      </c>
      <c r="G1911" t="inlineStr">
        <is>
          <t>Consolidated first (v4) – needs verification for flagged rows</t>
        </is>
      </c>
      <c r="H1911" t="n">
        <v>374.7999877929688</v>
      </c>
      <c r="I1911" t="n">
        <v>72.09999847412109</v>
      </c>
      <c r="L1911" t="inlineStr">
        <is>
          <t>INCOMPLETE</t>
        </is>
      </c>
      <c r="O1911" t="n">
        <v>140.95</v>
      </c>
      <c r="P1911" t="n">
        <v>140.95</v>
      </c>
      <c r="Q1911" t="n">
        <v>140.95</v>
      </c>
      <c r="R1911" s="2" t="inlineStr">
        <is>
          <t>VERIFIED_OK</t>
        </is>
      </c>
      <c r="S1911" t="n">
        <v>140.95</v>
      </c>
      <c r="T1911" t="inlineStr">
        <is>
          <t>30-07-2026 09:42 IST</t>
        </is>
      </c>
    </row>
    <row r="1912">
      <c r="A1912" t="n">
        <v>277</v>
      </c>
      <c r="B1912" t="n">
        <v>514215</v>
      </c>
      <c r="C1912" t="inlineStr">
        <is>
          <t>Binny Ltd</t>
        </is>
      </c>
      <c r="D1912" t="n">
        <v>2018</v>
      </c>
      <c r="E1912" t="n">
        <v>140.9499969482422</v>
      </c>
      <c r="G1912" t="inlineStr">
        <is>
          <t>Consolidated first (v4) – needs verification for flagged rows</t>
        </is>
      </c>
      <c r="H1912" t="n">
        <v>318</v>
      </c>
      <c r="I1912" t="n">
        <v>126</v>
      </c>
      <c r="L1912" t="inlineStr">
        <is>
          <t>INCOMPLETE</t>
        </is>
      </c>
      <c r="O1912" t="n">
        <v>140.95</v>
      </c>
      <c r="P1912" t="n">
        <v>140.95</v>
      </c>
      <c r="Q1912" t="n">
        <v>140.95</v>
      </c>
      <c r="R1912" s="2" t="inlineStr">
        <is>
          <t>VERIFIED_OK</t>
        </is>
      </c>
      <c r="S1912" t="n">
        <v>140.95</v>
      </c>
      <c r="T1912" t="inlineStr">
        <is>
          <t>30-07-2026 09:42 IST</t>
        </is>
      </c>
    </row>
    <row r="1913">
      <c r="A1913" t="n">
        <v>277</v>
      </c>
      <c r="B1913" t="n">
        <v>514215</v>
      </c>
      <c r="C1913" t="inlineStr">
        <is>
          <t>Binny Ltd</t>
        </is>
      </c>
      <c r="D1913" t="n">
        <v>2019</v>
      </c>
      <c r="E1913" t="n">
        <v>140.9499969482422</v>
      </c>
      <c r="G1913" t="inlineStr">
        <is>
          <t>Consolidated first (v4) – needs verification for flagged rows</t>
        </is>
      </c>
      <c r="H1913" t="n">
        <v>175</v>
      </c>
      <c r="I1913" t="n">
        <v>72.40000152587891</v>
      </c>
      <c r="L1913" t="inlineStr">
        <is>
          <t>INCOMPLETE</t>
        </is>
      </c>
      <c r="O1913" t="n">
        <v>140.95</v>
      </c>
      <c r="P1913" t="n">
        <v>140.95</v>
      </c>
      <c r="Q1913" t="n">
        <v>140.95</v>
      </c>
      <c r="R1913" s="2" t="inlineStr">
        <is>
          <t>VERIFIED_OK</t>
        </is>
      </c>
      <c r="S1913" t="n">
        <v>140.95</v>
      </c>
      <c r="T1913" t="inlineStr">
        <is>
          <t>30-07-2026 09:42 IST</t>
        </is>
      </c>
    </row>
    <row r="1914">
      <c r="A1914" t="n">
        <v>277</v>
      </c>
      <c r="B1914" t="n">
        <v>514215</v>
      </c>
      <c r="C1914" t="inlineStr">
        <is>
          <t>Binny Ltd</t>
        </is>
      </c>
      <c r="D1914" t="n">
        <v>2020</v>
      </c>
      <c r="E1914" t="n">
        <v>140.9499969482422</v>
      </c>
      <c r="G1914" t="inlineStr">
        <is>
          <t>Consolidated first (v4) – needs verification for flagged rows</t>
        </is>
      </c>
      <c r="H1914" t="n">
        <v>151</v>
      </c>
      <c r="I1914" t="n">
        <v>47.5</v>
      </c>
      <c r="L1914" t="inlineStr">
        <is>
          <t>INCOMPLETE</t>
        </is>
      </c>
      <c r="O1914" t="n">
        <v>140.95</v>
      </c>
      <c r="P1914" t="n">
        <v>140.95</v>
      </c>
      <c r="Q1914" t="n">
        <v>140.95</v>
      </c>
      <c r="R1914" s="2" t="inlineStr">
        <is>
          <t>VERIFIED_OK</t>
        </is>
      </c>
      <c r="S1914" t="n">
        <v>140.95</v>
      </c>
      <c r="T1914" t="inlineStr">
        <is>
          <t>30-07-2026 09:42 IST</t>
        </is>
      </c>
    </row>
    <row r="1915">
      <c r="A1915" t="n">
        <v>277</v>
      </c>
      <c r="B1915" t="n">
        <v>514215</v>
      </c>
      <c r="C1915" t="inlineStr">
        <is>
          <t>Binny Ltd</t>
        </is>
      </c>
      <c r="D1915" t="n">
        <v>2021</v>
      </c>
      <c r="E1915" t="n">
        <v>140.9499969482422</v>
      </c>
      <c r="G1915" t="inlineStr">
        <is>
          <t>Consolidated first (v4) – needs verification for flagged rows</t>
        </is>
      </c>
      <c r="H1915" t="n">
        <v>320</v>
      </c>
      <c r="I1915" t="n">
        <v>73</v>
      </c>
      <c r="L1915" t="inlineStr">
        <is>
          <t>INCOMPLETE</t>
        </is>
      </c>
      <c r="O1915" t="n">
        <v>140.95</v>
      </c>
      <c r="P1915" t="n">
        <v>140.95</v>
      </c>
      <c r="Q1915" t="n">
        <v>140.95</v>
      </c>
      <c r="R1915" s="2" t="inlineStr">
        <is>
          <t>VERIFIED_OK</t>
        </is>
      </c>
      <c r="S1915" t="n">
        <v>140.95</v>
      </c>
      <c r="T1915" t="inlineStr">
        <is>
          <t>30-07-2026 09:42 IST</t>
        </is>
      </c>
    </row>
    <row r="1916">
      <c r="A1916" t="n">
        <v>277</v>
      </c>
      <c r="B1916" t="n">
        <v>514215</v>
      </c>
      <c r="C1916" t="inlineStr">
        <is>
          <t>Binny Ltd</t>
        </is>
      </c>
      <c r="D1916" t="n">
        <v>2022</v>
      </c>
      <c r="E1916" t="n">
        <v>140.9499969482422</v>
      </c>
      <c r="G1916" t="inlineStr">
        <is>
          <t>Consolidated first (v4) – needs verification for flagged rows</t>
        </is>
      </c>
      <c r="H1916" t="n">
        <v>453.7999877929688</v>
      </c>
      <c r="I1916" t="n">
        <v>174</v>
      </c>
      <c r="L1916" t="inlineStr">
        <is>
          <t>INCOMPLETE</t>
        </is>
      </c>
      <c r="O1916" t="n">
        <v>140.95</v>
      </c>
      <c r="P1916" t="n">
        <v>140.95</v>
      </c>
      <c r="Q1916" t="n">
        <v>140.95</v>
      </c>
      <c r="R1916" s="2" t="inlineStr">
        <is>
          <t>VERIFIED_OK</t>
        </is>
      </c>
      <c r="S1916" t="n">
        <v>140.95</v>
      </c>
      <c r="T1916" t="inlineStr">
        <is>
          <t>30-07-2026 09:42 IST</t>
        </is>
      </c>
    </row>
    <row r="1917">
      <c r="A1917" t="n">
        <v>277</v>
      </c>
      <c r="B1917" t="n">
        <v>514215</v>
      </c>
      <c r="C1917" t="inlineStr">
        <is>
          <t>Binny Ltd</t>
        </is>
      </c>
      <c r="D1917" t="n">
        <v>2023</v>
      </c>
      <c r="E1917" t="n">
        <v>140.9499969482422</v>
      </c>
      <c r="G1917" t="inlineStr">
        <is>
          <t>Consolidated first (v4) – needs verification for flagged rows</t>
        </is>
      </c>
      <c r="H1917" t="n">
        <v>349.75</v>
      </c>
      <c r="I1917" t="n">
        <v>203</v>
      </c>
      <c r="L1917" t="inlineStr">
        <is>
          <t>INCOMPLETE</t>
        </is>
      </c>
      <c r="O1917" t="n">
        <v>140.95</v>
      </c>
      <c r="P1917" t="n">
        <v>140.95</v>
      </c>
      <c r="Q1917" t="n">
        <v>140.95</v>
      </c>
      <c r="R1917" s="2" t="inlineStr">
        <is>
          <t>VERIFIED_OK</t>
        </is>
      </c>
      <c r="S1917" t="n">
        <v>140.95</v>
      </c>
      <c r="T1917" t="inlineStr">
        <is>
          <t>30-07-2026 09:42 IST</t>
        </is>
      </c>
    </row>
    <row r="1918">
      <c r="A1918" t="n">
        <v>277</v>
      </c>
      <c r="B1918" t="n">
        <v>514215</v>
      </c>
      <c r="C1918" t="inlineStr">
        <is>
          <t>Binny Ltd</t>
        </is>
      </c>
      <c r="D1918" t="n">
        <v>2024</v>
      </c>
      <c r="E1918" t="n">
        <v>140.9499969482422</v>
      </c>
      <c r="G1918" t="inlineStr">
        <is>
          <t>Consolidated first (v4) – needs verification for flagged rows</t>
        </is>
      </c>
      <c r="H1918" t="n">
        <v>205.6999969482422</v>
      </c>
      <c r="I1918" t="n">
        <v>135.0500030517578</v>
      </c>
      <c r="L1918" t="inlineStr">
        <is>
          <t>INCOMPLETE</t>
        </is>
      </c>
      <c r="O1918" t="n">
        <v>140.95</v>
      </c>
      <c r="P1918" t="n">
        <v>140.95</v>
      </c>
      <c r="Q1918" t="n">
        <v>140.95</v>
      </c>
      <c r="R1918" s="2" t="inlineStr">
        <is>
          <t>VERIFIED_OK</t>
        </is>
      </c>
      <c r="S1918" t="n">
        <v>140.95</v>
      </c>
      <c r="T1918" t="inlineStr">
        <is>
          <t>30-07-2026 09:42 IST</t>
        </is>
      </c>
    </row>
    <row r="1919">
      <c r="A1919" t="n">
        <v>277</v>
      </c>
      <c r="B1919" t="n">
        <v>514215</v>
      </c>
      <c r="C1919" t="inlineStr">
        <is>
          <t>Binny Ltd</t>
        </is>
      </c>
      <c r="D1919" t="n">
        <v>2025</v>
      </c>
      <c r="E1919" t="n">
        <v>140.9499969482422</v>
      </c>
      <c r="G1919" t="inlineStr">
        <is>
          <t>Consolidated first (v4) – needs verification for flagged rows</t>
        </is>
      </c>
      <c r="H1919" t="n">
        <v>140.9499969482422</v>
      </c>
      <c r="I1919" t="n">
        <v>140.9499969482422</v>
      </c>
      <c r="L1919" t="inlineStr">
        <is>
          <t>INCOMPLETE</t>
        </is>
      </c>
      <c r="O1919" t="n">
        <v>140.95</v>
      </c>
      <c r="P1919" t="n">
        <v>140.95</v>
      </c>
      <c r="Q1919" t="n">
        <v>140.95</v>
      </c>
      <c r="R1919" s="2" t="inlineStr">
        <is>
          <t>VERIFIED_OK</t>
        </is>
      </c>
      <c r="S1919" t="n">
        <v>140.95</v>
      </c>
      <c r="T1919" t="inlineStr">
        <is>
          <t>30-07-2026 09:42 IST</t>
        </is>
      </c>
    </row>
    <row r="1920">
      <c r="A1920" t="n">
        <v>277</v>
      </c>
      <c r="B1920" t="n">
        <v>514215</v>
      </c>
      <c r="C1920" t="inlineStr">
        <is>
          <t>Binny Ltd</t>
        </is>
      </c>
      <c r="D1920" t="n">
        <v>2026</v>
      </c>
      <c r="E1920" t="n">
        <v>140.9499969482422</v>
      </c>
      <c r="G1920" t="inlineStr">
        <is>
          <t>Consolidated first (v4) – needs verification for flagged rows</t>
        </is>
      </c>
      <c r="H1920" t="n">
        <v>140.9499969482422</v>
      </c>
      <c r="I1920" t="n">
        <v>140.9499969482422</v>
      </c>
      <c r="L1920" t="inlineStr">
        <is>
          <t>INCOMPLETE</t>
        </is>
      </c>
      <c r="O1920" t="n">
        <v>140.95</v>
      </c>
      <c r="P1920" t="n">
        <v>140.95</v>
      </c>
      <c r="Q1920" t="n">
        <v>140.95</v>
      </c>
      <c r="R1920" s="2" t="inlineStr">
        <is>
          <t>VERIFIED_OK</t>
        </is>
      </c>
      <c r="S1920" t="n">
        <v>140.95</v>
      </c>
      <c r="T1920" t="inlineStr">
        <is>
          <t>30-07-2026 09:42 IST</t>
        </is>
      </c>
    </row>
    <row r="1921">
      <c r="A1921" t="n">
        <v>278</v>
      </c>
      <c r="B1921" t="n">
        <v>514238</v>
      </c>
      <c r="C1921" t="inlineStr">
        <is>
          <t>Ikab Securities And Investment Ltd</t>
        </is>
      </c>
      <c r="D1921" t="n">
        <v>2015</v>
      </c>
      <c r="E1921" t="n">
        <v>1108.75</v>
      </c>
      <c r="G1921" t="inlineStr">
        <is>
          <t>Consolidated first (v4) – needs verification for flagged rows</t>
        </is>
      </c>
      <c r="H1921" t="n">
        <v>15.6960916519165</v>
      </c>
      <c r="I1921" t="n">
        <v>14.22458362579346</v>
      </c>
      <c r="L1921" t="inlineStr">
        <is>
          <t>INCOMPLETE</t>
        </is>
      </c>
      <c r="O1921" t="n">
        <v>2103.35</v>
      </c>
      <c r="P1921" t="n">
        <v>2800</v>
      </c>
      <c r="Q1921" t="n">
        <v>1025</v>
      </c>
      <c r="R1921" s="3" t="inlineStr">
        <is>
          <t>MISMATCH_NEEDS_CORRECTION</t>
        </is>
      </c>
      <c r="S1921" t="n">
        <v>2103.35</v>
      </c>
      <c r="T1921" t="inlineStr">
        <is>
          <t>30-07-2026 09:42 IST</t>
        </is>
      </c>
    </row>
    <row r="1922">
      <c r="A1922" t="n">
        <v>278</v>
      </c>
      <c r="B1922" t="n">
        <v>514238</v>
      </c>
      <c r="C1922" t="inlineStr">
        <is>
          <t>Ikab Securities And Investment Ltd</t>
        </is>
      </c>
      <c r="D1922" t="n">
        <v>2016</v>
      </c>
      <c r="E1922" t="n">
        <v>1108.75</v>
      </c>
      <c r="G1922" t="inlineStr">
        <is>
          <t>Consolidated first (v4) – needs verification for flagged rows</t>
        </is>
      </c>
      <c r="H1922" t="n">
        <v>14.71508693695068</v>
      </c>
      <c r="I1922" t="n">
        <v>14.22458362579346</v>
      </c>
      <c r="L1922" t="inlineStr">
        <is>
          <t>INCOMPLETE</t>
        </is>
      </c>
      <c r="O1922" t="n">
        <v>2103.35</v>
      </c>
      <c r="P1922" t="n">
        <v>2800</v>
      </c>
      <c r="Q1922" t="n">
        <v>1025</v>
      </c>
      <c r="R1922" s="3" t="inlineStr">
        <is>
          <t>MISMATCH_NEEDS_CORRECTION</t>
        </is>
      </c>
      <c r="S1922" t="n">
        <v>2103.35</v>
      </c>
      <c r="T1922" t="inlineStr">
        <is>
          <t>30-07-2026 09:42 IST</t>
        </is>
      </c>
    </row>
    <row r="1923">
      <c r="A1923" t="n">
        <v>278</v>
      </c>
      <c r="B1923" t="n">
        <v>514238</v>
      </c>
      <c r="C1923" t="inlineStr">
        <is>
          <t>Ikab Securities And Investment Ltd</t>
        </is>
      </c>
      <c r="D1923" t="n">
        <v>2017</v>
      </c>
      <c r="E1923" t="n">
        <v>1108.75</v>
      </c>
      <c r="G1923" t="inlineStr">
        <is>
          <t>Consolidated first (v4) – needs verification for flagged rows</t>
        </is>
      </c>
      <c r="H1923" t="n">
        <v>20.65017127990723</v>
      </c>
      <c r="I1923" t="n">
        <v>13.36129856109619</v>
      </c>
      <c r="L1923" t="inlineStr">
        <is>
          <t>INCOMPLETE</t>
        </is>
      </c>
      <c r="O1923" t="n">
        <v>2103.35</v>
      </c>
      <c r="P1923" t="n">
        <v>2800</v>
      </c>
      <c r="Q1923" t="n">
        <v>1025</v>
      </c>
      <c r="R1923" s="3" t="inlineStr">
        <is>
          <t>MISMATCH_NEEDS_CORRECTION</t>
        </is>
      </c>
      <c r="S1923" t="n">
        <v>2103.35</v>
      </c>
      <c r="T1923" t="inlineStr">
        <is>
          <t>30-07-2026 09:42 IST</t>
        </is>
      </c>
    </row>
    <row r="1924">
      <c r="A1924" t="n">
        <v>278</v>
      </c>
      <c r="B1924" t="n">
        <v>514238</v>
      </c>
      <c r="C1924" t="inlineStr">
        <is>
          <t>Ikab Securities And Investment Ltd</t>
        </is>
      </c>
      <c r="D1924" t="n">
        <v>2018</v>
      </c>
      <c r="E1924" t="n">
        <v>1108.75</v>
      </c>
      <c r="G1924" t="inlineStr">
        <is>
          <t>Consolidated first (v4) – needs verification for flagged rows</t>
        </is>
      </c>
      <c r="H1924" t="n">
        <v>20.15966987609863</v>
      </c>
      <c r="I1924" t="n">
        <v>16.67709732055664</v>
      </c>
      <c r="L1924" t="inlineStr">
        <is>
          <t>INCOMPLETE</t>
        </is>
      </c>
      <c r="O1924" t="n">
        <v>2103.35</v>
      </c>
      <c r="P1924" t="n">
        <v>2800</v>
      </c>
      <c r="Q1924" t="n">
        <v>1025</v>
      </c>
      <c r="R1924" s="3" t="inlineStr">
        <is>
          <t>MISMATCH_NEEDS_CORRECTION</t>
        </is>
      </c>
      <c r="S1924" t="n">
        <v>2103.35</v>
      </c>
      <c r="T1924" t="inlineStr">
        <is>
          <t>30-07-2026 09:42 IST</t>
        </is>
      </c>
    </row>
    <row r="1925">
      <c r="A1925" t="n">
        <v>278</v>
      </c>
      <c r="B1925" t="n">
        <v>514238</v>
      </c>
      <c r="C1925" t="inlineStr">
        <is>
          <t>Ikab Securities And Investment Ltd</t>
        </is>
      </c>
      <c r="D1925" t="n">
        <v>2019</v>
      </c>
      <c r="E1925" t="n">
        <v>1108.75</v>
      </c>
      <c r="G1925" t="inlineStr">
        <is>
          <t>Consolidated first (v4) – needs verification for flagged rows</t>
        </is>
      </c>
      <c r="H1925" t="n">
        <v>20.15966987609863</v>
      </c>
      <c r="I1925" t="n">
        <v>19.22771263122559</v>
      </c>
      <c r="L1925" t="inlineStr">
        <is>
          <t>INCOMPLETE</t>
        </is>
      </c>
      <c r="O1925" t="n">
        <v>2103.35</v>
      </c>
      <c r="P1925" t="n">
        <v>2800</v>
      </c>
      <c r="Q1925" t="n">
        <v>1025</v>
      </c>
      <c r="R1925" s="3" t="inlineStr">
        <is>
          <t>MISMATCH_NEEDS_CORRECTION</t>
        </is>
      </c>
      <c r="S1925" t="n">
        <v>2103.35</v>
      </c>
      <c r="T1925" t="inlineStr">
        <is>
          <t>30-07-2026 09:42 IST</t>
        </is>
      </c>
    </row>
    <row r="1926">
      <c r="A1926" t="n">
        <v>278</v>
      </c>
      <c r="B1926" t="n">
        <v>514238</v>
      </c>
      <c r="C1926" t="inlineStr">
        <is>
          <t>Ikab Securities And Investment Ltd</t>
        </is>
      </c>
      <c r="D1926" t="n">
        <v>2020</v>
      </c>
      <c r="E1926" t="n">
        <v>1108.75</v>
      </c>
      <c r="G1926" t="inlineStr">
        <is>
          <t>Consolidated first (v4) – needs verification for flagged rows</t>
        </is>
      </c>
      <c r="H1926" t="n">
        <v>21.58212661743164</v>
      </c>
      <c r="I1926" t="n">
        <v>18.63911056518555</v>
      </c>
      <c r="L1926" t="inlineStr">
        <is>
          <t>INCOMPLETE</t>
        </is>
      </c>
      <c r="O1926" t="n">
        <v>2103.35</v>
      </c>
      <c r="P1926" t="n">
        <v>2800</v>
      </c>
      <c r="Q1926" t="n">
        <v>1025</v>
      </c>
      <c r="R1926" s="3" t="inlineStr">
        <is>
          <t>MISMATCH_NEEDS_CORRECTION</t>
        </is>
      </c>
      <c r="S1926" t="n">
        <v>2103.35</v>
      </c>
      <c r="T1926" t="inlineStr">
        <is>
          <t>30-07-2026 09:42 IST</t>
        </is>
      </c>
    </row>
    <row r="1927">
      <c r="A1927" t="n">
        <v>278</v>
      </c>
      <c r="B1927" t="n">
        <v>514238</v>
      </c>
      <c r="C1927" t="inlineStr">
        <is>
          <t>Ikab Securities And Investment Ltd</t>
        </is>
      </c>
      <c r="D1927" t="n">
        <v>2021</v>
      </c>
      <c r="E1927" t="n">
        <v>1108.75</v>
      </c>
      <c r="G1927" t="inlineStr">
        <is>
          <t>Consolidated first (v4) – needs verification for flagged rows</t>
        </is>
      </c>
      <c r="H1927" t="n">
        <v>347.1779479980469</v>
      </c>
      <c r="I1927" t="n">
        <v>19.62011528015137</v>
      </c>
      <c r="L1927" t="inlineStr">
        <is>
          <t>INCOMPLETE</t>
        </is>
      </c>
      <c r="O1927" t="n">
        <v>2103.35</v>
      </c>
      <c r="P1927" t="n">
        <v>2800</v>
      </c>
      <c r="Q1927" t="n">
        <v>1025</v>
      </c>
      <c r="R1927" s="3" t="inlineStr">
        <is>
          <t>MISMATCH_NEEDS_CORRECTION</t>
        </is>
      </c>
      <c r="S1927" t="n">
        <v>2103.35</v>
      </c>
      <c r="T1927" t="inlineStr">
        <is>
          <t>30-07-2026 09:42 IST</t>
        </is>
      </c>
    </row>
    <row r="1928">
      <c r="A1928" t="n">
        <v>278</v>
      </c>
      <c r="B1928" t="n">
        <v>514238</v>
      </c>
      <c r="C1928" t="inlineStr">
        <is>
          <t>Ikab Securities And Investment Ltd</t>
        </is>
      </c>
      <c r="D1928" t="n">
        <v>2022</v>
      </c>
      <c r="E1928" t="n">
        <v>1108.75</v>
      </c>
      <c r="G1928" t="inlineStr">
        <is>
          <t>Consolidated first (v4) – needs verification for flagged rows</t>
        </is>
      </c>
      <c r="H1928" t="n">
        <v>1235.086303710938</v>
      </c>
      <c r="I1928" t="n">
        <v>328.1464538574219</v>
      </c>
      <c r="L1928" t="inlineStr">
        <is>
          <t>INCOMPLETE</t>
        </is>
      </c>
      <c r="O1928" t="n">
        <v>2103.35</v>
      </c>
      <c r="P1928" t="n">
        <v>2800</v>
      </c>
      <c r="Q1928" t="n">
        <v>1025</v>
      </c>
      <c r="R1928" s="3" t="inlineStr">
        <is>
          <t>MISMATCH_NEEDS_CORRECTION</t>
        </is>
      </c>
      <c r="S1928" t="n">
        <v>2103.35</v>
      </c>
      <c r="T1928" t="inlineStr">
        <is>
          <t>30-07-2026 09:42 IST</t>
        </is>
      </c>
    </row>
    <row r="1929">
      <c r="A1929" t="n">
        <v>278</v>
      </c>
      <c r="B1929" t="n">
        <v>514238</v>
      </c>
      <c r="C1929" t="inlineStr">
        <is>
          <t>Ikab Securities And Investment Ltd</t>
        </is>
      </c>
      <c r="D1929" t="n">
        <v>2023</v>
      </c>
      <c r="E1929" t="n">
        <v>1108.75</v>
      </c>
      <c r="F1929" t="n">
        <v>43.08</v>
      </c>
      <c r="G1929" t="inlineStr">
        <is>
          <t>Consolidated first (v4) – needs verification for flagged rows</t>
        </is>
      </c>
      <c r="H1929" t="n">
        <v>1726.570190429688</v>
      </c>
      <c r="I1929" t="n">
        <v>914.885986328125</v>
      </c>
      <c r="L1929" t="inlineStr">
        <is>
          <t>OK</t>
        </is>
      </c>
      <c r="M1929" t="n">
        <v>40.08</v>
      </c>
      <c r="N1929" t="n">
        <v>21.24</v>
      </c>
      <c r="O1929" t="n">
        <v>2103.35</v>
      </c>
      <c r="P1929" t="n">
        <v>2800</v>
      </c>
      <c r="Q1929" t="n">
        <v>1025</v>
      </c>
      <c r="R1929" s="3" t="inlineStr">
        <is>
          <t>MISMATCH_NEEDS_CORRECTION</t>
        </is>
      </c>
      <c r="S1929" t="n">
        <v>2103.35</v>
      </c>
      <c r="T1929" t="inlineStr">
        <is>
          <t>30-07-2026 09:42 IST</t>
        </is>
      </c>
    </row>
    <row r="1930">
      <c r="A1930" t="n">
        <v>278</v>
      </c>
      <c r="B1930" t="n">
        <v>514238</v>
      </c>
      <c r="C1930" t="inlineStr">
        <is>
          <t>Ikab Securities And Investment Ltd</t>
        </is>
      </c>
      <c r="D1930" t="n">
        <v>2024</v>
      </c>
      <c r="E1930" t="n">
        <v>1108.75</v>
      </c>
      <c r="F1930" t="n">
        <v>55.08</v>
      </c>
      <c r="G1930" t="inlineStr">
        <is>
          <t>Consolidated first (v4) – needs verification for flagged rows</t>
        </is>
      </c>
      <c r="H1930" t="n">
        <v>2800</v>
      </c>
      <c r="I1930" t="n">
        <v>1021.299987792969</v>
      </c>
      <c r="L1930" t="inlineStr">
        <is>
          <t>OK</t>
        </is>
      </c>
      <c r="M1930" t="n">
        <v>50.84</v>
      </c>
      <c r="N1930" t="n">
        <v>18.54</v>
      </c>
      <c r="O1930" t="n">
        <v>2103.35</v>
      </c>
      <c r="P1930" t="n">
        <v>2800</v>
      </c>
      <c r="Q1930" t="n">
        <v>1025</v>
      </c>
      <c r="R1930" s="3" t="inlineStr">
        <is>
          <t>MISMATCH_NEEDS_CORRECTION</t>
        </is>
      </c>
      <c r="S1930" t="n">
        <v>2103.35</v>
      </c>
      <c r="T1930" t="inlineStr">
        <is>
          <t>30-07-2026 09:42 IST</t>
        </is>
      </c>
    </row>
    <row r="1931">
      <c r="A1931" t="n">
        <v>278</v>
      </c>
      <c r="B1931" t="n">
        <v>514238</v>
      </c>
      <c r="C1931" t="inlineStr">
        <is>
          <t>Ikab Securities And Investment Ltd</t>
        </is>
      </c>
      <c r="D1931" t="n">
        <v>2025</v>
      </c>
      <c r="E1931" t="n">
        <v>1108.75</v>
      </c>
      <c r="F1931" t="n">
        <v>24.69</v>
      </c>
      <c r="G1931" t="inlineStr">
        <is>
          <t>Consolidated first (v4) – needs verification for flagged rows</t>
        </is>
      </c>
      <c r="H1931" t="n">
        <v>1900</v>
      </c>
      <c r="I1931" t="n">
        <v>1000</v>
      </c>
      <c r="L1931" t="inlineStr">
        <is>
          <t>OK</t>
        </is>
      </c>
      <c r="M1931" t="n">
        <v>76.95</v>
      </c>
      <c r="N1931" t="n">
        <v>40.5</v>
      </c>
      <c r="O1931" t="n">
        <v>2103.35</v>
      </c>
      <c r="P1931" t="n">
        <v>2800</v>
      </c>
      <c r="Q1931" t="n">
        <v>1025</v>
      </c>
      <c r="R1931" s="3" t="inlineStr">
        <is>
          <t>MISMATCH_NEEDS_CORRECTION</t>
        </is>
      </c>
      <c r="S1931" t="n">
        <v>2103.35</v>
      </c>
      <c r="T1931" t="inlineStr">
        <is>
          <t>30-07-2026 09:42 IST</t>
        </is>
      </c>
    </row>
    <row r="1932">
      <c r="A1932" t="n">
        <v>278</v>
      </c>
      <c r="B1932" t="n">
        <v>514238</v>
      </c>
      <c r="C1932" t="inlineStr">
        <is>
          <t>Ikab Securities And Investment Ltd</t>
        </is>
      </c>
      <c r="D1932" t="n">
        <v>2026</v>
      </c>
      <c r="E1932" t="n">
        <v>1108.75</v>
      </c>
      <c r="F1932" t="n">
        <v>27.61</v>
      </c>
      <c r="G1932" t="inlineStr">
        <is>
          <t>Consolidated first (v4) – needs verification for flagged rows</t>
        </is>
      </c>
      <c r="H1932" t="n">
        <v>1320</v>
      </c>
      <c r="I1932" t="n">
        <v>732</v>
      </c>
      <c r="L1932" t="inlineStr">
        <is>
          <t>OK</t>
        </is>
      </c>
      <c r="M1932" t="n">
        <v>47.81</v>
      </c>
      <c r="N1932" t="n">
        <v>26.51</v>
      </c>
      <c r="O1932" t="n">
        <v>2103.35</v>
      </c>
      <c r="P1932" t="n">
        <v>2800</v>
      </c>
      <c r="Q1932" t="n">
        <v>1025</v>
      </c>
      <c r="R1932" s="3" t="inlineStr">
        <is>
          <t>MISMATCH_NEEDS_CORRECTION</t>
        </is>
      </c>
      <c r="S1932" t="n">
        <v>2103.35</v>
      </c>
      <c r="T1932" t="inlineStr">
        <is>
          <t>30-07-2026 09:42 IST</t>
        </is>
      </c>
    </row>
    <row r="1933">
      <c r="A1933" t="n">
        <v>279</v>
      </c>
      <c r="B1933" t="n">
        <v>514274</v>
      </c>
      <c r="C1933" t="inlineStr">
        <is>
          <t>Aarvee Denims And Exports Ltd</t>
        </is>
      </c>
      <c r="D1933" t="n">
        <v>2015</v>
      </c>
      <c r="E1933" t="n">
        <v>62.15000152587891</v>
      </c>
      <c r="F1933" t="n">
        <v>0.04</v>
      </c>
      <c r="G1933" t="inlineStr">
        <is>
          <t>Consolidated first (v4) – needs verification for flagged rows</t>
        </is>
      </c>
      <c r="H1933" t="n">
        <v>40</v>
      </c>
      <c r="I1933" t="n">
        <v>18.52499961853027</v>
      </c>
      <c r="L1933" t="inlineStr">
        <is>
          <t>UNVERIFIED – tiny EPS &lt;0.5</t>
        </is>
      </c>
      <c r="M1933" t="n">
        <v>1000</v>
      </c>
      <c r="N1933" t="n">
        <v>463.12</v>
      </c>
      <c r="O1933">
        <f>IFERROR(VLOOKUP(B1933,BSE_500_LIVE!A:E,3,FALSE),"")</f>
        <v/>
      </c>
      <c r="P1933">
        <f>IFERROR(VLOOKUP(B1933,BSE_500_LIVE!A:E,4,FALSE),"")</f>
        <v/>
      </c>
      <c r="Q1933">
        <f>IFERROR(VLOOKUP(B1933,BSE_500_LIVE!A:E,5,FALSE),"")</f>
        <v/>
      </c>
      <c r="R1933">
        <f>IF(OR(E1933="",O1933=""),"PENDING_FETCH",IF(ABS(E1933-O1933)/E1933&gt;0.005,"MISMATCH_NEEDS_CORRECTION","VERIFIED_OK"))</f>
        <v/>
      </c>
      <c r="S1933">
        <f>IF(O1933&lt;&gt;"",O1933,E1933)</f>
        <v/>
      </c>
      <c r="T1933">
        <f>IFERROR(VLOOKUP(B1933,BSE_500_LIVE!A:F,6,FALSE),"")</f>
        <v/>
      </c>
    </row>
    <row r="1934">
      <c r="A1934" t="n">
        <v>279</v>
      </c>
      <c r="B1934" t="n">
        <v>514274</v>
      </c>
      <c r="C1934" t="inlineStr">
        <is>
          <t>Aarvee Denims And Exports Ltd</t>
        </is>
      </c>
      <c r="D1934" t="n">
        <v>2016</v>
      </c>
      <c r="E1934" t="n">
        <v>62.15000152587891</v>
      </c>
      <c r="F1934" t="n">
        <v>1.5</v>
      </c>
      <c r="G1934" t="inlineStr">
        <is>
          <t>Consolidated first (v4) – needs verification for flagged rows</t>
        </is>
      </c>
      <c r="H1934" t="n">
        <v>55.45000076293945</v>
      </c>
      <c r="I1934" t="n">
        <v>23.5</v>
      </c>
      <c r="L1934" t="inlineStr">
        <is>
          <t>OK</t>
        </is>
      </c>
      <c r="M1934" t="n">
        <v>36.97</v>
      </c>
      <c r="N1934" t="n">
        <v>15.67</v>
      </c>
      <c r="O1934">
        <f>IFERROR(VLOOKUP(B1934,BSE_500_LIVE!A:E,3,FALSE),"")</f>
        <v/>
      </c>
      <c r="P1934">
        <f>IFERROR(VLOOKUP(B1934,BSE_500_LIVE!A:E,4,FALSE),"")</f>
        <v/>
      </c>
      <c r="Q1934">
        <f>IFERROR(VLOOKUP(B1934,BSE_500_LIVE!A:E,5,FALSE),"")</f>
        <v/>
      </c>
      <c r="R1934">
        <f>IF(OR(E1934="",O1934=""),"PENDING_FETCH",IF(ABS(E1934-O1934)/E1934&gt;0.005,"MISMATCH_NEEDS_CORRECTION","VERIFIED_OK"))</f>
        <v/>
      </c>
      <c r="S1934">
        <f>IF(O1934&lt;&gt;"",O1934,E1934)</f>
        <v/>
      </c>
      <c r="T1934">
        <f>IFERROR(VLOOKUP(B1934,BSE_500_LIVE!A:F,6,FALSE),"")</f>
        <v/>
      </c>
    </row>
    <row r="1935">
      <c r="A1935" t="n">
        <v>279</v>
      </c>
      <c r="B1935" t="n">
        <v>514274</v>
      </c>
      <c r="C1935" t="inlineStr">
        <is>
          <t>Aarvee Denims And Exports Ltd</t>
        </is>
      </c>
      <c r="D1935" t="n">
        <v>2017</v>
      </c>
      <c r="E1935" t="n">
        <v>62.15000152587891</v>
      </c>
      <c r="F1935" t="n">
        <v>0.38</v>
      </c>
      <c r="G1935" t="inlineStr">
        <is>
          <t>Consolidated first (v4) – needs verification for flagged rows</t>
        </is>
      </c>
      <c r="H1935" t="n">
        <v>48</v>
      </c>
      <c r="I1935" t="n">
        <v>13.27499961853027</v>
      </c>
      <c r="L1935" t="inlineStr">
        <is>
          <t>UNVERIFIED – tiny EPS &lt;0.5</t>
        </is>
      </c>
      <c r="M1935" t="n">
        <v>126.32</v>
      </c>
      <c r="N1935" t="n">
        <v>34.93</v>
      </c>
      <c r="O1935">
        <f>IFERROR(VLOOKUP(B1935,BSE_500_LIVE!A:E,3,FALSE),"")</f>
        <v/>
      </c>
      <c r="P1935">
        <f>IFERROR(VLOOKUP(B1935,BSE_500_LIVE!A:E,4,FALSE),"")</f>
        <v/>
      </c>
      <c r="Q1935">
        <f>IFERROR(VLOOKUP(B1935,BSE_500_LIVE!A:E,5,FALSE),"")</f>
        <v/>
      </c>
      <c r="R1935">
        <f>IF(OR(E1935="",O1935=""),"PENDING_FETCH",IF(ABS(E1935-O1935)/E1935&gt;0.005,"MISMATCH_NEEDS_CORRECTION","VERIFIED_OK"))</f>
        <v/>
      </c>
      <c r="S1935">
        <f>IF(O1935&lt;&gt;"",O1935,E1935)</f>
        <v/>
      </c>
      <c r="T1935">
        <f>IFERROR(VLOOKUP(B1935,BSE_500_LIVE!A:F,6,FALSE),"")</f>
        <v/>
      </c>
    </row>
    <row r="1936">
      <c r="A1936" t="n">
        <v>279</v>
      </c>
      <c r="B1936" t="n">
        <v>514274</v>
      </c>
      <c r="C1936" t="inlineStr">
        <is>
          <t>Aarvee Denims And Exports Ltd</t>
        </is>
      </c>
      <c r="D1936" t="n">
        <v>2018</v>
      </c>
      <c r="E1936" t="n">
        <v>62.15000152587891</v>
      </c>
      <c r="F1936" t="n">
        <v>1.2</v>
      </c>
      <c r="G1936" t="inlineStr">
        <is>
          <t>Consolidated first (v4) – needs verification for flagged rows</t>
        </is>
      </c>
      <c r="H1936" t="n">
        <v>29</v>
      </c>
      <c r="I1936" t="n">
        <v>11.07499980926514</v>
      </c>
      <c r="L1936" t="inlineStr">
        <is>
          <t>OK</t>
        </is>
      </c>
      <c r="M1936" t="n">
        <v>24.17</v>
      </c>
      <c r="N1936" t="n">
        <v>9.23</v>
      </c>
      <c r="O1936">
        <f>IFERROR(VLOOKUP(B1936,BSE_500_LIVE!A:E,3,FALSE),"")</f>
        <v/>
      </c>
      <c r="P1936">
        <f>IFERROR(VLOOKUP(B1936,BSE_500_LIVE!A:E,4,FALSE),"")</f>
        <v/>
      </c>
      <c r="Q1936">
        <f>IFERROR(VLOOKUP(B1936,BSE_500_LIVE!A:E,5,FALSE),"")</f>
        <v/>
      </c>
      <c r="R1936">
        <f>IF(OR(E1936="",O1936=""),"PENDING_FETCH",IF(ABS(E1936-O1936)/E1936&gt;0.005,"MISMATCH_NEEDS_CORRECTION","VERIFIED_OK"))</f>
        <v/>
      </c>
      <c r="S1936">
        <f>IF(O1936&lt;&gt;"",O1936,E1936)</f>
        <v/>
      </c>
      <c r="T1936">
        <f>IFERROR(VLOOKUP(B1936,BSE_500_LIVE!A:F,6,FALSE),"")</f>
        <v/>
      </c>
    </row>
    <row r="1937">
      <c r="A1937" t="n">
        <v>279</v>
      </c>
      <c r="B1937" t="n">
        <v>514274</v>
      </c>
      <c r="C1937" t="inlineStr">
        <is>
          <t>Aarvee Denims And Exports Ltd</t>
        </is>
      </c>
      <c r="D1937" t="n">
        <v>2019</v>
      </c>
      <c r="E1937" t="n">
        <v>62.15000152587891</v>
      </c>
      <c r="F1937" t="n">
        <v>0.23</v>
      </c>
      <c r="G1937" t="inlineStr">
        <is>
          <t>Consolidated first (v4) – needs verification for flagged rows</t>
        </is>
      </c>
      <c r="H1937" t="n">
        <v>17.04999923706055</v>
      </c>
      <c r="I1937" t="n">
        <v>5.460000038146973</v>
      </c>
      <c r="L1937" t="inlineStr">
        <is>
          <t>UNVERIFIED – tiny EPS &lt;0.5</t>
        </is>
      </c>
      <c r="M1937" t="n">
        <v>74.13</v>
      </c>
      <c r="N1937" t="n">
        <v>23.74</v>
      </c>
      <c r="O1937">
        <f>IFERROR(VLOOKUP(B1937,BSE_500_LIVE!A:E,3,FALSE),"")</f>
        <v/>
      </c>
      <c r="P1937">
        <f>IFERROR(VLOOKUP(B1937,BSE_500_LIVE!A:E,4,FALSE),"")</f>
        <v/>
      </c>
      <c r="Q1937">
        <f>IFERROR(VLOOKUP(B1937,BSE_500_LIVE!A:E,5,FALSE),"")</f>
        <v/>
      </c>
      <c r="R1937">
        <f>IF(OR(E1937="",O1937=""),"PENDING_FETCH",IF(ABS(E1937-O1937)/E1937&gt;0.005,"MISMATCH_NEEDS_CORRECTION","VERIFIED_OK"))</f>
        <v/>
      </c>
      <c r="S1937">
        <f>IF(O1937&lt;&gt;"",O1937,E1937)</f>
        <v/>
      </c>
      <c r="T1937">
        <f>IFERROR(VLOOKUP(B1937,BSE_500_LIVE!A:F,6,FALSE),"")</f>
        <v/>
      </c>
    </row>
    <row r="1938">
      <c r="A1938" t="n">
        <v>279</v>
      </c>
      <c r="B1938" t="n">
        <v>514274</v>
      </c>
      <c r="C1938" t="inlineStr">
        <is>
          <t>Aarvee Denims And Exports Ltd</t>
        </is>
      </c>
      <c r="D1938" t="n">
        <v>2020</v>
      </c>
      <c r="E1938" t="n">
        <v>62.15000152587891</v>
      </c>
      <c r="F1938" t="n">
        <v>-8.94</v>
      </c>
      <c r="G1938" t="inlineStr">
        <is>
          <t>Consolidated first (v4) – needs verification for flagged rows</t>
        </is>
      </c>
      <c r="H1938" t="n">
        <v>11.47500038146973</v>
      </c>
      <c r="I1938" t="n">
        <v>3.150000095367432</v>
      </c>
      <c r="L1938" t="inlineStr">
        <is>
          <t>UNVERIFIED – negative EPS</t>
        </is>
      </c>
      <c r="M1938" t="n">
        <v>-1.28</v>
      </c>
      <c r="N1938" t="n">
        <v>-0.35</v>
      </c>
      <c r="O1938">
        <f>IFERROR(VLOOKUP(B1938,BSE_500_LIVE!A:E,3,FALSE),"")</f>
        <v/>
      </c>
      <c r="P1938">
        <f>IFERROR(VLOOKUP(B1938,BSE_500_LIVE!A:E,4,FALSE),"")</f>
        <v/>
      </c>
      <c r="Q1938">
        <f>IFERROR(VLOOKUP(B1938,BSE_500_LIVE!A:E,5,FALSE),"")</f>
        <v/>
      </c>
      <c r="R1938">
        <f>IF(OR(E1938="",O1938=""),"PENDING_FETCH",IF(ABS(E1938-O1938)/E1938&gt;0.005,"MISMATCH_NEEDS_CORRECTION","VERIFIED_OK"))</f>
        <v/>
      </c>
      <c r="S1938">
        <f>IF(O1938&lt;&gt;"",O1938,E1938)</f>
        <v/>
      </c>
      <c r="T1938">
        <f>IFERROR(VLOOKUP(B1938,BSE_500_LIVE!A:F,6,FALSE),"")</f>
        <v/>
      </c>
    </row>
    <row r="1939">
      <c r="A1939" t="n">
        <v>279</v>
      </c>
      <c r="B1939" t="n">
        <v>514274</v>
      </c>
      <c r="C1939" t="inlineStr">
        <is>
          <t>Aarvee Denims And Exports Ltd</t>
        </is>
      </c>
      <c r="D1939" t="n">
        <v>2021</v>
      </c>
      <c r="E1939" t="n">
        <v>62.15000152587891</v>
      </c>
      <c r="F1939" t="n">
        <v>-13.69</v>
      </c>
      <c r="G1939" t="inlineStr">
        <is>
          <t>Consolidated first (v4) – needs verification for flagged rows</t>
        </is>
      </c>
      <c r="H1939" t="n">
        <v>16.47500038146973</v>
      </c>
      <c r="I1939" t="n">
        <v>8.274999618530273</v>
      </c>
      <c r="L1939" t="inlineStr">
        <is>
          <t>UNVERIFIED – negative EPS</t>
        </is>
      </c>
      <c r="M1939" t="n">
        <v>-1.2</v>
      </c>
      <c r="N1939" t="n">
        <v>-0.6</v>
      </c>
      <c r="O1939">
        <f>IFERROR(VLOOKUP(B1939,BSE_500_LIVE!A:E,3,FALSE),"")</f>
        <v/>
      </c>
      <c r="P1939">
        <f>IFERROR(VLOOKUP(B1939,BSE_500_LIVE!A:E,4,FALSE),"")</f>
        <v/>
      </c>
      <c r="Q1939">
        <f>IFERROR(VLOOKUP(B1939,BSE_500_LIVE!A:E,5,FALSE),"")</f>
        <v/>
      </c>
      <c r="R1939">
        <f>IF(OR(E1939="",O1939=""),"PENDING_FETCH",IF(ABS(E1939-O1939)/E1939&gt;0.005,"MISMATCH_NEEDS_CORRECTION","VERIFIED_OK"))</f>
        <v/>
      </c>
      <c r="S1939">
        <f>IF(O1939&lt;&gt;"",O1939,E1939)</f>
        <v/>
      </c>
      <c r="T1939">
        <f>IFERROR(VLOOKUP(B1939,BSE_500_LIVE!A:F,6,FALSE),"")</f>
        <v/>
      </c>
    </row>
    <row r="1940">
      <c r="A1940" t="n">
        <v>279</v>
      </c>
      <c r="B1940" t="n">
        <v>514274</v>
      </c>
      <c r="C1940" t="inlineStr">
        <is>
          <t>Aarvee Denims And Exports Ltd</t>
        </is>
      </c>
      <c r="D1940" t="n">
        <v>2022</v>
      </c>
      <c r="E1940" t="n">
        <v>62.15000152587891</v>
      </c>
      <c r="F1940" t="n">
        <v>-8.83</v>
      </c>
      <c r="G1940" t="inlineStr">
        <is>
          <t>Consolidated first (v4) – needs verification for flagged rows</t>
        </is>
      </c>
      <c r="H1940" t="n">
        <v>16.64999961853027</v>
      </c>
      <c r="I1940" t="n">
        <v>8.225000381469727</v>
      </c>
      <c r="L1940" t="inlineStr">
        <is>
          <t>UNVERIFIED – negative EPS</t>
        </is>
      </c>
      <c r="M1940" t="n">
        <v>-1.89</v>
      </c>
      <c r="N1940" t="n">
        <v>-0.93</v>
      </c>
      <c r="O1940">
        <f>IFERROR(VLOOKUP(B1940,BSE_500_LIVE!A:E,3,FALSE),"")</f>
        <v/>
      </c>
      <c r="P1940">
        <f>IFERROR(VLOOKUP(B1940,BSE_500_LIVE!A:E,4,FALSE),"")</f>
        <v/>
      </c>
      <c r="Q1940">
        <f>IFERROR(VLOOKUP(B1940,BSE_500_LIVE!A:E,5,FALSE),"")</f>
        <v/>
      </c>
      <c r="R1940">
        <f>IF(OR(E1940="",O1940=""),"PENDING_FETCH",IF(ABS(E1940-O1940)/E1940&gt;0.005,"MISMATCH_NEEDS_CORRECTION","VERIFIED_OK"))</f>
        <v/>
      </c>
      <c r="S1940">
        <f>IF(O1940&lt;&gt;"",O1940,E1940)</f>
        <v/>
      </c>
      <c r="T1940">
        <f>IFERROR(VLOOKUP(B1940,BSE_500_LIVE!A:F,6,FALSE),"")</f>
        <v/>
      </c>
    </row>
    <row r="1941">
      <c r="A1941" t="n">
        <v>279</v>
      </c>
      <c r="B1941" t="n">
        <v>514274</v>
      </c>
      <c r="C1941" t="inlineStr">
        <is>
          <t>Aarvee Denims And Exports Ltd</t>
        </is>
      </c>
      <c r="D1941" t="n">
        <v>2023</v>
      </c>
      <c r="E1941" t="n">
        <v>62.15000152587891</v>
      </c>
      <c r="F1941" t="n">
        <v>-13.87</v>
      </c>
      <c r="G1941" t="inlineStr">
        <is>
          <t>Consolidated first (v4) – needs verification for flagged rows</t>
        </is>
      </c>
      <c r="H1941" t="n">
        <v>16.39500045776367</v>
      </c>
      <c r="I1941" t="n">
        <v>8.375</v>
      </c>
      <c r="L1941" t="inlineStr">
        <is>
          <t>UNVERIFIED – negative EPS</t>
        </is>
      </c>
      <c r="M1941" t="n">
        <v>-1.18</v>
      </c>
      <c r="N1941" t="n">
        <v>-0.6</v>
      </c>
      <c r="O1941">
        <f>IFERROR(VLOOKUP(B1941,BSE_500_LIVE!A:E,3,FALSE),"")</f>
        <v/>
      </c>
      <c r="P1941">
        <f>IFERROR(VLOOKUP(B1941,BSE_500_LIVE!A:E,4,FALSE),"")</f>
        <v/>
      </c>
      <c r="Q1941">
        <f>IFERROR(VLOOKUP(B1941,BSE_500_LIVE!A:E,5,FALSE),"")</f>
        <v/>
      </c>
      <c r="R1941">
        <f>IF(OR(E1941="",O1941=""),"PENDING_FETCH",IF(ABS(E1941-O1941)/E1941&gt;0.005,"MISMATCH_NEEDS_CORRECTION","VERIFIED_OK"))</f>
        <v/>
      </c>
      <c r="S1941">
        <f>IF(O1941&lt;&gt;"",O1941,E1941)</f>
        <v/>
      </c>
      <c r="T1941">
        <f>IFERROR(VLOOKUP(B1941,BSE_500_LIVE!A:F,6,FALSE),"")</f>
        <v/>
      </c>
    </row>
    <row r="1942">
      <c r="A1942" t="n">
        <v>279</v>
      </c>
      <c r="B1942" t="n">
        <v>514274</v>
      </c>
      <c r="C1942" t="inlineStr">
        <is>
          <t>Aarvee Denims And Exports Ltd</t>
        </is>
      </c>
      <c r="D1942" t="n">
        <v>2024</v>
      </c>
      <c r="E1942" t="n">
        <v>62.15000152587891</v>
      </c>
      <c r="F1942" t="n">
        <v>-9.51</v>
      </c>
      <c r="G1942" t="inlineStr">
        <is>
          <t>Consolidated first (v4) – needs verification for flagged rows</t>
        </is>
      </c>
      <c r="H1942" t="n">
        <v>57.08499908447266</v>
      </c>
      <c r="I1942" t="n">
        <v>11.0649995803833</v>
      </c>
      <c r="L1942" t="inlineStr">
        <is>
          <t>UNVERIFIED – negative EPS</t>
        </is>
      </c>
      <c r="M1942" t="n">
        <v>-6</v>
      </c>
      <c r="N1942" t="n">
        <v>-1.16</v>
      </c>
      <c r="O1942">
        <f>IFERROR(VLOOKUP(B1942,BSE_500_LIVE!A:E,3,FALSE),"")</f>
        <v/>
      </c>
      <c r="P1942">
        <f>IFERROR(VLOOKUP(B1942,BSE_500_LIVE!A:E,4,FALSE),"")</f>
        <v/>
      </c>
      <c r="Q1942">
        <f>IFERROR(VLOOKUP(B1942,BSE_500_LIVE!A:E,5,FALSE),"")</f>
        <v/>
      </c>
      <c r="R1942">
        <f>IF(OR(E1942="",O1942=""),"PENDING_FETCH",IF(ABS(E1942-O1942)/E1942&gt;0.005,"MISMATCH_NEEDS_CORRECTION","VERIFIED_OK"))</f>
        <v/>
      </c>
      <c r="S1942">
        <f>IF(O1942&lt;&gt;"",O1942,E1942)</f>
        <v/>
      </c>
      <c r="T1942">
        <f>IFERROR(VLOOKUP(B1942,BSE_500_LIVE!A:F,6,FALSE),"")</f>
        <v/>
      </c>
    </row>
    <row r="1943">
      <c r="A1943" t="n">
        <v>279</v>
      </c>
      <c r="B1943" t="n">
        <v>514274</v>
      </c>
      <c r="C1943" t="inlineStr">
        <is>
          <t>Aarvee Denims And Exports Ltd</t>
        </is>
      </c>
      <c r="D1943" t="n">
        <v>2025</v>
      </c>
      <c r="E1943" t="n">
        <v>62.15000152587891</v>
      </c>
      <c r="F1943" t="n">
        <v>3.95</v>
      </c>
      <c r="G1943" t="inlineStr">
        <is>
          <t>Consolidated first (v4) – needs verification for flagged rows</t>
        </is>
      </c>
      <c r="H1943" t="n">
        <v>98.5</v>
      </c>
      <c r="I1943" t="n">
        <v>56.52500152587891</v>
      </c>
      <c r="L1943" t="inlineStr">
        <is>
          <t>OK</t>
        </is>
      </c>
      <c r="M1943" t="n">
        <v>24.94</v>
      </c>
      <c r="N1943" t="n">
        <v>14.31</v>
      </c>
      <c r="O1943">
        <f>IFERROR(VLOOKUP(B1943,BSE_500_LIVE!A:E,3,FALSE),"")</f>
        <v/>
      </c>
      <c r="P1943">
        <f>IFERROR(VLOOKUP(B1943,BSE_500_LIVE!A:E,4,FALSE),"")</f>
        <v/>
      </c>
      <c r="Q1943">
        <f>IFERROR(VLOOKUP(B1943,BSE_500_LIVE!A:E,5,FALSE),"")</f>
        <v/>
      </c>
      <c r="R1943">
        <f>IF(OR(E1943="",O1943=""),"PENDING_FETCH",IF(ABS(E1943-O1943)/E1943&gt;0.005,"MISMATCH_NEEDS_CORRECTION","VERIFIED_OK"))</f>
        <v/>
      </c>
      <c r="S1943">
        <f>IF(O1943&lt;&gt;"",O1943,E1943)</f>
        <v/>
      </c>
      <c r="T1943">
        <f>IFERROR(VLOOKUP(B1943,BSE_500_LIVE!A:F,6,FALSE),"")</f>
        <v/>
      </c>
    </row>
    <row r="1944">
      <c r="A1944" t="n">
        <v>279</v>
      </c>
      <c r="B1944" t="n">
        <v>514274</v>
      </c>
      <c r="C1944" t="inlineStr">
        <is>
          <t>Aarvee Denims And Exports Ltd</t>
        </is>
      </c>
      <c r="D1944" t="n">
        <v>2026</v>
      </c>
      <c r="E1944" t="n">
        <v>62.15000152587891</v>
      </c>
      <c r="F1944" t="n">
        <v>2.42</v>
      </c>
      <c r="G1944" t="inlineStr">
        <is>
          <t>Consolidated first (v4) – needs verification for flagged rows</t>
        </is>
      </c>
      <c r="H1944" t="n">
        <v>80.59999847412109</v>
      </c>
      <c r="I1944" t="n">
        <v>44.25</v>
      </c>
      <c r="L1944" t="inlineStr">
        <is>
          <t>OK</t>
        </is>
      </c>
      <c r="M1944" t="n">
        <v>33.31</v>
      </c>
      <c r="N1944" t="n">
        <v>18.29</v>
      </c>
      <c r="O1944">
        <f>IFERROR(VLOOKUP(B1944,BSE_500_LIVE!A:E,3,FALSE),"")</f>
        <v/>
      </c>
      <c r="P1944">
        <f>IFERROR(VLOOKUP(B1944,BSE_500_LIVE!A:E,4,FALSE),"")</f>
        <v/>
      </c>
      <c r="Q1944">
        <f>IFERROR(VLOOKUP(B1944,BSE_500_LIVE!A:E,5,FALSE),"")</f>
        <v/>
      </c>
      <c r="R1944">
        <f>IF(OR(E1944="",O1944=""),"PENDING_FETCH",IF(ABS(E1944-O1944)/E1944&gt;0.005,"MISMATCH_NEEDS_CORRECTION","VERIFIED_OK"))</f>
        <v/>
      </c>
      <c r="S1944">
        <f>IF(O1944&lt;&gt;"",O1944,E1944)</f>
        <v/>
      </c>
      <c r="T1944">
        <f>IFERROR(VLOOKUP(B1944,BSE_500_LIVE!A:F,6,FALSE),"")</f>
        <v/>
      </c>
    </row>
    <row r="1945">
      <c r="A1945" t="n">
        <v>280</v>
      </c>
      <c r="B1945" t="n">
        <v>514286</v>
      </c>
      <c r="C1945" t="inlineStr">
        <is>
          <t>Ashima Syntex Ltd</t>
        </is>
      </c>
      <c r="D1945" t="n">
        <v>2015</v>
      </c>
      <c r="E1945" t="n">
        <v>18.1200008392334</v>
      </c>
      <c r="G1945" t="inlineStr">
        <is>
          <t>Consolidated first (v4) – needs verification for flagged rows</t>
        </is>
      </c>
      <c r="H1945" t="n">
        <v>21.85000038146973</v>
      </c>
      <c r="I1945" t="n">
        <v>5.676999092102051</v>
      </c>
      <c r="L1945" t="inlineStr">
        <is>
          <t>INCOMPLETE</t>
        </is>
      </c>
      <c r="O1945">
        <f>IFERROR(VLOOKUP(B1945,BSE_500_LIVE!A:E,3,FALSE),"")</f>
        <v/>
      </c>
      <c r="P1945">
        <f>IFERROR(VLOOKUP(B1945,BSE_500_LIVE!A:E,4,FALSE),"")</f>
        <v/>
      </c>
      <c r="Q1945">
        <f>IFERROR(VLOOKUP(B1945,BSE_500_LIVE!A:E,5,FALSE),"")</f>
        <v/>
      </c>
      <c r="R1945">
        <f>IF(OR(E1945="",O1945=""),"PENDING_FETCH",IF(ABS(E1945-O1945)/E1945&gt;0.005,"MISMATCH_NEEDS_CORRECTION","VERIFIED_OK"))</f>
        <v/>
      </c>
      <c r="S1945">
        <f>IF(O1945&lt;&gt;"",O1945,E1945)</f>
        <v/>
      </c>
      <c r="T1945">
        <f>IFERROR(VLOOKUP(B1945,BSE_500_LIVE!A:F,6,FALSE),"")</f>
        <v/>
      </c>
    </row>
    <row r="1946">
      <c r="A1946" t="n">
        <v>280</v>
      </c>
      <c r="B1946" t="n">
        <v>514286</v>
      </c>
      <c r="C1946" t="inlineStr">
        <is>
          <t>Ashima Syntex Ltd</t>
        </is>
      </c>
      <c r="D1946" t="n">
        <v>2016</v>
      </c>
      <c r="E1946" t="n">
        <v>18.1200008392334</v>
      </c>
      <c r="G1946" t="inlineStr">
        <is>
          <t>Consolidated first (v4) – needs verification for flagged rows</t>
        </is>
      </c>
      <c r="H1946" t="n">
        <v>21.35000038146973</v>
      </c>
      <c r="I1946" t="n">
        <v>9.449999809265137</v>
      </c>
      <c r="L1946" t="inlineStr">
        <is>
          <t>INCOMPLETE</t>
        </is>
      </c>
      <c r="O1946">
        <f>IFERROR(VLOOKUP(B1946,BSE_500_LIVE!A:E,3,FALSE),"")</f>
        <v/>
      </c>
      <c r="P1946">
        <f>IFERROR(VLOOKUP(B1946,BSE_500_LIVE!A:E,4,FALSE),"")</f>
        <v/>
      </c>
      <c r="Q1946">
        <f>IFERROR(VLOOKUP(B1946,BSE_500_LIVE!A:E,5,FALSE),"")</f>
        <v/>
      </c>
      <c r="R1946">
        <f>IF(OR(E1946="",O1946=""),"PENDING_FETCH",IF(ABS(E1946-O1946)/E1946&gt;0.005,"MISMATCH_NEEDS_CORRECTION","VERIFIED_OK"))</f>
        <v/>
      </c>
      <c r="S1946">
        <f>IF(O1946&lt;&gt;"",O1946,E1946)</f>
        <v/>
      </c>
      <c r="T1946">
        <f>IFERROR(VLOOKUP(B1946,BSE_500_LIVE!A:F,6,FALSE),"")</f>
        <v/>
      </c>
    </row>
    <row r="1947">
      <c r="A1947" t="n">
        <v>280</v>
      </c>
      <c r="B1947" t="n">
        <v>514286</v>
      </c>
      <c r="C1947" t="inlineStr">
        <is>
          <t>Ashima Syntex Ltd</t>
        </is>
      </c>
      <c r="D1947" t="n">
        <v>2017</v>
      </c>
      <c r="E1947" t="n">
        <v>18.1200008392334</v>
      </c>
      <c r="G1947" t="inlineStr">
        <is>
          <t>Consolidated first (v4) – needs verification for flagged rows</t>
        </is>
      </c>
      <c r="H1947" t="n">
        <v>36.70000076293945</v>
      </c>
      <c r="I1947" t="n">
        <v>14</v>
      </c>
      <c r="L1947" t="inlineStr">
        <is>
          <t>INCOMPLETE</t>
        </is>
      </c>
      <c r="O1947">
        <f>IFERROR(VLOOKUP(B1947,BSE_500_LIVE!A:E,3,FALSE),"")</f>
        <v/>
      </c>
      <c r="P1947">
        <f>IFERROR(VLOOKUP(B1947,BSE_500_LIVE!A:E,4,FALSE),"")</f>
        <v/>
      </c>
      <c r="Q1947">
        <f>IFERROR(VLOOKUP(B1947,BSE_500_LIVE!A:E,5,FALSE),"")</f>
        <v/>
      </c>
      <c r="R1947">
        <f>IF(OR(E1947="",O1947=""),"PENDING_FETCH",IF(ABS(E1947-O1947)/E1947&gt;0.005,"MISMATCH_NEEDS_CORRECTION","VERIFIED_OK"))</f>
        <v/>
      </c>
      <c r="S1947">
        <f>IF(O1947&lt;&gt;"",O1947,E1947)</f>
        <v/>
      </c>
      <c r="T1947">
        <f>IFERROR(VLOOKUP(B1947,BSE_500_LIVE!A:F,6,FALSE),"")</f>
        <v/>
      </c>
    </row>
    <row r="1948">
      <c r="A1948" t="n">
        <v>280</v>
      </c>
      <c r="B1948" t="n">
        <v>514286</v>
      </c>
      <c r="C1948" t="inlineStr">
        <is>
          <t>Ashima Syntex Ltd</t>
        </is>
      </c>
      <c r="D1948" t="n">
        <v>2018</v>
      </c>
      <c r="E1948" t="n">
        <v>18.1200008392334</v>
      </c>
      <c r="G1948" t="inlineStr">
        <is>
          <t>Consolidated first (v4) – needs verification for flagged rows</t>
        </is>
      </c>
      <c r="H1948" t="n">
        <v>38.29999923706055</v>
      </c>
      <c r="I1948" t="n">
        <v>11.64999961853027</v>
      </c>
      <c r="L1948" t="inlineStr">
        <is>
          <t>INCOMPLETE</t>
        </is>
      </c>
      <c r="O1948">
        <f>IFERROR(VLOOKUP(B1948,BSE_500_LIVE!A:E,3,FALSE),"")</f>
        <v/>
      </c>
      <c r="P1948">
        <f>IFERROR(VLOOKUP(B1948,BSE_500_LIVE!A:E,4,FALSE),"")</f>
        <v/>
      </c>
      <c r="Q1948">
        <f>IFERROR(VLOOKUP(B1948,BSE_500_LIVE!A:E,5,FALSE),"")</f>
        <v/>
      </c>
      <c r="R1948">
        <f>IF(OR(E1948="",O1948=""),"PENDING_FETCH",IF(ABS(E1948-O1948)/E1948&gt;0.005,"MISMATCH_NEEDS_CORRECTION","VERIFIED_OK"))</f>
        <v/>
      </c>
      <c r="S1948">
        <f>IF(O1948&lt;&gt;"",O1948,E1948)</f>
        <v/>
      </c>
      <c r="T1948">
        <f>IFERROR(VLOOKUP(B1948,BSE_500_LIVE!A:F,6,FALSE),"")</f>
        <v/>
      </c>
    </row>
    <row r="1949">
      <c r="A1949" t="n">
        <v>280</v>
      </c>
      <c r="B1949" t="n">
        <v>514286</v>
      </c>
      <c r="C1949" t="inlineStr">
        <is>
          <t>Ashima Syntex Ltd</t>
        </is>
      </c>
      <c r="D1949" t="n">
        <v>2019</v>
      </c>
      <c r="E1949" t="n">
        <v>18.1200008392334</v>
      </c>
      <c r="F1949" t="n">
        <v>2.54</v>
      </c>
      <c r="G1949" t="inlineStr">
        <is>
          <t>Consolidated first (v4) – needs verification for flagged rows</t>
        </is>
      </c>
      <c r="H1949" t="n">
        <v>18.25</v>
      </c>
      <c r="I1949" t="n">
        <v>5.650000095367432</v>
      </c>
      <c r="L1949" t="inlineStr">
        <is>
          <t>OK</t>
        </is>
      </c>
      <c r="M1949" t="n">
        <v>7.19</v>
      </c>
      <c r="N1949" t="n">
        <v>2.22</v>
      </c>
      <c r="O1949">
        <f>IFERROR(VLOOKUP(B1949,BSE_500_LIVE!A:E,3,FALSE),"")</f>
        <v/>
      </c>
      <c r="P1949">
        <f>IFERROR(VLOOKUP(B1949,BSE_500_LIVE!A:E,4,FALSE),"")</f>
        <v/>
      </c>
      <c r="Q1949">
        <f>IFERROR(VLOOKUP(B1949,BSE_500_LIVE!A:E,5,FALSE),"")</f>
        <v/>
      </c>
      <c r="R1949">
        <f>IF(OR(E1949="",O1949=""),"PENDING_FETCH",IF(ABS(E1949-O1949)/E1949&gt;0.005,"MISMATCH_NEEDS_CORRECTION","VERIFIED_OK"))</f>
        <v/>
      </c>
      <c r="S1949">
        <f>IF(O1949&lt;&gt;"",O1949,E1949)</f>
        <v/>
      </c>
      <c r="T1949">
        <f>IFERROR(VLOOKUP(B1949,BSE_500_LIVE!A:F,6,FALSE),"")</f>
        <v/>
      </c>
    </row>
    <row r="1950">
      <c r="A1950" t="n">
        <v>280</v>
      </c>
      <c r="B1950" t="n">
        <v>514286</v>
      </c>
      <c r="C1950" t="inlineStr">
        <is>
          <t>Ashima Syntex Ltd</t>
        </is>
      </c>
      <c r="D1950" t="n">
        <v>2020</v>
      </c>
      <c r="E1950" t="n">
        <v>18.1200008392334</v>
      </c>
      <c r="F1950" t="n">
        <v>-0.26</v>
      </c>
      <c r="G1950" t="inlineStr">
        <is>
          <t>Consolidated first (v4) – needs verification for flagged rows</t>
        </is>
      </c>
      <c r="H1950" t="n">
        <v>15.05000019073486</v>
      </c>
      <c r="I1950" t="n">
        <v>3</v>
      </c>
      <c r="L1950" t="inlineStr">
        <is>
          <t>UNVERIFIED – negative EPS</t>
        </is>
      </c>
      <c r="M1950" t="n">
        <v>-57.88</v>
      </c>
      <c r="N1950" t="n">
        <v>-11.54</v>
      </c>
      <c r="O1950">
        <f>IFERROR(VLOOKUP(B1950,BSE_500_LIVE!A:E,3,FALSE),"")</f>
        <v/>
      </c>
      <c r="P1950">
        <f>IFERROR(VLOOKUP(B1950,BSE_500_LIVE!A:E,4,FALSE),"")</f>
        <v/>
      </c>
      <c r="Q1950">
        <f>IFERROR(VLOOKUP(B1950,BSE_500_LIVE!A:E,5,FALSE),"")</f>
        <v/>
      </c>
      <c r="R1950">
        <f>IF(OR(E1950="",O1950=""),"PENDING_FETCH",IF(ABS(E1950-O1950)/E1950&gt;0.005,"MISMATCH_NEEDS_CORRECTION","VERIFIED_OK"))</f>
        <v/>
      </c>
      <c r="S1950">
        <f>IF(O1950&lt;&gt;"",O1950,E1950)</f>
        <v/>
      </c>
      <c r="T1950">
        <f>IFERROR(VLOOKUP(B1950,BSE_500_LIVE!A:F,6,FALSE),"")</f>
        <v/>
      </c>
    </row>
    <row r="1951">
      <c r="A1951" t="n">
        <v>280</v>
      </c>
      <c r="B1951" t="n">
        <v>514286</v>
      </c>
      <c r="C1951" t="inlineStr">
        <is>
          <t>Ashima Syntex Ltd</t>
        </is>
      </c>
      <c r="D1951" t="n">
        <v>2021</v>
      </c>
      <c r="E1951" t="n">
        <v>18.1200008392334</v>
      </c>
      <c r="F1951" t="n">
        <v>-0.6</v>
      </c>
      <c r="G1951" t="inlineStr">
        <is>
          <t>Consolidated first (v4) – needs verification for flagged rows</t>
        </is>
      </c>
      <c r="H1951" t="n">
        <v>21.64999961853027</v>
      </c>
      <c r="I1951" t="n">
        <v>12.35000038146973</v>
      </c>
      <c r="L1951" t="inlineStr">
        <is>
          <t>UNVERIFIED – negative EPS</t>
        </is>
      </c>
      <c r="M1951" t="n">
        <v>-36.08</v>
      </c>
      <c r="N1951" t="n">
        <v>-20.58</v>
      </c>
      <c r="O1951">
        <f>IFERROR(VLOOKUP(B1951,BSE_500_LIVE!A:E,3,FALSE),"")</f>
        <v/>
      </c>
      <c r="P1951">
        <f>IFERROR(VLOOKUP(B1951,BSE_500_LIVE!A:E,4,FALSE),"")</f>
        <v/>
      </c>
      <c r="Q1951">
        <f>IFERROR(VLOOKUP(B1951,BSE_500_LIVE!A:E,5,FALSE),"")</f>
        <v/>
      </c>
      <c r="R1951">
        <f>IF(OR(E1951="",O1951=""),"PENDING_FETCH",IF(ABS(E1951-O1951)/E1951&gt;0.005,"MISMATCH_NEEDS_CORRECTION","VERIFIED_OK"))</f>
        <v/>
      </c>
      <c r="S1951">
        <f>IF(O1951&lt;&gt;"",O1951,E1951)</f>
        <v/>
      </c>
      <c r="T1951">
        <f>IFERROR(VLOOKUP(B1951,BSE_500_LIVE!A:F,6,FALSE),"")</f>
        <v/>
      </c>
    </row>
    <row r="1952">
      <c r="A1952" t="n">
        <v>280</v>
      </c>
      <c r="B1952" t="n">
        <v>514286</v>
      </c>
      <c r="C1952" t="inlineStr">
        <is>
          <t>Ashima Syntex Ltd</t>
        </is>
      </c>
      <c r="D1952" t="n">
        <v>2022</v>
      </c>
      <c r="E1952" t="n">
        <v>18.1200008392334</v>
      </c>
      <c r="F1952" t="n">
        <v>0.93</v>
      </c>
      <c r="G1952" t="inlineStr">
        <is>
          <t>Consolidated first (v4) – needs verification for flagged rows</t>
        </is>
      </c>
      <c r="H1952" t="n">
        <v>23.29999923706055</v>
      </c>
      <c r="I1952" t="n">
        <v>11</v>
      </c>
      <c r="L1952" t="inlineStr">
        <is>
          <t>OK</t>
        </is>
      </c>
      <c r="M1952" t="n">
        <v>25.05</v>
      </c>
      <c r="N1952" t="n">
        <v>11.83</v>
      </c>
      <c r="O1952">
        <f>IFERROR(VLOOKUP(B1952,BSE_500_LIVE!A:E,3,FALSE),"")</f>
        <v/>
      </c>
      <c r="P1952">
        <f>IFERROR(VLOOKUP(B1952,BSE_500_LIVE!A:E,4,FALSE),"")</f>
        <v/>
      </c>
      <c r="Q1952">
        <f>IFERROR(VLOOKUP(B1952,BSE_500_LIVE!A:E,5,FALSE),"")</f>
        <v/>
      </c>
      <c r="R1952">
        <f>IF(OR(E1952="",O1952=""),"PENDING_FETCH",IF(ABS(E1952-O1952)/E1952&gt;0.005,"MISMATCH_NEEDS_CORRECTION","VERIFIED_OK"))</f>
        <v/>
      </c>
      <c r="S1952">
        <f>IF(O1952&lt;&gt;"",O1952,E1952)</f>
        <v/>
      </c>
      <c r="T1952">
        <f>IFERROR(VLOOKUP(B1952,BSE_500_LIVE!A:F,6,FALSE),"")</f>
        <v/>
      </c>
    </row>
    <row r="1953">
      <c r="A1953" t="n">
        <v>280</v>
      </c>
      <c r="B1953" t="n">
        <v>514286</v>
      </c>
      <c r="C1953" t="inlineStr">
        <is>
          <t>Ashima Syntex Ltd</t>
        </is>
      </c>
      <c r="D1953" t="n">
        <v>2023</v>
      </c>
      <c r="E1953" t="n">
        <v>18.1200008392334</v>
      </c>
      <c r="G1953" t="inlineStr">
        <is>
          <t>Consolidated first (v4) – needs verification for flagged rows</t>
        </is>
      </c>
      <c r="H1953" t="n">
        <v>19.45000076293945</v>
      </c>
      <c r="I1953" t="n">
        <v>12.05000019073486</v>
      </c>
      <c r="L1953" t="inlineStr">
        <is>
          <t>INCOMPLETE</t>
        </is>
      </c>
      <c r="O1953">
        <f>IFERROR(VLOOKUP(B1953,BSE_500_LIVE!A:E,3,FALSE),"")</f>
        <v/>
      </c>
      <c r="P1953">
        <f>IFERROR(VLOOKUP(B1953,BSE_500_LIVE!A:E,4,FALSE),"")</f>
        <v/>
      </c>
      <c r="Q1953">
        <f>IFERROR(VLOOKUP(B1953,BSE_500_LIVE!A:E,5,FALSE),"")</f>
        <v/>
      </c>
      <c r="R1953">
        <f>IF(OR(E1953="",O1953=""),"PENDING_FETCH",IF(ABS(E1953-O1953)/E1953&gt;0.005,"MISMATCH_NEEDS_CORRECTION","VERIFIED_OK"))</f>
        <v/>
      </c>
      <c r="S1953">
        <f>IF(O1953&lt;&gt;"",O1953,E1953)</f>
        <v/>
      </c>
      <c r="T1953">
        <f>IFERROR(VLOOKUP(B1953,BSE_500_LIVE!A:F,6,FALSE),"")</f>
        <v/>
      </c>
    </row>
    <row r="1954">
      <c r="A1954" t="n">
        <v>280</v>
      </c>
      <c r="B1954" t="n">
        <v>514286</v>
      </c>
      <c r="C1954" t="inlineStr">
        <is>
          <t>Ashima Syntex Ltd</t>
        </is>
      </c>
      <c r="D1954" t="n">
        <v>2024</v>
      </c>
      <c r="E1954" t="n">
        <v>18.1200008392334</v>
      </c>
      <c r="F1954" t="n">
        <v>5.03</v>
      </c>
      <c r="G1954" t="inlineStr">
        <is>
          <t>Consolidated first (v4) – needs verification for flagged rows</t>
        </is>
      </c>
      <c r="H1954" t="n">
        <v>51.91999816894531</v>
      </c>
      <c r="I1954" t="n">
        <v>16.65999984741211</v>
      </c>
      <c r="L1954" t="inlineStr">
        <is>
          <t>OK</t>
        </is>
      </c>
      <c r="M1954" t="n">
        <v>10.32</v>
      </c>
      <c r="N1954" t="n">
        <v>3.31</v>
      </c>
      <c r="O1954">
        <f>IFERROR(VLOOKUP(B1954,BSE_500_LIVE!A:E,3,FALSE),"")</f>
        <v/>
      </c>
      <c r="P1954">
        <f>IFERROR(VLOOKUP(B1954,BSE_500_LIVE!A:E,4,FALSE),"")</f>
        <v/>
      </c>
      <c r="Q1954">
        <f>IFERROR(VLOOKUP(B1954,BSE_500_LIVE!A:E,5,FALSE),"")</f>
        <v/>
      </c>
      <c r="R1954">
        <f>IF(OR(E1954="",O1954=""),"PENDING_FETCH",IF(ABS(E1954-O1954)/E1954&gt;0.005,"MISMATCH_NEEDS_CORRECTION","VERIFIED_OK"))</f>
        <v/>
      </c>
      <c r="S1954">
        <f>IF(O1954&lt;&gt;"",O1954,E1954)</f>
        <v/>
      </c>
      <c r="T1954">
        <f>IFERROR(VLOOKUP(B1954,BSE_500_LIVE!A:F,6,FALSE),"")</f>
        <v/>
      </c>
    </row>
    <row r="1955">
      <c r="A1955" t="n">
        <v>280</v>
      </c>
      <c r="B1955" t="n">
        <v>514286</v>
      </c>
      <c r="C1955" t="inlineStr">
        <is>
          <t>Ashima Syntex Ltd</t>
        </is>
      </c>
      <c r="D1955" t="n">
        <v>2025</v>
      </c>
      <c r="E1955" t="n">
        <v>18.1200008392334</v>
      </c>
      <c r="F1955" t="n">
        <v>-0.99</v>
      </c>
      <c r="G1955" t="inlineStr">
        <is>
          <t>Consolidated first (v4) – needs verification for flagged rows</t>
        </is>
      </c>
      <c r="H1955" t="n">
        <v>36.31999969482422</v>
      </c>
      <c r="I1955" t="n">
        <v>16.39999961853027</v>
      </c>
      <c r="L1955" t="inlineStr">
        <is>
          <t>UNVERIFIED – negative EPS</t>
        </is>
      </c>
      <c r="M1955" t="n">
        <v>-36.69</v>
      </c>
      <c r="N1955" t="n">
        <v>-16.57</v>
      </c>
      <c r="O1955">
        <f>IFERROR(VLOOKUP(B1955,BSE_500_LIVE!A:E,3,FALSE),"")</f>
        <v/>
      </c>
      <c r="P1955">
        <f>IFERROR(VLOOKUP(B1955,BSE_500_LIVE!A:E,4,FALSE),"")</f>
        <v/>
      </c>
      <c r="Q1955">
        <f>IFERROR(VLOOKUP(B1955,BSE_500_LIVE!A:E,5,FALSE),"")</f>
        <v/>
      </c>
      <c r="R1955">
        <f>IF(OR(E1955="",O1955=""),"PENDING_FETCH",IF(ABS(E1955-O1955)/E1955&gt;0.005,"MISMATCH_NEEDS_CORRECTION","VERIFIED_OK"))</f>
        <v/>
      </c>
      <c r="S1955">
        <f>IF(O1955&lt;&gt;"",O1955,E1955)</f>
        <v/>
      </c>
      <c r="T1955">
        <f>IFERROR(VLOOKUP(B1955,BSE_500_LIVE!A:F,6,FALSE),"")</f>
        <v/>
      </c>
    </row>
    <row r="1956">
      <c r="A1956" t="n">
        <v>280</v>
      </c>
      <c r="B1956" t="n">
        <v>514286</v>
      </c>
      <c r="C1956" t="inlineStr">
        <is>
          <t>Ashima Syntex Ltd</t>
        </is>
      </c>
      <c r="D1956" t="n">
        <v>2026</v>
      </c>
      <c r="E1956" t="n">
        <v>18.1200008392334</v>
      </c>
      <c r="F1956" t="n">
        <v>-1.06</v>
      </c>
      <c r="G1956" t="inlineStr">
        <is>
          <t>Consolidated first (v4) – needs verification for flagged rows</t>
        </is>
      </c>
      <c r="H1956" t="n">
        <v>20.29999923706055</v>
      </c>
      <c r="I1956" t="n">
        <v>11.30000019073486</v>
      </c>
      <c r="L1956" t="inlineStr">
        <is>
          <t>UNVERIFIED – negative EPS</t>
        </is>
      </c>
      <c r="M1956" t="n">
        <v>-19.15</v>
      </c>
      <c r="N1956" t="n">
        <v>-10.66</v>
      </c>
      <c r="O1956">
        <f>IFERROR(VLOOKUP(B1956,BSE_500_LIVE!A:E,3,FALSE),"")</f>
        <v/>
      </c>
      <c r="P1956">
        <f>IFERROR(VLOOKUP(B1956,BSE_500_LIVE!A:E,4,FALSE),"")</f>
        <v/>
      </c>
      <c r="Q1956">
        <f>IFERROR(VLOOKUP(B1956,BSE_500_LIVE!A:E,5,FALSE),"")</f>
        <v/>
      </c>
      <c r="R1956">
        <f>IF(OR(E1956="",O1956=""),"PENDING_FETCH",IF(ABS(E1956-O1956)/E1956&gt;0.005,"MISMATCH_NEEDS_CORRECTION","VERIFIED_OK"))</f>
        <v/>
      </c>
      <c r="S1956">
        <f>IF(O1956&lt;&gt;"",O1956,E1956)</f>
        <v/>
      </c>
      <c r="T1956">
        <f>IFERROR(VLOOKUP(B1956,BSE_500_LIVE!A:F,6,FALSE),"")</f>
        <v/>
      </c>
    </row>
    <row r="1957">
      <c r="A1957" t="n">
        <v>281</v>
      </c>
      <c r="B1957" t="n">
        <v>514302</v>
      </c>
      <c r="C1957" t="inlineStr">
        <is>
          <t>Vippy Industries Ltd</t>
        </is>
      </c>
      <c r="D1957" t="n">
        <v>2015</v>
      </c>
      <c r="E1957" t="n">
        <v>167.1999969482422</v>
      </c>
      <c r="F1957" t="n">
        <v>5.54</v>
      </c>
      <c r="G1957" t="inlineStr">
        <is>
          <t>Consolidated first (v4) – needs verification for flagged rows</t>
        </is>
      </c>
      <c r="H1957" t="n">
        <v>32.90000152587891</v>
      </c>
      <c r="I1957" t="n">
        <v>13.75</v>
      </c>
      <c r="L1957" t="inlineStr">
        <is>
          <t>OK</t>
        </is>
      </c>
      <c r="M1957" t="n">
        <v>5.94</v>
      </c>
      <c r="N1957" t="n">
        <v>2.48</v>
      </c>
      <c r="O1957" t="n">
        <v>158.65</v>
      </c>
      <c r="P1957" t="n">
        <v>228.3</v>
      </c>
      <c r="Q1957" t="n">
        <v>133.5</v>
      </c>
      <c r="R1957" s="3" t="inlineStr">
        <is>
          <t>MISMATCH_NEEDS_CORRECTION</t>
        </is>
      </c>
      <c r="S1957" t="n">
        <v>158.65</v>
      </c>
      <c r="T1957" t="inlineStr">
        <is>
          <t>30-07-2026 09:42 IST</t>
        </is>
      </c>
    </row>
    <row r="1958">
      <c r="A1958" t="n">
        <v>281</v>
      </c>
      <c r="B1958" t="n">
        <v>514302</v>
      </c>
      <c r="C1958" t="inlineStr">
        <is>
          <t>Vippy Industries Ltd</t>
        </is>
      </c>
      <c r="D1958" t="n">
        <v>2016</v>
      </c>
      <c r="E1958" t="n">
        <v>167.1999969482422</v>
      </c>
      <c r="F1958" t="n">
        <v>5.26</v>
      </c>
      <c r="G1958" t="inlineStr">
        <is>
          <t>Consolidated first (v4) – needs verification for flagged rows</t>
        </is>
      </c>
      <c r="H1958" t="n">
        <v>42</v>
      </c>
      <c r="I1958" t="n">
        <v>20.60000038146973</v>
      </c>
      <c r="L1958" t="inlineStr">
        <is>
          <t>OK</t>
        </is>
      </c>
      <c r="M1958" t="n">
        <v>7.98</v>
      </c>
      <c r="N1958" t="n">
        <v>3.92</v>
      </c>
      <c r="O1958" t="n">
        <v>158.65</v>
      </c>
      <c r="P1958" t="n">
        <v>228.3</v>
      </c>
      <c r="Q1958" t="n">
        <v>133.5</v>
      </c>
      <c r="R1958" s="3" t="inlineStr">
        <is>
          <t>MISMATCH_NEEDS_CORRECTION</t>
        </is>
      </c>
      <c r="S1958" t="n">
        <v>158.65</v>
      </c>
      <c r="T1958" t="inlineStr">
        <is>
          <t>30-07-2026 09:42 IST</t>
        </is>
      </c>
    </row>
    <row r="1959">
      <c r="A1959" t="n">
        <v>281</v>
      </c>
      <c r="B1959" t="n">
        <v>514302</v>
      </c>
      <c r="C1959" t="inlineStr">
        <is>
          <t>Vippy Industries Ltd</t>
        </is>
      </c>
      <c r="D1959" t="n">
        <v>2017</v>
      </c>
      <c r="E1959" t="n">
        <v>167.1999969482422</v>
      </c>
      <c r="F1959" t="n">
        <v>5.66</v>
      </c>
      <c r="G1959" t="inlineStr">
        <is>
          <t>Consolidated first (v4) – needs verification for flagged rows</t>
        </is>
      </c>
      <c r="H1959" t="n">
        <v>61.59999847412109</v>
      </c>
      <c r="I1959" t="n">
        <v>29.5</v>
      </c>
      <c r="L1959" t="inlineStr">
        <is>
          <t>OK</t>
        </is>
      </c>
      <c r="M1959" t="n">
        <v>10.88</v>
      </c>
      <c r="N1959" t="n">
        <v>5.21</v>
      </c>
      <c r="O1959" t="n">
        <v>158.65</v>
      </c>
      <c r="P1959" t="n">
        <v>228.3</v>
      </c>
      <c r="Q1959" t="n">
        <v>133.5</v>
      </c>
      <c r="R1959" s="3" t="inlineStr">
        <is>
          <t>MISMATCH_NEEDS_CORRECTION</t>
        </is>
      </c>
      <c r="S1959" t="n">
        <v>158.65</v>
      </c>
      <c r="T1959" t="inlineStr">
        <is>
          <t>30-07-2026 09:42 IST</t>
        </is>
      </c>
    </row>
    <row r="1960">
      <c r="A1960" t="n">
        <v>281</v>
      </c>
      <c r="B1960" t="n">
        <v>514302</v>
      </c>
      <c r="C1960" t="inlineStr">
        <is>
          <t>Vippy Industries Ltd</t>
        </is>
      </c>
      <c r="D1960" t="n">
        <v>2018</v>
      </c>
      <c r="E1960" t="n">
        <v>167.1999969482422</v>
      </c>
      <c r="F1960" t="n">
        <v>5.84</v>
      </c>
      <c r="G1960" t="inlineStr">
        <is>
          <t>Consolidated first (v4) – needs verification for flagged rows</t>
        </is>
      </c>
      <c r="H1960" t="n">
        <v>61</v>
      </c>
      <c r="I1960" t="n">
        <v>37.65000152587891</v>
      </c>
      <c r="L1960" t="inlineStr">
        <is>
          <t>OK</t>
        </is>
      </c>
      <c r="M1960" t="n">
        <v>10.45</v>
      </c>
      <c r="N1960" t="n">
        <v>6.45</v>
      </c>
      <c r="O1960" t="n">
        <v>158.65</v>
      </c>
      <c r="P1960" t="n">
        <v>228.3</v>
      </c>
      <c r="Q1960" t="n">
        <v>133.5</v>
      </c>
      <c r="R1960" s="3" t="inlineStr">
        <is>
          <t>MISMATCH_NEEDS_CORRECTION</t>
        </is>
      </c>
      <c r="S1960" t="n">
        <v>158.65</v>
      </c>
      <c r="T1960" t="inlineStr">
        <is>
          <t>30-07-2026 09:42 IST</t>
        </is>
      </c>
    </row>
    <row r="1961">
      <c r="A1961" t="n">
        <v>281</v>
      </c>
      <c r="B1961" t="n">
        <v>514302</v>
      </c>
      <c r="C1961" t="inlineStr">
        <is>
          <t>Vippy Industries Ltd</t>
        </is>
      </c>
      <c r="D1961" t="n">
        <v>2019</v>
      </c>
      <c r="E1961" t="n">
        <v>167.1999969482422</v>
      </c>
      <c r="F1961" t="n">
        <v>7.61</v>
      </c>
      <c r="G1961" t="inlineStr">
        <is>
          <t>Consolidated first (v4) – needs verification for flagged rows</t>
        </is>
      </c>
      <c r="H1961" t="n">
        <v>49.04999923706055</v>
      </c>
      <c r="I1961" t="n">
        <v>29.39999961853027</v>
      </c>
      <c r="L1961" t="inlineStr">
        <is>
          <t>OK</t>
        </is>
      </c>
      <c r="M1961" t="n">
        <v>6.45</v>
      </c>
      <c r="N1961" t="n">
        <v>3.86</v>
      </c>
      <c r="O1961" t="n">
        <v>158.65</v>
      </c>
      <c r="P1961" t="n">
        <v>228.3</v>
      </c>
      <c r="Q1961" t="n">
        <v>133.5</v>
      </c>
      <c r="R1961" s="3" t="inlineStr">
        <is>
          <t>MISMATCH_NEEDS_CORRECTION</t>
        </is>
      </c>
      <c r="S1961" t="n">
        <v>158.65</v>
      </c>
      <c r="T1961" t="inlineStr">
        <is>
          <t>30-07-2026 09:42 IST</t>
        </is>
      </c>
    </row>
    <row r="1962">
      <c r="A1962" t="n">
        <v>281</v>
      </c>
      <c r="B1962" t="n">
        <v>514302</v>
      </c>
      <c r="C1962" t="inlineStr">
        <is>
          <t>Vippy Industries Ltd</t>
        </is>
      </c>
      <c r="D1962" t="n">
        <v>2020</v>
      </c>
      <c r="E1962" t="n">
        <v>167.1999969482422</v>
      </c>
      <c r="F1962" t="n">
        <v>6.46</v>
      </c>
      <c r="G1962" t="inlineStr">
        <is>
          <t>Consolidated first (v4) – needs verification for flagged rows</t>
        </is>
      </c>
      <c r="H1962" t="n">
        <v>39.70000076293945</v>
      </c>
      <c r="I1962" t="n">
        <v>28.95000076293945</v>
      </c>
      <c r="L1962" t="inlineStr">
        <is>
          <t>OK</t>
        </is>
      </c>
      <c r="M1962" t="n">
        <v>6.15</v>
      </c>
      <c r="N1962" t="n">
        <v>4.48</v>
      </c>
      <c r="O1962" t="n">
        <v>158.65</v>
      </c>
      <c r="P1962" t="n">
        <v>228.3</v>
      </c>
      <c r="Q1962" t="n">
        <v>133.5</v>
      </c>
      <c r="R1962" s="3" t="inlineStr">
        <is>
          <t>MISMATCH_NEEDS_CORRECTION</t>
        </is>
      </c>
      <c r="S1962" t="n">
        <v>158.65</v>
      </c>
      <c r="T1962" t="inlineStr">
        <is>
          <t>30-07-2026 09:42 IST</t>
        </is>
      </c>
    </row>
    <row r="1963">
      <c r="A1963" t="n">
        <v>281</v>
      </c>
      <c r="B1963" t="n">
        <v>514302</v>
      </c>
      <c r="C1963" t="inlineStr">
        <is>
          <t>Vippy Industries Ltd</t>
        </is>
      </c>
      <c r="D1963" t="n">
        <v>2021</v>
      </c>
      <c r="E1963" t="n">
        <v>167.1999969482422</v>
      </c>
      <c r="F1963" t="n">
        <v>6.76</v>
      </c>
      <c r="G1963" t="inlineStr">
        <is>
          <t>Consolidated first (v4) – needs verification for flagged rows</t>
        </is>
      </c>
      <c r="H1963" t="n">
        <v>144</v>
      </c>
      <c r="I1963" t="n">
        <v>34.40000152587891</v>
      </c>
      <c r="L1963" t="inlineStr">
        <is>
          <t>OK</t>
        </is>
      </c>
      <c r="M1963" t="n">
        <v>21.3</v>
      </c>
      <c r="N1963" t="n">
        <v>5.09</v>
      </c>
      <c r="O1963" t="n">
        <v>158.65</v>
      </c>
      <c r="P1963" t="n">
        <v>228.3</v>
      </c>
      <c r="Q1963" t="n">
        <v>133.5</v>
      </c>
      <c r="R1963" s="3" t="inlineStr">
        <is>
          <t>MISMATCH_NEEDS_CORRECTION</t>
        </is>
      </c>
      <c r="S1963" t="n">
        <v>158.65</v>
      </c>
      <c r="T1963" t="inlineStr">
        <is>
          <t>30-07-2026 09:42 IST</t>
        </is>
      </c>
    </row>
    <row r="1964">
      <c r="A1964" t="n">
        <v>281</v>
      </c>
      <c r="B1964" t="n">
        <v>514302</v>
      </c>
      <c r="C1964" t="inlineStr">
        <is>
          <t>Vippy Industries Ltd</t>
        </is>
      </c>
      <c r="D1964" t="n">
        <v>2022</v>
      </c>
      <c r="E1964" t="n">
        <v>167.1999969482422</v>
      </c>
      <c r="F1964" t="n">
        <v>20.73</v>
      </c>
      <c r="G1964" t="inlineStr">
        <is>
          <t>Consolidated first (v4) – needs verification for flagged rows</t>
        </is>
      </c>
      <c r="H1964" t="n">
        <v>167.6499938964844</v>
      </c>
      <c r="I1964" t="n">
        <v>91.09999847412109</v>
      </c>
      <c r="L1964" t="inlineStr">
        <is>
          <t>OK</t>
        </is>
      </c>
      <c r="M1964" t="n">
        <v>8.09</v>
      </c>
      <c r="N1964" t="n">
        <v>4.39</v>
      </c>
      <c r="O1964" t="n">
        <v>158.65</v>
      </c>
      <c r="P1964" t="n">
        <v>228.3</v>
      </c>
      <c r="Q1964" t="n">
        <v>133.5</v>
      </c>
      <c r="R1964" s="3" t="inlineStr">
        <is>
          <t>MISMATCH_NEEDS_CORRECTION</t>
        </is>
      </c>
      <c r="S1964" t="n">
        <v>158.65</v>
      </c>
      <c r="T1964" t="inlineStr">
        <is>
          <t>30-07-2026 09:42 IST</t>
        </is>
      </c>
    </row>
    <row r="1965">
      <c r="A1965" t="n">
        <v>281</v>
      </c>
      <c r="B1965" t="n">
        <v>514302</v>
      </c>
      <c r="C1965" t="inlineStr">
        <is>
          <t>Vippy Industries Ltd</t>
        </is>
      </c>
      <c r="D1965" t="n">
        <v>2023</v>
      </c>
      <c r="E1965" t="n">
        <v>167.1999969482422</v>
      </c>
      <c r="F1965" t="n">
        <v>18.25</v>
      </c>
      <c r="G1965" t="inlineStr">
        <is>
          <t>Consolidated first (v4) – needs verification for flagged rows</t>
        </is>
      </c>
      <c r="H1965" t="n">
        <v>217.6999969482422</v>
      </c>
      <c r="I1965" t="n">
        <v>122</v>
      </c>
      <c r="L1965" t="inlineStr">
        <is>
          <t>OK</t>
        </is>
      </c>
      <c r="M1965" t="n">
        <v>11.93</v>
      </c>
      <c r="N1965" t="n">
        <v>6.68</v>
      </c>
      <c r="O1965" t="n">
        <v>158.65</v>
      </c>
      <c r="P1965" t="n">
        <v>228.3</v>
      </c>
      <c r="Q1965" t="n">
        <v>133.5</v>
      </c>
      <c r="R1965" s="3" t="inlineStr">
        <is>
          <t>MISMATCH_NEEDS_CORRECTION</t>
        </is>
      </c>
      <c r="S1965" t="n">
        <v>158.65</v>
      </c>
      <c r="T1965" t="inlineStr">
        <is>
          <t>30-07-2026 09:42 IST</t>
        </is>
      </c>
    </row>
    <row r="1966">
      <c r="A1966" t="n">
        <v>281</v>
      </c>
      <c r="B1966" t="n">
        <v>514302</v>
      </c>
      <c r="C1966" t="inlineStr">
        <is>
          <t>Vippy Industries Ltd</t>
        </is>
      </c>
      <c r="D1966" t="n">
        <v>2024</v>
      </c>
      <c r="E1966" t="n">
        <v>167.1999969482422</v>
      </c>
      <c r="F1966" t="n">
        <v>7.43</v>
      </c>
      <c r="G1966" t="inlineStr">
        <is>
          <t>Consolidated first (v4) – needs verification for flagged rows</t>
        </is>
      </c>
      <c r="H1966" t="n">
        <v>228.3000030517578</v>
      </c>
      <c r="I1966" t="n">
        <v>133.5</v>
      </c>
      <c r="L1966" t="inlineStr">
        <is>
          <t>OK</t>
        </is>
      </c>
      <c r="M1966" t="n">
        <v>30.73</v>
      </c>
      <c r="N1966" t="n">
        <v>17.97</v>
      </c>
      <c r="O1966" t="n">
        <v>158.65</v>
      </c>
      <c r="P1966" t="n">
        <v>228.3</v>
      </c>
      <c r="Q1966" t="n">
        <v>133.5</v>
      </c>
      <c r="R1966" s="3" t="inlineStr">
        <is>
          <t>MISMATCH_NEEDS_CORRECTION</t>
        </is>
      </c>
      <c r="S1966" t="n">
        <v>158.65</v>
      </c>
      <c r="T1966" t="inlineStr">
        <is>
          <t>30-07-2026 09:42 IST</t>
        </is>
      </c>
    </row>
    <row r="1967">
      <c r="A1967" t="n">
        <v>281</v>
      </c>
      <c r="B1967" t="n">
        <v>514302</v>
      </c>
      <c r="C1967" t="inlineStr">
        <is>
          <t>Vippy Industries Ltd</t>
        </is>
      </c>
      <c r="D1967" t="n">
        <v>2025</v>
      </c>
      <c r="E1967" t="n">
        <v>167.1999969482422</v>
      </c>
      <c r="F1967" t="n">
        <v>19.57</v>
      </c>
      <c r="G1967" t="inlineStr">
        <is>
          <t>Consolidated first (v4) – needs verification for flagged rows</t>
        </is>
      </c>
      <c r="H1967" t="n">
        <v>204.8999938964844</v>
      </c>
      <c r="I1967" t="n">
        <v>150</v>
      </c>
      <c r="L1967" t="inlineStr">
        <is>
          <t>OK</t>
        </is>
      </c>
      <c r="M1967" t="n">
        <v>10.47</v>
      </c>
      <c r="N1967" t="n">
        <v>7.66</v>
      </c>
      <c r="O1967" t="n">
        <v>158.65</v>
      </c>
      <c r="P1967" t="n">
        <v>228.3</v>
      </c>
      <c r="Q1967" t="n">
        <v>133.5</v>
      </c>
      <c r="R1967" s="3" t="inlineStr">
        <is>
          <t>MISMATCH_NEEDS_CORRECTION</t>
        </is>
      </c>
      <c r="S1967" t="n">
        <v>158.65</v>
      </c>
      <c r="T1967" t="inlineStr">
        <is>
          <t>30-07-2026 09:42 IST</t>
        </is>
      </c>
    </row>
    <row r="1968">
      <c r="A1968" t="n">
        <v>281</v>
      </c>
      <c r="B1968" t="n">
        <v>514302</v>
      </c>
      <c r="C1968" t="inlineStr">
        <is>
          <t>Vippy Industries Ltd</t>
        </is>
      </c>
      <c r="D1968" t="n">
        <v>2026</v>
      </c>
      <c r="E1968" t="n">
        <v>167.1999969482422</v>
      </c>
      <c r="F1968" t="n">
        <v>20.41</v>
      </c>
      <c r="G1968" t="inlineStr">
        <is>
          <t>Consolidated first (v4) – needs verification for flagged rows</t>
        </is>
      </c>
      <c r="H1968" t="n">
        <v>189</v>
      </c>
      <c r="I1968" t="n">
        <v>130.6000061035156</v>
      </c>
      <c r="L1968" t="inlineStr">
        <is>
          <t>OK</t>
        </is>
      </c>
      <c r="M1968" t="n">
        <v>9.26</v>
      </c>
      <c r="N1968" t="n">
        <v>6.4</v>
      </c>
      <c r="O1968" t="n">
        <v>158.65</v>
      </c>
      <c r="P1968" t="n">
        <v>228.3</v>
      </c>
      <c r="Q1968" t="n">
        <v>133.5</v>
      </c>
      <c r="R1968" s="3" t="inlineStr">
        <is>
          <t>MISMATCH_NEEDS_CORRECTION</t>
        </is>
      </c>
      <c r="S1968" t="n">
        <v>158.65</v>
      </c>
      <c r="T1968" t="inlineStr">
        <is>
          <t>30-07-2026 09:42 IST</t>
        </is>
      </c>
    </row>
    <row r="1969">
      <c r="A1969" t="n">
        <v>282</v>
      </c>
      <c r="B1969" t="n">
        <v>514312</v>
      </c>
      <c r="C1969" t="inlineStr">
        <is>
          <t>Yash Pakka Ltd</t>
        </is>
      </c>
      <c r="D1969" t="n">
        <v>2015</v>
      </c>
      <c r="E1969" t="n">
        <v>39.97000122070312</v>
      </c>
      <c r="F1969" t="n">
        <v>0.08</v>
      </c>
      <c r="G1969" t="inlineStr">
        <is>
          <t>Consolidated first (v4) – needs verification for flagged rows</t>
        </is>
      </c>
      <c r="H1969" t="n">
        <v>14</v>
      </c>
      <c r="I1969" t="n">
        <v>6.099999904632568</v>
      </c>
      <c r="L1969" t="inlineStr">
        <is>
          <t>UNVERIFIED – tiny EPS &lt;0.5</t>
        </is>
      </c>
      <c r="M1969" t="n">
        <v>175</v>
      </c>
      <c r="N1969" t="n">
        <v>76.25</v>
      </c>
      <c r="O1969" t="n">
        <v>28.29</v>
      </c>
      <c r="P1969" t="n">
        <v>56.74</v>
      </c>
      <c r="Q1969" t="n">
        <v>23.51</v>
      </c>
      <c r="R1969" s="3" t="inlineStr">
        <is>
          <t>MISMATCH_NEEDS_CORRECTION</t>
        </is>
      </c>
      <c r="S1969" t="n">
        <v>28.29</v>
      </c>
      <c r="T1969" t="inlineStr">
        <is>
          <t>30-07-2026 09:42 IST</t>
        </is>
      </c>
    </row>
    <row r="1970">
      <c r="A1970" t="n">
        <v>282</v>
      </c>
      <c r="B1970" t="n">
        <v>514312</v>
      </c>
      <c r="C1970" t="inlineStr">
        <is>
          <t>Yash Pakka Ltd</t>
        </is>
      </c>
      <c r="D1970" t="n">
        <v>2016</v>
      </c>
      <c r="E1970" t="n">
        <v>39.97000122070312</v>
      </c>
      <c r="F1970" t="n">
        <v>0.08</v>
      </c>
      <c r="G1970" t="inlineStr">
        <is>
          <t>Consolidated first (v4) – needs verification for flagged rows</t>
        </is>
      </c>
      <c r="H1970" t="n">
        <v>12.19999980926514</v>
      </c>
      <c r="I1970" t="n">
        <v>4.099999904632568</v>
      </c>
      <c r="L1970" t="inlineStr">
        <is>
          <t>UNVERIFIED – tiny EPS &lt;0.5</t>
        </is>
      </c>
      <c r="M1970" t="n">
        <v>152.5</v>
      </c>
      <c r="N1970" t="n">
        <v>51.25</v>
      </c>
      <c r="O1970" t="n">
        <v>28.29</v>
      </c>
      <c r="P1970" t="n">
        <v>56.74</v>
      </c>
      <c r="Q1970" t="n">
        <v>23.51</v>
      </c>
      <c r="R1970" s="3" t="inlineStr">
        <is>
          <t>MISMATCH_NEEDS_CORRECTION</t>
        </is>
      </c>
      <c r="S1970" t="n">
        <v>28.29</v>
      </c>
      <c r="T1970" t="inlineStr">
        <is>
          <t>30-07-2026 09:42 IST</t>
        </is>
      </c>
    </row>
    <row r="1971">
      <c r="A1971" t="n">
        <v>282</v>
      </c>
      <c r="B1971" t="n">
        <v>514312</v>
      </c>
      <c r="C1971" t="inlineStr">
        <is>
          <t>Yash Pakka Ltd</t>
        </is>
      </c>
      <c r="D1971" t="n">
        <v>2017</v>
      </c>
      <c r="E1971" t="n">
        <v>39.97000122070312</v>
      </c>
      <c r="F1971" t="n">
        <v>0.08</v>
      </c>
      <c r="G1971" t="inlineStr">
        <is>
          <t>Consolidated first (v4) – needs verification for flagged rows</t>
        </is>
      </c>
      <c r="H1971" t="n">
        <v>6.199999809265137</v>
      </c>
      <c r="I1971" t="n">
        <v>1.590000033378601</v>
      </c>
      <c r="L1971" t="inlineStr">
        <is>
          <t>UNVERIFIED – tiny EPS &lt;0.5</t>
        </is>
      </c>
      <c r="M1971" t="n">
        <v>77.5</v>
      </c>
      <c r="N1971" t="n">
        <v>19.88</v>
      </c>
      <c r="O1971" t="n">
        <v>28.29</v>
      </c>
      <c r="P1971" t="n">
        <v>56.74</v>
      </c>
      <c r="Q1971" t="n">
        <v>23.51</v>
      </c>
      <c r="R1971" s="3" t="inlineStr">
        <is>
          <t>MISMATCH_NEEDS_CORRECTION</t>
        </is>
      </c>
      <c r="S1971" t="n">
        <v>28.29</v>
      </c>
      <c r="T1971" t="inlineStr">
        <is>
          <t>30-07-2026 09:42 IST</t>
        </is>
      </c>
    </row>
    <row r="1972">
      <c r="A1972" t="n">
        <v>282</v>
      </c>
      <c r="B1972" t="n">
        <v>514312</v>
      </c>
      <c r="C1972" t="inlineStr">
        <is>
          <t>Yash Pakka Ltd</t>
        </is>
      </c>
      <c r="D1972" t="n">
        <v>2018</v>
      </c>
      <c r="E1972" t="n">
        <v>39.97000122070312</v>
      </c>
      <c r="F1972" t="n">
        <v>0.07000000000000001</v>
      </c>
      <c r="G1972" t="inlineStr">
        <is>
          <t>Consolidated first (v4) – needs verification for flagged rows</t>
        </is>
      </c>
      <c r="H1972" t="n">
        <v>4.550000190734863</v>
      </c>
      <c r="I1972" t="n">
        <v>2.680000066757202</v>
      </c>
      <c r="L1972" t="inlineStr">
        <is>
          <t>UNVERIFIED – tiny EPS &lt;0.5</t>
        </is>
      </c>
      <c r="M1972" t="n">
        <v>65</v>
      </c>
      <c r="N1972" t="n">
        <v>38.29</v>
      </c>
      <c r="O1972" t="n">
        <v>28.29</v>
      </c>
      <c r="P1972" t="n">
        <v>56.74</v>
      </c>
      <c r="Q1972" t="n">
        <v>23.51</v>
      </c>
      <c r="R1972" s="3" t="inlineStr">
        <is>
          <t>MISMATCH_NEEDS_CORRECTION</t>
        </is>
      </c>
      <c r="S1972" t="n">
        <v>28.29</v>
      </c>
      <c r="T1972" t="inlineStr">
        <is>
          <t>30-07-2026 09:42 IST</t>
        </is>
      </c>
    </row>
    <row r="1973">
      <c r="A1973" t="n">
        <v>282</v>
      </c>
      <c r="B1973" t="n">
        <v>514312</v>
      </c>
      <c r="C1973" t="inlineStr">
        <is>
          <t>Yash Pakka Ltd</t>
        </is>
      </c>
      <c r="D1973" t="n">
        <v>2019</v>
      </c>
      <c r="E1973" t="n">
        <v>39.97000122070312</v>
      </c>
      <c r="F1973" t="n">
        <v>0.02</v>
      </c>
      <c r="G1973" t="inlineStr">
        <is>
          <t>Consolidated first (v4) – needs verification for flagged rows</t>
        </is>
      </c>
      <c r="H1973" t="n">
        <v>4.300000190734863</v>
      </c>
      <c r="I1973" t="n">
        <v>3</v>
      </c>
      <c r="L1973" t="inlineStr">
        <is>
          <t>UNVERIFIED – tiny EPS &lt;0.5</t>
        </is>
      </c>
      <c r="M1973" t="n">
        <v>215</v>
      </c>
      <c r="N1973" t="n">
        <v>150</v>
      </c>
      <c r="O1973" t="n">
        <v>28.29</v>
      </c>
      <c r="P1973" t="n">
        <v>56.74</v>
      </c>
      <c r="Q1973" t="n">
        <v>23.51</v>
      </c>
      <c r="R1973" s="3" t="inlineStr">
        <is>
          <t>MISMATCH_NEEDS_CORRECTION</t>
        </is>
      </c>
      <c r="S1973" t="n">
        <v>28.29</v>
      </c>
      <c r="T1973" t="inlineStr">
        <is>
          <t>30-07-2026 09:42 IST</t>
        </is>
      </c>
    </row>
    <row r="1974">
      <c r="A1974" t="n">
        <v>282</v>
      </c>
      <c r="B1974" t="n">
        <v>514312</v>
      </c>
      <c r="C1974" t="inlineStr">
        <is>
          <t>Yash Pakka Ltd</t>
        </is>
      </c>
      <c r="D1974" t="n">
        <v>2020</v>
      </c>
      <c r="E1974" t="n">
        <v>39.97000122070312</v>
      </c>
      <c r="F1974" t="n">
        <v>0.02</v>
      </c>
      <c r="G1974" t="inlineStr">
        <is>
          <t>Consolidated first (v4) – needs verification for flagged rows</t>
        </is>
      </c>
      <c r="H1974" t="n">
        <v>3</v>
      </c>
      <c r="I1974" t="n">
        <v>1.919999957084656</v>
      </c>
      <c r="L1974" t="inlineStr">
        <is>
          <t>UNVERIFIED – tiny EPS &lt;0.5</t>
        </is>
      </c>
      <c r="M1974" t="n">
        <v>150</v>
      </c>
      <c r="N1974" t="n">
        <v>96</v>
      </c>
      <c r="O1974" t="n">
        <v>28.29</v>
      </c>
      <c r="P1974" t="n">
        <v>56.74</v>
      </c>
      <c r="Q1974" t="n">
        <v>23.51</v>
      </c>
      <c r="R1974" s="3" t="inlineStr">
        <is>
          <t>MISMATCH_NEEDS_CORRECTION</t>
        </is>
      </c>
      <c r="S1974" t="n">
        <v>28.29</v>
      </c>
      <c r="T1974" t="inlineStr">
        <is>
          <t>30-07-2026 09:42 IST</t>
        </is>
      </c>
    </row>
    <row r="1975">
      <c r="A1975" t="n">
        <v>282</v>
      </c>
      <c r="B1975" t="n">
        <v>514312</v>
      </c>
      <c r="C1975" t="inlineStr">
        <is>
          <t>Yash Pakka Ltd</t>
        </is>
      </c>
      <c r="D1975" t="n">
        <v>2021</v>
      </c>
      <c r="E1975" t="n">
        <v>39.97000122070312</v>
      </c>
      <c r="F1975" t="n">
        <v>0.01</v>
      </c>
      <c r="G1975" t="inlineStr">
        <is>
          <t>Consolidated first (v4) – needs verification for flagged rows</t>
        </is>
      </c>
      <c r="H1975" t="n">
        <v>10.39999961853027</v>
      </c>
      <c r="I1975" t="n">
        <v>1.950000047683716</v>
      </c>
      <c r="L1975" t="inlineStr">
        <is>
          <t>UNVERIFIED – tiny EPS &lt;0.5</t>
        </is>
      </c>
      <c r="M1975" t="n">
        <v>1040</v>
      </c>
      <c r="N1975" t="n">
        <v>195</v>
      </c>
      <c r="O1975" t="n">
        <v>28.29</v>
      </c>
      <c r="P1975" t="n">
        <v>56.74</v>
      </c>
      <c r="Q1975" t="n">
        <v>23.51</v>
      </c>
      <c r="R1975" s="3" t="inlineStr">
        <is>
          <t>MISMATCH_NEEDS_CORRECTION</t>
        </is>
      </c>
      <c r="S1975" t="n">
        <v>28.29</v>
      </c>
      <c r="T1975" t="inlineStr">
        <is>
          <t>30-07-2026 09:42 IST</t>
        </is>
      </c>
    </row>
    <row r="1976">
      <c r="A1976" t="n">
        <v>282</v>
      </c>
      <c r="B1976" t="n">
        <v>514312</v>
      </c>
      <c r="C1976" t="inlineStr">
        <is>
          <t>Yash Pakka Ltd</t>
        </is>
      </c>
      <c r="D1976" t="n">
        <v>2022</v>
      </c>
      <c r="E1976" t="n">
        <v>39.97000122070312</v>
      </c>
      <c r="F1976" t="n">
        <v>0.02</v>
      </c>
      <c r="G1976" t="inlineStr">
        <is>
          <t>Consolidated first (v4) – needs verification for flagged rows</t>
        </is>
      </c>
      <c r="H1976" t="n">
        <v>33</v>
      </c>
      <c r="I1976" t="n">
        <v>7.260000228881836</v>
      </c>
      <c r="L1976" t="inlineStr">
        <is>
          <t>UNVERIFIED – tiny EPS &lt;0.5</t>
        </is>
      </c>
      <c r="M1976" t="n">
        <v>1650</v>
      </c>
      <c r="N1976" t="n">
        <v>363</v>
      </c>
      <c r="O1976" t="n">
        <v>28.29</v>
      </c>
      <c r="P1976" t="n">
        <v>56.74</v>
      </c>
      <c r="Q1976" t="n">
        <v>23.51</v>
      </c>
      <c r="R1976" s="3" t="inlineStr">
        <is>
          <t>MISMATCH_NEEDS_CORRECTION</t>
        </is>
      </c>
      <c r="S1976" t="n">
        <v>28.29</v>
      </c>
      <c r="T1976" t="inlineStr">
        <is>
          <t>30-07-2026 09:42 IST</t>
        </is>
      </c>
    </row>
    <row r="1977">
      <c r="A1977" t="n">
        <v>282</v>
      </c>
      <c r="B1977" t="n">
        <v>514312</v>
      </c>
      <c r="C1977" t="inlineStr">
        <is>
          <t>Yash Pakka Ltd</t>
        </is>
      </c>
      <c r="D1977" t="n">
        <v>2023</v>
      </c>
      <c r="E1977" t="n">
        <v>39.97000122070312</v>
      </c>
      <c r="F1977" t="n">
        <v>0.02</v>
      </c>
      <c r="G1977" t="inlineStr">
        <is>
          <t>Consolidated first (v4) – needs verification for flagged rows</t>
        </is>
      </c>
      <c r="H1977" t="n">
        <v>37.20000076293945</v>
      </c>
      <c r="I1977" t="n">
        <v>14.35000038146973</v>
      </c>
      <c r="L1977" t="inlineStr">
        <is>
          <t>UNVERIFIED – tiny EPS &lt;0.5</t>
        </is>
      </c>
      <c r="M1977" t="n">
        <v>1860</v>
      </c>
      <c r="N1977" t="n">
        <v>717.5</v>
      </c>
      <c r="O1977" t="n">
        <v>28.29</v>
      </c>
      <c r="P1977" t="n">
        <v>56.74</v>
      </c>
      <c r="Q1977" t="n">
        <v>23.51</v>
      </c>
      <c r="R1977" s="3" t="inlineStr">
        <is>
          <t>MISMATCH_NEEDS_CORRECTION</t>
        </is>
      </c>
      <c r="S1977" t="n">
        <v>28.29</v>
      </c>
      <c r="T1977" t="inlineStr">
        <is>
          <t>30-07-2026 09:42 IST</t>
        </is>
      </c>
    </row>
    <row r="1978">
      <c r="A1978" t="n">
        <v>282</v>
      </c>
      <c r="B1978" t="n">
        <v>514312</v>
      </c>
      <c r="C1978" t="inlineStr">
        <is>
          <t>Yash Pakka Ltd</t>
        </is>
      </c>
      <c r="D1978" t="n">
        <v>2024</v>
      </c>
      <c r="E1978" t="n">
        <v>39.97000122070312</v>
      </c>
      <c r="F1978" t="n">
        <v>0.02</v>
      </c>
      <c r="G1978" t="inlineStr">
        <is>
          <t>Consolidated first (v4) – needs verification for flagged rows</t>
        </is>
      </c>
      <c r="H1978" t="n">
        <v>56.7400016784668</v>
      </c>
      <c r="I1978" t="n">
        <v>23.51000022888184</v>
      </c>
      <c r="L1978" t="inlineStr">
        <is>
          <t>UNVERIFIED – tiny EPS &lt;0.5</t>
        </is>
      </c>
      <c r="M1978" t="n">
        <v>2837</v>
      </c>
      <c r="N1978" t="n">
        <v>1175.5</v>
      </c>
      <c r="O1978" t="n">
        <v>28.29</v>
      </c>
      <c r="P1978" t="n">
        <v>56.74</v>
      </c>
      <c r="Q1978" t="n">
        <v>23.51</v>
      </c>
      <c r="R1978" s="3" t="inlineStr">
        <is>
          <t>MISMATCH_NEEDS_CORRECTION</t>
        </is>
      </c>
      <c r="S1978" t="n">
        <v>28.29</v>
      </c>
      <c r="T1978" t="inlineStr">
        <is>
          <t>30-07-2026 09:42 IST</t>
        </is>
      </c>
    </row>
    <row r="1979">
      <c r="A1979" t="n">
        <v>282</v>
      </c>
      <c r="B1979" t="n">
        <v>514312</v>
      </c>
      <c r="C1979" t="inlineStr">
        <is>
          <t>Yash Pakka Ltd</t>
        </is>
      </c>
      <c r="D1979" t="n">
        <v>2025</v>
      </c>
      <c r="E1979" t="n">
        <v>39.97000122070312</v>
      </c>
      <c r="F1979" t="n">
        <v>0.02</v>
      </c>
      <c r="G1979" t="inlineStr">
        <is>
          <t>Consolidated first (v4) – needs verification for flagged rows</t>
        </is>
      </c>
      <c r="H1979" t="n">
        <v>67.59999847412109</v>
      </c>
      <c r="I1979" t="n">
        <v>37.5</v>
      </c>
      <c r="L1979" t="inlineStr">
        <is>
          <t>UNVERIFIED – tiny EPS &lt;0.5</t>
        </is>
      </c>
      <c r="M1979" t="n">
        <v>3380</v>
      </c>
      <c r="N1979" t="n">
        <v>1875</v>
      </c>
      <c r="O1979" t="n">
        <v>28.29</v>
      </c>
      <c r="P1979" t="n">
        <v>56.74</v>
      </c>
      <c r="Q1979" t="n">
        <v>23.51</v>
      </c>
      <c r="R1979" s="3" t="inlineStr">
        <is>
          <t>MISMATCH_NEEDS_CORRECTION</t>
        </is>
      </c>
      <c r="S1979" t="n">
        <v>28.29</v>
      </c>
      <c r="T1979" t="inlineStr">
        <is>
          <t>30-07-2026 09:42 IST</t>
        </is>
      </c>
    </row>
    <row r="1980">
      <c r="A1980" t="n">
        <v>282</v>
      </c>
      <c r="B1980" t="n">
        <v>514312</v>
      </c>
      <c r="C1980" t="inlineStr">
        <is>
          <t>Yash Pakka Ltd</t>
        </is>
      </c>
      <c r="D1980" t="n">
        <v>2026</v>
      </c>
      <c r="E1980" t="n">
        <v>39.97000122070312</v>
      </c>
      <c r="F1980" t="n">
        <v>0.02</v>
      </c>
      <c r="G1980" t="inlineStr">
        <is>
          <t>Consolidated first (v4) – needs verification for flagged rows</t>
        </is>
      </c>
      <c r="H1980" t="n">
        <v>57.4900016784668</v>
      </c>
      <c r="I1980" t="n">
        <v>31</v>
      </c>
      <c r="L1980" t="inlineStr">
        <is>
          <t>UNVERIFIED – tiny EPS &lt;0.5</t>
        </is>
      </c>
      <c r="M1980" t="n">
        <v>2874.5</v>
      </c>
      <c r="N1980" t="n">
        <v>1550</v>
      </c>
      <c r="O1980" t="n">
        <v>28.29</v>
      </c>
      <c r="P1980" t="n">
        <v>56.74</v>
      </c>
      <c r="Q1980" t="n">
        <v>23.51</v>
      </c>
      <c r="R1980" s="3" t="inlineStr">
        <is>
          <t>MISMATCH_NEEDS_CORRECTION</t>
        </is>
      </c>
      <c r="S1980" t="n">
        <v>28.29</v>
      </c>
      <c r="T1980" t="inlineStr">
        <is>
          <t>30-07-2026 09:42 IST</t>
        </is>
      </c>
    </row>
    <row r="1981">
      <c r="A1981" t="n">
        <v>283</v>
      </c>
      <c r="B1981" t="n">
        <v>514318</v>
      </c>
      <c r="C1981" t="inlineStr">
        <is>
          <t>Jindal Worldwide Ltd</t>
        </is>
      </c>
      <c r="D1981" t="n">
        <v>2015</v>
      </c>
      <c r="E1981" t="n">
        <v>415</v>
      </c>
      <c r="F1981" t="n">
        <v>6.34</v>
      </c>
      <c r="G1981" t="inlineStr">
        <is>
          <t>Consolidated first (v4) – needs verification for flagged rows</t>
        </is>
      </c>
      <c r="H1981" t="n">
        <v>29.25</v>
      </c>
      <c r="I1981" t="n">
        <v>29.25</v>
      </c>
      <c r="L1981" t="inlineStr">
        <is>
          <t>OK</t>
        </is>
      </c>
      <c r="M1981" t="n">
        <v>4.61</v>
      </c>
      <c r="N1981" t="n">
        <v>4.61</v>
      </c>
      <c r="O1981" t="n">
        <v>38</v>
      </c>
      <c r="P1981" t="n">
        <v>149.7</v>
      </c>
      <c r="Q1981" t="n">
        <v>19.4</v>
      </c>
      <c r="R1981" s="3" t="inlineStr">
        <is>
          <t>MISMATCH_NEEDS_CORRECTION</t>
        </is>
      </c>
      <c r="S1981" t="n">
        <v>38</v>
      </c>
      <c r="T1981" t="inlineStr">
        <is>
          <t>30-07-2026 09:42 IST</t>
        </is>
      </c>
    </row>
    <row r="1982">
      <c r="A1982" t="n">
        <v>283</v>
      </c>
      <c r="B1982" t="n">
        <v>514318</v>
      </c>
      <c r="C1982" t="inlineStr">
        <is>
          <t>Jindal Worldwide Ltd</t>
        </is>
      </c>
      <c r="D1982" t="n">
        <v>2016</v>
      </c>
      <c r="E1982" t="n">
        <v>415</v>
      </c>
      <c r="F1982" t="n">
        <v>5.04</v>
      </c>
      <c r="G1982" t="inlineStr">
        <is>
          <t>Consolidated first (v4) – needs verification for flagged rows</t>
        </is>
      </c>
      <c r="H1982" t="n">
        <v>29.25</v>
      </c>
      <c r="I1982" t="n">
        <v>10.3100004196167</v>
      </c>
      <c r="L1982" t="inlineStr">
        <is>
          <t>OK</t>
        </is>
      </c>
      <c r="M1982" t="n">
        <v>5.8</v>
      </c>
      <c r="N1982" t="n">
        <v>2.05</v>
      </c>
      <c r="O1982" t="n">
        <v>38</v>
      </c>
      <c r="P1982" t="n">
        <v>149.7</v>
      </c>
      <c r="Q1982" t="n">
        <v>19.4</v>
      </c>
      <c r="R1982" s="3" t="inlineStr">
        <is>
          <t>MISMATCH_NEEDS_CORRECTION</t>
        </is>
      </c>
      <c r="S1982" t="n">
        <v>38</v>
      </c>
      <c r="T1982" t="inlineStr">
        <is>
          <t>30-07-2026 09:42 IST</t>
        </is>
      </c>
    </row>
    <row r="1983">
      <c r="A1983" t="n">
        <v>283</v>
      </c>
      <c r="B1983" t="n">
        <v>514318</v>
      </c>
      <c r="C1983" t="inlineStr">
        <is>
          <t>Jindal Worldwide Ltd</t>
        </is>
      </c>
      <c r="D1983" t="n">
        <v>2017</v>
      </c>
      <c r="E1983" t="n">
        <v>415</v>
      </c>
      <c r="F1983" t="n">
        <v>4.01</v>
      </c>
      <c r="G1983" t="inlineStr">
        <is>
          <t>Consolidated first (v4) – needs verification for flagged rows</t>
        </is>
      </c>
      <c r="H1983" t="n">
        <v>49.65000152587891</v>
      </c>
      <c r="I1983" t="n">
        <v>15.89999961853027</v>
      </c>
      <c r="L1983" t="inlineStr">
        <is>
          <t>OK</t>
        </is>
      </c>
      <c r="M1983" t="n">
        <v>12.38</v>
      </c>
      <c r="N1983" t="n">
        <v>3.97</v>
      </c>
      <c r="O1983" t="n">
        <v>38</v>
      </c>
      <c r="P1983" t="n">
        <v>149.7</v>
      </c>
      <c r="Q1983" t="n">
        <v>19.4</v>
      </c>
      <c r="R1983" s="3" t="inlineStr">
        <is>
          <t>MISMATCH_NEEDS_CORRECTION</t>
        </is>
      </c>
      <c r="S1983" t="n">
        <v>38</v>
      </c>
      <c r="T1983" t="inlineStr">
        <is>
          <t>30-07-2026 09:42 IST</t>
        </is>
      </c>
    </row>
    <row r="1984">
      <c r="A1984" t="n">
        <v>283</v>
      </c>
      <c r="B1984" t="n">
        <v>514318</v>
      </c>
      <c r="C1984" t="inlineStr">
        <is>
          <t>Jindal Worldwide Ltd</t>
        </is>
      </c>
      <c r="D1984" t="n">
        <v>2018</v>
      </c>
      <c r="E1984" t="n">
        <v>415</v>
      </c>
      <c r="F1984" t="n">
        <v>4.56</v>
      </c>
      <c r="G1984" t="inlineStr">
        <is>
          <t>Consolidated first (v4) – needs verification for flagged rows</t>
        </is>
      </c>
      <c r="H1984" t="n">
        <v>40.15000152587891</v>
      </c>
      <c r="I1984" t="n">
        <v>13.25</v>
      </c>
      <c r="L1984" t="inlineStr">
        <is>
          <t>OK</t>
        </is>
      </c>
      <c r="M1984" t="n">
        <v>8.800000000000001</v>
      </c>
      <c r="N1984" t="n">
        <v>2.91</v>
      </c>
      <c r="O1984" t="n">
        <v>38</v>
      </c>
      <c r="P1984" t="n">
        <v>149.7</v>
      </c>
      <c r="Q1984" t="n">
        <v>19.4</v>
      </c>
      <c r="R1984" s="3" t="inlineStr">
        <is>
          <t>MISMATCH_NEEDS_CORRECTION</t>
        </is>
      </c>
      <c r="S1984" t="n">
        <v>38</v>
      </c>
      <c r="T1984" t="inlineStr">
        <is>
          <t>30-07-2026 09:42 IST</t>
        </is>
      </c>
    </row>
    <row r="1985">
      <c r="A1985" t="n">
        <v>283</v>
      </c>
      <c r="B1985" t="n">
        <v>514318</v>
      </c>
      <c r="C1985" t="inlineStr">
        <is>
          <t>Jindal Worldwide Ltd</t>
        </is>
      </c>
      <c r="D1985" t="n">
        <v>2019</v>
      </c>
      <c r="E1985" t="n">
        <v>415</v>
      </c>
      <c r="F1985" t="n">
        <v>4.19</v>
      </c>
      <c r="G1985" t="inlineStr">
        <is>
          <t>Consolidated first (v4) – needs verification for flagged rows</t>
        </is>
      </c>
      <c r="H1985" t="n">
        <v>21.20000076293945</v>
      </c>
      <c r="I1985" t="n">
        <v>11.14999961853027</v>
      </c>
      <c r="L1985" t="inlineStr">
        <is>
          <t>OK</t>
        </is>
      </c>
      <c r="M1985" t="n">
        <v>5.06</v>
      </c>
      <c r="N1985" t="n">
        <v>2.66</v>
      </c>
      <c r="O1985" t="n">
        <v>38</v>
      </c>
      <c r="P1985" t="n">
        <v>149.7</v>
      </c>
      <c r="Q1985" t="n">
        <v>19.4</v>
      </c>
      <c r="R1985" s="3" t="inlineStr">
        <is>
          <t>MISMATCH_NEEDS_CORRECTION</t>
        </is>
      </c>
      <c r="S1985" t="n">
        <v>38</v>
      </c>
      <c r="T1985" t="inlineStr">
        <is>
          <t>30-07-2026 09:42 IST</t>
        </is>
      </c>
    </row>
    <row r="1986">
      <c r="A1986" t="n">
        <v>283</v>
      </c>
      <c r="B1986" t="n">
        <v>514318</v>
      </c>
      <c r="C1986" t="inlineStr">
        <is>
          <t>Jindal Worldwide Ltd</t>
        </is>
      </c>
      <c r="D1986" t="n">
        <v>2020</v>
      </c>
      <c r="E1986" t="n">
        <v>415</v>
      </c>
      <c r="F1986" t="n">
        <v>1.5</v>
      </c>
      <c r="G1986" t="inlineStr">
        <is>
          <t>Consolidated first (v4) – needs verification for flagged rows</t>
        </is>
      </c>
      <c r="H1986" t="n">
        <v>12.27999973297119</v>
      </c>
      <c r="I1986" t="n">
        <v>9.979999542236328</v>
      </c>
      <c r="L1986" t="inlineStr">
        <is>
          <t>OK</t>
        </is>
      </c>
      <c r="M1986" t="n">
        <v>8.19</v>
      </c>
      <c r="N1986" t="n">
        <v>6.65</v>
      </c>
      <c r="O1986" t="n">
        <v>38</v>
      </c>
      <c r="P1986" t="n">
        <v>149.7</v>
      </c>
      <c r="Q1986" t="n">
        <v>19.4</v>
      </c>
      <c r="R1986" s="3" t="inlineStr">
        <is>
          <t>MISMATCH_NEEDS_CORRECTION</t>
        </is>
      </c>
      <c r="S1986" t="n">
        <v>38</v>
      </c>
      <c r="T1986" t="inlineStr">
        <is>
          <t>30-07-2026 09:42 IST</t>
        </is>
      </c>
    </row>
    <row r="1987">
      <c r="A1987" t="n">
        <v>283</v>
      </c>
      <c r="B1987" t="n">
        <v>514318</v>
      </c>
      <c r="C1987" t="inlineStr">
        <is>
          <t>Jindal Worldwide Ltd</t>
        </is>
      </c>
      <c r="D1987" t="n">
        <v>2021</v>
      </c>
      <c r="E1987" t="n">
        <v>415</v>
      </c>
      <c r="F1987" t="n">
        <v>1.34</v>
      </c>
      <c r="G1987" t="inlineStr">
        <is>
          <t>Consolidated first (v4) – needs verification for flagged rows</t>
        </is>
      </c>
      <c r="H1987" t="n">
        <v>23.20000076293945</v>
      </c>
      <c r="I1987" t="n">
        <v>10.4399995803833</v>
      </c>
      <c r="L1987" t="inlineStr">
        <is>
          <t>OK</t>
        </is>
      </c>
      <c r="M1987" t="n">
        <v>17.31</v>
      </c>
      <c r="N1987" t="n">
        <v>7.79</v>
      </c>
      <c r="O1987" t="n">
        <v>38</v>
      </c>
      <c r="P1987" t="n">
        <v>149.7</v>
      </c>
      <c r="Q1987" t="n">
        <v>19.4</v>
      </c>
      <c r="R1987" s="3" t="inlineStr">
        <is>
          <t>MISMATCH_NEEDS_CORRECTION</t>
        </is>
      </c>
      <c r="S1987" t="n">
        <v>38</v>
      </c>
      <c r="T1987" t="inlineStr">
        <is>
          <t>30-07-2026 09:42 IST</t>
        </is>
      </c>
    </row>
    <row r="1988">
      <c r="A1988" t="n">
        <v>283</v>
      </c>
      <c r="B1988" t="n">
        <v>514318</v>
      </c>
      <c r="C1988" t="inlineStr">
        <is>
          <t>Jindal Worldwide Ltd</t>
        </is>
      </c>
      <c r="D1988" t="n">
        <v>2022</v>
      </c>
      <c r="E1988" t="n">
        <v>415</v>
      </c>
      <c r="F1988" t="n">
        <v>2.07</v>
      </c>
      <c r="G1988" t="inlineStr">
        <is>
          <t>Consolidated first (v4) – needs verification for flagged rows</t>
        </is>
      </c>
      <c r="H1988" t="n">
        <v>22.04999923706055</v>
      </c>
      <c r="I1988" t="n">
        <v>13.5</v>
      </c>
      <c r="L1988" t="inlineStr">
        <is>
          <t>OK</t>
        </is>
      </c>
      <c r="M1988" t="n">
        <v>10.65</v>
      </c>
      <c r="N1988" t="n">
        <v>6.52</v>
      </c>
      <c r="O1988" t="n">
        <v>38</v>
      </c>
      <c r="P1988" t="n">
        <v>149.7</v>
      </c>
      <c r="Q1988" t="n">
        <v>19.4</v>
      </c>
      <c r="R1988" s="3" t="inlineStr">
        <is>
          <t>MISMATCH_NEEDS_CORRECTION</t>
        </is>
      </c>
      <c r="S1988" t="n">
        <v>38</v>
      </c>
      <c r="T1988" t="inlineStr">
        <is>
          <t>30-07-2026 09:42 IST</t>
        </is>
      </c>
    </row>
    <row r="1989">
      <c r="A1989" t="n">
        <v>283</v>
      </c>
      <c r="B1989" t="n">
        <v>514318</v>
      </c>
      <c r="C1989" t="inlineStr">
        <is>
          <t>Jindal Worldwide Ltd</t>
        </is>
      </c>
      <c r="D1989" t="n">
        <v>2023</v>
      </c>
      <c r="E1989" t="n">
        <v>415</v>
      </c>
      <c r="F1989" t="n">
        <v>1.21</v>
      </c>
      <c r="G1989" t="inlineStr">
        <is>
          <t>Consolidated first (v4) – needs verification for flagged rows</t>
        </is>
      </c>
      <c r="H1989" t="n">
        <v>22.75</v>
      </c>
      <c r="I1989" t="n">
        <v>13</v>
      </c>
      <c r="L1989" t="inlineStr">
        <is>
          <t>OK</t>
        </is>
      </c>
      <c r="M1989" t="n">
        <v>18.8</v>
      </c>
      <c r="N1989" t="n">
        <v>10.74</v>
      </c>
      <c r="O1989" t="n">
        <v>38</v>
      </c>
      <c r="P1989" t="n">
        <v>149.7</v>
      </c>
      <c r="Q1989" t="n">
        <v>19.4</v>
      </c>
      <c r="R1989" s="3" t="inlineStr">
        <is>
          <t>MISMATCH_NEEDS_CORRECTION</t>
        </is>
      </c>
      <c r="S1989" t="n">
        <v>38</v>
      </c>
      <c r="T1989" t="inlineStr">
        <is>
          <t>30-07-2026 09:42 IST</t>
        </is>
      </c>
    </row>
    <row r="1990">
      <c r="A1990" t="n">
        <v>283</v>
      </c>
      <c r="B1990" t="n">
        <v>514318</v>
      </c>
      <c r="C1990" t="inlineStr">
        <is>
          <t>Jindal Worldwide Ltd</t>
        </is>
      </c>
      <c r="D1990" t="n">
        <v>2024</v>
      </c>
      <c r="E1990" t="n">
        <v>415</v>
      </c>
      <c r="F1990" t="n">
        <v>8.710000000000001</v>
      </c>
      <c r="G1990" t="inlineStr">
        <is>
          <t>Consolidated first (v4) – needs verification for flagged rows</t>
        </is>
      </c>
      <c r="H1990" t="n">
        <v>146.8500061035156</v>
      </c>
      <c r="I1990" t="n">
        <v>19.39999961853027</v>
      </c>
      <c r="L1990" t="inlineStr">
        <is>
          <t>OK</t>
        </is>
      </c>
      <c r="M1990" t="n">
        <v>16.86</v>
      </c>
      <c r="N1990" t="n">
        <v>2.23</v>
      </c>
      <c r="O1990" t="n">
        <v>38</v>
      </c>
      <c r="P1990" t="n">
        <v>149.7</v>
      </c>
      <c r="Q1990" t="n">
        <v>19.4</v>
      </c>
      <c r="R1990" s="3" t="inlineStr">
        <is>
          <t>MISMATCH_NEEDS_CORRECTION</t>
        </is>
      </c>
      <c r="S1990" t="n">
        <v>38</v>
      </c>
      <c r="T1990" t="inlineStr">
        <is>
          <t>30-07-2026 09:42 IST</t>
        </is>
      </c>
    </row>
    <row r="1991">
      <c r="A1991" t="n">
        <v>283</v>
      </c>
      <c r="B1991" t="n">
        <v>514318</v>
      </c>
      <c r="C1991" t="inlineStr">
        <is>
          <t>Jindal Worldwide Ltd</t>
        </is>
      </c>
      <c r="D1991" t="n">
        <v>2025</v>
      </c>
      <c r="E1991" t="n">
        <v>415</v>
      </c>
      <c r="F1991" t="n">
        <v>-2.71</v>
      </c>
      <c r="G1991" t="inlineStr">
        <is>
          <t>Consolidated first (v4) – needs verification for flagged rows</t>
        </is>
      </c>
      <c r="H1991" t="n">
        <v>401.5</v>
      </c>
      <c r="I1991" t="n">
        <v>135.6499938964844</v>
      </c>
      <c r="L1991" t="inlineStr">
        <is>
          <t>UNVERIFIED – negative EPS</t>
        </is>
      </c>
      <c r="M1991" t="n">
        <v>-148.15</v>
      </c>
      <c r="N1991" t="n">
        <v>-50.06</v>
      </c>
      <c r="O1991" t="n">
        <v>38</v>
      </c>
      <c r="P1991" t="n">
        <v>149.7</v>
      </c>
      <c r="Q1991" t="n">
        <v>19.4</v>
      </c>
      <c r="R1991" s="3" t="inlineStr">
        <is>
          <t>MISMATCH_NEEDS_CORRECTION</t>
        </is>
      </c>
      <c r="S1991" t="n">
        <v>38</v>
      </c>
      <c r="T1991" t="inlineStr">
        <is>
          <t>30-07-2026 09:42 IST</t>
        </is>
      </c>
    </row>
    <row r="1992">
      <c r="A1992" t="n">
        <v>283</v>
      </c>
      <c r="B1992" t="n">
        <v>514318</v>
      </c>
      <c r="C1992" t="inlineStr">
        <is>
          <t>Jindal Worldwide Ltd</t>
        </is>
      </c>
      <c r="D1992" t="n">
        <v>2026</v>
      </c>
      <c r="E1992" t="n">
        <v>415</v>
      </c>
      <c r="F1992" t="n">
        <v>2.35</v>
      </c>
      <c r="G1992" t="inlineStr">
        <is>
          <t>Consolidated first (v4) – needs verification for flagged rows</t>
        </is>
      </c>
      <c r="H1992" t="n">
        <v>470</v>
      </c>
      <c r="I1992" t="n">
        <v>345</v>
      </c>
      <c r="L1992" t="inlineStr">
        <is>
          <t>OK</t>
        </is>
      </c>
      <c r="M1992" t="n">
        <v>200</v>
      </c>
      <c r="N1992" t="n">
        <v>146.81</v>
      </c>
      <c r="O1992" t="n">
        <v>38</v>
      </c>
      <c r="P1992" t="n">
        <v>149.7</v>
      </c>
      <c r="Q1992" t="n">
        <v>19.4</v>
      </c>
      <c r="R1992" s="3" t="inlineStr">
        <is>
          <t>MISMATCH_NEEDS_CORRECTION</t>
        </is>
      </c>
      <c r="S1992" t="n">
        <v>38</v>
      </c>
      <c r="T1992" t="inlineStr">
        <is>
          <t>30-07-2026 09:42 IST</t>
        </is>
      </c>
    </row>
    <row r="1993">
      <c r="A1993" t="n">
        <v>284</v>
      </c>
      <c r="B1993" t="n">
        <v>514326</v>
      </c>
      <c r="C1993" t="inlineStr">
        <is>
          <t>Patheja Forgings &amp; Auto Parts Manufacturers Ltd</t>
        </is>
      </c>
      <c r="D1993" t="n">
        <v>2015</v>
      </c>
      <c r="E1993" t="n">
        <v>6.940000057220459</v>
      </c>
      <c r="F1993" t="n">
        <v>-2.1</v>
      </c>
      <c r="G1993" t="inlineStr">
        <is>
          <t>Consolidated first (v4) – needs verification for flagged rows</t>
        </is>
      </c>
      <c r="H1993" t="n">
        <v>12.60000038146973</v>
      </c>
      <c r="I1993" t="n">
        <v>6.119999885559082</v>
      </c>
      <c r="L1993" t="inlineStr">
        <is>
          <t>UNVERIFIED – negative EPS</t>
        </is>
      </c>
      <c r="M1993" t="n">
        <v>-6</v>
      </c>
      <c r="N1993" t="n">
        <v>-2.91</v>
      </c>
      <c r="O1993" t="n">
        <v>16.12</v>
      </c>
      <c r="P1993" t="n">
        <v>18.57</v>
      </c>
      <c r="Q1993" t="n">
        <v>10.55</v>
      </c>
      <c r="R1993" s="3" t="inlineStr">
        <is>
          <t>MISMATCH_NEEDS_CORRECTION</t>
        </is>
      </c>
      <c r="S1993" t="n">
        <v>16.12</v>
      </c>
      <c r="T1993" t="inlineStr">
        <is>
          <t>30-07-2026 09:42 IST</t>
        </is>
      </c>
    </row>
    <row r="1994">
      <c r="A1994" t="n">
        <v>284</v>
      </c>
      <c r="B1994" t="n">
        <v>514326</v>
      </c>
      <c r="C1994" t="inlineStr">
        <is>
          <t>Patheja Forgings &amp; Auto Parts Manufacturers Ltd</t>
        </is>
      </c>
      <c r="D1994" t="n">
        <v>2016</v>
      </c>
      <c r="E1994" t="n">
        <v>6.940000057220459</v>
      </c>
      <c r="F1994" t="n">
        <v>0.25</v>
      </c>
      <c r="G1994" t="inlineStr">
        <is>
          <t>Consolidated first (v4) – needs verification for flagged rows</t>
        </is>
      </c>
      <c r="H1994" t="n">
        <v>14</v>
      </c>
      <c r="I1994" t="n">
        <v>7.21999979019165</v>
      </c>
      <c r="L1994" t="inlineStr">
        <is>
          <t>UNVERIFIED – tiny EPS &lt;0.5</t>
        </is>
      </c>
      <c r="M1994" t="n">
        <v>56</v>
      </c>
      <c r="N1994" t="n">
        <v>28.88</v>
      </c>
      <c r="O1994" t="n">
        <v>16.12</v>
      </c>
      <c r="P1994" t="n">
        <v>18.57</v>
      </c>
      <c r="Q1994" t="n">
        <v>10.55</v>
      </c>
      <c r="R1994" s="3" t="inlineStr">
        <is>
          <t>MISMATCH_NEEDS_CORRECTION</t>
        </is>
      </c>
      <c r="S1994" t="n">
        <v>16.12</v>
      </c>
      <c r="T1994" t="inlineStr">
        <is>
          <t>30-07-2026 09:42 IST</t>
        </is>
      </c>
    </row>
    <row r="1995">
      <c r="A1995" t="n">
        <v>284</v>
      </c>
      <c r="B1995" t="n">
        <v>514326</v>
      </c>
      <c r="C1995" t="inlineStr">
        <is>
          <t>Patheja Forgings &amp; Auto Parts Manufacturers Ltd</t>
        </is>
      </c>
      <c r="D1995" t="n">
        <v>2017</v>
      </c>
      <c r="E1995" t="n">
        <v>6.940000057220459</v>
      </c>
      <c r="F1995" t="n">
        <v>3.24</v>
      </c>
      <c r="G1995" t="inlineStr">
        <is>
          <t>Consolidated first (v4) – needs verification for flagged rows</t>
        </is>
      </c>
      <c r="H1995" t="n">
        <v>43.95000076293945</v>
      </c>
      <c r="I1995" t="n">
        <v>10.10000038146973</v>
      </c>
      <c r="L1995" t="inlineStr">
        <is>
          <t>OK</t>
        </is>
      </c>
      <c r="M1995" t="n">
        <v>13.56</v>
      </c>
      <c r="N1995" t="n">
        <v>3.12</v>
      </c>
      <c r="O1995" t="n">
        <v>16.12</v>
      </c>
      <c r="P1995" t="n">
        <v>18.57</v>
      </c>
      <c r="Q1995" t="n">
        <v>10.55</v>
      </c>
      <c r="R1995" s="3" t="inlineStr">
        <is>
          <t>MISMATCH_NEEDS_CORRECTION</t>
        </is>
      </c>
      <c r="S1995" t="n">
        <v>16.12</v>
      </c>
      <c r="T1995" t="inlineStr">
        <is>
          <t>30-07-2026 09:42 IST</t>
        </is>
      </c>
    </row>
    <row r="1996">
      <c r="A1996" t="n">
        <v>284</v>
      </c>
      <c r="B1996" t="n">
        <v>514326</v>
      </c>
      <c r="C1996" t="inlineStr">
        <is>
          <t>Patheja Forgings &amp; Auto Parts Manufacturers Ltd</t>
        </is>
      </c>
      <c r="D1996" t="n">
        <v>2018</v>
      </c>
      <c r="E1996" t="n">
        <v>6.940000057220459</v>
      </c>
      <c r="F1996" t="n">
        <v>-1.41</v>
      </c>
      <c r="G1996" t="inlineStr">
        <is>
          <t>Consolidated first (v4) – needs verification for flagged rows</t>
        </is>
      </c>
      <c r="H1996" t="n">
        <v>32</v>
      </c>
      <c r="I1996" t="n">
        <v>8.710000038146973</v>
      </c>
      <c r="L1996" t="inlineStr">
        <is>
          <t>UNVERIFIED – negative EPS</t>
        </is>
      </c>
      <c r="M1996" t="n">
        <v>-22.7</v>
      </c>
      <c r="N1996" t="n">
        <v>-6.18</v>
      </c>
      <c r="O1996" t="n">
        <v>16.12</v>
      </c>
      <c r="P1996" t="n">
        <v>18.57</v>
      </c>
      <c r="Q1996" t="n">
        <v>10.55</v>
      </c>
      <c r="R1996" s="3" t="inlineStr">
        <is>
          <t>MISMATCH_NEEDS_CORRECTION</t>
        </is>
      </c>
      <c r="S1996" t="n">
        <v>16.12</v>
      </c>
      <c r="T1996" t="inlineStr">
        <is>
          <t>30-07-2026 09:42 IST</t>
        </is>
      </c>
    </row>
    <row r="1997">
      <c r="A1997" t="n">
        <v>284</v>
      </c>
      <c r="B1997" t="n">
        <v>514326</v>
      </c>
      <c r="C1997" t="inlineStr">
        <is>
          <t>Patheja Forgings &amp; Auto Parts Manufacturers Ltd</t>
        </is>
      </c>
      <c r="D1997" t="n">
        <v>2019</v>
      </c>
      <c r="E1997" t="n">
        <v>6.940000057220459</v>
      </c>
      <c r="F1997" t="n">
        <v>-0.76</v>
      </c>
      <c r="G1997" t="inlineStr">
        <is>
          <t>Consolidated first (v4) – needs verification for flagged rows</t>
        </is>
      </c>
      <c r="H1997" t="n">
        <v>13.98999977111816</v>
      </c>
      <c r="I1997" t="n">
        <v>4.5</v>
      </c>
      <c r="L1997" t="inlineStr">
        <is>
          <t>UNVERIFIED – negative EPS</t>
        </is>
      </c>
      <c r="M1997" t="n">
        <v>-18.41</v>
      </c>
      <c r="N1997" t="n">
        <v>-5.92</v>
      </c>
      <c r="O1997" t="n">
        <v>16.12</v>
      </c>
      <c r="P1997" t="n">
        <v>18.57</v>
      </c>
      <c r="Q1997" t="n">
        <v>10.55</v>
      </c>
      <c r="R1997" s="3" t="inlineStr">
        <is>
          <t>MISMATCH_NEEDS_CORRECTION</t>
        </is>
      </c>
      <c r="S1997" t="n">
        <v>16.12</v>
      </c>
      <c r="T1997" t="inlineStr">
        <is>
          <t>30-07-2026 09:42 IST</t>
        </is>
      </c>
    </row>
    <row r="1998">
      <c r="A1998" t="n">
        <v>284</v>
      </c>
      <c r="B1998" t="n">
        <v>514326</v>
      </c>
      <c r="C1998" t="inlineStr">
        <is>
          <t>Patheja Forgings &amp; Auto Parts Manufacturers Ltd</t>
        </is>
      </c>
      <c r="D1998" t="n">
        <v>2020</v>
      </c>
      <c r="E1998" t="n">
        <v>6.940000057220459</v>
      </c>
      <c r="F1998" t="n">
        <v>-7.77</v>
      </c>
      <c r="G1998" t="inlineStr">
        <is>
          <t>Consolidated first (v4) – needs verification for flagged rows</t>
        </is>
      </c>
      <c r="H1998" t="n">
        <v>7.75</v>
      </c>
      <c r="I1998" t="n">
        <v>3.799999952316284</v>
      </c>
      <c r="L1998" t="inlineStr">
        <is>
          <t>UNVERIFIED – negative EPS</t>
        </is>
      </c>
      <c r="M1998" t="n">
        <v>-1</v>
      </c>
      <c r="N1998" t="n">
        <v>-0.49</v>
      </c>
      <c r="O1998" t="n">
        <v>16.12</v>
      </c>
      <c r="P1998" t="n">
        <v>18.57</v>
      </c>
      <c r="Q1998" t="n">
        <v>10.55</v>
      </c>
      <c r="R1998" s="3" t="inlineStr">
        <is>
          <t>MISMATCH_NEEDS_CORRECTION</t>
        </is>
      </c>
      <c r="S1998" t="n">
        <v>16.12</v>
      </c>
      <c r="T1998" t="inlineStr">
        <is>
          <t>30-07-2026 09:42 IST</t>
        </is>
      </c>
    </row>
    <row r="1999">
      <c r="A1999" t="n">
        <v>284</v>
      </c>
      <c r="B1999" t="n">
        <v>514326</v>
      </c>
      <c r="C1999" t="inlineStr">
        <is>
          <t>Patheja Forgings &amp; Auto Parts Manufacturers Ltd</t>
        </is>
      </c>
      <c r="D1999" t="n">
        <v>2021</v>
      </c>
      <c r="E1999" t="n">
        <v>6.940000057220459</v>
      </c>
      <c r="F1999" t="n">
        <v>-12.28</v>
      </c>
      <c r="G1999" t="inlineStr">
        <is>
          <t>Consolidated first (v4) – needs verification for flagged rows</t>
        </is>
      </c>
      <c r="H1999" t="n">
        <v>14.59000015258789</v>
      </c>
      <c r="I1999" t="n">
        <v>4.25</v>
      </c>
      <c r="L1999" t="inlineStr">
        <is>
          <t>UNVERIFIED – negative EPS</t>
        </is>
      </c>
      <c r="M1999" t="n">
        <v>-1.19</v>
      </c>
      <c r="N1999" t="n">
        <v>-0.35</v>
      </c>
      <c r="O1999" t="n">
        <v>16.12</v>
      </c>
      <c r="P1999" t="n">
        <v>18.57</v>
      </c>
      <c r="Q1999" t="n">
        <v>10.55</v>
      </c>
      <c r="R1999" s="3" t="inlineStr">
        <is>
          <t>MISMATCH_NEEDS_CORRECTION</t>
        </is>
      </c>
      <c r="S1999" t="n">
        <v>16.12</v>
      </c>
      <c r="T1999" t="inlineStr">
        <is>
          <t>30-07-2026 09:42 IST</t>
        </is>
      </c>
    </row>
    <row r="2000">
      <c r="A2000" t="n">
        <v>284</v>
      </c>
      <c r="B2000" t="n">
        <v>514326</v>
      </c>
      <c r="C2000" t="inlineStr">
        <is>
          <t>Patheja Forgings &amp; Auto Parts Manufacturers Ltd</t>
        </is>
      </c>
      <c r="D2000" t="n">
        <v>2022</v>
      </c>
      <c r="E2000" t="n">
        <v>6.940000057220459</v>
      </c>
      <c r="F2000" t="n">
        <v>-4.33</v>
      </c>
      <c r="G2000" t="inlineStr">
        <is>
          <t>Consolidated first (v4) – needs verification for flagged rows</t>
        </is>
      </c>
      <c r="H2000" t="n">
        <v>15.39999961853027</v>
      </c>
      <c r="I2000" t="n">
        <v>5.71999979019165</v>
      </c>
      <c r="L2000" t="inlineStr">
        <is>
          <t>UNVERIFIED – negative EPS</t>
        </is>
      </c>
      <c r="M2000" t="n">
        <v>-3.56</v>
      </c>
      <c r="N2000" t="n">
        <v>-1.32</v>
      </c>
      <c r="O2000" t="n">
        <v>16.12</v>
      </c>
      <c r="P2000" t="n">
        <v>18.57</v>
      </c>
      <c r="Q2000" t="n">
        <v>10.55</v>
      </c>
      <c r="R2000" s="3" t="inlineStr">
        <is>
          <t>MISMATCH_NEEDS_CORRECTION</t>
        </is>
      </c>
      <c r="S2000" t="n">
        <v>16.12</v>
      </c>
      <c r="T2000" t="inlineStr">
        <is>
          <t>30-07-2026 09:42 IST</t>
        </is>
      </c>
    </row>
    <row r="2001">
      <c r="A2001" t="n">
        <v>284</v>
      </c>
      <c r="B2001" t="n">
        <v>514326</v>
      </c>
      <c r="C2001" t="inlineStr">
        <is>
          <t>Patheja Forgings &amp; Auto Parts Manufacturers Ltd</t>
        </is>
      </c>
      <c r="D2001" t="n">
        <v>2023</v>
      </c>
      <c r="E2001" t="n">
        <v>6.940000057220459</v>
      </c>
      <c r="F2001" t="n">
        <v>-5.87</v>
      </c>
      <c r="G2001" t="inlineStr">
        <is>
          <t>Consolidated first (v4) – needs verification for flagged rows</t>
        </is>
      </c>
      <c r="H2001" t="n">
        <v>16.48999977111816</v>
      </c>
      <c r="I2001" t="n">
        <v>8.850000381469727</v>
      </c>
      <c r="L2001" t="inlineStr">
        <is>
          <t>UNVERIFIED – negative EPS</t>
        </is>
      </c>
      <c r="M2001" t="n">
        <v>-2.81</v>
      </c>
      <c r="N2001" t="n">
        <v>-1.51</v>
      </c>
      <c r="O2001" t="n">
        <v>16.12</v>
      </c>
      <c r="P2001" t="n">
        <v>18.57</v>
      </c>
      <c r="Q2001" t="n">
        <v>10.55</v>
      </c>
      <c r="R2001" s="3" t="inlineStr">
        <is>
          <t>MISMATCH_NEEDS_CORRECTION</t>
        </is>
      </c>
      <c r="S2001" t="n">
        <v>16.12</v>
      </c>
      <c r="T2001" t="inlineStr">
        <is>
          <t>30-07-2026 09:42 IST</t>
        </is>
      </c>
    </row>
    <row r="2002">
      <c r="A2002" t="n">
        <v>284</v>
      </c>
      <c r="B2002" t="n">
        <v>514326</v>
      </c>
      <c r="C2002" t="inlineStr">
        <is>
          <t>Patheja Forgings &amp; Auto Parts Manufacturers Ltd</t>
        </is>
      </c>
      <c r="D2002" t="n">
        <v>2024</v>
      </c>
      <c r="E2002" t="n">
        <v>6.940000057220459</v>
      </c>
      <c r="F2002" t="n">
        <v>-2.15</v>
      </c>
      <c r="G2002" t="inlineStr">
        <is>
          <t>Consolidated first (v4) – needs verification for flagged rows</t>
        </is>
      </c>
      <c r="H2002" t="n">
        <v>18.56999969482422</v>
      </c>
      <c r="I2002" t="n">
        <v>10.55000019073486</v>
      </c>
      <c r="L2002" t="inlineStr">
        <is>
          <t>UNVERIFIED – negative EPS</t>
        </is>
      </c>
      <c r="M2002" t="n">
        <v>-8.640000000000001</v>
      </c>
      <c r="N2002" t="n">
        <v>-4.91</v>
      </c>
      <c r="O2002" t="n">
        <v>16.12</v>
      </c>
      <c r="P2002" t="n">
        <v>18.57</v>
      </c>
      <c r="Q2002" t="n">
        <v>10.55</v>
      </c>
      <c r="R2002" s="3" t="inlineStr">
        <is>
          <t>MISMATCH_NEEDS_CORRECTION</t>
        </is>
      </c>
      <c r="S2002" t="n">
        <v>16.12</v>
      </c>
      <c r="T2002" t="inlineStr">
        <is>
          <t>30-07-2026 09:42 IST</t>
        </is>
      </c>
    </row>
    <row r="2003">
      <c r="A2003" t="n">
        <v>284</v>
      </c>
      <c r="B2003" t="n">
        <v>514326</v>
      </c>
      <c r="C2003" t="inlineStr">
        <is>
          <t>Patheja Forgings &amp; Auto Parts Manufacturers Ltd</t>
        </is>
      </c>
      <c r="D2003" t="n">
        <v>2025</v>
      </c>
      <c r="E2003" t="n">
        <v>6.940000057220459</v>
      </c>
      <c r="F2003" t="n">
        <v>-3.17</v>
      </c>
      <c r="G2003" t="inlineStr">
        <is>
          <t>Consolidated first (v4) – needs verification for flagged rows</t>
        </is>
      </c>
      <c r="H2003" t="n">
        <v>13.5</v>
      </c>
      <c r="I2003" t="n">
        <v>7.599999904632568</v>
      </c>
      <c r="L2003" t="inlineStr">
        <is>
          <t>UNVERIFIED – negative EPS</t>
        </is>
      </c>
      <c r="M2003" t="n">
        <v>-4.26</v>
      </c>
      <c r="N2003" t="n">
        <v>-2.4</v>
      </c>
      <c r="O2003" t="n">
        <v>16.12</v>
      </c>
      <c r="P2003" t="n">
        <v>18.57</v>
      </c>
      <c r="Q2003" t="n">
        <v>10.55</v>
      </c>
      <c r="R2003" s="3" t="inlineStr">
        <is>
          <t>MISMATCH_NEEDS_CORRECTION</t>
        </is>
      </c>
      <c r="S2003" t="n">
        <v>16.12</v>
      </c>
      <c r="T2003" t="inlineStr">
        <is>
          <t>30-07-2026 09:42 IST</t>
        </is>
      </c>
    </row>
    <row r="2004">
      <c r="A2004" t="n">
        <v>284</v>
      </c>
      <c r="B2004" t="n">
        <v>514326</v>
      </c>
      <c r="C2004" t="inlineStr">
        <is>
          <t>Patheja Forgings &amp; Auto Parts Manufacturers Ltd</t>
        </is>
      </c>
      <c r="D2004" t="n">
        <v>2026</v>
      </c>
      <c r="E2004" t="n">
        <v>6.940000057220459</v>
      </c>
      <c r="F2004" t="n">
        <v>-3.69</v>
      </c>
      <c r="G2004" t="inlineStr">
        <is>
          <t>Consolidated first (v4) – needs verification for flagged rows</t>
        </is>
      </c>
      <c r="H2004" t="n">
        <v>9</v>
      </c>
      <c r="I2004" t="n">
        <v>5.869999885559082</v>
      </c>
      <c r="L2004" t="inlineStr">
        <is>
          <t>UNVERIFIED – negative EPS</t>
        </is>
      </c>
      <c r="M2004" t="n">
        <v>-2.44</v>
      </c>
      <c r="N2004" t="n">
        <v>-1.59</v>
      </c>
      <c r="O2004" t="n">
        <v>16.12</v>
      </c>
      <c r="P2004" t="n">
        <v>18.57</v>
      </c>
      <c r="Q2004" t="n">
        <v>10.55</v>
      </c>
      <c r="R2004" s="3" t="inlineStr">
        <is>
          <t>MISMATCH_NEEDS_CORRECTION</t>
        </is>
      </c>
      <c r="S2004" t="n">
        <v>16.12</v>
      </c>
      <c r="T2004" t="inlineStr">
        <is>
          <t>30-07-2026 09:42 IST</t>
        </is>
      </c>
    </row>
    <row r="2005">
      <c r="A2005" t="n">
        <v>285</v>
      </c>
      <c r="B2005" t="n">
        <v>514336</v>
      </c>
      <c r="C2005" t="inlineStr">
        <is>
          <t>Ruia Aquaculture Farms Ltd</t>
        </is>
      </c>
      <c r="D2005" t="n">
        <v>2015</v>
      </c>
      <c r="E2005" t="n">
        <v>117.4000015258789</v>
      </c>
      <c r="F2005" t="n">
        <v>-0.62</v>
      </c>
      <c r="G2005" t="inlineStr">
        <is>
          <t>Consolidated first (v4) – needs verification for flagged rows</t>
        </is>
      </c>
      <c r="H2005" t="n">
        <v>16.35000038146973</v>
      </c>
      <c r="I2005" t="n">
        <v>6.050000190734863</v>
      </c>
      <c r="L2005" t="inlineStr">
        <is>
          <t>UNVERIFIED – negative EPS</t>
        </is>
      </c>
      <c r="M2005" t="n">
        <v>-26.37</v>
      </c>
      <c r="N2005" t="n">
        <v>-9.76</v>
      </c>
      <c r="O2005" t="n">
        <v>15.1</v>
      </c>
      <c r="P2005" t="n">
        <v>17.47</v>
      </c>
      <c r="Q2005" t="n">
        <v>10.23</v>
      </c>
      <c r="R2005" s="3" t="inlineStr">
        <is>
          <t>MISMATCH_NEEDS_CORRECTION</t>
        </is>
      </c>
      <c r="S2005" t="n">
        <v>15.1</v>
      </c>
      <c r="T2005" t="inlineStr">
        <is>
          <t>30-07-2026 09:42 IST</t>
        </is>
      </c>
    </row>
    <row r="2006">
      <c r="A2006" t="n">
        <v>285</v>
      </c>
      <c r="B2006" t="n">
        <v>514336</v>
      </c>
      <c r="C2006" t="inlineStr">
        <is>
          <t>Ruia Aquaculture Farms Ltd</t>
        </is>
      </c>
      <c r="D2006" t="n">
        <v>2016</v>
      </c>
      <c r="E2006" t="n">
        <v>117.4000015258789</v>
      </c>
      <c r="F2006" t="n">
        <v>0.36</v>
      </c>
      <c r="G2006" t="inlineStr">
        <is>
          <t>Consolidated first (v4) – needs verification for flagged rows</t>
        </is>
      </c>
      <c r="H2006" t="n">
        <v>17</v>
      </c>
      <c r="I2006" t="n">
        <v>13.89999961853027</v>
      </c>
      <c r="L2006" t="inlineStr">
        <is>
          <t>UNVERIFIED – tiny EPS &lt;0.5</t>
        </is>
      </c>
      <c r="M2006" t="n">
        <v>47.22</v>
      </c>
      <c r="N2006" t="n">
        <v>38.61</v>
      </c>
      <c r="O2006" t="n">
        <v>15.1</v>
      </c>
      <c r="P2006" t="n">
        <v>17.47</v>
      </c>
      <c r="Q2006" t="n">
        <v>10.23</v>
      </c>
      <c r="R2006" s="3" t="inlineStr">
        <is>
          <t>MISMATCH_NEEDS_CORRECTION</t>
        </is>
      </c>
      <c r="S2006" t="n">
        <v>15.1</v>
      </c>
      <c r="T2006" t="inlineStr">
        <is>
          <t>30-07-2026 09:42 IST</t>
        </is>
      </c>
    </row>
    <row r="2007">
      <c r="A2007" t="n">
        <v>285</v>
      </c>
      <c r="B2007" t="n">
        <v>514336</v>
      </c>
      <c r="C2007" t="inlineStr">
        <is>
          <t>Ruia Aquaculture Farms Ltd</t>
        </is>
      </c>
      <c r="D2007" t="n">
        <v>2017</v>
      </c>
      <c r="E2007" t="n">
        <v>117.4000015258789</v>
      </c>
      <c r="G2007" t="inlineStr">
        <is>
          <t>Consolidated first (v4) – needs verification for flagged rows</t>
        </is>
      </c>
      <c r="H2007" t="n">
        <v>14.14999961853027</v>
      </c>
      <c r="I2007" t="n">
        <v>4.079999923706055</v>
      </c>
      <c r="L2007" t="inlineStr">
        <is>
          <t>INCOMPLETE</t>
        </is>
      </c>
      <c r="O2007" t="n">
        <v>15.1</v>
      </c>
      <c r="P2007" t="n">
        <v>17.47</v>
      </c>
      <c r="Q2007" t="n">
        <v>10.23</v>
      </c>
      <c r="R2007" s="3" t="inlineStr">
        <is>
          <t>MISMATCH_NEEDS_CORRECTION</t>
        </is>
      </c>
      <c r="S2007" t="n">
        <v>15.1</v>
      </c>
      <c r="T2007" t="inlineStr">
        <is>
          <t>30-07-2026 09:42 IST</t>
        </is>
      </c>
    </row>
    <row r="2008">
      <c r="A2008" t="n">
        <v>285</v>
      </c>
      <c r="B2008" t="n">
        <v>514336</v>
      </c>
      <c r="C2008" t="inlineStr">
        <is>
          <t>Ruia Aquaculture Farms Ltd</t>
        </is>
      </c>
      <c r="D2008" t="n">
        <v>2018</v>
      </c>
      <c r="E2008" t="n">
        <v>117.4000015258789</v>
      </c>
      <c r="F2008" t="n">
        <v>-0.15</v>
      </c>
      <c r="G2008" t="inlineStr">
        <is>
          <t>Consolidated first (v4) – needs verification for flagged rows</t>
        </is>
      </c>
      <c r="H2008" t="n">
        <v>5.800000190734863</v>
      </c>
      <c r="I2008" t="n">
        <v>4.800000190734863</v>
      </c>
      <c r="L2008" t="inlineStr">
        <is>
          <t>UNVERIFIED – negative EPS</t>
        </is>
      </c>
      <c r="M2008" t="n">
        <v>-38.67</v>
      </c>
      <c r="N2008" t="n">
        <v>-32</v>
      </c>
      <c r="O2008" t="n">
        <v>15.1</v>
      </c>
      <c r="P2008" t="n">
        <v>17.47</v>
      </c>
      <c r="Q2008" t="n">
        <v>10.23</v>
      </c>
      <c r="R2008" s="3" t="inlineStr">
        <is>
          <t>MISMATCH_NEEDS_CORRECTION</t>
        </is>
      </c>
      <c r="S2008" t="n">
        <v>15.1</v>
      </c>
      <c r="T2008" t="inlineStr">
        <is>
          <t>30-07-2026 09:42 IST</t>
        </is>
      </c>
    </row>
    <row r="2009">
      <c r="A2009" t="n">
        <v>285</v>
      </c>
      <c r="B2009" t="n">
        <v>514336</v>
      </c>
      <c r="C2009" t="inlineStr">
        <is>
          <t>Ruia Aquaculture Farms Ltd</t>
        </is>
      </c>
      <c r="D2009" t="n">
        <v>2019</v>
      </c>
      <c r="E2009" t="n">
        <v>117.4000015258789</v>
      </c>
      <c r="F2009" t="n">
        <v>-0.04</v>
      </c>
      <c r="G2009" t="inlineStr">
        <is>
          <t>Consolidated first (v4) – needs verification for flagged rows</t>
        </is>
      </c>
      <c r="H2009" t="n">
        <v>8.119999885559082</v>
      </c>
      <c r="I2009" t="n">
        <v>5.800000190734863</v>
      </c>
      <c r="L2009" t="inlineStr">
        <is>
          <t>UNVERIFIED – negative EPS</t>
        </is>
      </c>
      <c r="M2009" t="n">
        <v>-203</v>
      </c>
      <c r="N2009" t="n">
        <v>-145</v>
      </c>
      <c r="O2009" t="n">
        <v>15.1</v>
      </c>
      <c r="P2009" t="n">
        <v>17.47</v>
      </c>
      <c r="Q2009" t="n">
        <v>10.23</v>
      </c>
      <c r="R2009" s="3" t="inlineStr">
        <is>
          <t>MISMATCH_NEEDS_CORRECTION</t>
        </is>
      </c>
      <c r="S2009" t="n">
        <v>15.1</v>
      </c>
      <c r="T2009" t="inlineStr">
        <is>
          <t>30-07-2026 09:42 IST</t>
        </is>
      </c>
    </row>
    <row r="2010">
      <c r="A2010" t="n">
        <v>285</v>
      </c>
      <c r="B2010" t="n">
        <v>514336</v>
      </c>
      <c r="C2010" t="inlineStr">
        <is>
          <t>Ruia Aquaculture Farms Ltd</t>
        </is>
      </c>
      <c r="D2010" t="n">
        <v>2020</v>
      </c>
      <c r="E2010" t="n">
        <v>117.4000015258789</v>
      </c>
      <c r="F2010" t="n">
        <v>-0.08</v>
      </c>
      <c r="G2010" t="inlineStr">
        <is>
          <t>Consolidated first (v4) – needs verification for flagged rows</t>
        </is>
      </c>
      <c r="H2010" t="n">
        <v>7.75</v>
      </c>
      <c r="I2010" t="n">
        <v>6.78000020980835</v>
      </c>
      <c r="L2010" t="inlineStr">
        <is>
          <t>UNVERIFIED – negative EPS</t>
        </is>
      </c>
      <c r="M2010" t="n">
        <v>-96.88</v>
      </c>
      <c r="N2010" t="n">
        <v>-84.75</v>
      </c>
      <c r="O2010" t="n">
        <v>15.1</v>
      </c>
      <c r="P2010" t="n">
        <v>17.47</v>
      </c>
      <c r="Q2010" t="n">
        <v>10.23</v>
      </c>
      <c r="R2010" s="3" t="inlineStr">
        <is>
          <t>MISMATCH_NEEDS_CORRECTION</t>
        </is>
      </c>
      <c r="S2010" t="n">
        <v>15.1</v>
      </c>
      <c r="T2010" t="inlineStr">
        <is>
          <t>30-07-2026 09:42 IST</t>
        </is>
      </c>
    </row>
    <row r="2011">
      <c r="A2011" t="n">
        <v>285</v>
      </c>
      <c r="B2011" t="n">
        <v>514336</v>
      </c>
      <c r="C2011" t="inlineStr">
        <is>
          <t>Ruia Aquaculture Farms Ltd</t>
        </is>
      </c>
      <c r="D2011" t="n">
        <v>2021</v>
      </c>
      <c r="E2011" t="n">
        <v>117.4000015258789</v>
      </c>
      <c r="F2011" t="n">
        <v>-0.09</v>
      </c>
      <c r="G2011" t="inlineStr">
        <is>
          <t>Consolidated first (v4) – needs verification for flagged rows</t>
        </is>
      </c>
      <c r="H2011" t="n">
        <v>8.220000267028809</v>
      </c>
      <c r="I2011" t="n">
        <v>7.460000038146973</v>
      </c>
      <c r="L2011" t="inlineStr">
        <is>
          <t>UNVERIFIED – negative EPS</t>
        </is>
      </c>
      <c r="M2011" t="n">
        <v>-91.33</v>
      </c>
      <c r="N2011" t="n">
        <v>-82.89</v>
      </c>
      <c r="O2011" t="n">
        <v>15.1</v>
      </c>
      <c r="P2011" t="n">
        <v>17.47</v>
      </c>
      <c r="Q2011" t="n">
        <v>10.23</v>
      </c>
      <c r="R2011" s="3" t="inlineStr">
        <is>
          <t>MISMATCH_NEEDS_CORRECTION</t>
        </is>
      </c>
      <c r="S2011" t="n">
        <v>15.1</v>
      </c>
      <c r="T2011" t="inlineStr">
        <is>
          <t>30-07-2026 09:42 IST</t>
        </is>
      </c>
    </row>
    <row r="2012">
      <c r="A2012" t="n">
        <v>285</v>
      </c>
      <c r="B2012" t="n">
        <v>514336</v>
      </c>
      <c r="C2012" t="inlineStr">
        <is>
          <t>Ruia Aquaculture Farms Ltd</t>
        </is>
      </c>
      <c r="D2012" t="n">
        <v>2022</v>
      </c>
      <c r="E2012" t="n">
        <v>117.4000015258789</v>
      </c>
      <c r="F2012" t="n">
        <v>-0.09</v>
      </c>
      <c r="G2012" t="inlineStr">
        <is>
          <t>Consolidated first (v4) – needs verification for flagged rows</t>
        </is>
      </c>
      <c r="H2012" t="n">
        <v>11.02000045776367</v>
      </c>
      <c r="I2012" t="n">
        <v>8</v>
      </c>
      <c r="L2012" t="inlineStr">
        <is>
          <t>UNVERIFIED – negative EPS</t>
        </is>
      </c>
      <c r="M2012" t="n">
        <v>-122.44</v>
      </c>
      <c r="N2012" t="n">
        <v>-88.89</v>
      </c>
      <c r="O2012" t="n">
        <v>15.1</v>
      </c>
      <c r="P2012" t="n">
        <v>17.47</v>
      </c>
      <c r="Q2012" t="n">
        <v>10.23</v>
      </c>
      <c r="R2012" s="3" t="inlineStr">
        <is>
          <t>MISMATCH_NEEDS_CORRECTION</t>
        </is>
      </c>
      <c r="S2012" t="n">
        <v>15.1</v>
      </c>
      <c r="T2012" t="inlineStr">
        <is>
          <t>30-07-2026 09:42 IST</t>
        </is>
      </c>
    </row>
    <row r="2013">
      <c r="A2013" t="n">
        <v>285</v>
      </c>
      <c r="B2013" t="n">
        <v>514336</v>
      </c>
      <c r="C2013" t="inlineStr">
        <is>
          <t>Ruia Aquaculture Farms Ltd</t>
        </is>
      </c>
      <c r="D2013" t="n">
        <v>2023</v>
      </c>
      <c r="E2013" t="n">
        <v>117.4000015258789</v>
      </c>
      <c r="F2013" t="n">
        <v>-0.11</v>
      </c>
      <c r="G2013" t="inlineStr">
        <is>
          <t>Consolidated first (v4) – needs verification for flagged rows</t>
        </is>
      </c>
      <c r="H2013" t="n">
        <v>11.23999977111816</v>
      </c>
      <c r="I2013" t="n">
        <v>9.729999542236328</v>
      </c>
      <c r="L2013" t="inlineStr">
        <is>
          <t>UNVERIFIED – negative EPS</t>
        </is>
      </c>
      <c r="M2013" t="n">
        <v>-102.18</v>
      </c>
      <c r="N2013" t="n">
        <v>-88.45</v>
      </c>
      <c r="O2013" t="n">
        <v>15.1</v>
      </c>
      <c r="P2013" t="n">
        <v>17.47</v>
      </c>
      <c r="Q2013" t="n">
        <v>10.23</v>
      </c>
      <c r="R2013" s="3" t="inlineStr">
        <is>
          <t>MISMATCH_NEEDS_CORRECTION</t>
        </is>
      </c>
      <c r="S2013" t="n">
        <v>15.1</v>
      </c>
      <c r="T2013" t="inlineStr">
        <is>
          <t>30-07-2026 09:42 IST</t>
        </is>
      </c>
    </row>
    <row r="2014">
      <c r="A2014" t="n">
        <v>285</v>
      </c>
      <c r="B2014" t="n">
        <v>514336</v>
      </c>
      <c r="C2014" t="inlineStr">
        <is>
          <t>Ruia Aquaculture Farms Ltd</t>
        </is>
      </c>
      <c r="D2014" t="n">
        <v>2024</v>
      </c>
      <c r="E2014" t="n">
        <v>117.4000015258789</v>
      </c>
      <c r="F2014" t="n">
        <v>-2.92</v>
      </c>
      <c r="G2014" t="inlineStr">
        <is>
          <t>Consolidated first (v4) – needs verification for flagged rows</t>
        </is>
      </c>
      <c r="H2014" t="n">
        <v>17.46999931335449</v>
      </c>
      <c r="I2014" t="n">
        <v>9.729999542236328</v>
      </c>
      <c r="L2014" t="inlineStr">
        <is>
          <t>UNVERIFIED – negative EPS</t>
        </is>
      </c>
      <c r="M2014" t="n">
        <v>-5.98</v>
      </c>
      <c r="N2014" t="n">
        <v>-3.33</v>
      </c>
      <c r="O2014" t="n">
        <v>15.1</v>
      </c>
      <c r="P2014" t="n">
        <v>17.47</v>
      </c>
      <c r="Q2014" t="n">
        <v>10.23</v>
      </c>
      <c r="R2014" s="3" t="inlineStr">
        <is>
          <t>MISMATCH_NEEDS_CORRECTION</t>
        </is>
      </c>
      <c r="S2014" t="n">
        <v>15.1</v>
      </c>
      <c r="T2014" t="inlineStr">
        <is>
          <t>30-07-2026 09:42 IST</t>
        </is>
      </c>
    </row>
    <row r="2015">
      <c r="A2015" t="n">
        <v>285</v>
      </c>
      <c r="B2015" t="n">
        <v>514336</v>
      </c>
      <c r="C2015" t="inlineStr">
        <is>
          <t>Ruia Aquaculture Farms Ltd</t>
        </is>
      </c>
      <c r="D2015" t="n">
        <v>2025</v>
      </c>
      <c r="E2015" t="n">
        <v>117.4000015258789</v>
      </c>
      <c r="F2015" t="n">
        <v>2.69</v>
      </c>
      <c r="G2015" t="inlineStr">
        <is>
          <t>Consolidated first (v4) – needs verification for flagged rows</t>
        </is>
      </c>
      <c r="H2015" t="n">
        <v>181.3000030517578</v>
      </c>
      <c r="I2015" t="n">
        <v>17.46999931335449</v>
      </c>
      <c r="L2015" t="inlineStr">
        <is>
          <t>OK</t>
        </is>
      </c>
      <c r="M2015" t="n">
        <v>67.40000000000001</v>
      </c>
      <c r="N2015" t="n">
        <v>6.49</v>
      </c>
      <c r="O2015" t="n">
        <v>15.1</v>
      </c>
      <c r="P2015" t="n">
        <v>17.47</v>
      </c>
      <c r="Q2015" t="n">
        <v>10.23</v>
      </c>
      <c r="R2015" s="3" t="inlineStr">
        <is>
          <t>MISMATCH_NEEDS_CORRECTION</t>
        </is>
      </c>
      <c r="S2015" t="n">
        <v>15.1</v>
      </c>
      <c r="T2015" t="inlineStr">
        <is>
          <t>30-07-2026 09:42 IST</t>
        </is>
      </c>
    </row>
    <row r="2016">
      <c r="A2016" t="n">
        <v>285</v>
      </c>
      <c r="B2016" t="n">
        <v>514336</v>
      </c>
      <c r="C2016" t="inlineStr">
        <is>
          <t>Ruia Aquaculture Farms Ltd</t>
        </is>
      </c>
      <c r="D2016" t="n">
        <v>2026</v>
      </c>
      <c r="E2016" t="n">
        <v>117.4000015258789</v>
      </c>
      <c r="F2016" t="n">
        <v>-0.16</v>
      </c>
      <c r="G2016" t="inlineStr">
        <is>
          <t>Consolidated first (v4) – needs verification for flagged rows</t>
        </is>
      </c>
      <c r="H2016" t="n">
        <v>130.1000061035156</v>
      </c>
      <c r="I2016" t="n">
        <v>59.43000030517578</v>
      </c>
      <c r="L2016" t="inlineStr">
        <is>
          <t>UNVERIFIED – negative EPS</t>
        </is>
      </c>
      <c r="M2016" t="n">
        <v>-813.13</v>
      </c>
      <c r="N2016" t="n">
        <v>-371.44</v>
      </c>
      <c r="O2016" t="n">
        <v>15.1</v>
      </c>
      <c r="P2016" t="n">
        <v>17.47</v>
      </c>
      <c r="Q2016" t="n">
        <v>10.23</v>
      </c>
      <c r="R2016" s="3" t="inlineStr">
        <is>
          <t>MISMATCH_NEEDS_CORRECTION</t>
        </is>
      </c>
      <c r="S2016" t="n">
        <v>15.1</v>
      </c>
      <c r="T2016" t="inlineStr">
        <is>
          <t>30-07-2026 09:42 IST</t>
        </is>
      </c>
    </row>
    <row r="2017">
      <c r="A2017" t="n">
        <v>286</v>
      </c>
      <c r="B2017" t="n">
        <v>514360</v>
      </c>
      <c r="C2017" t="inlineStr">
        <is>
          <t>Aarvi Encon Ltd</t>
        </is>
      </c>
      <c r="D2017" t="n">
        <v>2015</v>
      </c>
      <c r="E2017" t="n">
        <v>24.48999977111816</v>
      </c>
      <c r="F2017" t="n">
        <v>5.51</v>
      </c>
      <c r="G2017" t="inlineStr">
        <is>
          <t>Consolidated first (v4) – needs verification for flagged rows</t>
        </is>
      </c>
      <c r="H2017" t="n">
        <v>36</v>
      </c>
      <c r="I2017" t="n">
        <v>9</v>
      </c>
      <c r="L2017" t="inlineStr">
        <is>
          <t>OK</t>
        </is>
      </c>
      <c r="M2017" t="n">
        <v>6.53</v>
      </c>
      <c r="N2017" t="n">
        <v>1.63</v>
      </c>
      <c r="O2017" t="n">
        <v>475.4</v>
      </c>
      <c r="P2017" t="n">
        <v>800</v>
      </c>
      <c r="Q2017" t="n">
        <v>303.55</v>
      </c>
      <c r="R2017" s="3" t="inlineStr">
        <is>
          <t>MISMATCH_NEEDS_CORRECTION</t>
        </is>
      </c>
      <c r="S2017" t="n">
        <v>475.4</v>
      </c>
      <c r="T2017" t="inlineStr">
        <is>
          <t>30-07-2026 09:42 IST</t>
        </is>
      </c>
    </row>
    <row r="2018">
      <c r="A2018" t="n">
        <v>286</v>
      </c>
      <c r="B2018" t="n">
        <v>514360</v>
      </c>
      <c r="C2018" t="inlineStr">
        <is>
          <t>Aarvi Encon Ltd</t>
        </is>
      </c>
      <c r="D2018" t="n">
        <v>2016</v>
      </c>
      <c r="E2018" t="n">
        <v>24.48999977111816</v>
      </c>
      <c r="F2018" t="n">
        <v>7.21</v>
      </c>
      <c r="G2018" t="inlineStr">
        <is>
          <t>Consolidated first (v4) – needs verification for flagged rows</t>
        </is>
      </c>
      <c r="H2018" t="n">
        <v>9</v>
      </c>
      <c r="I2018" t="n">
        <v>9</v>
      </c>
      <c r="L2018" t="inlineStr">
        <is>
          <t>OK</t>
        </is>
      </c>
      <c r="M2018" t="n">
        <v>1.25</v>
      </c>
      <c r="N2018" t="n">
        <v>1.25</v>
      </c>
      <c r="O2018" t="n">
        <v>475.4</v>
      </c>
      <c r="P2018" t="n">
        <v>800</v>
      </c>
      <c r="Q2018" t="n">
        <v>303.55</v>
      </c>
      <c r="R2018" s="3" t="inlineStr">
        <is>
          <t>MISMATCH_NEEDS_CORRECTION</t>
        </is>
      </c>
      <c r="S2018" t="n">
        <v>475.4</v>
      </c>
      <c r="T2018" t="inlineStr">
        <is>
          <t>30-07-2026 09:42 IST</t>
        </is>
      </c>
    </row>
    <row r="2019">
      <c r="A2019" t="n">
        <v>286</v>
      </c>
      <c r="B2019" t="n">
        <v>514360</v>
      </c>
      <c r="C2019" t="inlineStr">
        <is>
          <t>Aarvi Encon Ltd</t>
        </is>
      </c>
      <c r="D2019" t="n">
        <v>2017</v>
      </c>
      <c r="E2019" t="n">
        <v>24.48999977111816</v>
      </c>
      <c r="F2019" t="n">
        <v>0.74</v>
      </c>
      <c r="G2019" t="inlineStr">
        <is>
          <t>Consolidated first (v4) – needs verification for flagged rows</t>
        </is>
      </c>
      <c r="H2019" t="n">
        <v>9</v>
      </c>
      <c r="I2019" t="n">
        <v>9</v>
      </c>
      <c r="L2019" t="inlineStr">
        <is>
          <t>OK</t>
        </is>
      </c>
      <c r="M2019" t="n">
        <v>12.16</v>
      </c>
      <c r="N2019" t="n">
        <v>12.16</v>
      </c>
      <c r="O2019" t="n">
        <v>475.4</v>
      </c>
      <c r="P2019" t="n">
        <v>800</v>
      </c>
      <c r="Q2019" t="n">
        <v>303.55</v>
      </c>
      <c r="R2019" s="3" t="inlineStr">
        <is>
          <t>MISMATCH_NEEDS_CORRECTION</t>
        </is>
      </c>
      <c r="S2019" t="n">
        <v>475.4</v>
      </c>
      <c r="T2019" t="inlineStr">
        <is>
          <t>30-07-2026 09:42 IST</t>
        </is>
      </c>
    </row>
    <row r="2020">
      <c r="A2020" t="n">
        <v>286</v>
      </c>
      <c r="B2020" t="n">
        <v>514360</v>
      </c>
      <c r="C2020" t="inlineStr">
        <is>
          <t>Aarvi Encon Ltd</t>
        </is>
      </c>
      <c r="D2020" t="n">
        <v>2018</v>
      </c>
      <c r="E2020" t="n">
        <v>24.48999977111816</v>
      </c>
      <c r="F2020" t="n">
        <v>0.03</v>
      </c>
      <c r="G2020" t="inlineStr">
        <is>
          <t>Consolidated first (v4) – needs verification for flagged rows</t>
        </is>
      </c>
      <c r="H2020" t="n">
        <v>9</v>
      </c>
      <c r="I2020" t="n">
        <v>9</v>
      </c>
      <c r="L2020" t="inlineStr">
        <is>
          <t>UNVERIFIED – tiny EPS &lt;0.5</t>
        </is>
      </c>
      <c r="M2020" t="n">
        <v>300</v>
      </c>
      <c r="N2020" t="n">
        <v>300</v>
      </c>
      <c r="O2020" t="n">
        <v>475.4</v>
      </c>
      <c r="P2020" t="n">
        <v>800</v>
      </c>
      <c r="Q2020" t="n">
        <v>303.55</v>
      </c>
      <c r="R2020" s="3" t="inlineStr">
        <is>
          <t>MISMATCH_NEEDS_CORRECTION</t>
        </is>
      </c>
      <c r="S2020" t="n">
        <v>475.4</v>
      </c>
      <c r="T2020" t="inlineStr">
        <is>
          <t>30-07-2026 09:42 IST</t>
        </is>
      </c>
    </row>
    <row r="2021">
      <c r="A2021" t="n">
        <v>286</v>
      </c>
      <c r="B2021" t="n">
        <v>514360</v>
      </c>
      <c r="C2021" t="inlineStr">
        <is>
          <t>Aarvi Encon Ltd</t>
        </is>
      </c>
      <c r="D2021" t="n">
        <v>2020</v>
      </c>
      <c r="E2021" t="n">
        <v>24.48999977111816</v>
      </c>
      <c r="F2021" t="n">
        <v>1.25</v>
      </c>
      <c r="G2021" t="inlineStr">
        <is>
          <t>Consolidated first (v4) – needs verification for flagged rows</t>
        </is>
      </c>
      <c r="H2021" t="n">
        <v>37.54999923706055</v>
      </c>
      <c r="I2021" t="n">
        <v>9.119999885559082</v>
      </c>
      <c r="L2021" t="inlineStr">
        <is>
          <t>OK</t>
        </is>
      </c>
      <c r="M2021" t="n">
        <v>30.04</v>
      </c>
      <c r="N2021" t="n">
        <v>7.3</v>
      </c>
      <c r="O2021" t="n">
        <v>475.4</v>
      </c>
      <c r="P2021" t="n">
        <v>800</v>
      </c>
      <c r="Q2021" t="n">
        <v>303.55</v>
      </c>
      <c r="R2021" s="3" t="inlineStr">
        <is>
          <t>MISMATCH_NEEDS_CORRECTION</t>
        </is>
      </c>
      <c r="S2021" t="n">
        <v>475.4</v>
      </c>
      <c r="T2021" t="inlineStr">
        <is>
          <t>30-07-2026 09:42 IST</t>
        </is>
      </c>
    </row>
    <row r="2022">
      <c r="A2022" t="n">
        <v>286</v>
      </c>
      <c r="B2022" t="n">
        <v>514360</v>
      </c>
      <c r="C2022" t="inlineStr">
        <is>
          <t>Aarvi Encon Ltd</t>
        </is>
      </c>
      <c r="D2022" t="n">
        <v>2021</v>
      </c>
      <c r="E2022" t="n">
        <v>24.48999977111816</v>
      </c>
      <c r="F2022" t="n">
        <v>2.69</v>
      </c>
      <c r="G2022" t="inlineStr">
        <is>
          <t>Consolidated first (v4) – needs verification for flagged rows</t>
        </is>
      </c>
      <c r="H2022" t="n">
        <v>37.15000152587891</v>
      </c>
      <c r="I2022" t="n">
        <v>11.64000034332275</v>
      </c>
      <c r="L2022" t="inlineStr">
        <is>
          <t>OK</t>
        </is>
      </c>
      <c r="M2022" t="n">
        <v>13.81</v>
      </c>
      <c r="N2022" t="n">
        <v>4.33</v>
      </c>
      <c r="O2022" t="n">
        <v>475.4</v>
      </c>
      <c r="P2022" t="n">
        <v>800</v>
      </c>
      <c r="Q2022" t="n">
        <v>303.55</v>
      </c>
      <c r="R2022" s="3" t="inlineStr">
        <is>
          <t>MISMATCH_NEEDS_CORRECTION</t>
        </is>
      </c>
      <c r="S2022" t="n">
        <v>475.4</v>
      </c>
      <c r="T2022" t="inlineStr">
        <is>
          <t>30-07-2026 09:42 IST</t>
        </is>
      </c>
    </row>
    <row r="2023">
      <c r="A2023" t="n">
        <v>286</v>
      </c>
      <c r="B2023" t="n">
        <v>514360</v>
      </c>
      <c r="C2023" t="inlineStr">
        <is>
          <t>Aarvi Encon Ltd</t>
        </is>
      </c>
      <c r="D2023" t="n">
        <v>2022</v>
      </c>
      <c r="E2023" t="n">
        <v>24.48999977111816</v>
      </c>
      <c r="F2023" t="n">
        <v>3.84</v>
      </c>
      <c r="G2023" t="inlineStr">
        <is>
          <t>Consolidated first (v4) – needs verification for flagged rows</t>
        </is>
      </c>
      <c r="H2023" t="n">
        <v>104.4499969482422</v>
      </c>
      <c r="I2023" t="n">
        <v>15.60000038146973</v>
      </c>
      <c r="L2023" t="inlineStr">
        <is>
          <t>OK</t>
        </is>
      </c>
      <c r="M2023" t="n">
        <v>27.2</v>
      </c>
      <c r="N2023" t="n">
        <v>4.06</v>
      </c>
      <c r="O2023" t="n">
        <v>475.4</v>
      </c>
      <c r="P2023" t="n">
        <v>800</v>
      </c>
      <c r="Q2023" t="n">
        <v>303.55</v>
      </c>
      <c r="R2023" s="3" t="inlineStr">
        <is>
          <t>MISMATCH_NEEDS_CORRECTION</t>
        </is>
      </c>
      <c r="S2023" t="n">
        <v>475.4</v>
      </c>
      <c r="T2023" t="inlineStr">
        <is>
          <t>30-07-2026 09:42 IST</t>
        </is>
      </c>
    </row>
    <row r="2024">
      <c r="A2024" t="n">
        <v>286</v>
      </c>
      <c r="B2024" t="n">
        <v>514360</v>
      </c>
      <c r="C2024" t="inlineStr">
        <is>
          <t>Aarvi Encon Ltd</t>
        </is>
      </c>
      <c r="D2024" t="n">
        <v>2023</v>
      </c>
      <c r="E2024" t="n">
        <v>24.48999977111816</v>
      </c>
      <c r="F2024" t="n">
        <v>3.31</v>
      </c>
      <c r="G2024" t="inlineStr">
        <is>
          <t>Consolidated first (v4) – needs verification for flagged rows</t>
        </is>
      </c>
      <c r="H2024" t="n">
        <v>863.3499755859375</v>
      </c>
      <c r="I2024" t="n">
        <v>60.54999923706055</v>
      </c>
      <c r="L2024" t="inlineStr">
        <is>
          <t>OK</t>
        </is>
      </c>
      <c r="M2024" t="n">
        <v>260.83</v>
      </c>
      <c r="N2024" t="n">
        <v>18.29</v>
      </c>
      <c r="O2024" t="n">
        <v>475.4</v>
      </c>
      <c r="P2024" t="n">
        <v>800</v>
      </c>
      <c r="Q2024" t="n">
        <v>303.55</v>
      </c>
      <c r="R2024" s="3" t="inlineStr">
        <is>
          <t>MISMATCH_NEEDS_CORRECTION</t>
        </is>
      </c>
      <c r="S2024" t="n">
        <v>475.4</v>
      </c>
      <c r="T2024" t="inlineStr">
        <is>
          <t>30-07-2026 09:42 IST</t>
        </is>
      </c>
    </row>
    <row r="2025">
      <c r="A2025" t="n">
        <v>286</v>
      </c>
      <c r="B2025" t="n">
        <v>514360</v>
      </c>
      <c r="C2025" t="inlineStr">
        <is>
          <t>Aarvi Encon Ltd</t>
        </is>
      </c>
      <c r="D2025" t="n">
        <v>2024</v>
      </c>
      <c r="E2025" t="n">
        <v>24.48999977111816</v>
      </c>
      <c r="F2025" t="n">
        <v>3.04</v>
      </c>
      <c r="G2025" t="inlineStr">
        <is>
          <t>Consolidated first (v4) – needs verification for flagged rows</t>
        </is>
      </c>
      <c r="H2025" t="n">
        <v>800</v>
      </c>
      <c r="I2025" t="n">
        <v>303.5499877929688</v>
      </c>
      <c r="L2025" t="inlineStr">
        <is>
          <t>OK</t>
        </is>
      </c>
      <c r="M2025" t="n">
        <v>263.16</v>
      </c>
      <c r="N2025" t="n">
        <v>99.84999999999999</v>
      </c>
      <c r="O2025" t="n">
        <v>475.4</v>
      </c>
      <c r="P2025" t="n">
        <v>800</v>
      </c>
      <c r="Q2025" t="n">
        <v>303.55</v>
      </c>
      <c r="R2025" s="3" t="inlineStr">
        <is>
          <t>MISMATCH_NEEDS_CORRECTION</t>
        </is>
      </c>
      <c r="S2025" t="n">
        <v>475.4</v>
      </c>
      <c r="T2025" t="inlineStr">
        <is>
          <t>30-07-2026 09:42 IST</t>
        </is>
      </c>
    </row>
    <row r="2026">
      <c r="A2026" t="n">
        <v>286</v>
      </c>
      <c r="B2026" t="n">
        <v>514360</v>
      </c>
      <c r="C2026" t="inlineStr">
        <is>
          <t>Aarvi Encon Ltd</t>
        </is>
      </c>
      <c r="D2026" t="n">
        <v>2025</v>
      </c>
      <c r="E2026" t="n">
        <v>24.48999977111816</v>
      </c>
      <c r="F2026" t="n">
        <v>1.44</v>
      </c>
      <c r="G2026" t="inlineStr">
        <is>
          <t>Consolidated first (v4) – needs verification for flagged rows</t>
        </is>
      </c>
      <c r="H2026" t="n">
        <v>362.8999938964844</v>
      </c>
      <c r="I2026" t="n">
        <v>29.5</v>
      </c>
      <c r="L2026" t="inlineStr">
        <is>
          <t>OK</t>
        </is>
      </c>
      <c r="M2026" t="n">
        <v>252.01</v>
      </c>
      <c r="N2026" t="n">
        <v>20.49</v>
      </c>
      <c r="O2026" t="n">
        <v>475.4</v>
      </c>
      <c r="P2026" t="n">
        <v>800</v>
      </c>
      <c r="Q2026" t="n">
        <v>303.55</v>
      </c>
      <c r="R2026" s="3" t="inlineStr">
        <is>
          <t>MISMATCH_NEEDS_CORRECTION</t>
        </is>
      </c>
      <c r="S2026" t="n">
        <v>475.4</v>
      </c>
      <c r="T2026" t="inlineStr">
        <is>
          <t>30-07-2026 09:42 IST</t>
        </is>
      </c>
    </row>
    <row r="2027">
      <c r="A2027" t="n">
        <v>286</v>
      </c>
      <c r="B2027" t="n">
        <v>514360</v>
      </c>
      <c r="C2027" t="inlineStr">
        <is>
          <t>Aarvi Encon Ltd</t>
        </is>
      </c>
      <c r="D2027" t="n">
        <v>2026</v>
      </c>
      <c r="E2027" t="n">
        <v>24.48999977111816</v>
      </c>
      <c r="G2027" t="inlineStr">
        <is>
          <t>Consolidated first (v4) – needs verification for flagged rows</t>
        </is>
      </c>
      <c r="H2027" t="n">
        <v>42.2599983215332</v>
      </c>
      <c r="I2027" t="n">
        <v>19.92000007629395</v>
      </c>
      <c r="L2027" t="inlineStr">
        <is>
          <t>INCOMPLETE</t>
        </is>
      </c>
      <c r="O2027" t="n">
        <v>475.4</v>
      </c>
      <c r="P2027" t="n">
        <v>800</v>
      </c>
      <c r="Q2027" t="n">
        <v>303.55</v>
      </c>
      <c r="R2027" s="3" t="inlineStr">
        <is>
          <t>MISMATCH_NEEDS_CORRECTION</t>
        </is>
      </c>
      <c r="S2027" t="n">
        <v>475.4</v>
      </c>
      <c r="T2027" t="inlineStr">
        <is>
          <t>30-07-2026 09:42 IST</t>
        </is>
      </c>
    </row>
    <row r="2028">
      <c r="A2028" t="n">
        <v>287</v>
      </c>
      <c r="B2028" t="n">
        <v>514378</v>
      </c>
      <c r="C2028" t="inlineStr">
        <is>
          <t>Yarn Syndicate Ltd</t>
        </is>
      </c>
      <c r="D2028" t="n">
        <v>2015</v>
      </c>
      <c r="E2028" t="n">
        <v>14.93000030517578</v>
      </c>
      <c r="G2028" t="inlineStr">
        <is>
          <t>Consolidated first (v4) – needs verification for flagged rows</t>
        </is>
      </c>
      <c r="H2028" t="n">
        <v>6.527640819549561</v>
      </c>
      <c r="I2028" t="n">
        <v>1.834692001342773</v>
      </c>
      <c r="L2028" t="inlineStr">
        <is>
          <t>INCOMPLETE</t>
        </is>
      </c>
      <c r="O2028" t="n">
        <v>51.94</v>
      </c>
      <c r="P2028" t="n">
        <v>61</v>
      </c>
      <c r="Q2028" t="n">
        <v>22.6</v>
      </c>
      <c r="R2028" s="3" t="inlineStr">
        <is>
          <t>MISMATCH_NEEDS_CORRECTION</t>
        </is>
      </c>
      <c r="S2028" t="n">
        <v>51.94</v>
      </c>
      <c r="T2028" t="inlineStr">
        <is>
          <t>30-07-2026 09:42 IST</t>
        </is>
      </c>
    </row>
    <row r="2029">
      <c r="A2029" t="n">
        <v>287</v>
      </c>
      <c r="B2029" t="n">
        <v>514378</v>
      </c>
      <c r="C2029" t="inlineStr">
        <is>
          <t>Yarn Syndicate Ltd</t>
        </is>
      </c>
      <c r="D2029" t="n">
        <v>2016</v>
      </c>
      <c r="E2029" t="n">
        <v>14.93000030517578</v>
      </c>
      <c r="G2029" t="inlineStr">
        <is>
          <t>Consolidated first (v4) – needs verification for flagged rows</t>
        </is>
      </c>
      <c r="H2029" t="n">
        <v>6.624204158782959</v>
      </c>
      <c r="I2029" t="n">
        <v>4.94401216506958</v>
      </c>
      <c r="L2029" t="inlineStr">
        <is>
          <t>INCOMPLETE</t>
        </is>
      </c>
      <c r="O2029" t="n">
        <v>51.94</v>
      </c>
      <c r="P2029" t="n">
        <v>61</v>
      </c>
      <c r="Q2029" t="n">
        <v>22.6</v>
      </c>
      <c r="R2029" s="3" t="inlineStr">
        <is>
          <t>MISMATCH_NEEDS_CORRECTION</t>
        </is>
      </c>
      <c r="S2029" t="n">
        <v>51.94</v>
      </c>
      <c r="T2029" t="inlineStr">
        <is>
          <t>30-07-2026 09:42 IST</t>
        </is>
      </c>
    </row>
    <row r="2030">
      <c r="A2030" t="n">
        <v>287</v>
      </c>
      <c r="B2030" t="n">
        <v>514378</v>
      </c>
      <c r="C2030" t="inlineStr">
        <is>
          <t>Yarn Syndicate Ltd</t>
        </is>
      </c>
      <c r="D2030" t="n">
        <v>2017</v>
      </c>
      <c r="E2030" t="n">
        <v>14.93000030517578</v>
      </c>
      <c r="G2030" t="inlineStr">
        <is>
          <t>Consolidated first (v4) – needs verification for flagged rows</t>
        </is>
      </c>
      <c r="H2030" t="n">
        <v>6.855954170227051</v>
      </c>
      <c r="I2030" t="n">
        <v>4.094260215759277</v>
      </c>
      <c r="L2030" t="inlineStr">
        <is>
          <t>INCOMPLETE</t>
        </is>
      </c>
      <c r="O2030" t="n">
        <v>51.94</v>
      </c>
      <c r="P2030" t="n">
        <v>61</v>
      </c>
      <c r="Q2030" t="n">
        <v>22.6</v>
      </c>
      <c r="R2030" s="3" t="inlineStr">
        <is>
          <t>MISMATCH_NEEDS_CORRECTION</t>
        </is>
      </c>
      <c r="S2030" t="n">
        <v>51.94</v>
      </c>
      <c r="T2030" t="inlineStr">
        <is>
          <t>30-07-2026 09:42 IST</t>
        </is>
      </c>
    </row>
    <row r="2031">
      <c r="A2031" t="n">
        <v>287</v>
      </c>
      <c r="B2031" t="n">
        <v>514378</v>
      </c>
      <c r="C2031" t="inlineStr">
        <is>
          <t>Yarn Syndicate Ltd</t>
        </is>
      </c>
      <c r="D2031" t="n">
        <v>2018</v>
      </c>
      <c r="E2031" t="n">
        <v>14.93000030517578</v>
      </c>
      <c r="G2031" t="inlineStr">
        <is>
          <t>Consolidated first (v4) – needs verification for flagged rows</t>
        </is>
      </c>
      <c r="H2031" t="n">
        <v>5.021262168884277</v>
      </c>
      <c r="I2031" t="n">
        <v>3.881822109222412</v>
      </c>
      <c r="L2031" t="inlineStr">
        <is>
          <t>INCOMPLETE</t>
        </is>
      </c>
      <c r="O2031" t="n">
        <v>51.94</v>
      </c>
      <c r="P2031" t="n">
        <v>61</v>
      </c>
      <c r="Q2031" t="n">
        <v>22.6</v>
      </c>
      <c r="R2031" s="3" t="inlineStr">
        <is>
          <t>MISMATCH_NEEDS_CORRECTION</t>
        </is>
      </c>
      <c r="S2031" t="n">
        <v>51.94</v>
      </c>
      <c r="T2031" t="inlineStr">
        <is>
          <t>30-07-2026 09:42 IST</t>
        </is>
      </c>
    </row>
    <row r="2032">
      <c r="A2032" t="n">
        <v>287</v>
      </c>
      <c r="B2032" t="n">
        <v>514378</v>
      </c>
      <c r="C2032" t="inlineStr">
        <is>
          <t>Yarn Syndicate Ltd</t>
        </is>
      </c>
      <c r="D2032" t="n">
        <v>2019</v>
      </c>
      <c r="E2032" t="n">
        <v>14.93000030517578</v>
      </c>
      <c r="G2032" t="inlineStr">
        <is>
          <t>Consolidated first (v4) – needs verification for flagged rows</t>
        </is>
      </c>
      <c r="H2032" t="n">
        <v>4.132884979248047</v>
      </c>
      <c r="I2032" t="n">
        <v>2.993443965911865</v>
      </c>
      <c r="L2032" t="inlineStr">
        <is>
          <t>INCOMPLETE</t>
        </is>
      </c>
      <c r="O2032" t="n">
        <v>51.94</v>
      </c>
      <c r="P2032" t="n">
        <v>61</v>
      </c>
      <c r="Q2032" t="n">
        <v>22.6</v>
      </c>
      <c r="R2032" s="3" t="inlineStr">
        <is>
          <t>MISMATCH_NEEDS_CORRECTION</t>
        </is>
      </c>
      <c r="S2032" t="n">
        <v>51.94</v>
      </c>
      <c r="T2032" t="inlineStr">
        <is>
          <t>30-07-2026 09:42 IST</t>
        </is>
      </c>
    </row>
    <row r="2033">
      <c r="A2033" t="n">
        <v>287</v>
      </c>
      <c r="B2033" t="n">
        <v>514378</v>
      </c>
      <c r="C2033" t="inlineStr">
        <is>
          <t>Yarn Syndicate Ltd</t>
        </is>
      </c>
      <c r="D2033" t="n">
        <v>2020</v>
      </c>
      <c r="E2033" t="n">
        <v>14.93000030517578</v>
      </c>
      <c r="G2033" t="inlineStr">
        <is>
          <t>Consolidated first (v4) – needs verification for flagged rows</t>
        </is>
      </c>
      <c r="H2033" t="n">
        <v>2.993443965911865</v>
      </c>
      <c r="I2033" t="n">
        <v>2.365787029266357</v>
      </c>
      <c r="L2033" t="inlineStr">
        <is>
          <t>INCOMPLETE</t>
        </is>
      </c>
      <c r="O2033" t="n">
        <v>51.94</v>
      </c>
      <c r="P2033" t="n">
        <v>61</v>
      </c>
      <c r="Q2033" t="n">
        <v>22.6</v>
      </c>
      <c r="R2033" s="3" t="inlineStr">
        <is>
          <t>MISMATCH_NEEDS_CORRECTION</t>
        </is>
      </c>
      <c r="S2033" t="n">
        <v>51.94</v>
      </c>
      <c r="T2033" t="inlineStr">
        <is>
          <t>30-07-2026 09:42 IST</t>
        </is>
      </c>
    </row>
    <row r="2034">
      <c r="A2034" t="n">
        <v>287</v>
      </c>
      <c r="B2034" t="n">
        <v>514378</v>
      </c>
      <c r="C2034" t="inlineStr">
        <is>
          <t>Yarn Syndicate Ltd</t>
        </is>
      </c>
      <c r="D2034" t="n">
        <v>2021</v>
      </c>
      <c r="E2034" t="n">
        <v>14.93000030517578</v>
      </c>
      <c r="G2034" t="inlineStr">
        <is>
          <t>Consolidated first (v4) – needs verification for flagged rows</t>
        </is>
      </c>
      <c r="H2034" t="n">
        <v>6.382796764373779</v>
      </c>
      <c r="I2034" t="n">
        <v>1.660879015922546</v>
      </c>
      <c r="L2034" t="inlineStr">
        <is>
          <t>INCOMPLETE</t>
        </is>
      </c>
      <c r="O2034" t="n">
        <v>51.94</v>
      </c>
      <c r="P2034" t="n">
        <v>61</v>
      </c>
      <c r="Q2034" t="n">
        <v>22.6</v>
      </c>
      <c r="R2034" s="3" t="inlineStr">
        <is>
          <t>MISMATCH_NEEDS_CORRECTION</t>
        </is>
      </c>
      <c r="S2034" t="n">
        <v>51.94</v>
      </c>
      <c r="T2034" t="inlineStr">
        <is>
          <t>30-07-2026 09:42 IST</t>
        </is>
      </c>
    </row>
    <row r="2035">
      <c r="A2035" t="n">
        <v>287</v>
      </c>
      <c r="B2035" t="n">
        <v>514378</v>
      </c>
      <c r="C2035" t="inlineStr">
        <is>
          <t>Yarn Syndicate Ltd</t>
        </is>
      </c>
      <c r="D2035" t="n">
        <v>2022</v>
      </c>
      <c r="E2035" t="n">
        <v>14.93000030517578</v>
      </c>
      <c r="G2035" t="inlineStr">
        <is>
          <t>Consolidated first (v4) – needs verification for flagged rows</t>
        </is>
      </c>
      <c r="H2035" t="n">
        <v>40.74947738647461</v>
      </c>
      <c r="I2035" t="n">
        <v>4.181166172027588</v>
      </c>
      <c r="L2035" t="inlineStr">
        <is>
          <t>INCOMPLETE</t>
        </is>
      </c>
      <c r="O2035" t="n">
        <v>51.94</v>
      </c>
      <c r="P2035" t="n">
        <v>61</v>
      </c>
      <c r="Q2035" t="n">
        <v>22.6</v>
      </c>
      <c r="R2035" s="3" t="inlineStr">
        <is>
          <t>MISMATCH_NEEDS_CORRECTION</t>
        </is>
      </c>
      <c r="S2035" t="n">
        <v>51.94</v>
      </c>
      <c r="T2035" t="inlineStr">
        <is>
          <t>30-07-2026 09:42 IST</t>
        </is>
      </c>
    </row>
    <row r="2036">
      <c r="A2036" t="n">
        <v>287</v>
      </c>
      <c r="B2036" t="n">
        <v>514378</v>
      </c>
      <c r="C2036" t="inlineStr">
        <is>
          <t>Yarn Syndicate Ltd</t>
        </is>
      </c>
      <c r="D2036" t="n">
        <v>2023</v>
      </c>
      <c r="E2036" t="n">
        <v>14.93000030517578</v>
      </c>
      <c r="F2036" t="n">
        <v>-0.07000000000000001</v>
      </c>
      <c r="G2036" t="inlineStr">
        <is>
          <t>Consolidated first (v4) – needs verification for flagged rows</t>
        </is>
      </c>
      <c r="H2036" t="n">
        <v>46.35011672973633</v>
      </c>
      <c r="I2036" t="n">
        <v>20.06573677062988</v>
      </c>
      <c r="L2036" t="inlineStr">
        <is>
          <t>UNVERIFIED – negative EPS</t>
        </is>
      </c>
      <c r="M2036" t="n">
        <v>-662.14</v>
      </c>
      <c r="N2036" t="n">
        <v>-286.65</v>
      </c>
      <c r="O2036" t="n">
        <v>51.94</v>
      </c>
      <c r="P2036" t="n">
        <v>61</v>
      </c>
      <c r="Q2036" t="n">
        <v>22.6</v>
      </c>
      <c r="R2036" s="3" t="inlineStr">
        <is>
          <t>MISMATCH_NEEDS_CORRECTION</t>
        </is>
      </c>
      <c r="S2036" t="n">
        <v>51.94</v>
      </c>
      <c r="T2036" t="inlineStr">
        <is>
          <t>30-07-2026 09:42 IST</t>
        </is>
      </c>
    </row>
    <row r="2037">
      <c r="A2037" t="n">
        <v>287</v>
      </c>
      <c r="B2037" t="n">
        <v>514378</v>
      </c>
      <c r="C2037" t="inlineStr">
        <is>
          <t>Yarn Syndicate Ltd</t>
        </is>
      </c>
      <c r="D2037" t="n">
        <v>2024</v>
      </c>
      <c r="E2037" t="n">
        <v>14.93000030517578</v>
      </c>
      <c r="F2037" t="n">
        <v>0.34</v>
      </c>
      <c r="G2037" t="inlineStr">
        <is>
          <t>Consolidated first (v4) – needs verification for flagged rows</t>
        </is>
      </c>
      <c r="H2037" t="n">
        <v>61</v>
      </c>
      <c r="I2037" t="n">
        <v>22.60000038146973</v>
      </c>
      <c r="L2037" t="inlineStr">
        <is>
          <t>UNVERIFIED – tiny EPS &lt;0.5</t>
        </is>
      </c>
      <c r="M2037" t="n">
        <v>179.41</v>
      </c>
      <c r="N2037" t="n">
        <v>66.47</v>
      </c>
      <c r="O2037" t="n">
        <v>51.94</v>
      </c>
      <c r="P2037" t="n">
        <v>61</v>
      </c>
      <c r="Q2037" t="n">
        <v>22.6</v>
      </c>
      <c r="R2037" s="3" t="inlineStr">
        <is>
          <t>MISMATCH_NEEDS_CORRECTION</t>
        </is>
      </c>
      <c r="S2037" t="n">
        <v>51.94</v>
      </c>
      <c r="T2037" t="inlineStr">
        <is>
          <t>30-07-2026 09:42 IST</t>
        </is>
      </c>
    </row>
    <row r="2038">
      <c r="A2038" t="n">
        <v>287</v>
      </c>
      <c r="B2038" t="n">
        <v>514378</v>
      </c>
      <c r="C2038" t="inlineStr">
        <is>
          <t>Yarn Syndicate Ltd</t>
        </is>
      </c>
      <c r="D2038" t="n">
        <v>2025</v>
      </c>
      <c r="E2038" t="n">
        <v>14.93000030517578</v>
      </c>
      <c r="F2038" t="n">
        <v>-0.51</v>
      </c>
      <c r="G2038" t="inlineStr">
        <is>
          <t>Consolidated first (v4) – needs verification for flagged rows</t>
        </is>
      </c>
      <c r="H2038" t="n">
        <v>44.79999923706055</v>
      </c>
      <c r="I2038" t="n">
        <v>13</v>
      </c>
      <c r="L2038" t="inlineStr">
        <is>
          <t>UNVERIFIED – negative EPS</t>
        </is>
      </c>
      <c r="M2038" t="n">
        <v>-87.84</v>
      </c>
      <c r="N2038" t="n">
        <v>-25.49</v>
      </c>
      <c r="O2038" t="n">
        <v>51.94</v>
      </c>
      <c r="P2038" t="n">
        <v>61</v>
      </c>
      <c r="Q2038" t="n">
        <v>22.6</v>
      </c>
      <c r="R2038" s="3" t="inlineStr">
        <is>
          <t>MISMATCH_NEEDS_CORRECTION</t>
        </is>
      </c>
      <c r="S2038" t="n">
        <v>51.94</v>
      </c>
      <c r="T2038" t="inlineStr">
        <is>
          <t>30-07-2026 09:42 IST</t>
        </is>
      </c>
    </row>
    <row r="2039">
      <c r="A2039" t="n">
        <v>287</v>
      </c>
      <c r="B2039" t="n">
        <v>514378</v>
      </c>
      <c r="C2039" t="inlineStr">
        <is>
          <t>Yarn Syndicate Ltd</t>
        </is>
      </c>
      <c r="D2039" t="n">
        <v>2026</v>
      </c>
      <c r="E2039" t="n">
        <v>14.93000030517578</v>
      </c>
      <c r="F2039" t="n">
        <v>-0.24</v>
      </c>
      <c r="G2039" t="inlineStr">
        <is>
          <t>Consolidated first (v4) – needs verification for flagged rows</t>
        </is>
      </c>
      <c r="H2039" t="n">
        <v>18.79999923706055</v>
      </c>
      <c r="I2039" t="n">
        <v>11.22999954223633</v>
      </c>
      <c r="L2039" t="inlineStr">
        <is>
          <t>UNVERIFIED – negative EPS</t>
        </is>
      </c>
      <c r="M2039" t="n">
        <v>-78.33</v>
      </c>
      <c r="N2039" t="n">
        <v>-46.79</v>
      </c>
      <c r="O2039" t="n">
        <v>51.94</v>
      </c>
      <c r="P2039" t="n">
        <v>61</v>
      </c>
      <c r="Q2039" t="n">
        <v>22.6</v>
      </c>
      <c r="R2039" s="3" t="inlineStr">
        <is>
          <t>MISMATCH_NEEDS_CORRECTION</t>
        </is>
      </c>
      <c r="S2039" t="n">
        <v>51.94</v>
      </c>
      <c r="T2039" t="inlineStr">
        <is>
          <t>30-07-2026 09:42 IST</t>
        </is>
      </c>
    </row>
    <row r="2040">
      <c r="A2040" t="n">
        <v>288</v>
      </c>
      <c r="B2040" t="n">
        <v>514400</v>
      </c>
      <c r="C2040" t="inlineStr">
        <is>
          <t>Garware Technical Fibres Ltd</t>
        </is>
      </c>
      <c r="D2040" t="n">
        <v>2015</v>
      </c>
      <c r="E2040" t="n">
        <v>18.5</v>
      </c>
      <c r="F2040" t="n">
        <v>1.05</v>
      </c>
      <c r="G2040" t="inlineStr">
        <is>
          <t>Consolidated first (v4) – needs verification for flagged rows</t>
        </is>
      </c>
      <c r="H2040" t="n">
        <v>42.90000152587891</v>
      </c>
      <c r="I2040" t="n">
        <v>16.29999923706055</v>
      </c>
      <c r="L2040" t="inlineStr">
        <is>
          <t>OK</t>
        </is>
      </c>
      <c r="M2040" t="n">
        <v>40.86</v>
      </c>
      <c r="N2040" t="n">
        <v>15.52</v>
      </c>
      <c r="O2040" t="n">
        <v>20.34</v>
      </c>
      <c r="P2040" t="n">
        <v>40.03</v>
      </c>
      <c r="Q2040" t="n">
        <v>13.4</v>
      </c>
      <c r="R2040" s="3" t="inlineStr">
        <is>
          <t>MISMATCH_NEEDS_CORRECTION</t>
        </is>
      </c>
      <c r="S2040" t="n">
        <v>20.34</v>
      </c>
      <c r="T2040" t="inlineStr">
        <is>
          <t>30-07-2026 09:42 IST</t>
        </is>
      </c>
    </row>
    <row r="2041">
      <c r="A2041" t="n">
        <v>288</v>
      </c>
      <c r="B2041" t="n">
        <v>514400</v>
      </c>
      <c r="C2041" t="inlineStr">
        <is>
          <t>Garware Technical Fibres Ltd</t>
        </is>
      </c>
      <c r="D2041" t="n">
        <v>2016</v>
      </c>
      <c r="E2041" t="n">
        <v>18.5</v>
      </c>
      <c r="F2041" t="n">
        <v>0.29</v>
      </c>
      <c r="G2041" t="inlineStr">
        <is>
          <t>Consolidated first (v4) – needs verification for flagged rows</t>
        </is>
      </c>
      <c r="H2041" t="n">
        <v>23.60000038146973</v>
      </c>
      <c r="I2041" t="n">
        <v>6.019999980926514</v>
      </c>
      <c r="L2041" t="inlineStr">
        <is>
          <t>UNVERIFIED – tiny EPS &lt;0.5</t>
        </is>
      </c>
      <c r="M2041" t="n">
        <v>81.38</v>
      </c>
      <c r="N2041" t="n">
        <v>20.76</v>
      </c>
      <c r="O2041" t="n">
        <v>20.34</v>
      </c>
      <c r="P2041" t="n">
        <v>40.03</v>
      </c>
      <c r="Q2041" t="n">
        <v>13.4</v>
      </c>
      <c r="R2041" s="3" t="inlineStr">
        <is>
          <t>MISMATCH_NEEDS_CORRECTION</t>
        </is>
      </c>
      <c r="S2041" t="n">
        <v>20.34</v>
      </c>
      <c r="T2041" t="inlineStr">
        <is>
          <t>30-07-2026 09:42 IST</t>
        </is>
      </c>
    </row>
    <row r="2042">
      <c r="A2042" t="n">
        <v>288</v>
      </c>
      <c r="B2042" t="n">
        <v>514400</v>
      </c>
      <c r="C2042" t="inlineStr">
        <is>
          <t>Garware Technical Fibres Ltd</t>
        </is>
      </c>
      <c r="D2042" t="n">
        <v>2017</v>
      </c>
      <c r="E2042" t="n">
        <v>18.5</v>
      </c>
      <c r="F2042" t="n">
        <v>0.8100000000000001</v>
      </c>
      <c r="G2042" t="inlineStr">
        <is>
          <t>Consolidated first (v4) – needs verification for flagged rows</t>
        </is>
      </c>
      <c r="H2042" t="n">
        <v>10</v>
      </c>
      <c r="I2042" t="n">
        <v>6.010000228881836</v>
      </c>
      <c r="L2042" t="inlineStr">
        <is>
          <t>OK</t>
        </is>
      </c>
      <c r="M2042" t="n">
        <v>12.35</v>
      </c>
      <c r="N2042" t="n">
        <v>7.42</v>
      </c>
      <c r="O2042" t="n">
        <v>20.34</v>
      </c>
      <c r="P2042" t="n">
        <v>40.03</v>
      </c>
      <c r="Q2042" t="n">
        <v>13.4</v>
      </c>
      <c r="R2042" s="3" t="inlineStr">
        <is>
          <t>MISMATCH_NEEDS_CORRECTION</t>
        </is>
      </c>
      <c r="S2042" t="n">
        <v>20.34</v>
      </c>
      <c r="T2042" t="inlineStr">
        <is>
          <t>30-07-2026 09:42 IST</t>
        </is>
      </c>
    </row>
    <row r="2043">
      <c r="A2043" t="n">
        <v>288</v>
      </c>
      <c r="B2043" t="n">
        <v>514400</v>
      </c>
      <c r="C2043" t="inlineStr">
        <is>
          <t>Garware Technical Fibres Ltd</t>
        </is>
      </c>
      <c r="D2043" t="n">
        <v>2018</v>
      </c>
      <c r="E2043" t="n">
        <v>18.5</v>
      </c>
      <c r="F2043" t="n">
        <v>0.59</v>
      </c>
      <c r="G2043" t="inlineStr">
        <is>
          <t>Consolidated first (v4) – needs verification for flagged rows</t>
        </is>
      </c>
      <c r="H2043" t="n">
        <v>12.30000019073486</v>
      </c>
      <c r="I2043" t="n">
        <v>2.880000114440918</v>
      </c>
      <c r="L2043" t="inlineStr">
        <is>
          <t>OK</t>
        </is>
      </c>
      <c r="M2043" t="n">
        <v>20.85</v>
      </c>
      <c r="N2043" t="n">
        <v>4.88</v>
      </c>
      <c r="O2043" t="n">
        <v>20.34</v>
      </c>
      <c r="P2043" t="n">
        <v>40.03</v>
      </c>
      <c r="Q2043" t="n">
        <v>13.4</v>
      </c>
      <c r="R2043" s="3" t="inlineStr">
        <is>
          <t>MISMATCH_NEEDS_CORRECTION</t>
        </is>
      </c>
      <c r="S2043" t="n">
        <v>20.34</v>
      </c>
      <c r="T2043" t="inlineStr">
        <is>
          <t>30-07-2026 09:42 IST</t>
        </is>
      </c>
    </row>
    <row r="2044">
      <c r="A2044" t="n">
        <v>288</v>
      </c>
      <c r="B2044" t="n">
        <v>514400</v>
      </c>
      <c r="C2044" t="inlineStr">
        <is>
          <t>Garware Technical Fibres Ltd</t>
        </is>
      </c>
      <c r="D2044" t="n">
        <v>2019</v>
      </c>
      <c r="E2044" t="n">
        <v>18.5</v>
      </c>
      <c r="F2044" t="n">
        <v>-2.36</v>
      </c>
      <c r="G2044" t="inlineStr">
        <is>
          <t>Consolidated first (v4) – needs verification for flagged rows</t>
        </is>
      </c>
      <c r="H2044" t="n">
        <v>4.5</v>
      </c>
      <c r="I2044" t="n">
        <v>1.779999971389771</v>
      </c>
      <c r="L2044" t="inlineStr">
        <is>
          <t>UNVERIFIED – negative EPS</t>
        </is>
      </c>
      <c r="M2044" t="n">
        <v>-1.91</v>
      </c>
      <c r="N2044" t="n">
        <v>-0.75</v>
      </c>
      <c r="O2044" t="n">
        <v>20.34</v>
      </c>
      <c r="P2044" t="n">
        <v>40.03</v>
      </c>
      <c r="Q2044" t="n">
        <v>13.4</v>
      </c>
      <c r="R2044" s="3" t="inlineStr">
        <is>
          <t>MISMATCH_NEEDS_CORRECTION</t>
        </is>
      </c>
      <c r="S2044" t="n">
        <v>20.34</v>
      </c>
      <c r="T2044" t="inlineStr">
        <is>
          <t>30-07-2026 09:42 IST</t>
        </is>
      </c>
    </row>
    <row r="2045">
      <c r="A2045" t="n">
        <v>288</v>
      </c>
      <c r="B2045" t="n">
        <v>514400</v>
      </c>
      <c r="C2045" t="inlineStr">
        <is>
          <t>Garware Technical Fibres Ltd</t>
        </is>
      </c>
      <c r="D2045" t="n">
        <v>2020</v>
      </c>
      <c r="E2045" t="n">
        <v>18.5</v>
      </c>
      <c r="F2045" t="n">
        <v>0.19</v>
      </c>
      <c r="G2045" t="inlineStr">
        <is>
          <t>Consolidated first (v4) – needs verification for flagged rows</t>
        </is>
      </c>
      <c r="H2045" t="n">
        <v>3.990000009536743</v>
      </c>
      <c r="L2045" t="inlineStr">
        <is>
          <t>UNVERIFIED – tiny EPS &lt;0.5</t>
        </is>
      </c>
      <c r="M2045" t="n">
        <v>21</v>
      </c>
      <c r="O2045" t="n">
        <v>20.34</v>
      </c>
      <c r="P2045" t="n">
        <v>40.03</v>
      </c>
      <c r="Q2045" t="n">
        <v>13.4</v>
      </c>
      <c r="R2045" s="3" t="inlineStr">
        <is>
          <t>MISMATCH_NEEDS_CORRECTION</t>
        </is>
      </c>
      <c r="S2045" t="n">
        <v>20.34</v>
      </c>
      <c r="T2045" t="inlineStr">
        <is>
          <t>30-07-2026 09:42 IST</t>
        </is>
      </c>
    </row>
    <row r="2046">
      <c r="A2046" t="n">
        <v>288</v>
      </c>
      <c r="B2046" t="n">
        <v>514400</v>
      </c>
      <c r="C2046" t="inlineStr">
        <is>
          <t>Garware Technical Fibres Ltd</t>
        </is>
      </c>
      <c r="D2046" t="n">
        <v>2021</v>
      </c>
      <c r="E2046" t="n">
        <v>18.5</v>
      </c>
      <c r="F2046" t="n">
        <v>1</v>
      </c>
      <c r="G2046" t="inlineStr">
        <is>
          <t>Consolidated first (v4) – needs verification for flagged rows</t>
        </is>
      </c>
      <c r="H2046" t="n">
        <v>22.79999923706055</v>
      </c>
      <c r="I2046" t="n">
        <v>3.549999952316284</v>
      </c>
      <c r="L2046" t="inlineStr">
        <is>
          <t>OK</t>
        </is>
      </c>
      <c r="M2046" t="n">
        <v>22.8</v>
      </c>
      <c r="N2046" t="n">
        <v>3.55</v>
      </c>
      <c r="O2046" t="n">
        <v>20.34</v>
      </c>
      <c r="P2046" t="n">
        <v>40.03</v>
      </c>
      <c r="Q2046" t="n">
        <v>13.4</v>
      </c>
      <c r="R2046" s="3" t="inlineStr">
        <is>
          <t>MISMATCH_NEEDS_CORRECTION</t>
        </is>
      </c>
      <c r="S2046" t="n">
        <v>20.34</v>
      </c>
      <c r="T2046" t="inlineStr">
        <is>
          <t>30-07-2026 09:42 IST</t>
        </is>
      </c>
    </row>
    <row r="2047">
      <c r="A2047" t="n">
        <v>288</v>
      </c>
      <c r="B2047" t="n">
        <v>514400</v>
      </c>
      <c r="C2047" t="inlineStr">
        <is>
          <t>Garware Technical Fibres Ltd</t>
        </is>
      </c>
      <c r="D2047" t="n">
        <v>2022</v>
      </c>
      <c r="E2047" t="n">
        <v>18.5</v>
      </c>
      <c r="F2047" t="n">
        <v>0.4</v>
      </c>
      <c r="G2047" t="inlineStr">
        <is>
          <t>Consolidated first (v4) – needs verification for flagged rows</t>
        </is>
      </c>
      <c r="H2047" t="n">
        <v>17.98999977111816</v>
      </c>
      <c r="I2047" t="n">
        <v>9.5</v>
      </c>
      <c r="L2047" t="inlineStr">
        <is>
          <t>UNVERIFIED – tiny EPS &lt;0.5</t>
        </is>
      </c>
      <c r="M2047" t="n">
        <v>44.97</v>
      </c>
      <c r="N2047" t="n">
        <v>23.75</v>
      </c>
      <c r="O2047" t="n">
        <v>20.34</v>
      </c>
      <c r="P2047" t="n">
        <v>40.03</v>
      </c>
      <c r="Q2047" t="n">
        <v>13.4</v>
      </c>
      <c r="R2047" s="3" t="inlineStr">
        <is>
          <t>MISMATCH_NEEDS_CORRECTION</t>
        </is>
      </c>
      <c r="S2047" t="n">
        <v>20.34</v>
      </c>
      <c r="T2047" t="inlineStr">
        <is>
          <t>30-07-2026 09:42 IST</t>
        </is>
      </c>
    </row>
    <row r="2048">
      <c r="A2048" t="n">
        <v>288</v>
      </c>
      <c r="B2048" t="n">
        <v>514400</v>
      </c>
      <c r="C2048" t="inlineStr">
        <is>
          <t>Garware Technical Fibres Ltd</t>
        </is>
      </c>
      <c r="D2048" t="n">
        <v>2023</v>
      </c>
      <c r="E2048" t="n">
        <v>18.5</v>
      </c>
      <c r="F2048" t="n">
        <v>1</v>
      </c>
      <c r="G2048" t="inlineStr">
        <is>
          <t>Consolidated first (v4) – needs verification for flagged rows</t>
        </is>
      </c>
      <c r="H2048" t="n">
        <v>20.98999977111816</v>
      </c>
      <c r="I2048" t="n">
        <v>6.949999809265137</v>
      </c>
      <c r="L2048" t="inlineStr">
        <is>
          <t>OK</t>
        </is>
      </c>
      <c r="M2048" t="n">
        <v>20.99</v>
      </c>
      <c r="N2048" t="n">
        <v>6.95</v>
      </c>
      <c r="O2048" t="n">
        <v>20.34</v>
      </c>
      <c r="P2048" t="n">
        <v>40.03</v>
      </c>
      <c r="Q2048" t="n">
        <v>13.4</v>
      </c>
      <c r="R2048" s="3" t="inlineStr">
        <is>
          <t>MISMATCH_NEEDS_CORRECTION</t>
        </is>
      </c>
      <c r="S2048" t="n">
        <v>20.34</v>
      </c>
      <c r="T2048" t="inlineStr">
        <is>
          <t>30-07-2026 09:42 IST</t>
        </is>
      </c>
    </row>
    <row r="2049">
      <c r="A2049" t="n">
        <v>288</v>
      </c>
      <c r="B2049" t="n">
        <v>514400</v>
      </c>
      <c r="C2049" t="inlineStr">
        <is>
          <t>Garware Technical Fibres Ltd</t>
        </is>
      </c>
      <c r="D2049" t="n">
        <v>2024</v>
      </c>
      <c r="E2049" t="n">
        <v>18.5</v>
      </c>
      <c r="F2049" t="n">
        <v>-0.09</v>
      </c>
      <c r="G2049" t="inlineStr">
        <is>
          <t>Consolidated first (v4) – needs verification for flagged rows</t>
        </is>
      </c>
      <c r="H2049" t="n">
        <v>40.02999877929688</v>
      </c>
      <c r="I2049" t="n">
        <v>13.39999961853027</v>
      </c>
      <c r="L2049" t="inlineStr">
        <is>
          <t>UNVERIFIED – negative EPS</t>
        </is>
      </c>
      <c r="M2049" t="n">
        <v>-444.78</v>
      </c>
      <c r="N2049" t="n">
        <v>-148.89</v>
      </c>
      <c r="O2049" t="n">
        <v>20.34</v>
      </c>
      <c r="P2049" t="n">
        <v>40.03</v>
      </c>
      <c r="Q2049" t="n">
        <v>13.4</v>
      </c>
      <c r="R2049" s="3" t="inlineStr">
        <is>
          <t>MISMATCH_NEEDS_CORRECTION</t>
        </is>
      </c>
      <c r="S2049" t="n">
        <v>20.34</v>
      </c>
      <c r="T2049" t="inlineStr">
        <is>
          <t>30-07-2026 09:42 IST</t>
        </is>
      </c>
    </row>
    <row r="2050">
      <c r="A2050" t="n">
        <v>288</v>
      </c>
      <c r="B2050" t="n">
        <v>514400</v>
      </c>
      <c r="C2050" t="inlineStr">
        <is>
          <t>Garware Technical Fibres Ltd</t>
        </is>
      </c>
      <c r="D2050" t="n">
        <v>2025</v>
      </c>
      <c r="E2050" t="n">
        <v>18.5</v>
      </c>
      <c r="F2050" t="n">
        <v>0.02</v>
      </c>
      <c r="G2050" t="inlineStr">
        <is>
          <t>Consolidated first (v4) – needs verification for flagged rows</t>
        </is>
      </c>
      <c r="H2050" t="n">
        <v>39.79000091552734</v>
      </c>
      <c r="I2050" t="n">
        <v>12.69999980926514</v>
      </c>
      <c r="L2050" t="inlineStr">
        <is>
          <t>UNVERIFIED – tiny EPS &lt;0.5</t>
        </is>
      </c>
      <c r="M2050" t="n">
        <v>1989.5</v>
      </c>
      <c r="N2050" t="n">
        <v>635</v>
      </c>
      <c r="O2050" t="n">
        <v>20.34</v>
      </c>
      <c r="P2050" t="n">
        <v>40.03</v>
      </c>
      <c r="Q2050" t="n">
        <v>13.4</v>
      </c>
      <c r="R2050" s="3" t="inlineStr">
        <is>
          <t>MISMATCH_NEEDS_CORRECTION</t>
        </is>
      </c>
      <c r="S2050" t="n">
        <v>20.34</v>
      </c>
      <c r="T2050" t="inlineStr">
        <is>
          <t>30-07-2026 09:42 IST</t>
        </is>
      </c>
    </row>
    <row r="2051">
      <c r="A2051" t="n">
        <v>288</v>
      </c>
      <c r="B2051" t="n">
        <v>514400</v>
      </c>
      <c r="C2051" t="inlineStr">
        <is>
          <t>Garware Technical Fibres Ltd</t>
        </is>
      </c>
      <c r="D2051" t="n">
        <v>2026</v>
      </c>
      <c r="E2051" t="n">
        <v>18.5</v>
      </c>
      <c r="F2051" t="n">
        <v>0.62</v>
      </c>
      <c r="G2051" t="inlineStr">
        <is>
          <t>Consolidated first (v4) – needs verification for flagged rows</t>
        </is>
      </c>
      <c r="H2051" t="n">
        <v>29.39999961853027</v>
      </c>
      <c r="I2051" t="n">
        <v>11.8100004196167</v>
      </c>
      <c r="L2051" t="inlineStr">
        <is>
          <t>OK</t>
        </is>
      </c>
      <c r="M2051" t="n">
        <v>47.42</v>
      </c>
      <c r="N2051" t="n">
        <v>19.05</v>
      </c>
      <c r="O2051" t="n">
        <v>20.34</v>
      </c>
      <c r="P2051" t="n">
        <v>40.03</v>
      </c>
      <c r="Q2051" t="n">
        <v>13.4</v>
      </c>
      <c r="R2051" s="3" t="inlineStr">
        <is>
          <t>MISMATCH_NEEDS_CORRECTION</t>
        </is>
      </c>
      <c r="S2051" t="n">
        <v>20.34</v>
      </c>
      <c r="T2051" t="inlineStr">
        <is>
          <t>30-07-2026 09:42 IST</t>
        </is>
      </c>
    </row>
    <row r="2052">
      <c r="A2052" t="n">
        <v>289</v>
      </c>
      <c r="B2052" t="n">
        <v>514402</v>
      </c>
      <c r="C2052" t="inlineStr">
        <is>
          <t>Simplex Mills Company Ltd</t>
        </is>
      </c>
      <c r="D2052" t="n">
        <v>2015</v>
      </c>
      <c r="E2052" t="n">
        <v>12</v>
      </c>
      <c r="G2052" t="inlineStr">
        <is>
          <t>Consolidated first (v4) – needs verification for flagged rows</t>
        </is>
      </c>
      <c r="H2052" t="n">
        <v>9.720000267028809</v>
      </c>
      <c r="I2052" t="n">
        <v>8.779999732971191</v>
      </c>
      <c r="L2052" t="inlineStr">
        <is>
          <t>INCOMPLETE</t>
        </is>
      </c>
      <c r="O2052" t="n">
        <v>37.98</v>
      </c>
      <c r="P2052" t="n">
        <v>55.18</v>
      </c>
      <c r="Q2052" t="n">
        <v>25</v>
      </c>
      <c r="R2052" s="3" t="inlineStr">
        <is>
          <t>MISMATCH_NEEDS_CORRECTION</t>
        </is>
      </c>
      <c r="S2052" t="n">
        <v>37.98</v>
      </c>
      <c r="T2052" t="inlineStr">
        <is>
          <t>30-07-2026 09:42 IST</t>
        </is>
      </c>
    </row>
    <row r="2053">
      <c r="A2053" t="n">
        <v>289</v>
      </c>
      <c r="B2053" t="n">
        <v>514402</v>
      </c>
      <c r="C2053" t="inlineStr">
        <is>
          <t>Simplex Mills Company Ltd</t>
        </is>
      </c>
      <c r="D2053" t="n">
        <v>2016</v>
      </c>
      <c r="E2053" t="n">
        <v>12</v>
      </c>
      <c r="G2053" t="inlineStr">
        <is>
          <t>Consolidated first (v4) – needs verification for flagged rows</t>
        </is>
      </c>
      <c r="H2053" t="n">
        <v>10.35000038146973</v>
      </c>
      <c r="I2053" t="n">
        <v>9.399999618530273</v>
      </c>
      <c r="L2053" t="inlineStr">
        <is>
          <t>INCOMPLETE</t>
        </is>
      </c>
      <c r="O2053" t="n">
        <v>37.98</v>
      </c>
      <c r="P2053" t="n">
        <v>55.18</v>
      </c>
      <c r="Q2053" t="n">
        <v>25</v>
      </c>
      <c r="R2053" s="3" t="inlineStr">
        <is>
          <t>MISMATCH_NEEDS_CORRECTION</t>
        </is>
      </c>
      <c r="S2053" t="n">
        <v>37.98</v>
      </c>
      <c r="T2053" t="inlineStr">
        <is>
          <t>30-07-2026 09:42 IST</t>
        </is>
      </c>
    </row>
    <row r="2054">
      <c r="A2054" t="n">
        <v>289</v>
      </c>
      <c r="B2054" t="n">
        <v>514402</v>
      </c>
      <c r="C2054" t="inlineStr">
        <is>
          <t>Simplex Mills Company Ltd</t>
        </is>
      </c>
      <c r="D2054" t="n">
        <v>2017</v>
      </c>
      <c r="E2054" t="n">
        <v>12</v>
      </c>
      <c r="F2054" t="n">
        <v>0.25</v>
      </c>
      <c r="G2054" t="inlineStr">
        <is>
          <t>Consolidated first (v4) – needs verification for flagged rows</t>
        </is>
      </c>
      <c r="H2054" t="n">
        <v>10.69999980926514</v>
      </c>
      <c r="I2054" t="n">
        <v>10.19999980926514</v>
      </c>
      <c r="L2054" t="inlineStr">
        <is>
          <t>UNVERIFIED – tiny EPS &lt;0.5</t>
        </is>
      </c>
      <c r="M2054" t="n">
        <v>42.8</v>
      </c>
      <c r="N2054" t="n">
        <v>40.8</v>
      </c>
      <c r="O2054" t="n">
        <v>37.98</v>
      </c>
      <c r="P2054" t="n">
        <v>55.18</v>
      </c>
      <c r="Q2054" t="n">
        <v>25</v>
      </c>
      <c r="R2054" s="3" t="inlineStr">
        <is>
          <t>MISMATCH_NEEDS_CORRECTION</t>
        </is>
      </c>
      <c r="S2054" t="n">
        <v>37.98</v>
      </c>
      <c r="T2054" t="inlineStr">
        <is>
          <t>30-07-2026 09:42 IST</t>
        </is>
      </c>
    </row>
    <row r="2055">
      <c r="A2055" t="n">
        <v>289</v>
      </c>
      <c r="B2055" t="n">
        <v>514402</v>
      </c>
      <c r="C2055" t="inlineStr">
        <is>
          <t>Simplex Mills Company Ltd</t>
        </is>
      </c>
      <c r="D2055" t="n">
        <v>2018</v>
      </c>
      <c r="E2055" t="n">
        <v>12</v>
      </c>
      <c r="G2055" t="inlineStr">
        <is>
          <t>Consolidated first (v4) – needs verification for flagged rows</t>
        </is>
      </c>
      <c r="H2055" t="n">
        <v>10.69999980926514</v>
      </c>
      <c r="I2055" t="n">
        <v>10.17000007629395</v>
      </c>
      <c r="L2055" t="inlineStr">
        <is>
          <t>INCOMPLETE</t>
        </is>
      </c>
      <c r="O2055" t="n">
        <v>37.98</v>
      </c>
      <c r="P2055" t="n">
        <v>55.18</v>
      </c>
      <c r="Q2055" t="n">
        <v>25</v>
      </c>
      <c r="R2055" s="3" t="inlineStr">
        <is>
          <t>MISMATCH_NEEDS_CORRECTION</t>
        </is>
      </c>
      <c r="S2055" t="n">
        <v>37.98</v>
      </c>
      <c r="T2055" t="inlineStr">
        <is>
          <t>30-07-2026 09:42 IST</t>
        </is>
      </c>
    </row>
    <row r="2056">
      <c r="A2056" t="n">
        <v>289</v>
      </c>
      <c r="B2056" t="n">
        <v>514402</v>
      </c>
      <c r="C2056" t="inlineStr">
        <is>
          <t>Simplex Mills Company Ltd</t>
        </is>
      </c>
      <c r="D2056" t="n">
        <v>2019</v>
      </c>
      <c r="E2056" t="n">
        <v>12</v>
      </c>
      <c r="G2056" t="inlineStr">
        <is>
          <t>Consolidated first (v4) – needs verification for flagged rows</t>
        </is>
      </c>
      <c r="H2056" t="n">
        <v>11</v>
      </c>
      <c r="I2056" t="n">
        <v>10.69999980926514</v>
      </c>
      <c r="L2056" t="inlineStr">
        <is>
          <t>INCOMPLETE</t>
        </is>
      </c>
      <c r="O2056" t="n">
        <v>37.98</v>
      </c>
      <c r="P2056" t="n">
        <v>55.18</v>
      </c>
      <c r="Q2056" t="n">
        <v>25</v>
      </c>
      <c r="R2056" s="3" t="inlineStr">
        <is>
          <t>MISMATCH_NEEDS_CORRECTION</t>
        </is>
      </c>
      <c r="S2056" t="n">
        <v>37.98</v>
      </c>
      <c r="T2056" t="inlineStr">
        <is>
          <t>30-07-2026 09:42 IST</t>
        </is>
      </c>
    </row>
    <row r="2057">
      <c r="A2057" t="n">
        <v>289</v>
      </c>
      <c r="B2057" t="n">
        <v>514402</v>
      </c>
      <c r="C2057" t="inlineStr">
        <is>
          <t>Simplex Mills Company Ltd</t>
        </is>
      </c>
      <c r="D2057" t="n">
        <v>2020</v>
      </c>
      <c r="E2057" t="n">
        <v>12</v>
      </c>
      <c r="G2057" t="inlineStr">
        <is>
          <t>Consolidated first (v4) – needs verification for flagged rows</t>
        </is>
      </c>
      <c r="H2057" t="n">
        <v>12</v>
      </c>
      <c r="I2057" t="n">
        <v>10</v>
      </c>
      <c r="L2057" t="inlineStr">
        <is>
          <t>INCOMPLETE</t>
        </is>
      </c>
      <c r="O2057" t="n">
        <v>37.98</v>
      </c>
      <c r="P2057" t="n">
        <v>55.18</v>
      </c>
      <c r="Q2057" t="n">
        <v>25</v>
      </c>
      <c r="R2057" s="3" t="inlineStr">
        <is>
          <t>MISMATCH_NEEDS_CORRECTION</t>
        </is>
      </c>
      <c r="S2057" t="n">
        <v>37.98</v>
      </c>
      <c r="T2057" t="inlineStr">
        <is>
          <t>30-07-2026 09:42 IST</t>
        </is>
      </c>
    </row>
    <row r="2058">
      <c r="A2058" t="n">
        <v>289</v>
      </c>
      <c r="B2058" t="n">
        <v>514402</v>
      </c>
      <c r="C2058" t="inlineStr">
        <is>
          <t>Simplex Mills Company Ltd</t>
        </is>
      </c>
      <c r="D2058" t="n">
        <v>2021</v>
      </c>
      <c r="E2058" t="n">
        <v>12</v>
      </c>
      <c r="G2058" t="inlineStr">
        <is>
          <t>Consolidated first (v4) – needs verification for flagged rows</t>
        </is>
      </c>
      <c r="H2058" t="n">
        <v>15.75</v>
      </c>
      <c r="I2058" t="n">
        <v>6.550000190734863</v>
      </c>
      <c r="L2058" t="inlineStr">
        <is>
          <t>INCOMPLETE</t>
        </is>
      </c>
      <c r="O2058" t="n">
        <v>37.98</v>
      </c>
      <c r="P2058" t="n">
        <v>55.18</v>
      </c>
      <c r="Q2058" t="n">
        <v>25</v>
      </c>
      <c r="R2058" s="3" t="inlineStr">
        <is>
          <t>MISMATCH_NEEDS_CORRECTION</t>
        </is>
      </c>
      <c r="S2058" t="n">
        <v>37.98</v>
      </c>
      <c r="T2058" t="inlineStr">
        <is>
          <t>30-07-2026 09:42 IST</t>
        </is>
      </c>
    </row>
    <row r="2059">
      <c r="A2059" t="n">
        <v>289</v>
      </c>
      <c r="B2059" t="n">
        <v>514402</v>
      </c>
      <c r="C2059" t="inlineStr">
        <is>
          <t>Simplex Mills Company Ltd</t>
        </is>
      </c>
      <c r="D2059" t="n">
        <v>2022</v>
      </c>
      <c r="E2059" t="n">
        <v>12</v>
      </c>
      <c r="G2059" t="inlineStr">
        <is>
          <t>Consolidated first (v4) – needs verification for flagged rows</t>
        </is>
      </c>
      <c r="H2059" t="n">
        <v>45.95000076293945</v>
      </c>
      <c r="I2059" t="n">
        <v>11.52000045776367</v>
      </c>
      <c r="L2059" t="inlineStr">
        <is>
          <t>INCOMPLETE</t>
        </is>
      </c>
      <c r="O2059" t="n">
        <v>37.98</v>
      </c>
      <c r="P2059" t="n">
        <v>55.18</v>
      </c>
      <c r="Q2059" t="n">
        <v>25</v>
      </c>
      <c r="R2059" s="3" t="inlineStr">
        <is>
          <t>MISMATCH_NEEDS_CORRECTION</t>
        </is>
      </c>
      <c r="S2059" t="n">
        <v>37.98</v>
      </c>
      <c r="T2059" t="inlineStr">
        <is>
          <t>30-07-2026 09:42 IST</t>
        </is>
      </c>
    </row>
    <row r="2060">
      <c r="A2060" t="n">
        <v>289</v>
      </c>
      <c r="B2060" t="n">
        <v>514402</v>
      </c>
      <c r="C2060" t="inlineStr">
        <is>
          <t>Simplex Mills Company Ltd</t>
        </is>
      </c>
      <c r="D2060" t="n">
        <v>2023</v>
      </c>
      <c r="E2060" t="n">
        <v>12</v>
      </c>
      <c r="G2060" t="inlineStr">
        <is>
          <t>Consolidated first (v4) – needs verification for flagged rows</t>
        </is>
      </c>
      <c r="H2060" t="n">
        <v>46.43999862670898</v>
      </c>
      <c r="I2060" t="n">
        <v>15.47000026702881</v>
      </c>
      <c r="L2060" t="inlineStr">
        <is>
          <t>INCOMPLETE</t>
        </is>
      </c>
      <c r="O2060" t="n">
        <v>37.98</v>
      </c>
      <c r="P2060" t="n">
        <v>55.18</v>
      </c>
      <c r="Q2060" t="n">
        <v>25</v>
      </c>
      <c r="R2060" s="3" t="inlineStr">
        <is>
          <t>MISMATCH_NEEDS_CORRECTION</t>
        </is>
      </c>
      <c r="S2060" t="n">
        <v>37.98</v>
      </c>
      <c r="T2060" t="inlineStr">
        <is>
          <t>30-07-2026 09:42 IST</t>
        </is>
      </c>
    </row>
    <row r="2061">
      <c r="A2061" t="n">
        <v>289</v>
      </c>
      <c r="B2061" t="n">
        <v>514402</v>
      </c>
      <c r="C2061" t="inlineStr">
        <is>
          <t>Simplex Mills Company Ltd</t>
        </is>
      </c>
      <c r="D2061" t="n">
        <v>2024</v>
      </c>
      <c r="E2061" t="n">
        <v>12</v>
      </c>
      <c r="F2061" t="n">
        <v>-1.43</v>
      </c>
      <c r="G2061" t="inlineStr">
        <is>
          <t>Consolidated first (v4) – needs verification for flagged rows</t>
        </is>
      </c>
      <c r="H2061" t="n">
        <v>55.18000030517578</v>
      </c>
      <c r="I2061" t="n">
        <v>21.03000068664551</v>
      </c>
      <c r="L2061" t="inlineStr">
        <is>
          <t>UNVERIFIED – negative EPS</t>
        </is>
      </c>
      <c r="M2061" t="n">
        <v>-38.59</v>
      </c>
      <c r="N2061" t="n">
        <v>-14.71</v>
      </c>
      <c r="O2061" t="n">
        <v>37.98</v>
      </c>
      <c r="P2061" t="n">
        <v>55.18</v>
      </c>
      <c r="Q2061" t="n">
        <v>25</v>
      </c>
      <c r="R2061" s="3" t="inlineStr">
        <is>
          <t>MISMATCH_NEEDS_CORRECTION</t>
        </is>
      </c>
      <c r="S2061" t="n">
        <v>37.98</v>
      </c>
      <c r="T2061" t="inlineStr">
        <is>
          <t>30-07-2026 09:42 IST</t>
        </is>
      </c>
    </row>
    <row r="2062">
      <c r="A2062" t="n">
        <v>289</v>
      </c>
      <c r="B2062" t="n">
        <v>514402</v>
      </c>
      <c r="C2062" t="inlineStr">
        <is>
          <t>Simplex Mills Company Ltd</t>
        </is>
      </c>
      <c r="D2062" t="n">
        <v>2025</v>
      </c>
      <c r="E2062" t="n">
        <v>12</v>
      </c>
      <c r="F2062" t="n">
        <v>-0.55</v>
      </c>
      <c r="G2062" t="inlineStr">
        <is>
          <t>Consolidated first (v4) – needs verification for flagged rows</t>
        </is>
      </c>
      <c r="H2062" t="n">
        <v>30.97999954223633</v>
      </c>
      <c r="I2062" t="n">
        <v>12.05000019073486</v>
      </c>
      <c r="L2062" t="inlineStr">
        <is>
          <t>UNVERIFIED – negative EPS</t>
        </is>
      </c>
      <c r="M2062" t="n">
        <v>-56.33</v>
      </c>
      <c r="N2062" t="n">
        <v>-21.91</v>
      </c>
      <c r="O2062" t="n">
        <v>37.98</v>
      </c>
      <c r="P2062" t="n">
        <v>55.18</v>
      </c>
      <c r="Q2062" t="n">
        <v>25</v>
      </c>
      <c r="R2062" s="3" t="inlineStr">
        <is>
          <t>MISMATCH_NEEDS_CORRECTION</t>
        </is>
      </c>
      <c r="S2062" t="n">
        <v>37.98</v>
      </c>
      <c r="T2062" t="inlineStr">
        <is>
          <t>30-07-2026 09:42 IST</t>
        </is>
      </c>
    </row>
    <row r="2063">
      <c r="A2063" t="n">
        <v>289</v>
      </c>
      <c r="B2063" t="n">
        <v>514402</v>
      </c>
      <c r="C2063" t="inlineStr">
        <is>
          <t>Simplex Mills Company Ltd</t>
        </is>
      </c>
      <c r="D2063" t="n">
        <v>2026</v>
      </c>
      <c r="E2063" t="n">
        <v>12</v>
      </c>
      <c r="F2063" t="n">
        <v>-1.63</v>
      </c>
      <c r="G2063" t="inlineStr">
        <is>
          <t>Consolidated first (v4) – needs verification for flagged rows</t>
        </is>
      </c>
      <c r="H2063" t="n">
        <v>19</v>
      </c>
      <c r="I2063" t="n">
        <v>8.5</v>
      </c>
      <c r="L2063" t="inlineStr">
        <is>
          <t>UNVERIFIED – negative EPS</t>
        </is>
      </c>
      <c r="M2063" t="n">
        <v>-11.66</v>
      </c>
      <c r="N2063" t="n">
        <v>-5.21</v>
      </c>
      <c r="O2063" t="n">
        <v>37.98</v>
      </c>
      <c r="P2063" t="n">
        <v>55.18</v>
      </c>
      <c r="Q2063" t="n">
        <v>25</v>
      </c>
      <c r="R2063" s="3" t="inlineStr">
        <is>
          <t>MISMATCH_NEEDS_CORRECTION</t>
        </is>
      </c>
      <c r="S2063" t="n">
        <v>37.98</v>
      </c>
      <c r="T2063" t="inlineStr">
        <is>
          <t>30-07-2026 09:42 IST</t>
        </is>
      </c>
    </row>
    <row r="2064">
      <c r="A2064" t="n">
        <v>290</v>
      </c>
      <c r="B2064" t="n">
        <v>514412</v>
      </c>
      <c r="C2064" t="inlineStr">
        <is>
          <t>Sarup Industries Ltd</t>
        </is>
      </c>
      <c r="D2064" t="n">
        <v>2015</v>
      </c>
      <c r="E2064" t="n">
        <v>124.5999984741211</v>
      </c>
      <c r="F2064" t="n">
        <v>6.24</v>
      </c>
      <c r="G2064" t="inlineStr">
        <is>
          <t>Consolidated first (v4) – needs verification for flagged rows</t>
        </is>
      </c>
      <c r="H2064" t="n">
        <v>140</v>
      </c>
      <c r="I2064" t="n">
        <v>62.09999847412109</v>
      </c>
      <c r="L2064" t="inlineStr">
        <is>
          <t>OK</t>
        </is>
      </c>
      <c r="M2064" t="n">
        <v>22.44</v>
      </c>
      <c r="N2064" t="n">
        <v>9.949999999999999</v>
      </c>
      <c r="O2064" t="n">
        <v>47.08</v>
      </c>
      <c r="P2064" t="n">
        <v>131.67</v>
      </c>
      <c r="Q2064" t="n">
        <v>36.6</v>
      </c>
      <c r="R2064" s="3" t="inlineStr">
        <is>
          <t>MISMATCH_NEEDS_CORRECTION</t>
        </is>
      </c>
      <c r="S2064" t="n">
        <v>47.08</v>
      </c>
      <c r="T2064" t="inlineStr">
        <is>
          <t>30-07-2026 09:42 IST</t>
        </is>
      </c>
    </row>
    <row r="2065">
      <c r="A2065" t="n">
        <v>290</v>
      </c>
      <c r="B2065" t="n">
        <v>514412</v>
      </c>
      <c r="C2065" t="inlineStr">
        <is>
          <t>Sarup Industries Ltd</t>
        </is>
      </c>
      <c r="D2065" t="n">
        <v>2016</v>
      </c>
      <c r="E2065" t="n">
        <v>124.5999984741211</v>
      </c>
      <c r="F2065" t="n">
        <v>-7.26</v>
      </c>
      <c r="G2065" t="inlineStr">
        <is>
          <t>Consolidated first (v4) – needs verification for flagged rows</t>
        </is>
      </c>
      <c r="H2065" t="n">
        <v>100</v>
      </c>
      <c r="I2065" t="n">
        <v>50.29999923706055</v>
      </c>
      <c r="L2065" t="inlineStr">
        <is>
          <t>UNVERIFIED – negative EPS</t>
        </is>
      </c>
      <c r="M2065" t="n">
        <v>-13.77</v>
      </c>
      <c r="N2065" t="n">
        <v>-6.93</v>
      </c>
      <c r="O2065" t="n">
        <v>47.08</v>
      </c>
      <c r="P2065" t="n">
        <v>131.67</v>
      </c>
      <c r="Q2065" t="n">
        <v>36.6</v>
      </c>
      <c r="R2065" s="3" t="inlineStr">
        <is>
          <t>MISMATCH_NEEDS_CORRECTION</t>
        </is>
      </c>
      <c r="S2065" t="n">
        <v>47.08</v>
      </c>
      <c r="T2065" t="inlineStr">
        <is>
          <t>30-07-2026 09:42 IST</t>
        </is>
      </c>
    </row>
    <row r="2066">
      <c r="A2066" t="n">
        <v>290</v>
      </c>
      <c r="B2066" t="n">
        <v>514412</v>
      </c>
      <c r="C2066" t="inlineStr">
        <is>
          <t>Sarup Industries Ltd</t>
        </is>
      </c>
      <c r="D2066" t="n">
        <v>2017</v>
      </c>
      <c r="E2066" t="n">
        <v>124.5999984741211</v>
      </c>
      <c r="F2066" t="n">
        <v>1.66</v>
      </c>
      <c r="G2066" t="inlineStr">
        <is>
          <t>Consolidated first (v4) – needs verification for flagged rows</t>
        </is>
      </c>
      <c r="H2066" t="n">
        <v>99.94999694824219</v>
      </c>
      <c r="I2066" t="n">
        <v>57.70000076293945</v>
      </c>
      <c r="L2066" t="inlineStr">
        <is>
          <t>OK</t>
        </is>
      </c>
      <c r="M2066" t="n">
        <v>60.21</v>
      </c>
      <c r="N2066" t="n">
        <v>34.76</v>
      </c>
      <c r="O2066" t="n">
        <v>47.08</v>
      </c>
      <c r="P2066" t="n">
        <v>131.67</v>
      </c>
      <c r="Q2066" t="n">
        <v>36.6</v>
      </c>
      <c r="R2066" s="3" t="inlineStr">
        <is>
          <t>MISMATCH_NEEDS_CORRECTION</t>
        </is>
      </c>
      <c r="S2066" t="n">
        <v>47.08</v>
      </c>
      <c r="T2066" t="inlineStr">
        <is>
          <t>30-07-2026 09:42 IST</t>
        </is>
      </c>
    </row>
    <row r="2067">
      <c r="A2067" t="n">
        <v>290</v>
      </c>
      <c r="B2067" t="n">
        <v>514412</v>
      </c>
      <c r="C2067" t="inlineStr">
        <is>
          <t>Sarup Industries Ltd</t>
        </is>
      </c>
      <c r="D2067" t="n">
        <v>2018</v>
      </c>
      <c r="E2067" t="n">
        <v>124.5999984741211</v>
      </c>
      <c r="F2067" t="n">
        <v>-9.619999999999999</v>
      </c>
      <c r="G2067" t="inlineStr">
        <is>
          <t>Consolidated first (v4) – needs verification for flagged rows</t>
        </is>
      </c>
      <c r="H2067" t="n">
        <v>82.80000305175781</v>
      </c>
      <c r="I2067" t="n">
        <v>41.5</v>
      </c>
      <c r="L2067" t="inlineStr">
        <is>
          <t>UNVERIFIED – negative EPS</t>
        </is>
      </c>
      <c r="M2067" t="n">
        <v>-8.609999999999999</v>
      </c>
      <c r="N2067" t="n">
        <v>-4.31</v>
      </c>
      <c r="O2067" t="n">
        <v>47.08</v>
      </c>
      <c r="P2067" t="n">
        <v>131.67</v>
      </c>
      <c r="Q2067" t="n">
        <v>36.6</v>
      </c>
      <c r="R2067" s="3" t="inlineStr">
        <is>
          <t>MISMATCH_NEEDS_CORRECTION</t>
        </is>
      </c>
      <c r="S2067" t="n">
        <v>47.08</v>
      </c>
      <c r="T2067" t="inlineStr">
        <is>
          <t>30-07-2026 09:42 IST</t>
        </is>
      </c>
    </row>
    <row r="2068">
      <c r="A2068" t="n">
        <v>290</v>
      </c>
      <c r="B2068" t="n">
        <v>514412</v>
      </c>
      <c r="C2068" t="inlineStr">
        <is>
          <t>Sarup Industries Ltd</t>
        </is>
      </c>
      <c r="D2068" t="n">
        <v>2019</v>
      </c>
      <c r="E2068" t="n">
        <v>124.5999984741211</v>
      </c>
      <c r="F2068" t="n">
        <v>-28.13</v>
      </c>
      <c r="G2068" t="inlineStr">
        <is>
          <t>Consolidated first (v4) – needs verification for flagged rows</t>
        </is>
      </c>
      <c r="H2068" t="n">
        <v>52.5</v>
      </c>
      <c r="I2068" t="n">
        <v>25.85000038146973</v>
      </c>
      <c r="L2068" t="inlineStr">
        <is>
          <t>UNVERIFIED – negative EPS</t>
        </is>
      </c>
      <c r="M2068" t="n">
        <v>-1.87</v>
      </c>
      <c r="N2068" t="n">
        <v>-0.92</v>
      </c>
      <c r="O2068" t="n">
        <v>47.08</v>
      </c>
      <c r="P2068" t="n">
        <v>131.67</v>
      </c>
      <c r="Q2068" t="n">
        <v>36.6</v>
      </c>
      <c r="R2068" s="3" t="inlineStr">
        <is>
          <t>MISMATCH_NEEDS_CORRECTION</t>
        </is>
      </c>
      <c r="S2068" t="n">
        <v>47.08</v>
      </c>
      <c r="T2068" t="inlineStr">
        <is>
          <t>30-07-2026 09:42 IST</t>
        </is>
      </c>
    </row>
    <row r="2069">
      <c r="A2069" t="n">
        <v>290</v>
      </c>
      <c r="B2069" t="n">
        <v>514412</v>
      </c>
      <c r="C2069" t="inlineStr">
        <is>
          <t>Sarup Industries Ltd</t>
        </is>
      </c>
      <c r="D2069" t="n">
        <v>2020</v>
      </c>
      <c r="E2069" t="n">
        <v>124.5999984741211</v>
      </c>
      <c r="F2069" t="n">
        <v>-17.06</v>
      </c>
      <c r="G2069" t="inlineStr">
        <is>
          <t>Consolidated first (v4) – needs verification for flagged rows</t>
        </is>
      </c>
      <c r="H2069" t="n">
        <v>32.29999923706055</v>
      </c>
      <c r="I2069" t="n">
        <v>15.69999980926514</v>
      </c>
      <c r="L2069" t="inlineStr">
        <is>
          <t>UNVERIFIED – negative EPS</t>
        </is>
      </c>
      <c r="M2069" t="n">
        <v>-1.89</v>
      </c>
      <c r="N2069" t="n">
        <v>-0.92</v>
      </c>
      <c r="O2069" t="n">
        <v>47.08</v>
      </c>
      <c r="P2069" t="n">
        <v>131.67</v>
      </c>
      <c r="Q2069" t="n">
        <v>36.6</v>
      </c>
      <c r="R2069" s="3" t="inlineStr">
        <is>
          <t>MISMATCH_NEEDS_CORRECTION</t>
        </is>
      </c>
      <c r="S2069" t="n">
        <v>47.08</v>
      </c>
      <c r="T2069" t="inlineStr">
        <is>
          <t>30-07-2026 09:42 IST</t>
        </is>
      </c>
    </row>
    <row r="2070">
      <c r="A2070" t="n">
        <v>290</v>
      </c>
      <c r="B2070" t="n">
        <v>514412</v>
      </c>
      <c r="C2070" t="inlineStr">
        <is>
          <t>Sarup Industries Ltd</t>
        </is>
      </c>
      <c r="D2070" t="n">
        <v>2021</v>
      </c>
      <c r="E2070" t="n">
        <v>124.5999984741211</v>
      </c>
      <c r="F2070" t="n">
        <v>-13.37</v>
      </c>
      <c r="G2070" t="inlineStr">
        <is>
          <t>Consolidated first (v4) – needs verification for flagged rows</t>
        </is>
      </c>
      <c r="H2070" t="n">
        <v>27.04999923706055</v>
      </c>
      <c r="I2070" t="n">
        <v>13.30000019073486</v>
      </c>
      <c r="L2070" t="inlineStr">
        <is>
          <t>UNVERIFIED – negative EPS</t>
        </is>
      </c>
      <c r="M2070" t="n">
        <v>-2.02</v>
      </c>
      <c r="N2070" t="n">
        <v>-0.99</v>
      </c>
      <c r="O2070" t="n">
        <v>47.08</v>
      </c>
      <c r="P2070" t="n">
        <v>131.67</v>
      </c>
      <c r="Q2070" t="n">
        <v>36.6</v>
      </c>
      <c r="R2070" s="3" t="inlineStr">
        <is>
          <t>MISMATCH_NEEDS_CORRECTION</t>
        </is>
      </c>
      <c r="S2070" t="n">
        <v>47.08</v>
      </c>
      <c r="T2070" t="inlineStr">
        <is>
          <t>30-07-2026 09:42 IST</t>
        </is>
      </c>
    </row>
    <row r="2071">
      <c r="A2071" t="n">
        <v>290</v>
      </c>
      <c r="B2071" t="n">
        <v>514412</v>
      </c>
      <c r="C2071" t="inlineStr">
        <is>
          <t>Sarup Industries Ltd</t>
        </is>
      </c>
      <c r="D2071" t="n">
        <v>2022</v>
      </c>
      <c r="E2071" t="n">
        <v>124.5999984741211</v>
      </c>
      <c r="F2071" t="n">
        <v>-6.67</v>
      </c>
      <c r="G2071" t="inlineStr">
        <is>
          <t>Consolidated first (v4) – needs verification for flagged rows</t>
        </is>
      </c>
      <c r="H2071" t="n">
        <v>33.04999923706055</v>
      </c>
      <c r="I2071" t="n">
        <v>20.04999923706055</v>
      </c>
      <c r="L2071" t="inlineStr">
        <is>
          <t>UNVERIFIED – negative EPS</t>
        </is>
      </c>
      <c r="M2071" t="n">
        <v>-4.96</v>
      </c>
      <c r="N2071" t="n">
        <v>-3.01</v>
      </c>
      <c r="O2071" t="n">
        <v>47.08</v>
      </c>
      <c r="P2071" t="n">
        <v>131.67</v>
      </c>
      <c r="Q2071" t="n">
        <v>36.6</v>
      </c>
      <c r="R2071" s="3" t="inlineStr">
        <is>
          <t>MISMATCH_NEEDS_CORRECTION</t>
        </is>
      </c>
      <c r="S2071" t="n">
        <v>47.08</v>
      </c>
      <c r="T2071" t="inlineStr">
        <is>
          <t>30-07-2026 09:42 IST</t>
        </is>
      </c>
    </row>
    <row r="2072">
      <c r="A2072" t="n">
        <v>290</v>
      </c>
      <c r="B2072" t="n">
        <v>514412</v>
      </c>
      <c r="C2072" t="inlineStr">
        <is>
          <t>Sarup Industries Ltd</t>
        </is>
      </c>
      <c r="D2072" t="n">
        <v>2023</v>
      </c>
      <c r="E2072" t="n">
        <v>124.5999984741211</v>
      </c>
      <c r="F2072" t="n">
        <v>-7.69</v>
      </c>
      <c r="G2072" t="inlineStr">
        <is>
          <t>Consolidated first (v4) – needs verification for flagged rows</t>
        </is>
      </c>
      <c r="H2072" t="n">
        <v>41.70000076293945</v>
      </c>
      <c r="I2072" t="n">
        <v>20.55999946594238</v>
      </c>
      <c r="L2072" t="inlineStr">
        <is>
          <t>UNVERIFIED – negative EPS</t>
        </is>
      </c>
      <c r="M2072" t="n">
        <v>-5.42</v>
      </c>
      <c r="N2072" t="n">
        <v>-2.67</v>
      </c>
      <c r="O2072" t="n">
        <v>47.08</v>
      </c>
      <c r="P2072" t="n">
        <v>131.67</v>
      </c>
      <c r="Q2072" t="n">
        <v>36.6</v>
      </c>
      <c r="R2072" s="3" t="inlineStr">
        <is>
          <t>MISMATCH_NEEDS_CORRECTION</t>
        </is>
      </c>
      <c r="S2072" t="n">
        <v>47.08</v>
      </c>
      <c r="T2072" t="inlineStr">
        <is>
          <t>30-07-2026 09:42 IST</t>
        </is>
      </c>
    </row>
    <row r="2073">
      <c r="A2073" t="n">
        <v>290</v>
      </c>
      <c r="B2073" t="n">
        <v>514412</v>
      </c>
      <c r="C2073" t="inlineStr">
        <is>
          <t>Sarup Industries Ltd</t>
        </is>
      </c>
      <c r="D2073" t="n">
        <v>2024</v>
      </c>
      <c r="E2073" t="n">
        <v>124.5999984741211</v>
      </c>
      <c r="F2073" t="n">
        <v>-5.23</v>
      </c>
      <c r="G2073" t="inlineStr">
        <is>
          <t>Consolidated first (v4) – needs verification for flagged rows</t>
        </is>
      </c>
      <c r="H2073" t="n">
        <v>99.26999664306641</v>
      </c>
      <c r="I2073" t="n">
        <v>36.59999847412109</v>
      </c>
      <c r="L2073" t="inlineStr">
        <is>
          <t>UNVERIFIED – negative EPS</t>
        </is>
      </c>
      <c r="M2073" t="n">
        <v>-18.98</v>
      </c>
      <c r="N2073" t="n">
        <v>-7</v>
      </c>
      <c r="O2073" t="n">
        <v>47.08</v>
      </c>
      <c r="P2073" t="n">
        <v>131.67</v>
      </c>
      <c r="Q2073" t="n">
        <v>36.6</v>
      </c>
      <c r="R2073" s="3" t="inlineStr">
        <is>
          <t>MISMATCH_NEEDS_CORRECTION</t>
        </is>
      </c>
      <c r="S2073" t="n">
        <v>47.08</v>
      </c>
      <c r="T2073" t="inlineStr">
        <is>
          <t>30-07-2026 09:42 IST</t>
        </is>
      </c>
    </row>
    <row r="2074">
      <c r="A2074" t="n">
        <v>290</v>
      </c>
      <c r="B2074" t="n">
        <v>514412</v>
      </c>
      <c r="C2074" t="inlineStr">
        <is>
          <t>Sarup Industries Ltd</t>
        </is>
      </c>
      <c r="D2074" t="n">
        <v>2025</v>
      </c>
      <c r="E2074" t="n">
        <v>124.5999984741211</v>
      </c>
      <c r="F2074" t="n">
        <v>14.73</v>
      </c>
      <c r="G2074" t="inlineStr">
        <is>
          <t>Consolidated first (v4) – needs verification for flagged rows</t>
        </is>
      </c>
      <c r="H2074" t="n">
        <v>184.8999938964844</v>
      </c>
      <c r="I2074" t="n">
        <v>62.9900016784668</v>
      </c>
      <c r="L2074" t="inlineStr">
        <is>
          <t>OK</t>
        </is>
      </c>
      <c r="M2074" t="n">
        <v>12.55</v>
      </c>
      <c r="N2074" t="n">
        <v>4.28</v>
      </c>
      <c r="O2074" t="n">
        <v>47.08</v>
      </c>
      <c r="P2074" t="n">
        <v>131.67</v>
      </c>
      <c r="Q2074" t="n">
        <v>36.6</v>
      </c>
      <c r="R2074" s="3" t="inlineStr">
        <is>
          <t>MISMATCH_NEEDS_CORRECTION</t>
        </is>
      </c>
      <c r="S2074" t="n">
        <v>47.08</v>
      </c>
      <c r="T2074" t="inlineStr">
        <is>
          <t>30-07-2026 09:42 IST</t>
        </is>
      </c>
    </row>
    <row r="2075">
      <c r="A2075" t="n">
        <v>290</v>
      </c>
      <c r="B2075" t="n">
        <v>514412</v>
      </c>
      <c r="C2075" t="inlineStr">
        <is>
          <t>Sarup Industries Ltd</t>
        </is>
      </c>
      <c r="D2075" t="n">
        <v>2026</v>
      </c>
      <c r="E2075" t="n">
        <v>124.5999984741211</v>
      </c>
      <c r="F2075" t="n">
        <v>1.75</v>
      </c>
      <c r="G2075" t="inlineStr">
        <is>
          <t>Consolidated first (v4) – needs verification for flagged rows</t>
        </is>
      </c>
      <c r="H2075" t="n">
        <v>208</v>
      </c>
      <c r="I2075" t="n">
        <v>102.9000015258789</v>
      </c>
      <c r="L2075" t="inlineStr">
        <is>
          <t>OK</t>
        </is>
      </c>
      <c r="M2075" t="n">
        <v>118.86</v>
      </c>
      <c r="N2075" t="n">
        <v>58.8</v>
      </c>
      <c r="O2075" t="n">
        <v>47.08</v>
      </c>
      <c r="P2075" t="n">
        <v>131.67</v>
      </c>
      <c r="Q2075" t="n">
        <v>36.6</v>
      </c>
      <c r="R2075" s="3" t="inlineStr">
        <is>
          <t>MISMATCH_NEEDS_CORRECTION</t>
        </is>
      </c>
      <c r="S2075" t="n">
        <v>47.08</v>
      </c>
      <c r="T2075" t="inlineStr">
        <is>
          <t>30-07-2026 09:42 IST</t>
        </is>
      </c>
    </row>
    <row r="2076">
      <c r="A2076" t="n">
        <v>292</v>
      </c>
      <c r="B2076" t="n">
        <v>514428</v>
      </c>
      <c r="C2076" t="inlineStr">
        <is>
          <t>Hindustan Adhesives Ltd</t>
        </is>
      </c>
      <c r="D2076" t="n">
        <v>2015</v>
      </c>
      <c r="E2076" t="n">
        <v>253.4499969482422</v>
      </c>
      <c r="G2076" t="inlineStr">
        <is>
          <t>Consolidated first (v4) – needs verification for flagged rows</t>
        </is>
      </c>
      <c r="H2076" t="n">
        <v>40.90000152587891</v>
      </c>
      <c r="I2076" t="n">
        <v>23.39999961853027</v>
      </c>
      <c r="L2076" t="inlineStr">
        <is>
          <t>INCOMPLETE</t>
        </is>
      </c>
      <c r="O2076" t="n">
        <v>405.15</v>
      </c>
      <c r="P2076" t="n">
        <v>538.8</v>
      </c>
      <c r="Q2076" t="n">
        <v>300.05</v>
      </c>
      <c r="R2076" s="3" t="inlineStr">
        <is>
          <t>MISMATCH_NEEDS_CORRECTION</t>
        </is>
      </c>
      <c r="S2076" t="n">
        <v>405.15</v>
      </c>
      <c r="T2076" t="inlineStr">
        <is>
          <t>30-07-2026 09:42 IST</t>
        </is>
      </c>
    </row>
    <row r="2077">
      <c r="A2077" t="n">
        <v>292</v>
      </c>
      <c r="B2077" t="n">
        <v>514428</v>
      </c>
      <c r="C2077" t="inlineStr">
        <is>
          <t>Hindustan Adhesives Ltd</t>
        </is>
      </c>
      <c r="D2077" t="n">
        <v>2016</v>
      </c>
      <c r="E2077" t="n">
        <v>253.4499969482422</v>
      </c>
      <c r="F2077" t="n">
        <v>3.44</v>
      </c>
      <c r="G2077" t="inlineStr">
        <is>
          <t>Consolidated first (v4) – needs verification for flagged rows</t>
        </is>
      </c>
      <c r="H2077" t="n">
        <v>92</v>
      </c>
      <c r="I2077" t="n">
        <v>29.64999961853027</v>
      </c>
      <c r="L2077" t="inlineStr">
        <is>
          <t>OK</t>
        </is>
      </c>
      <c r="M2077" t="n">
        <v>26.74</v>
      </c>
      <c r="N2077" t="n">
        <v>8.619999999999999</v>
      </c>
      <c r="O2077" t="n">
        <v>405.15</v>
      </c>
      <c r="P2077" t="n">
        <v>538.8</v>
      </c>
      <c r="Q2077" t="n">
        <v>300.05</v>
      </c>
      <c r="R2077" s="3" t="inlineStr">
        <is>
          <t>MISMATCH_NEEDS_CORRECTION</t>
        </is>
      </c>
      <c r="S2077" t="n">
        <v>405.15</v>
      </c>
      <c r="T2077" t="inlineStr">
        <is>
          <t>30-07-2026 09:42 IST</t>
        </is>
      </c>
    </row>
    <row r="2078">
      <c r="A2078" t="n">
        <v>292</v>
      </c>
      <c r="B2078" t="n">
        <v>514428</v>
      </c>
      <c r="C2078" t="inlineStr">
        <is>
          <t>Hindustan Adhesives Ltd</t>
        </is>
      </c>
      <c r="D2078" t="n">
        <v>2017</v>
      </c>
      <c r="E2078" t="n">
        <v>253.4499969482422</v>
      </c>
      <c r="F2078" t="n">
        <v>9.32</v>
      </c>
      <c r="G2078" t="inlineStr">
        <is>
          <t>Consolidated first (v4) – needs verification for flagged rows</t>
        </is>
      </c>
      <c r="H2078" t="n">
        <v>104</v>
      </c>
      <c r="I2078" t="n">
        <v>56</v>
      </c>
      <c r="L2078" t="inlineStr">
        <is>
          <t>OK</t>
        </is>
      </c>
      <c r="M2078" t="n">
        <v>11.16</v>
      </c>
      <c r="N2078" t="n">
        <v>6.01</v>
      </c>
      <c r="O2078" t="n">
        <v>405.15</v>
      </c>
      <c r="P2078" t="n">
        <v>538.8</v>
      </c>
      <c r="Q2078" t="n">
        <v>300.05</v>
      </c>
      <c r="R2078" s="3" t="inlineStr">
        <is>
          <t>MISMATCH_NEEDS_CORRECTION</t>
        </is>
      </c>
      <c r="S2078" t="n">
        <v>405.15</v>
      </c>
      <c r="T2078" t="inlineStr">
        <is>
          <t>30-07-2026 09:42 IST</t>
        </is>
      </c>
    </row>
    <row r="2079">
      <c r="A2079" t="n">
        <v>292</v>
      </c>
      <c r="B2079" t="n">
        <v>514428</v>
      </c>
      <c r="C2079" t="inlineStr">
        <is>
          <t>Hindustan Adhesives Ltd</t>
        </is>
      </c>
      <c r="D2079" t="n">
        <v>2018</v>
      </c>
      <c r="E2079" t="n">
        <v>253.4499969482422</v>
      </c>
      <c r="G2079" t="inlineStr">
        <is>
          <t>Consolidated first (v4) – needs verification for flagged rows</t>
        </is>
      </c>
      <c r="H2079" t="n">
        <v>150</v>
      </c>
      <c r="I2079" t="n">
        <v>68.5</v>
      </c>
      <c r="L2079" t="inlineStr">
        <is>
          <t>INCOMPLETE</t>
        </is>
      </c>
      <c r="O2079" t="n">
        <v>405.15</v>
      </c>
      <c r="P2079" t="n">
        <v>538.8</v>
      </c>
      <c r="Q2079" t="n">
        <v>300.05</v>
      </c>
      <c r="R2079" s="3" t="inlineStr">
        <is>
          <t>MISMATCH_NEEDS_CORRECTION</t>
        </is>
      </c>
      <c r="S2079" t="n">
        <v>405.15</v>
      </c>
      <c r="T2079" t="inlineStr">
        <is>
          <t>30-07-2026 09:42 IST</t>
        </is>
      </c>
    </row>
    <row r="2080">
      <c r="A2080" t="n">
        <v>292</v>
      </c>
      <c r="B2080" t="n">
        <v>514428</v>
      </c>
      <c r="C2080" t="inlineStr">
        <is>
          <t>Hindustan Adhesives Ltd</t>
        </is>
      </c>
      <c r="D2080" t="n">
        <v>2019</v>
      </c>
      <c r="E2080" t="n">
        <v>253.4499969482422</v>
      </c>
      <c r="G2080" t="inlineStr">
        <is>
          <t>Consolidated first (v4) – needs verification for flagged rows</t>
        </is>
      </c>
      <c r="H2080" t="n">
        <v>95.75</v>
      </c>
      <c r="I2080" t="n">
        <v>56.04999923706055</v>
      </c>
      <c r="L2080" t="inlineStr">
        <is>
          <t>INCOMPLETE</t>
        </is>
      </c>
      <c r="O2080" t="n">
        <v>405.15</v>
      </c>
      <c r="P2080" t="n">
        <v>538.8</v>
      </c>
      <c r="Q2080" t="n">
        <v>300.05</v>
      </c>
      <c r="R2080" s="3" t="inlineStr">
        <is>
          <t>MISMATCH_NEEDS_CORRECTION</t>
        </is>
      </c>
      <c r="S2080" t="n">
        <v>405.15</v>
      </c>
      <c r="T2080" t="inlineStr">
        <is>
          <t>30-07-2026 09:42 IST</t>
        </is>
      </c>
    </row>
    <row r="2081">
      <c r="A2081" t="n">
        <v>292</v>
      </c>
      <c r="B2081" t="n">
        <v>514428</v>
      </c>
      <c r="C2081" t="inlineStr">
        <is>
          <t>Hindustan Adhesives Ltd</t>
        </is>
      </c>
      <c r="D2081" t="n">
        <v>2020</v>
      </c>
      <c r="E2081" t="n">
        <v>253.4499969482422</v>
      </c>
      <c r="G2081" t="inlineStr">
        <is>
          <t>Consolidated first (v4) – needs verification for flagged rows</t>
        </is>
      </c>
      <c r="H2081" t="n">
        <v>136.8999938964844</v>
      </c>
      <c r="I2081" t="n">
        <v>55</v>
      </c>
      <c r="L2081" t="inlineStr">
        <is>
          <t>INCOMPLETE</t>
        </is>
      </c>
      <c r="O2081" t="n">
        <v>405.15</v>
      </c>
      <c r="P2081" t="n">
        <v>538.8</v>
      </c>
      <c r="Q2081" t="n">
        <v>300.05</v>
      </c>
      <c r="R2081" s="3" t="inlineStr">
        <is>
          <t>MISMATCH_NEEDS_CORRECTION</t>
        </is>
      </c>
      <c r="S2081" t="n">
        <v>405.15</v>
      </c>
      <c r="T2081" t="inlineStr">
        <is>
          <t>30-07-2026 09:42 IST</t>
        </is>
      </c>
    </row>
    <row r="2082">
      <c r="A2082" t="n">
        <v>292</v>
      </c>
      <c r="B2082" t="n">
        <v>514428</v>
      </c>
      <c r="C2082" t="inlineStr">
        <is>
          <t>Hindustan Adhesives Ltd</t>
        </is>
      </c>
      <c r="D2082" t="n">
        <v>2021</v>
      </c>
      <c r="E2082" t="n">
        <v>253.4499969482422</v>
      </c>
      <c r="G2082" t="inlineStr">
        <is>
          <t>Consolidated first (v4) – needs verification for flagged rows</t>
        </is>
      </c>
      <c r="H2082" t="n">
        <v>333</v>
      </c>
      <c r="I2082" t="n">
        <v>96.09999847412109</v>
      </c>
      <c r="L2082" t="inlineStr">
        <is>
          <t>INCOMPLETE</t>
        </is>
      </c>
      <c r="O2082" t="n">
        <v>405.15</v>
      </c>
      <c r="P2082" t="n">
        <v>538.8</v>
      </c>
      <c r="Q2082" t="n">
        <v>300.05</v>
      </c>
      <c r="R2082" s="3" t="inlineStr">
        <is>
          <t>MISMATCH_NEEDS_CORRECTION</t>
        </is>
      </c>
      <c r="S2082" t="n">
        <v>405.15</v>
      </c>
      <c r="T2082" t="inlineStr">
        <is>
          <t>30-07-2026 09:42 IST</t>
        </is>
      </c>
    </row>
    <row r="2083">
      <c r="A2083" t="n">
        <v>292</v>
      </c>
      <c r="B2083" t="n">
        <v>514428</v>
      </c>
      <c r="C2083" t="inlineStr">
        <is>
          <t>Hindustan Adhesives Ltd</t>
        </is>
      </c>
      <c r="D2083" t="n">
        <v>2022</v>
      </c>
      <c r="E2083" t="n">
        <v>253.4499969482422</v>
      </c>
      <c r="F2083" t="n">
        <v>24.47</v>
      </c>
      <c r="G2083" t="inlineStr">
        <is>
          <t>Consolidated first (v4) – needs verification for flagged rows</t>
        </is>
      </c>
      <c r="H2083" t="n">
        <v>658.4000244140625</v>
      </c>
      <c r="I2083" t="n">
        <v>242.6000061035156</v>
      </c>
      <c r="L2083" t="inlineStr">
        <is>
          <t>OK</t>
        </is>
      </c>
      <c r="M2083" t="n">
        <v>26.91</v>
      </c>
      <c r="N2083" t="n">
        <v>9.91</v>
      </c>
      <c r="O2083" t="n">
        <v>405.15</v>
      </c>
      <c r="P2083" t="n">
        <v>538.8</v>
      </c>
      <c r="Q2083" t="n">
        <v>300.05</v>
      </c>
      <c r="R2083" s="3" t="inlineStr">
        <is>
          <t>MISMATCH_NEEDS_CORRECTION</t>
        </is>
      </c>
      <c r="S2083" t="n">
        <v>405.15</v>
      </c>
      <c r="T2083" t="inlineStr">
        <is>
          <t>30-07-2026 09:42 IST</t>
        </is>
      </c>
    </row>
    <row r="2084">
      <c r="A2084" t="n">
        <v>292</v>
      </c>
      <c r="B2084" t="n">
        <v>514428</v>
      </c>
      <c r="C2084" t="inlineStr">
        <is>
          <t>Hindustan Adhesives Ltd</t>
        </is>
      </c>
      <c r="D2084" t="n">
        <v>2023</v>
      </c>
      <c r="E2084" t="n">
        <v>253.4499969482422</v>
      </c>
      <c r="F2084" t="n">
        <v>9.5</v>
      </c>
      <c r="G2084" t="inlineStr">
        <is>
          <t>Consolidated first (v4) – needs verification for flagged rows</t>
        </is>
      </c>
      <c r="H2084" t="n">
        <v>368</v>
      </c>
      <c r="I2084" t="n">
        <v>172</v>
      </c>
      <c r="L2084" t="inlineStr">
        <is>
          <t>OK</t>
        </is>
      </c>
      <c r="M2084" t="n">
        <v>38.74</v>
      </c>
      <c r="N2084" t="n">
        <v>18.11</v>
      </c>
      <c r="O2084" t="n">
        <v>405.15</v>
      </c>
      <c r="P2084" t="n">
        <v>538.8</v>
      </c>
      <c r="Q2084" t="n">
        <v>300.05</v>
      </c>
      <c r="R2084" s="3" t="inlineStr">
        <is>
          <t>MISMATCH_NEEDS_CORRECTION</t>
        </is>
      </c>
      <c r="S2084" t="n">
        <v>405.15</v>
      </c>
      <c r="T2084" t="inlineStr">
        <is>
          <t>30-07-2026 09:42 IST</t>
        </is>
      </c>
    </row>
    <row r="2085">
      <c r="A2085" t="n">
        <v>292</v>
      </c>
      <c r="B2085" t="n">
        <v>514428</v>
      </c>
      <c r="C2085" t="inlineStr">
        <is>
          <t>Hindustan Adhesives Ltd</t>
        </is>
      </c>
      <c r="D2085" t="n">
        <v>2024</v>
      </c>
      <c r="E2085" t="n">
        <v>253.4499969482422</v>
      </c>
      <c r="F2085" t="n">
        <v>32.07</v>
      </c>
      <c r="G2085" t="inlineStr">
        <is>
          <t>Consolidated first (v4) – needs verification for flagged rows</t>
        </is>
      </c>
      <c r="H2085" t="n">
        <v>538.7999877929688</v>
      </c>
      <c r="I2085" t="n">
        <v>300.0499877929688</v>
      </c>
      <c r="L2085" t="inlineStr">
        <is>
          <t>OK</t>
        </is>
      </c>
      <c r="M2085" t="n">
        <v>16.8</v>
      </c>
      <c r="N2085" t="n">
        <v>9.359999999999999</v>
      </c>
      <c r="O2085" t="n">
        <v>405.15</v>
      </c>
      <c r="P2085" t="n">
        <v>538.8</v>
      </c>
      <c r="Q2085" t="n">
        <v>300.05</v>
      </c>
      <c r="R2085" s="3" t="inlineStr">
        <is>
          <t>MISMATCH_NEEDS_CORRECTION</t>
        </is>
      </c>
      <c r="S2085" t="n">
        <v>405.15</v>
      </c>
      <c r="T2085" t="inlineStr">
        <is>
          <t>30-07-2026 09:42 IST</t>
        </is>
      </c>
    </row>
    <row r="2086">
      <c r="A2086" t="n">
        <v>292</v>
      </c>
      <c r="B2086" t="n">
        <v>514428</v>
      </c>
      <c r="C2086" t="inlineStr">
        <is>
          <t>Hindustan Adhesives Ltd</t>
        </is>
      </c>
      <c r="D2086" t="n">
        <v>2025</v>
      </c>
      <c r="E2086" t="n">
        <v>253.4499969482422</v>
      </c>
      <c r="F2086" t="n">
        <v>30.08</v>
      </c>
      <c r="G2086" t="inlineStr">
        <is>
          <t>Consolidated first (v4) – needs verification for flagged rows</t>
        </is>
      </c>
      <c r="H2086" t="n">
        <v>424.8999938964844</v>
      </c>
      <c r="I2086" t="n">
        <v>281.25</v>
      </c>
      <c r="L2086" t="inlineStr">
        <is>
          <t>OK</t>
        </is>
      </c>
      <c r="M2086" t="n">
        <v>14.13</v>
      </c>
      <c r="N2086" t="n">
        <v>9.35</v>
      </c>
      <c r="O2086" t="n">
        <v>405.15</v>
      </c>
      <c r="P2086" t="n">
        <v>538.8</v>
      </c>
      <c r="Q2086" t="n">
        <v>300.05</v>
      </c>
      <c r="R2086" s="3" t="inlineStr">
        <is>
          <t>MISMATCH_NEEDS_CORRECTION</t>
        </is>
      </c>
      <c r="S2086" t="n">
        <v>405.15</v>
      </c>
      <c r="T2086" t="inlineStr">
        <is>
          <t>30-07-2026 09:42 IST</t>
        </is>
      </c>
    </row>
    <row r="2087">
      <c r="A2087" t="n">
        <v>292</v>
      </c>
      <c r="B2087" t="n">
        <v>514428</v>
      </c>
      <c r="C2087" t="inlineStr">
        <is>
          <t>Hindustan Adhesives Ltd</t>
        </is>
      </c>
      <c r="D2087" t="n">
        <v>2026</v>
      </c>
      <c r="E2087" t="n">
        <v>253.4499969482422</v>
      </c>
      <c r="F2087" t="n">
        <v>29.12</v>
      </c>
      <c r="G2087" t="inlineStr">
        <is>
          <t>Consolidated first (v4) – needs verification for flagged rows</t>
        </is>
      </c>
      <c r="H2087" t="n">
        <v>328</v>
      </c>
      <c r="I2087" t="n">
        <v>247.6000061035156</v>
      </c>
      <c r="L2087" t="inlineStr">
        <is>
          <t>OK</t>
        </is>
      </c>
      <c r="M2087" t="n">
        <v>11.26</v>
      </c>
      <c r="N2087" t="n">
        <v>8.5</v>
      </c>
      <c r="O2087" t="n">
        <v>405.15</v>
      </c>
      <c r="P2087" t="n">
        <v>538.8</v>
      </c>
      <c r="Q2087" t="n">
        <v>300.05</v>
      </c>
      <c r="R2087" s="3" t="inlineStr">
        <is>
          <t>MISMATCH_NEEDS_CORRECTION</t>
        </is>
      </c>
      <c r="S2087" t="n">
        <v>405.15</v>
      </c>
      <c r="T2087" t="inlineStr">
        <is>
          <t>30-07-2026 09:42 IST</t>
        </is>
      </c>
    </row>
    <row r="2088">
      <c r="A2088" t="n">
        <v>293</v>
      </c>
      <c r="B2088" t="n">
        <v>514448</v>
      </c>
      <c r="C2088" t="inlineStr">
        <is>
          <t>Jyoti Resins And Adhesives Ltd</t>
        </is>
      </c>
      <c r="D2088" t="n">
        <v>2015</v>
      </c>
      <c r="E2088" t="n">
        <v>924.2999877929688</v>
      </c>
      <c r="F2088" t="n">
        <v>0.18</v>
      </c>
      <c r="G2088" t="inlineStr">
        <is>
          <t>Consolidated first (v4) – needs verification for flagged rows</t>
        </is>
      </c>
      <c r="H2088" t="n">
        <v>19.81666564941406</v>
      </c>
      <c r="I2088" t="n">
        <v>3.233333110809326</v>
      </c>
      <c r="L2088" t="inlineStr">
        <is>
          <t>UNVERIFIED – tiny EPS &lt;0.5</t>
        </is>
      </c>
      <c r="M2088" t="n">
        <v>110.09</v>
      </c>
      <c r="N2088" t="n">
        <v>17.96</v>
      </c>
      <c r="O2088" t="n">
        <v>1400.55</v>
      </c>
      <c r="P2088" t="n">
        <v>1635</v>
      </c>
      <c r="Q2088" t="n">
        <v>0</v>
      </c>
      <c r="R2088" s="3" t="inlineStr">
        <is>
          <t>MISMATCH_NEEDS_CORRECTION</t>
        </is>
      </c>
      <c r="S2088" t="n">
        <v>1400.55</v>
      </c>
      <c r="T2088" t="inlineStr">
        <is>
          <t>30-07-2026 09:42 IST</t>
        </is>
      </c>
    </row>
    <row r="2089">
      <c r="A2089" t="n">
        <v>293</v>
      </c>
      <c r="B2089" t="n">
        <v>514448</v>
      </c>
      <c r="C2089" t="inlineStr">
        <is>
          <t>Jyoti Resins And Adhesives Ltd</t>
        </is>
      </c>
      <c r="D2089" t="n">
        <v>2016</v>
      </c>
      <c r="E2089" t="n">
        <v>924.2999877929688</v>
      </c>
      <c r="F2089" t="n">
        <v>0.18</v>
      </c>
      <c r="G2089" t="inlineStr">
        <is>
          <t>Consolidated first (v4) – needs verification for flagged rows</t>
        </is>
      </c>
      <c r="H2089" t="n">
        <v>55.75</v>
      </c>
      <c r="I2089" t="n">
        <v>18.85000038146973</v>
      </c>
      <c r="L2089" t="inlineStr">
        <is>
          <t>UNVERIFIED – tiny EPS &lt;0.5</t>
        </is>
      </c>
      <c r="M2089" t="n">
        <v>309.72</v>
      </c>
      <c r="N2089" t="n">
        <v>104.72</v>
      </c>
      <c r="O2089" t="n">
        <v>1400.55</v>
      </c>
      <c r="P2089" t="n">
        <v>1635</v>
      </c>
      <c r="Q2089" t="n">
        <v>0</v>
      </c>
      <c r="R2089" s="3" t="inlineStr">
        <is>
          <t>MISMATCH_NEEDS_CORRECTION</t>
        </is>
      </c>
      <c r="S2089" t="n">
        <v>1400.55</v>
      </c>
      <c r="T2089" t="inlineStr">
        <is>
          <t>30-07-2026 09:42 IST</t>
        </is>
      </c>
    </row>
    <row r="2090">
      <c r="A2090" t="n">
        <v>293</v>
      </c>
      <c r="B2090" t="n">
        <v>514448</v>
      </c>
      <c r="C2090" t="inlineStr">
        <is>
          <t>Jyoti Resins And Adhesives Ltd</t>
        </is>
      </c>
      <c r="D2090" t="n">
        <v>2017</v>
      </c>
      <c r="E2090" t="n">
        <v>924.2999877929688</v>
      </c>
      <c r="F2090" t="n">
        <v>0.32</v>
      </c>
      <c r="G2090" t="inlineStr">
        <is>
          <t>Consolidated first (v4) – needs verification for flagged rows</t>
        </is>
      </c>
      <c r="H2090" t="n">
        <v>74.98332977294922</v>
      </c>
      <c r="I2090" t="n">
        <v>19</v>
      </c>
      <c r="L2090" t="inlineStr">
        <is>
          <t>UNVERIFIED – tiny EPS &lt;0.5</t>
        </is>
      </c>
      <c r="M2090" t="n">
        <v>234.32</v>
      </c>
      <c r="N2090" t="n">
        <v>59.38</v>
      </c>
      <c r="O2090" t="n">
        <v>1400.55</v>
      </c>
      <c r="P2090" t="n">
        <v>1635</v>
      </c>
      <c r="Q2090" t="n">
        <v>0</v>
      </c>
      <c r="R2090" s="3" t="inlineStr">
        <is>
          <t>MISMATCH_NEEDS_CORRECTION</t>
        </is>
      </c>
      <c r="S2090" t="n">
        <v>1400.55</v>
      </c>
      <c r="T2090" t="inlineStr">
        <is>
          <t>30-07-2026 09:42 IST</t>
        </is>
      </c>
    </row>
    <row r="2091">
      <c r="A2091" t="n">
        <v>293</v>
      </c>
      <c r="B2091" t="n">
        <v>514448</v>
      </c>
      <c r="C2091" t="inlineStr">
        <is>
          <t>Jyoti Resins And Adhesives Ltd</t>
        </is>
      </c>
      <c r="D2091" t="n">
        <v>2018</v>
      </c>
      <c r="E2091" t="n">
        <v>924.2999877929688</v>
      </c>
      <c r="F2091" t="n">
        <v>0.88</v>
      </c>
      <c r="G2091" t="inlineStr">
        <is>
          <t>Consolidated first (v4) – needs verification for flagged rows</t>
        </is>
      </c>
      <c r="H2091" t="n">
        <v>35.66666412353516</v>
      </c>
      <c r="I2091" t="n">
        <v>18.83333206176758</v>
      </c>
      <c r="L2091" t="inlineStr">
        <is>
          <t>OK</t>
        </is>
      </c>
      <c r="M2091" t="n">
        <v>40.53</v>
      </c>
      <c r="N2091" t="n">
        <v>21.4</v>
      </c>
      <c r="O2091" t="n">
        <v>1400.55</v>
      </c>
      <c r="P2091" t="n">
        <v>1635</v>
      </c>
      <c r="Q2091" t="n">
        <v>0</v>
      </c>
      <c r="R2091" s="3" t="inlineStr">
        <is>
          <t>MISMATCH_NEEDS_CORRECTION</t>
        </is>
      </c>
      <c r="S2091" t="n">
        <v>1400.55</v>
      </c>
      <c r="T2091" t="inlineStr">
        <is>
          <t>30-07-2026 09:42 IST</t>
        </is>
      </c>
    </row>
    <row r="2092">
      <c r="A2092" t="n">
        <v>293</v>
      </c>
      <c r="B2092" t="n">
        <v>514448</v>
      </c>
      <c r="C2092" t="inlineStr">
        <is>
          <t>Jyoti Resins And Adhesives Ltd</t>
        </is>
      </c>
      <c r="D2092" t="n">
        <v>2019</v>
      </c>
      <c r="E2092" t="n">
        <v>924.2999877929688</v>
      </c>
      <c r="F2092" t="n">
        <v>1.83</v>
      </c>
      <c r="G2092" t="inlineStr">
        <is>
          <t>Consolidated first (v4) – needs verification for flagged rows</t>
        </is>
      </c>
      <c r="H2092" t="n">
        <v>86.66666412353516</v>
      </c>
      <c r="I2092" t="n">
        <v>18.66666603088379</v>
      </c>
      <c r="L2092" t="inlineStr">
        <is>
          <t>OK</t>
        </is>
      </c>
      <c r="M2092" t="n">
        <v>47.36</v>
      </c>
      <c r="N2092" t="n">
        <v>10.2</v>
      </c>
      <c r="O2092" t="n">
        <v>1400.55</v>
      </c>
      <c r="P2092" t="n">
        <v>1635</v>
      </c>
      <c r="Q2092" t="n">
        <v>0</v>
      </c>
      <c r="R2092" s="3" t="inlineStr">
        <is>
          <t>MISMATCH_NEEDS_CORRECTION</t>
        </is>
      </c>
      <c r="S2092" t="n">
        <v>1400.55</v>
      </c>
      <c r="T2092" t="inlineStr">
        <is>
          <t>30-07-2026 09:42 IST</t>
        </is>
      </c>
    </row>
    <row r="2093">
      <c r="A2093" t="n">
        <v>293</v>
      </c>
      <c r="B2093" t="n">
        <v>514448</v>
      </c>
      <c r="C2093" t="inlineStr">
        <is>
          <t>Jyoti Resins And Adhesives Ltd</t>
        </is>
      </c>
      <c r="D2093" t="n">
        <v>2020</v>
      </c>
      <c r="E2093" t="n">
        <v>924.2999877929688</v>
      </c>
      <c r="F2093" t="n">
        <v>6.75</v>
      </c>
      <c r="G2093" t="inlineStr">
        <is>
          <t>Consolidated first (v4) – needs verification for flagged rows</t>
        </is>
      </c>
      <c r="H2093" t="n">
        <v>146.6666717529297</v>
      </c>
      <c r="I2093" t="n">
        <v>30.76666641235352</v>
      </c>
      <c r="L2093" t="inlineStr">
        <is>
          <t>OK</t>
        </is>
      </c>
      <c r="M2093" t="n">
        <v>21.73</v>
      </c>
      <c r="N2093" t="n">
        <v>4.56</v>
      </c>
      <c r="O2093" t="n">
        <v>1400.55</v>
      </c>
      <c r="P2093" t="n">
        <v>1635</v>
      </c>
      <c r="Q2093" t="n">
        <v>0</v>
      </c>
      <c r="R2093" s="3" t="inlineStr">
        <is>
          <t>MISMATCH_NEEDS_CORRECTION</t>
        </is>
      </c>
      <c r="S2093" t="n">
        <v>1400.55</v>
      </c>
      <c r="T2093" t="inlineStr">
        <is>
          <t>30-07-2026 09:42 IST</t>
        </is>
      </c>
    </row>
    <row r="2094">
      <c r="A2094" t="n">
        <v>293</v>
      </c>
      <c r="B2094" t="n">
        <v>514448</v>
      </c>
      <c r="C2094" t="inlineStr">
        <is>
          <t>Jyoti Resins And Adhesives Ltd</t>
        </is>
      </c>
      <c r="D2094" t="n">
        <v>2021</v>
      </c>
      <c r="E2094" t="n">
        <v>924.2999877929688</v>
      </c>
      <c r="F2094" t="n">
        <v>10.14</v>
      </c>
      <c r="G2094" t="inlineStr">
        <is>
          <t>Consolidated first (v4) – needs verification for flagged rows</t>
        </is>
      </c>
      <c r="H2094" t="n">
        <v>420</v>
      </c>
      <c r="I2094" t="n">
        <v>127.3333358764648</v>
      </c>
      <c r="L2094" t="inlineStr">
        <is>
          <t>OK</t>
        </is>
      </c>
      <c r="M2094" t="n">
        <v>41.42</v>
      </c>
      <c r="N2094" t="n">
        <v>12.56</v>
      </c>
      <c r="O2094" t="n">
        <v>1400.55</v>
      </c>
      <c r="P2094" t="n">
        <v>1635</v>
      </c>
      <c r="Q2094" t="n">
        <v>0</v>
      </c>
      <c r="R2094" s="3" t="inlineStr">
        <is>
          <t>MISMATCH_NEEDS_CORRECTION</t>
        </is>
      </c>
      <c r="S2094" t="n">
        <v>1400.55</v>
      </c>
      <c r="T2094" t="inlineStr">
        <is>
          <t>30-07-2026 09:42 IST</t>
        </is>
      </c>
    </row>
    <row r="2095">
      <c r="A2095" t="n">
        <v>293</v>
      </c>
      <c r="B2095" t="n">
        <v>514448</v>
      </c>
      <c r="C2095" t="inlineStr">
        <is>
          <t>Jyoti Resins And Adhesives Ltd</t>
        </is>
      </c>
      <c r="D2095" t="n">
        <v>2022</v>
      </c>
      <c r="E2095" t="n">
        <v>924.2999877929688</v>
      </c>
      <c r="F2095" t="n">
        <v>16.47</v>
      </c>
      <c r="G2095" t="inlineStr">
        <is>
          <t>Consolidated first (v4) – needs verification for flagged rows</t>
        </is>
      </c>
      <c r="H2095" t="n">
        <v>1818.449951171875</v>
      </c>
      <c r="I2095" t="n">
        <v>323</v>
      </c>
      <c r="L2095" t="inlineStr">
        <is>
          <t>OK</t>
        </is>
      </c>
      <c r="M2095" t="n">
        <v>110.41</v>
      </c>
      <c r="N2095" t="n">
        <v>19.61</v>
      </c>
      <c r="O2095" t="n">
        <v>1400.55</v>
      </c>
      <c r="P2095" t="n">
        <v>1635</v>
      </c>
      <c r="Q2095" t="n">
        <v>0</v>
      </c>
      <c r="R2095" s="3" t="inlineStr">
        <is>
          <t>MISMATCH_NEEDS_CORRECTION</t>
        </is>
      </c>
      <c r="S2095" t="n">
        <v>1400.55</v>
      </c>
      <c r="T2095" t="inlineStr">
        <is>
          <t>30-07-2026 09:42 IST</t>
        </is>
      </c>
    </row>
    <row r="2096">
      <c r="A2096" t="n">
        <v>293</v>
      </c>
      <c r="B2096" t="n">
        <v>514448</v>
      </c>
      <c r="C2096" t="inlineStr">
        <is>
          <t>Jyoti Resins And Adhesives Ltd</t>
        </is>
      </c>
      <c r="D2096" t="n">
        <v>2023</v>
      </c>
      <c r="E2096" t="n">
        <v>924.2999877929688</v>
      </c>
      <c r="F2096" t="n">
        <v>38.7</v>
      </c>
      <c r="G2096" t="inlineStr">
        <is>
          <t>Consolidated first (v4) – needs verification for flagged rows</t>
        </is>
      </c>
      <c r="H2096" t="n">
        <v>1780.050048828125</v>
      </c>
      <c r="I2096" t="n">
        <v>1055.599975585938</v>
      </c>
      <c r="L2096" t="inlineStr">
        <is>
          <t>OK</t>
        </is>
      </c>
      <c r="M2096" t="n">
        <v>46</v>
      </c>
      <c r="N2096" t="n">
        <v>27.28</v>
      </c>
      <c r="O2096" t="n">
        <v>1400.55</v>
      </c>
      <c r="P2096" t="n">
        <v>1635</v>
      </c>
      <c r="Q2096" t="n">
        <v>0</v>
      </c>
      <c r="R2096" s="3" t="inlineStr">
        <is>
          <t>MISMATCH_NEEDS_CORRECTION</t>
        </is>
      </c>
      <c r="S2096" t="n">
        <v>1400.55</v>
      </c>
      <c r="T2096" t="inlineStr">
        <is>
          <t>30-07-2026 09:42 IST</t>
        </is>
      </c>
    </row>
    <row r="2097">
      <c r="A2097" t="n">
        <v>293</v>
      </c>
      <c r="B2097" t="n">
        <v>514448</v>
      </c>
      <c r="C2097" t="inlineStr">
        <is>
          <t>Jyoti Resins And Adhesives Ltd</t>
        </is>
      </c>
      <c r="D2097" t="n">
        <v>2024</v>
      </c>
      <c r="E2097" t="n">
        <v>924.2999877929688</v>
      </c>
      <c r="F2097" t="n">
        <v>55.93</v>
      </c>
      <c r="G2097" t="inlineStr">
        <is>
          <t>Consolidated first (v4) – needs verification for flagged rows</t>
        </is>
      </c>
      <c r="H2097" t="n">
        <v>1635</v>
      </c>
      <c r="I2097" t="n">
        <v>1181.050048828125</v>
      </c>
      <c r="L2097" t="inlineStr">
        <is>
          <t>OK</t>
        </is>
      </c>
      <c r="M2097" t="n">
        <v>29.23</v>
      </c>
      <c r="N2097" t="n">
        <v>21.12</v>
      </c>
      <c r="O2097" t="n">
        <v>1400.55</v>
      </c>
      <c r="P2097" t="n">
        <v>1635</v>
      </c>
      <c r="Q2097" t="n">
        <v>0</v>
      </c>
      <c r="R2097" s="3" t="inlineStr">
        <is>
          <t>MISMATCH_NEEDS_CORRECTION</t>
        </is>
      </c>
      <c r="S2097" t="n">
        <v>1400.55</v>
      </c>
      <c r="T2097" t="inlineStr">
        <is>
          <t>30-07-2026 09:42 IST</t>
        </is>
      </c>
    </row>
    <row r="2098">
      <c r="A2098" t="n">
        <v>293</v>
      </c>
      <c r="B2098" t="n">
        <v>514448</v>
      </c>
      <c r="C2098" t="inlineStr">
        <is>
          <t>Jyoti Resins And Adhesives Ltd</t>
        </is>
      </c>
      <c r="D2098" t="n">
        <v>2025</v>
      </c>
      <c r="E2098" t="n">
        <v>924.2999877929688</v>
      </c>
      <c r="F2098" t="n">
        <v>61.56</v>
      </c>
      <c r="G2098" t="inlineStr">
        <is>
          <t>Consolidated first (v4) – needs verification for flagged rows</t>
        </is>
      </c>
      <c r="H2098" t="n">
        <v>1570</v>
      </c>
      <c r="I2098" t="n">
        <v>1010.599975585938</v>
      </c>
      <c r="L2098" t="inlineStr">
        <is>
          <t>OK</t>
        </is>
      </c>
      <c r="M2098" t="n">
        <v>25.5</v>
      </c>
      <c r="N2098" t="n">
        <v>16.42</v>
      </c>
      <c r="O2098" t="n">
        <v>1400.55</v>
      </c>
      <c r="P2098" t="n">
        <v>1635</v>
      </c>
      <c r="Q2098" t="n">
        <v>0</v>
      </c>
      <c r="R2098" s="3" t="inlineStr">
        <is>
          <t>MISMATCH_NEEDS_CORRECTION</t>
        </is>
      </c>
      <c r="S2098" t="n">
        <v>1400.55</v>
      </c>
      <c r="T2098" t="inlineStr">
        <is>
          <t>30-07-2026 09:42 IST</t>
        </is>
      </c>
    </row>
    <row r="2099">
      <c r="A2099" t="n">
        <v>293</v>
      </c>
      <c r="B2099" t="n">
        <v>514448</v>
      </c>
      <c r="C2099" t="inlineStr">
        <is>
          <t>Jyoti Resins And Adhesives Ltd</t>
        </is>
      </c>
      <c r="D2099" t="n">
        <v>2026</v>
      </c>
      <c r="E2099" t="n">
        <v>924.2999877929688</v>
      </c>
      <c r="F2099" t="n">
        <v>58.32</v>
      </c>
      <c r="G2099" t="inlineStr">
        <is>
          <t>Consolidated first (v4) – needs verification for flagged rows</t>
        </is>
      </c>
      <c r="H2099" t="n">
        <v>1220.949951171875</v>
      </c>
      <c r="I2099" t="n">
        <v>700</v>
      </c>
      <c r="L2099" t="inlineStr">
        <is>
          <t>OK</t>
        </is>
      </c>
      <c r="M2099" t="n">
        <v>20.94</v>
      </c>
      <c r="N2099" t="n">
        <v>12</v>
      </c>
      <c r="O2099" t="n">
        <v>1400.55</v>
      </c>
      <c r="P2099" t="n">
        <v>1635</v>
      </c>
      <c r="Q2099" t="n">
        <v>0</v>
      </c>
      <c r="R2099" s="3" t="inlineStr">
        <is>
          <t>MISMATCH_NEEDS_CORRECTION</t>
        </is>
      </c>
      <c r="S2099" t="n">
        <v>1400.55</v>
      </c>
      <c r="T2099" t="inlineStr">
        <is>
          <t>30-07-2026 09:42 IST</t>
        </is>
      </c>
    </row>
    <row r="2100">
      <c r="A2100" t="n">
        <v>294</v>
      </c>
      <c r="B2100" t="n">
        <v>514460</v>
      </c>
      <c r="C2100" t="inlineStr">
        <is>
          <t>Saint Gobain Sekurit India Ltd</t>
        </is>
      </c>
      <c r="D2100" t="n">
        <v>2015</v>
      </c>
      <c r="E2100" t="n">
        <v>15.75</v>
      </c>
      <c r="G2100" t="inlineStr">
        <is>
          <t>Consolidated first (v4) – needs verification for flagged rows</t>
        </is>
      </c>
      <c r="H2100" t="n">
        <v>1.940000057220459</v>
      </c>
      <c r="I2100" t="n">
        <v>1.480000019073486</v>
      </c>
      <c r="L2100" t="inlineStr">
        <is>
          <t>INCOMPLETE</t>
        </is>
      </c>
      <c r="O2100" t="n">
        <v>17.64</v>
      </c>
      <c r="P2100" t="n">
        <v>109.2</v>
      </c>
      <c r="Q2100" t="n">
        <v>5.2</v>
      </c>
      <c r="R2100" s="3" t="inlineStr">
        <is>
          <t>MISMATCH_NEEDS_CORRECTION</t>
        </is>
      </c>
      <c r="S2100" t="n">
        <v>17.64</v>
      </c>
      <c r="T2100" t="inlineStr">
        <is>
          <t>30-07-2026 09:42 IST</t>
        </is>
      </c>
    </row>
    <row r="2101">
      <c r="A2101" t="n">
        <v>294</v>
      </c>
      <c r="B2101" t="n">
        <v>514460</v>
      </c>
      <c r="C2101" t="inlineStr">
        <is>
          <t>Saint Gobain Sekurit India Ltd</t>
        </is>
      </c>
      <c r="D2101" t="n">
        <v>2016</v>
      </c>
      <c r="E2101" t="n">
        <v>15.75</v>
      </c>
      <c r="G2101" t="inlineStr">
        <is>
          <t>Consolidated first (v4) – needs verification for flagged rows</t>
        </is>
      </c>
      <c r="H2101" t="n">
        <v>3.099999904632568</v>
      </c>
      <c r="I2101" t="n">
        <v>1.259999990463257</v>
      </c>
      <c r="L2101" t="inlineStr">
        <is>
          <t>INCOMPLETE</t>
        </is>
      </c>
      <c r="O2101" t="n">
        <v>17.64</v>
      </c>
      <c r="P2101" t="n">
        <v>109.2</v>
      </c>
      <c r="Q2101" t="n">
        <v>5.2</v>
      </c>
      <c r="R2101" s="3" t="inlineStr">
        <is>
          <t>MISMATCH_NEEDS_CORRECTION</t>
        </is>
      </c>
      <c r="S2101" t="n">
        <v>17.64</v>
      </c>
      <c r="T2101" t="inlineStr">
        <is>
          <t>30-07-2026 09:42 IST</t>
        </is>
      </c>
    </row>
    <row r="2102">
      <c r="A2102" t="n">
        <v>294</v>
      </c>
      <c r="B2102" t="n">
        <v>514460</v>
      </c>
      <c r="C2102" t="inlineStr">
        <is>
          <t>Saint Gobain Sekurit India Ltd</t>
        </is>
      </c>
      <c r="D2102" t="n">
        <v>2017</v>
      </c>
      <c r="E2102" t="n">
        <v>15.75</v>
      </c>
      <c r="F2102" t="n">
        <v>0.02</v>
      </c>
      <c r="G2102" t="inlineStr">
        <is>
          <t>Consolidated first (v4) – needs verification for flagged rows</t>
        </is>
      </c>
      <c r="H2102" t="n">
        <v>5.420000076293945</v>
      </c>
      <c r="I2102" t="n">
        <v>2.349999904632568</v>
      </c>
      <c r="L2102" t="inlineStr">
        <is>
          <t>UNVERIFIED – tiny EPS &lt;0.5</t>
        </is>
      </c>
      <c r="M2102" t="n">
        <v>271</v>
      </c>
      <c r="N2102" t="n">
        <v>117.5</v>
      </c>
      <c r="O2102" t="n">
        <v>17.64</v>
      </c>
      <c r="P2102" t="n">
        <v>109.2</v>
      </c>
      <c r="Q2102" t="n">
        <v>5.2</v>
      </c>
      <c r="R2102" s="3" t="inlineStr">
        <is>
          <t>MISMATCH_NEEDS_CORRECTION</t>
        </is>
      </c>
      <c r="S2102" t="n">
        <v>17.64</v>
      </c>
      <c r="T2102" t="inlineStr">
        <is>
          <t>30-07-2026 09:42 IST</t>
        </is>
      </c>
    </row>
    <row r="2103">
      <c r="A2103" t="n">
        <v>294</v>
      </c>
      <c r="B2103" t="n">
        <v>514460</v>
      </c>
      <c r="C2103" t="inlineStr">
        <is>
          <t>Saint Gobain Sekurit India Ltd</t>
        </is>
      </c>
      <c r="D2103" t="n">
        <v>2018</v>
      </c>
      <c r="E2103" t="n">
        <v>15.75</v>
      </c>
      <c r="F2103" t="n">
        <v>-0.2</v>
      </c>
      <c r="G2103" t="inlineStr">
        <is>
          <t>Consolidated first (v4) – needs verification for flagged rows</t>
        </is>
      </c>
      <c r="H2103" t="n">
        <v>9.050000190734863</v>
      </c>
      <c r="I2103" t="n">
        <v>4.210000038146973</v>
      </c>
      <c r="L2103" t="inlineStr">
        <is>
          <t>UNVERIFIED – negative EPS</t>
        </is>
      </c>
      <c r="M2103" t="n">
        <v>-45.25</v>
      </c>
      <c r="N2103" t="n">
        <v>-21.05</v>
      </c>
      <c r="O2103" t="n">
        <v>17.64</v>
      </c>
      <c r="P2103" t="n">
        <v>109.2</v>
      </c>
      <c r="Q2103" t="n">
        <v>5.2</v>
      </c>
      <c r="R2103" s="3" t="inlineStr">
        <is>
          <t>MISMATCH_NEEDS_CORRECTION</t>
        </is>
      </c>
      <c r="S2103" t="n">
        <v>17.64</v>
      </c>
      <c r="T2103" t="inlineStr">
        <is>
          <t>30-07-2026 09:42 IST</t>
        </is>
      </c>
    </row>
    <row r="2104">
      <c r="A2104" t="n">
        <v>294</v>
      </c>
      <c r="B2104" t="n">
        <v>514460</v>
      </c>
      <c r="C2104" t="inlineStr">
        <is>
          <t>Saint Gobain Sekurit India Ltd</t>
        </is>
      </c>
      <c r="D2104" t="n">
        <v>2019</v>
      </c>
      <c r="E2104" t="n">
        <v>15.75</v>
      </c>
      <c r="F2104" t="n">
        <v>-0.02</v>
      </c>
      <c r="G2104" t="inlineStr">
        <is>
          <t>Consolidated first (v4) – needs verification for flagged rows</t>
        </is>
      </c>
      <c r="H2104" t="n">
        <v>9.800000190734863</v>
      </c>
      <c r="I2104" t="n">
        <v>2.849999904632568</v>
      </c>
      <c r="L2104" t="inlineStr">
        <is>
          <t>UNVERIFIED – negative EPS</t>
        </is>
      </c>
      <c r="M2104" t="n">
        <v>-490</v>
      </c>
      <c r="N2104" t="n">
        <v>-142.5</v>
      </c>
      <c r="O2104" t="n">
        <v>17.64</v>
      </c>
      <c r="P2104" t="n">
        <v>109.2</v>
      </c>
      <c r="Q2104" t="n">
        <v>5.2</v>
      </c>
      <c r="R2104" s="3" t="inlineStr">
        <is>
          <t>MISMATCH_NEEDS_CORRECTION</t>
        </is>
      </c>
      <c r="S2104" t="n">
        <v>17.64</v>
      </c>
      <c r="T2104" t="inlineStr">
        <is>
          <t>30-07-2026 09:42 IST</t>
        </is>
      </c>
    </row>
    <row r="2105">
      <c r="A2105" t="n">
        <v>294</v>
      </c>
      <c r="B2105" t="n">
        <v>514460</v>
      </c>
      <c r="C2105" t="inlineStr">
        <is>
          <t>Saint Gobain Sekurit India Ltd</t>
        </is>
      </c>
      <c r="D2105" t="n">
        <v>2020</v>
      </c>
      <c r="E2105" t="n">
        <v>15.75</v>
      </c>
      <c r="F2105" t="n">
        <v>-0.02</v>
      </c>
      <c r="G2105" t="inlineStr">
        <is>
          <t>Consolidated first (v4) – needs verification for flagged rows</t>
        </is>
      </c>
      <c r="H2105" t="n">
        <v>6.369999885559082</v>
      </c>
      <c r="I2105" t="n">
        <v>3.190000057220459</v>
      </c>
      <c r="L2105" t="inlineStr">
        <is>
          <t>UNVERIFIED – negative EPS</t>
        </is>
      </c>
      <c r="M2105" t="n">
        <v>-318.5</v>
      </c>
      <c r="N2105" t="n">
        <v>-159.5</v>
      </c>
      <c r="O2105" t="n">
        <v>17.64</v>
      </c>
      <c r="P2105" t="n">
        <v>109.2</v>
      </c>
      <c r="Q2105" t="n">
        <v>5.2</v>
      </c>
      <c r="R2105" s="3" t="inlineStr">
        <is>
          <t>MISMATCH_NEEDS_CORRECTION</t>
        </is>
      </c>
      <c r="S2105" t="n">
        <v>17.64</v>
      </c>
      <c r="T2105" t="inlineStr">
        <is>
          <t>30-07-2026 09:42 IST</t>
        </is>
      </c>
    </row>
    <row r="2106">
      <c r="A2106" t="n">
        <v>294</v>
      </c>
      <c r="B2106" t="n">
        <v>514460</v>
      </c>
      <c r="C2106" t="inlineStr">
        <is>
          <t>Saint Gobain Sekurit India Ltd</t>
        </is>
      </c>
      <c r="D2106" t="n">
        <v>2021</v>
      </c>
      <c r="E2106" t="n">
        <v>15.75</v>
      </c>
      <c r="F2106" t="n">
        <v>0.02</v>
      </c>
      <c r="G2106" t="inlineStr">
        <is>
          <t>Consolidated first (v4) – needs verification for flagged rows</t>
        </is>
      </c>
      <c r="H2106" t="n">
        <v>10.3100004196167</v>
      </c>
      <c r="I2106" t="n">
        <v>3.420000076293945</v>
      </c>
      <c r="L2106" t="inlineStr">
        <is>
          <t>UNVERIFIED – tiny EPS &lt;0.5</t>
        </is>
      </c>
      <c r="M2106" t="n">
        <v>515.5</v>
      </c>
      <c r="N2106" t="n">
        <v>171</v>
      </c>
      <c r="O2106" t="n">
        <v>17.64</v>
      </c>
      <c r="P2106" t="n">
        <v>109.2</v>
      </c>
      <c r="Q2106" t="n">
        <v>5.2</v>
      </c>
      <c r="R2106" s="3" t="inlineStr">
        <is>
          <t>MISMATCH_NEEDS_CORRECTION</t>
        </is>
      </c>
      <c r="S2106" t="n">
        <v>17.64</v>
      </c>
      <c r="T2106" t="inlineStr">
        <is>
          <t>30-07-2026 09:42 IST</t>
        </is>
      </c>
    </row>
    <row r="2107">
      <c r="A2107" t="n">
        <v>294</v>
      </c>
      <c r="B2107" t="n">
        <v>514460</v>
      </c>
      <c r="C2107" t="inlineStr">
        <is>
          <t>Saint Gobain Sekurit India Ltd</t>
        </is>
      </c>
      <c r="D2107" t="n">
        <v>2022</v>
      </c>
      <c r="E2107" t="n">
        <v>15.75</v>
      </c>
      <c r="F2107" t="n">
        <v>-0.15</v>
      </c>
      <c r="G2107" t="inlineStr">
        <is>
          <t>Consolidated first (v4) – needs verification for flagged rows</t>
        </is>
      </c>
      <c r="H2107" t="n">
        <v>10.77000045776367</v>
      </c>
      <c r="I2107" t="n">
        <v>4.849999904632568</v>
      </c>
      <c r="L2107" t="inlineStr">
        <is>
          <t>UNVERIFIED – negative EPS</t>
        </is>
      </c>
      <c r="M2107" t="n">
        <v>-71.8</v>
      </c>
      <c r="N2107" t="n">
        <v>-32.33</v>
      </c>
      <c r="O2107" t="n">
        <v>17.64</v>
      </c>
      <c r="P2107" t="n">
        <v>109.2</v>
      </c>
      <c r="Q2107" t="n">
        <v>5.2</v>
      </c>
      <c r="R2107" s="3" t="inlineStr">
        <is>
          <t>MISMATCH_NEEDS_CORRECTION</t>
        </is>
      </c>
      <c r="S2107" t="n">
        <v>17.64</v>
      </c>
      <c r="T2107" t="inlineStr">
        <is>
          <t>30-07-2026 09:42 IST</t>
        </is>
      </c>
    </row>
    <row r="2108">
      <c r="A2108" t="n">
        <v>294</v>
      </c>
      <c r="B2108" t="n">
        <v>514460</v>
      </c>
      <c r="C2108" t="inlineStr">
        <is>
          <t>Saint Gobain Sekurit India Ltd</t>
        </is>
      </c>
      <c r="D2108" t="n">
        <v>2023</v>
      </c>
      <c r="E2108" t="n">
        <v>15.75</v>
      </c>
      <c r="F2108" t="n">
        <v>-0.62</v>
      </c>
      <c r="G2108" t="inlineStr">
        <is>
          <t>Consolidated first (v4) – needs verification for flagged rows</t>
        </is>
      </c>
      <c r="H2108" t="n">
        <v>7.480000019073486</v>
      </c>
      <c r="I2108" t="n">
        <v>5.28000020980835</v>
      </c>
      <c r="L2108" t="inlineStr">
        <is>
          <t>UNVERIFIED – negative EPS</t>
        </is>
      </c>
      <c r="M2108" t="n">
        <v>-12.06</v>
      </c>
      <c r="N2108" t="n">
        <v>-8.52</v>
      </c>
      <c r="O2108" t="n">
        <v>17.64</v>
      </c>
      <c r="P2108" t="n">
        <v>109.2</v>
      </c>
      <c r="Q2108" t="n">
        <v>5.2</v>
      </c>
      <c r="R2108" s="3" t="inlineStr">
        <is>
          <t>MISMATCH_NEEDS_CORRECTION</t>
        </is>
      </c>
      <c r="S2108" t="n">
        <v>17.64</v>
      </c>
      <c r="T2108" t="inlineStr">
        <is>
          <t>30-07-2026 09:42 IST</t>
        </is>
      </c>
    </row>
    <row r="2109">
      <c r="A2109" t="n">
        <v>294</v>
      </c>
      <c r="B2109" t="n">
        <v>514460</v>
      </c>
      <c r="C2109" t="inlineStr">
        <is>
          <t>Saint Gobain Sekurit India Ltd</t>
        </is>
      </c>
      <c r="D2109" t="n">
        <v>2024</v>
      </c>
      <c r="E2109" t="n">
        <v>15.75</v>
      </c>
      <c r="F2109" t="n">
        <v>-0.15</v>
      </c>
      <c r="G2109" t="inlineStr">
        <is>
          <t>Consolidated first (v4) – needs verification for flagged rows</t>
        </is>
      </c>
      <c r="H2109" t="n">
        <v>109.1999969482422</v>
      </c>
      <c r="I2109" t="n">
        <v>5.199999809265137</v>
      </c>
      <c r="L2109" t="inlineStr">
        <is>
          <t>UNVERIFIED – negative EPS</t>
        </is>
      </c>
      <c r="M2109" t="n">
        <v>-728</v>
      </c>
      <c r="N2109" t="n">
        <v>-34.67</v>
      </c>
      <c r="O2109" t="n">
        <v>17.64</v>
      </c>
      <c r="P2109" t="n">
        <v>109.2</v>
      </c>
      <c r="Q2109" t="n">
        <v>5.2</v>
      </c>
      <c r="R2109" s="3" t="inlineStr">
        <is>
          <t>MISMATCH_NEEDS_CORRECTION</t>
        </is>
      </c>
      <c r="S2109" t="n">
        <v>17.64</v>
      </c>
      <c r="T2109" t="inlineStr">
        <is>
          <t>30-07-2026 09:42 IST</t>
        </is>
      </c>
    </row>
    <row r="2110">
      <c r="A2110" t="n">
        <v>294</v>
      </c>
      <c r="B2110" t="n">
        <v>514460</v>
      </c>
      <c r="C2110" t="inlineStr">
        <is>
          <t>Saint Gobain Sekurit India Ltd</t>
        </is>
      </c>
      <c r="D2110" t="n">
        <v>2025</v>
      </c>
      <c r="E2110" t="n">
        <v>15.75</v>
      </c>
      <c r="F2110" t="n">
        <v>-0.3</v>
      </c>
      <c r="G2110" t="inlineStr">
        <is>
          <t>Consolidated first (v4) – needs verification for flagged rows</t>
        </is>
      </c>
      <c r="H2110" t="n">
        <v>47.59999847412109</v>
      </c>
      <c r="I2110" t="n">
        <v>22.29999923706055</v>
      </c>
      <c r="L2110" t="inlineStr">
        <is>
          <t>UNVERIFIED – negative EPS</t>
        </is>
      </c>
      <c r="M2110" t="n">
        <v>-158.67</v>
      </c>
      <c r="N2110" t="n">
        <v>-74.33</v>
      </c>
      <c r="O2110" t="n">
        <v>17.64</v>
      </c>
      <c r="P2110" t="n">
        <v>109.2</v>
      </c>
      <c r="Q2110" t="n">
        <v>5.2</v>
      </c>
      <c r="R2110" s="3" t="inlineStr">
        <is>
          <t>MISMATCH_NEEDS_CORRECTION</t>
        </is>
      </c>
      <c r="S2110" t="n">
        <v>17.64</v>
      </c>
      <c r="T2110" t="inlineStr">
        <is>
          <t>30-07-2026 09:42 IST</t>
        </is>
      </c>
    </row>
    <row r="2111">
      <c r="A2111" t="n">
        <v>294</v>
      </c>
      <c r="B2111" t="n">
        <v>514460</v>
      </c>
      <c r="C2111" t="inlineStr">
        <is>
          <t>Saint Gobain Sekurit India Ltd</t>
        </is>
      </c>
      <c r="D2111" t="n">
        <v>2026</v>
      </c>
      <c r="E2111" t="n">
        <v>15.75</v>
      </c>
      <c r="F2111" t="n">
        <v>-0.3</v>
      </c>
      <c r="G2111" t="inlineStr">
        <is>
          <t>Consolidated first (v4) – needs verification for flagged rows</t>
        </is>
      </c>
      <c r="H2111" t="n">
        <v>23</v>
      </c>
      <c r="I2111" t="n">
        <v>13.86999988555908</v>
      </c>
      <c r="L2111" t="inlineStr">
        <is>
          <t>UNVERIFIED – negative EPS</t>
        </is>
      </c>
      <c r="M2111" t="n">
        <v>-76.67</v>
      </c>
      <c r="N2111" t="n">
        <v>-46.23</v>
      </c>
      <c r="O2111" t="n">
        <v>17.64</v>
      </c>
      <c r="P2111" t="n">
        <v>109.2</v>
      </c>
      <c r="Q2111" t="n">
        <v>5.2</v>
      </c>
      <c r="R2111" s="3" t="inlineStr">
        <is>
          <t>MISMATCH_NEEDS_CORRECTION</t>
        </is>
      </c>
      <c r="S2111" t="n">
        <v>17.64</v>
      </c>
      <c r="T2111" t="inlineStr">
        <is>
          <t>30-07-2026 09:42 IST</t>
        </is>
      </c>
    </row>
    <row r="2112">
      <c r="A2112" t="n">
        <v>295</v>
      </c>
      <c r="B2112" t="n">
        <v>514470</v>
      </c>
      <c r="C2112" t="inlineStr">
        <is>
          <t>Winsome Yarns Ltd</t>
        </is>
      </c>
      <c r="D2112" t="n">
        <v>2015</v>
      </c>
      <c r="E2112" t="n">
        <v>94.87999725341797</v>
      </c>
      <c r="F2112" t="n">
        <v>6.52</v>
      </c>
      <c r="G2112" t="inlineStr">
        <is>
          <t>Consolidated first (v4) – needs verification for flagged rows</t>
        </is>
      </c>
      <c r="H2112" t="n">
        <v>76.80000305175781</v>
      </c>
      <c r="I2112" t="n">
        <v>29.10000038146973</v>
      </c>
      <c r="L2112" t="inlineStr">
        <is>
          <t>OK</t>
        </is>
      </c>
      <c r="M2112" t="n">
        <v>11.78</v>
      </c>
      <c r="N2112" t="n">
        <v>4.46</v>
      </c>
      <c r="O2112" t="n">
        <v>81.69</v>
      </c>
      <c r="P2112" t="n">
        <v>128</v>
      </c>
      <c r="Q2112" t="n">
        <v>63.11</v>
      </c>
      <c r="R2112" s="3" t="inlineStr">
        <is>
          <t>MISMATCH_NEEDS_CORRECTION</t>
        </is>
      </c>
      <c r="S2112" t="n">
        <v>81.69</v>
      </c>
      <c r="T2112" t="inlineStr">
        <is>
          <t>30-07-2026 09:42 IST</t>
        </is>
      </c>
    </row>
    <row r="2113">
      <c r="A2113" t="n">
        <v>295</v>
      </c>
      <c r="B2113" t="n">
        <v>514470</v>
      </c>
      <c r="C2113" t="inlineStr">
        <is>
          <t>Winsome Yarns Ltd</t>
        </is>
      </c>
      <c r="D2113" t="n">
        <v>2016</v>
      </c>
      <c r="E2113" t="n">
        <v>94.87999725341797</v>
      </c>
      <c r="F2113" t="n">
        <v>10.34</v>
      </c>
      <c r="G2113" t="inlineStr">
        <is>
          <t>Consolidated first (v4) – needs verification for flagged rows</t>
        </is>
      </c>
      <c r="H2113" t="n">
        <v>74.94999694824219</v>
      </c>
      <c r="I2113" t="n">
        <v>30.20000076293945</v>
      </c>
      <c r="L2113" t="inlineStr">
        <is>
          <t>OK</t>
        </is>
      </c>
      <c r="M2113" t="n">
        <v>7.25</v>
      </c>
      <c r="N2113" t="n">
        <v>2.92</v>
      </c>
      <c r="O2113" t="n">
        <v>81.69</v>
      </c>
      <c r="P2113" t="n">
        <v>128</v>
      </c>
      <c r="Q2113" t="n">
        <v>63.11</v>
      </c>
      <c r="R2113" s="3" t="inlineStr">
        <is>
          <t>MISMATCH_NEEDS_CORRECTION</t>
        </is>
      </c>
      <c r="S2113" t="n">
        <v>81.69</v>
      </c>
      <c r="T2113" t="inlineStr">
        <is>
          <t>30-07-2026 09:42 IST</t>
        </is>
      </c>
    </row>
    <row r="2114">
      <c r="A2114" t="n">
        <v>295</v>
      </c>
      <c r="B2114" t="n">
        <v>514470</v>
      </c>
      <c r="C2114" t="inlineStr">
        <is>
          <t>Winsome Yarns Ltd</t>
        </is>
      </c>
      <c r="D2114" t="n">
        <v>2017</v>
      </c>
      <c r="E2114" t="n">
        <v>94.87999725341797</v>
      </c>
      <c r="F2114" t="n">
        <v>11.02</v>
      </c>
      <c r="G2114" t="inlineStr">
        <is>
          <t>Consolidated first (v4) – needs verification for flagged rows</t>
        </is>
      </c>
      <c r="H2114" t="n">
        <v>128</v>
      </c>
      <c r="I2114" t="n">
        <v>55.29999923706055</v>
      </c>
      <c r="L2114" t="inlineStr">
        <is>
          <t>OK</t>
        </is>
      </c>
      <c r="M2114" t="n">
        <v>11.62</v>
      </c>
      <c r="N2114" t="n">
        <v>5.02</v>
      </c>
      <c r="O2114" t="n">
        <v>81.69</v>
      </c>
      <c r="P2114" t="n">
        <v>128</v>
      </c>
      <c r="Q2114" t="n">
        <v>63.11</v>
      </c>
      <c r="R2114" s="3" t="inlineStr">
        <is>
          <t>MISMATCH_NEEDS_CORRECTION</t>
        </is>
      </c>
      <c r="S2114" t="n">
        <v>81.69</v>
      </c>
      <c r="T2114" t="inlineStr">
        <is>
          <t>30-07-2026 09:42 IST</t>
        </is>
      </c>
    </row>
    <row r="2115">
      <c r="A2115" t="n">
        <v>295</v>
      </c>
      <c r="B2115" t="n">
        <v>514470</v>
      </c>
      <c r="C2115" t="inlineStr">
        <is>
          <t>Winsome Yarns Ltd</t>
        </is>
      </c>
      <c r="D2115" t="n">
        <v>2018</v>
      </c>
      <c r="E2115" t="n">
        <v>94.87999725341797</v>
      </c>
      <c r="F2115" t="n">
        <v>2.5</v>
      </c>
      <c r="G2115" t="inlineStr">
        <is>
          <t>Consolidated first (v4) – needs verification for flagged rows</t>
        </is>
      </c>
      <c r="H2115" t="n">
        <v>76.65000152587891</v>
      </c>
      <c r="I2115" t="n">
        <v>23.04999923706055</v>
      </c>
      <c r="L2115" t="inlineStr">
        <is>
          <t>OK</t>
        </is>
      </c>
      <c r="M2115" t="n">
        <v>30.66</v>
      </c>
      <c r="N2115" t="n">
        <v>9.220000000000001</v>
      </c>
      <c r="O2115" t="n">
        <v>81.69</v>
      </c>
      <c r="P2115" t="n">
        <v>128</v>
      </c>
      <c r="Q2115" t="n">
        <v>63.11</v>
      </c>
      <c r="R2115" s="3" t="inlineStr">
        <is>
          <t>MISMATCH_NEEDS_CORRECTION</t>
        </is>
      </c>
      <c r="S2115" t="n">
        <v>81.69</v>
      </c>
      <c r="T2115" t="inlineStr">
        <is>
          <t>30-07-2026 09:42 IST</t>
        </is>
      </c>
    </row>
    <row r="2116">
      <c r="A2116" t="n">
        <v>295</v>
      </c>
      <c r="B2116" t="n">
        <v>514470</v>
      </c>
      <c r="C2116" t="inlineStr">
        <is>
          <t>Winsome Yarns Ltd</t>
        </is>
      </c>
      <c r="D2116" t="n">
        <v>2019</v>
      </c>
      <c r="E2116" t="n">
        <v>94.87999725341797</v>
      </c>
      <c r="F2116" t="n">
        <v>6.12</v>
      </c>
      <c r="G2116" t="inlineStr">
        <is>
          <t>Consolidated first (v4) – needs verification for flagged rows</t>
        </is>
      </c>
      <c r="H2116" t="n">
        <v>32.45000076293945</v>
      </c>
      <c r="I2116" t="n">
        <v>16.20000076293945</v>
      </c>
      <c r="L2116" t="inlineStr">
        <is>
          <t>OK</t>
        </is>
      </c>
      <c r="M2116" t="n">
        <v>5.3</v>
      </c>
      <c r="N2116" t="n">
        <v>2.65</v>
      </c>
      <c r="O2116" t="n">
        <v>81.69</v>
      </c>
      <c r="P2116" t="n">
        <v>128</v>
      </c>
      <c r="Q2116" t="n">
        <v>63.11</v>
      </c>
      <c r="R2116" s="3" t="inlineStr">
        <is>
          <t>MISMATCH_NEEDS_CORRECTION</t>
        </is>
      </c>
      <c r="S2116" t="n">
        <v>81.69</v>
      </c>
      <c r="T2116" t="inlineStr">
        <is>
          <t>30-07-2026 09:42 IST</t>
        </is>
      </c>
    </row>
    <row r="2117">
      <c r="A2117" t="n">
        <v>295</v>
      </c>
      <c r="B2117" t="n">
        <v>514470</v>
      </c>
      <c r="C2117" t="inlineStr">
        <is>
          <t>Winsome Yarns Ltd</t>
        </is>
      </c>
      <c r="D2117" t="n">
        <v>2020</v>
      </c>
      <c r="E2117" t="n">
        <v>94.87999725341797</v>
      </c>
      <c r="F2117" t="n">
        <v>-1.47</v>
      </c>
      <c r="G2117" t="inlineStr">
        <is>
          <t>Consolidated first (v4) – needs verification for flagged rows</t>
        </is>
      </c>
      <c r="H2117" t="n">
        <v>25.67000007629395</v>
      </c>
      <c r="I2117" t="n">
        <v>11.13000011444092</v>
      </c>
      <c r="L2117" t="inlineStr">
        <is>
          <t>UNVERIFIED – negative EPS</t>
        </is>
      </c>
      <c r="M2117" t="n">
        <v>-17.46</v>
      </c>
      <c r="N2117" t="n">
        <v>-7.57</v>
      </c>
      <c r="O2117" t="n">
        <v>81.69</v>
      </c>
      <c r="P2117" t="n">
        <v>128</v>
      </c>
      <c r="Q2117" t="n">
        <v>63.11</v>
      </c>
      <c r="R2117" s="3" t="inlineStr">
        <is>
          <t>MISMATCH_NEEDS_CORRECTION</t>
        </is>
      </c>
      <c r="S2117" t="n">
        <v>81.69</v>
      </c>
      <c r="T2117" t="inlineStr">
        <is>
          <t>30-07-2026 09:42 IST</t>
        </is>
      </c>
    </row>
    <row r="2118">
      <c r="A2118" t="n">
        <v>295</v>
      </c>
      <c r="B2118" t="n">
        <v>514470</v>
      </c>
      <c r="C2118" t="inlineStr">
        <is>
          <t>Winsome Yarns Ltd</t>
        </is>
      </c>
      <c r="D2118" t="n">
        <v>2021</v>
      </c>
      <c r="E2118" t="n">
        <v>94.87999725341797</v>
      </c>
      <c r="F2118" t="n">
        <v>-0.61</v>
      </c>
      <c r="G2118" t="inlineStr">
        <is>
          <t>Consolidated first (v4) – needs verification for flagged rows</t>
        </is>
      </c>
      <c r="H2118" t="n">
        <v>88.5</v>
      </c>
      <c r="I2118" t="n">
        <v>24.39999961853027</v>
      </c>
      <c r="L2118" t="inlineStr">
        <is>
          <t>UNVERIFIED – negative EPS</t>
        </is>
      </c>
      <c r="M2118" t="n">
        <v>-145.08</v>
      </c>
      <c r="N2118" t="n">
        <v>-40</v>
      </c>
      <c r="O2118" t="n">
        <v>81.69</v>
      </c>
      <c r="P2118" t="n">
        <v>128</v>
      </c>
      <c r="Q2118" t="n">
        <v>63.11</v>
      </c>
      <c r="R2118" s="3" t="inlineStr">
        <is>
          <t>MISMATCH_NEEDS_CORRECTION</t>
        </is>
      </c>
      <c r="S2118" t="n">
        <v>81.69</v>
      </c>
      <c r="T2118" t="inlineStr">
        <is>
          <t>30-07-2026 09:42 IST</t>
        </is>
      </c>
    </row>
    <row r="2119">
      <c r="A2119" t="n">
        <v>295</v>
      </c>
      <c r="B2119" t="n">
        <v>514470</v>
      </c>
      <c r="C2119" t="inlineStr">
        <is>
          <t>Winsome Yarns Ltd</t>
        </is>
      </c>
      <c r="D2119" t="n">
        <v>2022</v>
      </c>
      <c r="E2119" t="n">
        <v>94.87999725341797</v>
      </c>
      <c r="F2119" t="n">
        <v>22.95</v>
      </c>
      <c r="G2119" t="inlineStr">
        <is>
          <t>Consolidated first (v4) – needs verification for flagged rows</t>
        </is>
      </c>
      <c r="H2119" t="n">
        <v>123.6999969482422</v>
      </c>
      <c r="I2119" t="n">
        <v>63</v>
      </c>
      <c r="L2119" t="inlineStr">
        <is>
          <t>OK</t>
        </is>
      </c>
      <c r="M2119" t="n">
        <v>5.39</v>
      </c>
      <c r="N2119" t="n">
        <v>2.75</v>
      </c>
      <c r="O2119" t="n">
        <v>81.69</v>
      </c>
      <c r="P2119" t="n">
        <v>128</v>
      </c>
      <c r="Q2119" t="n">
        <v>63.11</v>
      </c>
      <c r="R2119" s="3" t="inlineStr">
        <is>
          <t>MISMATCH_NEEDS_CORRECTION</t>
        </is>
      </c>
      <c r="S2119" t="n">
        <v>81.69</v>
      </c>
      <c r="T2119" t="inlineStr">
        <is>
          <t>30-07-2026 09:42 IST</t>
        </is>
      </c>
    </row>
    <row r="2120">
      <c r="A2120" t="n">
        <v>295</v>
      </c>
      <c r="B2120" t="n">
        <v>514470</v>
      </c>
      <c r="C2120" t="inlineStr">
        <is>
          <t>Winsome Yarns Ltd</t>
        </is>
      </c>
      <c r="D2120" t="n">
        <v>2023</v>
      </c>
      <c r="E2120" t="n">
        <v>94.87999725341797</v>
      </c>
      <c r="F2120" t="n">
        <v>12.37</v>
      </c>
      <c r="G2120" t="inlineStr">
        <is>
          <t>Consolidated first (v4) – needs verification for flagged rows</t>
        </is>
      </c>
      <c r="H2120" t="n">
        <v>84.05000305175781</v>
      </c>
      <c r="I2120" t="n">
        <v>40.06000137329102</v>
      </c>
      <c r="L2120" t="inlineStr">
        <is>
          <t>OK</t>
        </is>
      </c>
      <c r="M2120" t="n">
        <v>6.79</v>
      </c>
      <c r="N2120" t="n">
        <v>3.24</v>
      </c>
      <c r="O2120" t="n">
        <v>81.69</v>
      </c>
      <c r="P2120" t="n">
        <v>128</v>
      </c>
      <c r="Q2120" t="n">
        <v>63.11</v>
      </c>
      <c r="R2120" s="3" t="inlineStr">
        <is>
          <t>MISMATCH_NEEDS_CORRECTION</t>
        </is>
      </c>
      <c r="S2120" t="n">
        <v>81.69</v>
      </c>
      <c r="T2120" t="inlineStr">
        <is>
          <t>30-07-2026 09:42 IST</t>
        </is>
      </c>
    </row>
    <row r="2121">
      <c r="A2121" t="n">
        <v>295</v>
      </c>
      <c r="B2121" t="n">
        <v>514470</v>
      </c>
      <c r="C2121" t="inlineStr">
        <is>
          <t>Winsome Yarns Ltd</t>
        </is>
      </c>
      <c r="D2121" t="n">
        <v>2024</v>
      </c>
      <c r="E2121" t="n">
        <v>94.87999725341797</v>
      </c>
      <c r="F2121" t="n">
        <v>9.43</v>
      </c>
      <c r="G2121" t="inlineStr">
        <is>
          <t>Consolidated first (v4) – needs verification for flagged rows</t>
        </is>
      </c>
      <c r="H2121" t="n">
        <v>128</v>
      </c>
      <c r="I2121" t="n">
        <v>63.11000061035156</v>
      </c>
      <c r="L2121" t="inlineStr">
        <is>
          <t>OK</t>
        </is>
      </c>
      <c r="M2121" t="n">
        <v>13.57</v>
      </c>
      <c r="N2121" t="n">
        <v>6.69</v>
      </c>
      <c r="O2121" t="n">
        <v>81.69</v>
      </c>
      <c r="P2121" t="n">
        <v>128</v>
      </c>
      <c r="Q2121" t="n">
        <v>63.11</v>
      </c>
      <c r="R2121" s="3" t="inlineStr">
        <is>
          <t>MISMATCH_NEEDS_CORRECTION</t>
        </is>
      </c>
      <c r="S2121" t="n">
        <v>81.69</v>
      </c>
      <c r="T2121" t="inlineStr">
        <is>
          <t>30-07-2026 09:42 IST</t>
        </is>
      </c>
    </row>
    <row r="2122">
      <c r="A2122" t="n">
        <v>295</v>
      </c>
      <c r="B2122" t="n">
        <v>514470</v>
      </c>
      <c r="C2122" t="inlineStr">
        <is>
          <t>Winsome Yarns Ltd</t>
        </is>
      </c>
      <c r="D2122" t="n">
        <v>2025</v>
      </c>
      <c r="E2122" t="n">
        <v>94.87999725341797</v>
      </c>
      <c r="F2122" t="n">
        <v>14.16</v>
      </c>
      <c r="G2122" t="inlineStr">
        <is>
          <t>Consolidated first (v4) – needs verification for flagged rows</t>
        </is>
      </c>
      <c r="H2122" t="n">
        <v>122.4499969482422</v>
      </c>
      <c r="I2122" t="n">
        <v>74.98999786376953</v>
      </c>
      <c r="L2122" t="inlineStr">
        <is>
          <t>OK</t>
        </is>
      </c>
      <c r="M2122" t="n">
        <v>8.65</v>
      </c>
      <c r="N2122" t="n">
        <v>5.3</v>
      </c>
      <c r="O2122" t="n">
        <v>81.69</v>
      </c>
      <c r="P2122" t="n">
        <v>128</v>
      </c>
      <c r="Q2122" t="n">
        <v>63.11</v>
      </c>
      <c r="R2122" s="3" t="inlineStr">
        <is>
          <t>MISMATCH_NEEDS_CORRECTION</t>
        </is>
      </c>
      <c r="S2122" t="n">
        <v>81.69</v>
      </c>
      <c r="T2122" t="inlineStr">
        <is>
          <t>30-07-2026 09:42 IST</t>
        </is>
      </c>
    </row>
    <row r="2123">
      <c r="A2123" t="n">
        <v>295</v>
      </c>
      <c r="B2123" t="n">
        <v>514470</v>
      </c>
      <c r="C2123" t="inlineStr">
        <is>
          <t>Winsome Yarns Ltd</t>
        </is>
      </c>
      <c r="D2123" t="n">
        <v>2026</v>
      </c>
      <c r="E2123" t="n">
        <v>94.87999725341797</v>
      </c>
      <c r="F2123" t="n">
        <v>13.42</v>
      </c>
      <c r="G2123" t="inlineStr">
        <is>
          <t>Consolidated first (v4) – needs verification for flagged rows</t>
        </is>
      </c>
      <c r="H2123" t="n">
        <v>98.15000152587891</v>
      </c>
      <c r="I2123" t="n">
        <v>58.0099983215332</v>
      </c>
      <c r="L2123" t="inlineStr">
        <is>
          <t>OK</t>
        </is>
      </c>
      <c r="M2123" t="n">
        <v>7.31</v>
      </c>
      <c r="N2123" t="n">
        <v>4.32</v>
      </c>
      <c r="O2123" t="n">
        <v>81.69</v>
      </c>
      <c r="P2123" t="n">
        <v>128</v>
      </c>
      <c r="Q2123" t="n">
        <v>63.11</v>
      </c>
      <c r="R2123" s="3" t="inlineStr">
        <is>
          <t>MISMATCH_NEEDS_CORRECTION</t>
        </is>
      </c>
      <c r="S2123" t="n">
        <v>81.69</v>
      </c>
      <c r="T2123" t="inlineStr">
        <is>
          <t>30-07-2026 09:42 IST</t>
        </is>
      </c>
    </row>
    <row r="2124">
      <c r="A2124" t="n">
        <v>316</v>
      </c>
      <c r="B2124" t="n">
        <v>515127</v>
      </c>
      <c r="C2124" t="inlineStr">
        <is>
          <t>Rajasthan Tube Manufacturing Co Ltd</t>
        </is>
      </c>
      <c r="D2124" t="n">
        <v>2015</v>
      </c>
      <c r="E2124" t="n">
        <v>0.9700000286102295</v>
      </c>
      <c r="G2124" t="inlineStr">
        <is>
          <t>Consolidated first (v4) – needs verification for flagged rows</t>
        </is>
      </c>
      <c r="H2124" t="n">
        <v>2.099999904632568</v>
      </c>
      <c r="L2124" t="inlineStr">
        <is>
          <t>INCOMPLETE</t>
        </is>
      </c>
      <c r="O2124" t="n">
        <v>2.03</v>
      </c>
      <c r="P2124" t="n">
        <v>3.12</v>
      </c>
      <c r="Q2124" t="n">
        <v>1.9</v>
      </c>
      <c r="R2124" s="3" t="inlineStr">
        <is>
          <t>MISMATCH_NEEDS_CORRECTION</t>
        </is>
      </c>
      <c r="S2124" t="n">
        <v>2.03</v>
      </c>
      <c r="T2124" t="inlineStr">
        <is>
          <t>30-07-2026 09:42 IST</t>
        </is>
      </c>
    </row>
    <row r="2125">
      <c r="A2125" t="n">
        <v>316</v>
      </c>
      <c r="B2125" t="n">
        <v>515127</v>
      </c>
      <c r="C2125" t="inlineStr">
        <is>
          <t>Rajasthan Tube Manufacturing Co Ltd</t>
        </is>
      </c>
      <c r="D2125" t="n">
        <v>2016</v>
      </c>
      <c r="E2125" t="n">
        <v>0.9700000286102295</v>
      </c>
      <c r="G2125" t="inlineStr">
        <is>
          <t>Consolidated first (v4) – needs verification for flagged rows</t>
        </is>
      </c>
      <c r="H2125" t="n">
        <v>3.454999923706055</v>
      </c>
      <c r="I2125" t="n">
        <v>1.690000057220459</v>
      </c>
      <c r="L2125" t="inlineStr">
        <is>
          <t>INCOMPLETE</t>
        </is>
      </c>
      <c r="O2125" t="n">
        <v>2.03</v>
      </c>
      <c r="P2125" t="n">
        <v>3.12</v>
      </c>
      <c r="Q2125" t="n">
        <v>1.9</v>
      </c>
      <c r="R2125" s="3" t="inlineStr">
        <is>
          <t>MISMATCH_NEEDS_CORRECTION</t>
        </is>
      </c>
      <c r="S2125" t="n">
        <v>2.03</v>
      </c>
      <c r="T2125" t="inlineStr">
        <is>
          <t>30-07-2026 09:42 IST</t>
        </is>
      </c>
    </row>
    <row r="2126">
      <c r="A2126" t="n">
        <v>316</v>
      </c>
      <c r="B2126" t="n">
        <v>515127</v>
      </c>
      <c r="C2126" t="inlineStr">
        <is>
          <t>Rajasthan Tube Manufacturing Co Ltd</t>
        </is>
      </c>
      <c r="D2126" t="n">
        <v>2017</v>
      </c>
      <c r="E2126" t="n">
        <v>0.9700000286102295</v>
      </c>
      <c r="G2126" t="inlineStr">
        <is>
          <t>Consolidated first (v4) – needs verification for flagged rows</t>
        </is>
      </c>
      <c r="H2126" t="n">
        <v>11.25</v>
      </c>
      <c r="I2126" t="n">
        <v>3.519999980926514</v>
      </c>
      <c r="L2126" t="inlineStr">
        <is>
          <t>INCOMPLETE</t>
        </is>
      </c>
      <c r="O2126" t="n">
        <v>2.03</v>
      </c>
      <c r="P2126" t="n">
        <v>3.12</v>
      </c>
      <c r="Q2126" t="n">
        <v>1.9</v>
      </c>
      <c r="R2126" s="3" t="inlineStr">
        <is>
          <t>MISMATCH_NEEDS_CORRECTION</t>
        </is>
      </c>
      <c r="S2126" t="n">
        <v>2.03</v>
      </c>
      <c r="T2126" t="inlineStr">
        <is>
          <t>30-07-2026 09:42 IST</t>
        </is>
      </c>
    </row>
    <row r="2127">
      <c r="A2127" t="n">
        <v>316</v>
      </c>
      <c r="B2127" t="n">
        <v>515127</v>
      </c>
      <c r="C2127" t="inlineStr">
        <is>
          <t>Rajasthan Tube Manufacturing Co Ltd</t>
        </is>
      </c>
      <c r="D2127" t="n">
        <v>2018</v>
      </c>
      <c r="E2127" t="n">
        <v>0.9700000286102295</v>
      </c>
      <c r="G2127" t="inlineStr">
        <is>
          <t>Consolidated first (v4) – needs verification for flagged rows</t>
        </is>
      </c>
      <c r="H2127" t="n">
        <v>12.375</v>
      </c>
      <c r="I2127" t="n">
        <v>6</v>
      </c>
      <c r="L2127" t="inlineStr">
        <is>
          <t>INCOMPLETE</t>
        </is>
      </c>
      <c r="O2127" t="n">
        <v>2.03</v>
      </c>
      <c r="P2127" t="n">
        <v>3.12</v>
      </c>
      <c r="Q2127" t="n">
        <v>1.9</v>
      </c>
      <c r="R2127" s="3" t="inlineStr">
        <is>
          <t>MISMATCH_NEEDS_CORRECTION</t>
        </is>
      </c>
      <c r="S2127" t="n">
        <v>2.03</v>
      </c>
      <c r="T2127" t="inlineStr">
        <is>
          <t>30-07-2026 09:42 IST</t>
        </is>
      </c>
    </row>
    <row r="2128">
      <c r="A2128" t="n">
        <v>316</v>
      </c>
      <c r="B2128" t="n">
        <v>515127</v>
      </c>
      <c r="C2128" t="inlineStr">
        <is>
          <t>Rajasthan Tube Manufacturing Co Ltd</t>
        </is>
      </c>
      <c r="D2128" t="n">
        <v>2019</v>
      </c>
      <c r="E2128" t="n">
        <v>0.9700000286102295</v>
      </c>
      <c r="G2128" t="inlineStr">
        <is>
          <t>Consolidated first (v4) – needs verification for flagged rows</t>
        </is>
      </c>
      <c r="H2128" t="n">
        <v>10.35000038146973</v>
      </c>
      <c r="I2128" t="n">
        <v>2.869999885559082</v>
      </c>
      <c r="L2128" t="inlineStr">
        <is>
          <t>INCOMPLETE</t>
        </is>
      </c>
      <c r="O2128" t="n">
        <v>2.03</v>
      </c>
      <c r="P2128" t="n">
        <v>3.12</v>
      </c>
      <c r="Q2128" t="n">
        <v>1.9</v>
      </c>
      <c r="R2128" s="3" t="inlineStr">
        <is>
          <t>MISMATCH_NEEDS_CORRECTION</t>
        </is>
      </c>
      <c r="S2128" t="n">
        <v>2.03</v>
      </c>
      <c r="T2128" t="inlineStr">
        <is>
          <t>30-07-2026 09:42 IST</t>
        </is>
      </c>
    </row>
    <row r="2129">
      <c r="A2129" t="n">
        <v>316</v>
      </c>
      <c r="B2129" t="n">
        <v>515127</v>
      </c>
      <c r="C2129" t="inlineStr">
        <is>
          <t>Rajasthan Tube Manufacturing Co Ltd</t>
        </is>
      </c>
      <c r="D2129" t="n">
        <v>2020</v>
      </c>
      <c r="E2129" t="n">
        <v>0.9700000286102295</v>
      </c>
      <c r="G2129" t="inlineStr">
        <is>
          <t>Consolidated first (v4) – needs verification for flagged rows</t>
        </is>
      </c>
      <c r="H2129" t="n">
        <v>4.710000038146973</v>
      </c>
      <c r="I2129" t="n">
        <v>2.099999904632568</v>
      </c>
      <c r="L2129" t="inlineStr">
        <is>
          <t>INCOMPLETE</t>
        </is>
      </c>
      <c r="O2129" t="n">
        <v>2.03</v>
      </c>
      <c r="P2129" t="n">
        <v>3.12</v>
      </c>
      <c r="Q2129" t="n">
        <v>1.9</v>
      </c>
      <c r="R2129" s="3" t="inlineStr">
        <is>
          <t>MISMATCH_NEEDS_CORRECTION</t>
        </is>
      </c>
      <c r="S2129" t="n">
        <v>2.03</v>
      </c>
      <c r="T2129" t="inlineStr">
        <is>
          <t>30-07-2026 09:42 IST</t>
        </is>
      </c>
    </row>
    <row r="2130">
      <c r="A2130" t="n">
        <v>316</v>
      </c>
      <c r="B2130" t="n">
        <v>515127</v>
      </c>
      <c r="C2130" t="inlineStr">
        <is>
          <t>Rajasthan Tube Manufacturing Co Ltd</t>
        </is>
      </c>
      <c r="D2130" t="n">
        <v>2021</v>
      </c>
      <c r="E2130" t="n">
        <v>0.9700000286102295</v>
      </c>
      <c r="G2130" t="inlineStr">
        <is>
          <t>Consolidated first (v4) – needs verification for flagged rows</t>
        </is>
      </c>
      <c r="H2130" t="n">
        <v>7.75</v>
      </c>
      <c r="I2130" t="n">
        <v>1.789999961853027</v>
      </c>
      <c r="L2130" t="inlineStr">
        <is>
          <t>INCOMPLETE</t>
        </is>
      </c>
      <c r="O2130" t="n">
        <v>2.03</v>
      </c>
      <c r="P2130" t="n">
        <v>3.12</v>
      </c>
      <c r="Q2130" t="n">
        <v>1.9</v>
      </c>
      <c r="R2130" s="3" t="inlineStr">
        <is>
          <t>MISMATCH_NEEDS_CORRECTION</t>
        </is>
      </c>
      <c r="S2130" t="n">
        <v>2.03</v>
      </c>
      <c r="T2130" t="inlineStr">
        <is>
          <t>30-07-2026 09:42 IST</t>
        </is>
      </c>
    </row>
    <row r="2131">
      <c r="A2131" t="n">
        <v>316</v>
      </c>
      <c r="B2131" t="n">
        <v>515127</v>
      </c>
      <c r="C2131" t="inlineStr">
        <is>
          <t>Rajasthan Tube Manufacturing Co Ltd</t>
        </is>
      </c>
      <c r="D2131" t="n">
        <v>2022</v>
      </c>
      <c r="E2131" t="n">
        <v>0.9700000286102295</v>
      </c>
      <c r="G2131" t="inlineStr">
        <is>
          <t>Consolidated first (v4) – needs verification for flagged rows</t>
        </is>
      </c>
      <c r="H2131" t="n">
        <v>10.1899995803833</v>
      </c>
      <c r="I2131" t="n">
        <v>3.599999904632568</v>
      </c>
      <c r="L2131" t="inlineStr">
        <is>
          <t>INCOMPLETE</t>
        </is>
      </c>
      <c r="O2131" t="n">
        <v>2.03</v>
      </c>
      <c r="P2131" t="n">
        <v>3.12</v>
      </c>
      <c r="Q2131" t="n">
        <v>1.9</v>
      </c>
      <c r="R2131" s="3" t="inlineStr">
        <is>
          <t>MISMATCH_NEEDS_CORRECTION</t>
        </is>
      </c>
      <c r="S2131" t="n">
        <v>2.03</v>
      </c>
      <c r="T2131" t="inlineStr">
        <is>
          <t>30-07-2026 09:42 IST</t>
        </is>
      </c>
    </row>
    <row r="2132">
      <c r="A2132" t="n">
        <v>316</v>
      </c>
      <c r="B2132" t="n">
        <v>515127</v>
      </c>
      <c r="C2132" t="inlineStr">
        <is>
          <t>Rajasthan Tube Manufacturing Co Ltd</t>
        </is>
      </c>
      <c r="D2132" t="n">
        <v>2023</v>
      </c>
      <c r="E2132" t="n">
        <v>0.9700000286102295</v>
      </c>
      <c r="G2132" t="inlineStr">
        <is>
          <t>Consolidated first (v4) – needs verification for flagged rows</t>
        </is>
      </c>
      <c r="H2132" t="n">
        <v>4.78000020980835</v>
      </c>
      <c r="I2132" t="n">
        <v>2.559999942779541</v>
      </c>
      <c r="L2132" t="inlineStr">
        <is>
          <t>INCOMPLETE</t>
        </is>
      </c>
      <c r="O2132" t="n">
        <v>2.03</v>
      </c>
      <c r="P2132" t="n">
        <v>3.12</v>
      </c>
      <c r="Q2132" t="n">
        <v>1.9</v>
      </c>
      <c r="R2132" s="3" t="inlineStr">
        <is>
          <t>MISMATCH_NEEDS_CORRECTION</t>
        </is>
      </c>
      <c r="S2132" t="n">
        <v>2.03</v>
      </c>
      <c r="T2132" t="inlineStr">
        <is>
          <t>30-07-2026 09:42 IST</t>
        </is>
      </c>
    </row>
    <row r="2133">
      <c r="A2133" t="n">
        <v>316</v>
      </c>
      <c r="B2133" t="n">
        <v>515127</v>
      </c>
      <c r="C2133" t="inlineStr">
        <is>
          <t>Rajasthan Tube Manufacturing Co Ltd</t>
        </is>
      </c>
      <c r="D2133" t="n">
        <v>2024</v>
      </c>
      <c r="E2133" t="n">
        <v>0.9700000286102295</v>
      </c>
      <c r="G2133" t="inlineStr">
        <is>
          <t>Consolidated first (v4) – needs verification for flagged rows</t>
        </is>
      </c>
      <c r="H2133" t="n">
        <v>2.980000019073486</v>
      </c>
      <c r="I2133" t="n">
        <v>1.899999976158142</v>
      </c>
      <c r="L2133" t="inlineStr">
        <is>
          <t>INCOMPLETE</t>
        </is>
      </c>
      <c r="O2133" t="n">
        <v>2.03</v>
      </c>
      <c r="P2133" t="n">
        <v>3.12</v>
      </c>
      <c r="Q2133" t="n">
        <v>1.9</v>
      </c>
      <c r="R2133" s="3" t="inlineStr">
        <is>
          <t>MISMATCH_NEEDS_CORRECTION</t>
        </is>
      </c>
      <c r="S2133" t="n">
        <v>2.03</v>
      </c>
      <c r="T2133" t="inlineStr">
        <is>
          <t>30-07-2026 09:42 IST</t>
        </is>
      </c>
    </row>
    <row r="2134">
      <c r="A2134" t="n">
        <v>316</v>
      </c>
      <c r="B2134" t="n">
        <v>515127</v>
      </c>
      <c r="C2134" t="inlineStr">
        <is>
          <t>Rajasthan Tube Manufacturing Co Ltd</t>
        </is>
      </c>
      <c r="D2134" t="n">
        <v>2025</v>
      </c>
      <c r="E2134" t="n">
        <v>0.9700000286102295</v>
      </c>
      <c r="G2134" t="inlineStr">
        <is>
          <t>Consolidated first (v4) – needs verification for flagged rows</t>
        </is>
      </c>
      <c r="H2134" t="n">
        <v>3.599999904632568</v>
      </c>
      <c r="I2134" t="n">
        <v>1.350000023841858</v>
      </c>
      <c r="L2134" t="inlineStr">
        <is>
          <t>INCOMPLETE</t>
        </is>
      </c>
      <c r="O2134" t="n">
        <v>2.03</v>
      </c>
      <c r="P2134" t="n">
        <v>3.12</v>
      </c>
      <c r="Q2134" t="n">
        <v>1.9</v>
      </c>
      <c r="R2134" s="3" t="inlineStr">
        <is>
          <t>MISMATCH_NEEDS_CORRECTION</t>
        </is>
      </c>
      <c r="S2134" t="n">
        <v>2.03</v>
      </c>
      <c r="T2134" t="inlineStr">
        <is>
          <t>30-07-2026 09:42 IST</t>
        </is>
      </c>
    </row>
    <row r="2135">
      <c r="A2135" t="n">
        <v>316</v>
      </c>
      <c r="B2135" t="n">
        <v>515127</v>
      </c>
      <c r="C2135" t="inlineStr">
        <is>
          <t>Rajasthan Tube Manufacturing Co Ltd</t>
        </is>
      </c>
      <c r="D2135" t="n">
        <v>2026</v>
      </c>
      <c r="E2135" t="n">
        <v>0.9700000286102295</v>
      </c>
      <c r="G2135" t="inlineStr">
        <is>
          <t>Consolidated first (v4) – needs verification for flagged rows</t>
        </is>
      </c>
      <c r="H2135" t="n">
        <v>1.350000023841858</v>
      </c>
      <c r="L2135" t="inlineStr">
        <is>
          <t>INCOMPLETE</t>
        </is>
      </c>
      <c r="O2135" t="n">
        <v>2.03</v>
      </c>
      <c r="P2135" t="n">
        <v>3.12</v>
      </c>
      <c r="Q2135" t="n">
        <v>1.9</v>
      </c>
      <c r="R2135" s="3" t="inlineStr">
        <is>
          <t>MISMATCH_NEEDS_CORRECTION</t>
        </is>
      </c>
      <c r="S2135" t="n">
        <v>2.03</v>
      </c>
      <c r="T2135" t="inlineStr">
        <is>
          <t>30-07-2026 09:42 IST</t>
        </is>
      </c>
    </row>
    <row r="2136">
      <c r="A2136" t="n">
        <v>317</v>
      </c>
      <c r="B2136" t="n">
        <v>515145</v>
      </c>
      <c r="C2136" t="inlineStr">
        <is>
          <t>Hindustan Everest Tools Ltd</t>
        </is>
      </c>
      <c r="D2136" t="n">
        <v>2015</v>
      </c>
      <c r="E2136" t="n">
        <v>8.880000114440918</v>
      </c>
      <c r="G2136" t="inlineStr">
        <is>
          <t>Consolidated first (v4) – needs verification for flagged rows</t>
        </is>
      </c>
      <c r="H2136" t="n">
        <v>135.9499969482422</v>
      </c>
      <c r="I2136" t="n">
        <v>80</v>
      </c>
      <c r="L2136" t="inlineStr">
        <is>
          <t>INCOMPLETE</t>
        </is>
      </c>
      <c r="O2136">
        <f>IFERROR(VLOOKUP(B2136,BSE_500_LIVE!A:E,3,FALSE),"")</f>
        <v/>
      </c>
      <c r="P2136">
        <f>IFERROR(VLOOKUP(B2136,BSE_500_LIVE!A:E,4,FALSE),"")</f>
        <v/>
      </c>
      <c r="Q2136">
        <f>IFERROR(VLOOKUP(B2136,BSE_500_LIVE!A:E,5,FALSE),"")</f>
        <v/>
      </c>
      <c r="R2136">
        <f>IF(OR(E2136="",O2136=""),"PENDING_FETCH",IF(ABS(E2136-O2136)/E2136&gt;0.005,"MISMATCH_NEEDS_CORRECTION","VERIFIED_OK"))</f>
        <v/>
      </c>
      <c r="S2136">
        <f>IF(O2136&lt;&gt;"",O2136,E2136)</f>
        <v/>
      </c>
      <c r="T2136">
        <f>IFERROR(VLOOKUP(B2136,BSE_500_LIVE!A:F,6,FALSE),"")</f>
        <v/>
      </c>
    </row>
    <row r="2137">
      <c r="A2137" t="n">
        <v>317</v>
      </c>
      <c r="B2137" t="n">
        <v>515145</v>
      </c>
      <c r="C2137" t="inlineStr">
        <is>
          <t>Hindustan Everest Tools Ltd</t>
        </is>
      </c>
      <c r="D2137" t="n">
        <v>2016</v>
      </c>
      <c r="E2137" t="n">
        <v>8.880000114440918</v>
      </c>
      <c r="G2137" t="inlineStr">
        <is>
          <t>Consolidated first (v4) – needs verification for flagged rows</t>
        </is>
      </c>
      <c r="H2137" t="n">
        <v>154.8000030517578</v>
      </c>
      <c r="I2137" t="n">
        <v>57.15000152587891</v>
      </c>
      <c r="L2137" t="inlineStr">
        <is>
          <t>INCOMPLETE</t>
        </is>
      </c>
      <c r="O2137">
        <f>IFERROR(VLOOKUP(B2137,BSE_500_LIVE!A:E,3,FALSE),"")</f>
        <v/>
      </c>
      <c r="P2137">
        <f>IFERROR(VLOOKUP(B2137,BSE_500_LIVE!A:E,4,FALSE),"")</f>
        <v/>
      </c>
      <c r="Q2137">
        <f>IFERROR(VLOOKUP(B2137,BSE_500_LIVE!A:E,5,FALSE),"")</f>
        <v/>
      </c>
      <c r="R2137">
        <f>IF(OR(E2137="",O2137=""),"PENDING_FETCH",IF(ABS(E2137-O2137)/E2137&gt;0.005,"MISMATCH_NEEDS_CORRECTION","VERIFIED_OK"))</f>
        <v/>
      </c>
      <c r="S2137">
        <f>IF(O2137&lt;&gt;"",O2137,E2137)</f>
        <v/>
      </c>
      <c r="T2137">
        <f>IFERROR(VLOOKUP(B2137,BSE_500_LIVE!A:F,6,FALSE),"")</f>
        <v/>
      </c>
    </row>
    <row r="2138">
      <c r="A2138" t="n">
        <v>317</v>
      </c>
      <c r="B2138" t="n">
        <v>515145</v>
      </c>
      <c r="C2138" t="inlineStr">
        <is>
          <t>Hindustan Everest Tools Ltd</t>
        </is>
      </c>
      <c r="D2138" t="n">
        <v>2017</v>
      </c>
      <c r="E2138" t="n">
        <v>8.880000114440918</v>
      </c>
      <c r="G2138" t="inlineStr">
        <is>
          <t>Consolidated first (v4) – needs verification for flagged rows</t>
        </is>
      </c>
      <c r="H2138" t="n">
        <v>184.8500061035156</v>
      </c>
      <c r="I2138" t="n">
        <v>74.19999694824219</v>
      </c>
      <c r="L2138" t="inlineStr">
        <is>
          <t>INCOMPLETE</t>
        </is>
      </c>
      <c r="O2138">
        <f>IFERROR(VLOOKUP(B2138,BSE_500_LIVE!A:E,3,FALSE),"")</f>
        <v/>
      </c>
      <c r="P2138">
        <f>IFERROR(VLOOKUP(B2138,BSE_500_LIVE!A:E,4,FALSE),"")</f>
        <v/>
      </c>
      <c r="Q2138">
        <f>IFERROR(VLOOKUP(B2138,BSE_500_LIVE!A:E,5,FALSE),"")</f>
        <v/>
      </c>
      <c r="R2138">
        <f>IF(OR(E2138="",O2138=""),"PENDING_FETCH",IF(ABS(E2138-O2138)/E2138&gt;0.005,"MISMATCH_NEEDS_CORRECTION","VERIFIED_OK"))</f>
        <v/>
      </c>
      <c r="S2138">
        <f>IF(O2138&lt;&gt;"",O2138,E2138)</f>
        <v/>
      </c>
      <c r="T2138">
        <f>IFERROR(VLOOKUP(B2138,BSE_500_LIVE!A:F,6,FALSE),"")</f>
        <v/>
      </c>
    </row>
    <row r="2139">
      <c r="A2139" t="n">
        <v>317</v>
      </c>
      <c r="B2139" t="n">
        <v>515145</v>
      </c>
      <c r="C2139" t="inlineStr">
        <is>
          <t>Hindustan Everest Tools Ltd</t>
        </is>
      </c>
      <c r="D2139" t="n">
        <v>2018</v>
      </c>
      <c r="E2139" t="n">
        <v>8.880000114440918</v>
      </c>
      <c r="G2139" t="inlineStr">
        <is>
          <t>Consolidated first (v4) – needs verification for flagged rows</t>
        </is>
      </c>
      <c r="H2139" t="n">
        <v>193.6000061035156</v>
      </c>
      <c r="I2139" t="n">
        <v>69.19999694824219</v>
      </c>
      <c r="L2139" t="inlineStr">
        <is>
          <t>INCOMPLETE</t>
        </is>
      </c>
      <c r="O2139">
        <f>IFERROR(VLOOKUP(B2139,BSE_500_LIVE!A:E,3,FALSE),"")</f>
        <v/>
      </c>
      <c r="P2139">
        <f>IFERROR(VLOOKUP(B2139,BSE_500_LIVE!A:E,4,FALSE),"")</f>
        <v/>
      </c>
      <c r="Q2139">
        <f>IFERROR(VLOOKUP(B2139,BSE_500_LIVE!A:E,5,FALSE),"")</f>
        <v/>
      </c>
      <c r="R2139">
        <f>IF(OR(E2139="",O2139=""),"PENDING_FETCH",IF(ABS(E2139-O2139)/E2139&gt;0.005,"MISMATCH_NEEDS_CORRECTION","VERIFIED_OK"))</f>
        <v/>
      </c>
      <c r="S2139">
        <f>IF(O2139&lt;&gt;"",O2139,E2139)</f>
        <v/>
      </c>
      <c r="T2139">
        <f>IFERROR(VLOOKUP(B2139,BSE_500_LIVE!A:F,6,FALSE),"")</f>
        <v/>
      </c>
    </row>
    <row r="2140">
      <c r="A2140" t="n">
        <v>317</v>
      </c>
      <c r="B2140" t="n">
        <v>515145</v>
      </c>
      <c r="C2140" t="inlineStr">
        <is>
          <t>Hindustan Everest Tools Ltd</t>
        </is>
      </c>
      <c r="D2140" t="n">
        <v>2019</v>
      </c>
      <c r="E2140" t="n">
        <v>8.880000114440918</v>
      </c>
      <c r="G2140" t="inlineStr">
        <is>
          <t>Consolidated first (v4) – needs verification for flagged rows</t>
        </is>
      </c>
      <c r="H2140" t="n">
        <v>116.9499969482422</v>
      </c>
      <c r="I2140" t="n">
        <v>17.35000038146973</v>
      </c>
      <c r="L2140" t="inlineStr">
        <is>
          <t>INCOMPLETE</t>
        </is>
      </c>
      <c r="O2140">
        <f>IFERROR(VLOOKUP(B2140,BSE_500_LIVE!A:E,3,FALSE),"")</f>
        <v/>
      </c>
      <c r="P2140">
        <f>IFERROR(VLOOKUP(B2140,BSE_500_LIVE!A:E,4,FALSE),"")</f>
        <v/>
      </c>
      <c r="Q2140">
        <f>IFERROR(VLOOKUP(B2140,BSE_500_LIVE!A:E,5,FALSE),"")</f>
        <v/>
      </c>
      <c r="R2140">
        <f>IF(OR(E2140="",O2140=""),"PENDING_FETCH",IF(ABS(E2140-O2140)/E2140&gt;0.005,"MISMATCH_NEEDS_CORRECTION","VERIFIED_OK"))</f>
        <v/>
      </c>
      <c r="S2140">
        <f>IF(O2140&lt;&gt;"",O2140,E2140)</f>
        <v/>
      </c>
      <c r="T2140">
        <f>IFERROR(VLOOKUP(B2140,BSE_500_LIVE!A:F,6,FALSE),"")</f>
        <v/>
      </c>
    </row>
    <row r="2141">
      <c r="A2141" t="n">
        <v>317</v>
      </c>
      <c r="B2141" t="n">
        <v>515145</v>
      </c>
      <c r="C2141" t="inlineStr">
        <is>
          <t>Hindustan Everest Tools Ltd</t>
        </is>
      </c>
      <c r="D2141" t="n">
        <v>2020</v>
      </c>
      <c r="E2141" t="n">
        <v>8.880000114440918</v>
      </c>
      <c r="G2141" t="inlineStr">
        <is>
          <t>Consolidated first (v4) – needs verification for flagged rows</t>
        </is>
      </c>
      <c r="H2141" t="n">
        <v>49</v>
      </c>
      <c r="I2141" t="n">
        <v>23.29999923706055</v>
      </c>
      <c r="L2141" t="inlineStr">
        <is>
          <t>INCOMPLETE</t>
        </is>
      </c>
      <c r="O2141">
        <f>IFERROR(VLOOKUP(B2141,BSE_500_LIVE!A:E,3,FALSE),"")</f>
        <v/>
      </c>
      <c r="P2141">
        <f>IFERROR(VLOOKUP(B2141,BSE_500_LIVE!A:E,4,FALSE),"")</f>
        <v/>
      </c>
      <c r="Q2141">
        <f>IFERROR(VLOOKUP(B2141,BSE_500_LIVE!A:E,5,FALSE),"")</f>
        <v/>
      </c>
      <c r="R2141">
        <f>IF(OR(E2141="",O2141=""),"PENDING_FETCH",IF(ABS(E2141-O2141)/E2141&gt;0.005,"MISMATCH_NEEDS_CORRECTION","VERIFIED_OK"))</f>
        <v/>
      </c>
      <c r="S2141">
        <f>IF(O2141&lt;&gt;"",O2141,E2141)</f>
        <v/>
      </c>
      <c r="T2141">
        <f>IFERROR(VLOOKUP(B2141,BSE_500_LIVE!A:F,6,FALSE),"")</f>
        <v/>
      </c>
    </row>
    <row r="2142">
      <c r="A2142" t="n">
        <v>317</v>
      </c>
      <c r="B2142" t="n">
        <v>515145</v>
      </c>
      <c r="C2142" t="inlineStr">
        <is>
          <t>Hindustan Everest Tools Ltd</t>
        </is>
      </c>
      <c r="D2142" t="n">
        <v>2021</v>
      </c>
      <c r="E2142" t="n">
        <v>8.880000114440918</v>
      </c>
      <c r="G2142" t="inlineStr">
        <is>
          <t>Consolidated first (v4) – needs verification for flagged rows</t>
        </is>
      </c>
      <c r="H2142" t="n">
        <v>53.20000076293945</v>
      </c>
      <c r="I2142" t="n">
        <v>24.5</v>
      </c>
      <c r="L2142" t="inlineStr">
        <is>
          <t>INCOMPLETE</t>
        </is>
      </c>
      <c r="O2142">
        <f>IFERROR(VLOOKUP(B2142,BSE_500_LIVE!A:E,3,FALSE),"")</f>
        <v/>
      </c>
      <c r="P2142">
        <f>IFERROR(VLOOKUP(B2142,BSE_500_LIVE!A:E,4,FALSE),"")</f>
        <v/>
      </c>
      <c r="Q2142">
        <f>IFERROR(VLOOKUP(B2142,BSE_500_LIVE!A:E,5,FALSE),"")</f>
        <v/>
      </c>
      <c r="R2142">
        <f>IF(OR(E2142="",O2142=""),"PENDING_FETCH",IF(ABS(E2142-O2142)/E2142&gt;0.005,"MISMATCH_NEEDS_CORRECTION","VERIFIED_OK"))</f>
        <v/>
      </c>
      <c r="S2142">
        <f>IF(O2142&lt;&gt;"",O2142,E2142)</f>
        <v/>
      </c>
      <c r="T2142">
        <f>IFERROR(VLOOKUP(B2142,BSE_500_LIVE!A:F,6,FALSE),"")</f>
        <v/>
      </c>
    </row>
    <row r="2143">
      <c r="A2143" t="n">
        <v>317</v>
      </c>
      <c r="B2143" t="n">
        <v>515145</v>
      </c>
      <c r="C2143" t="inlineStr">
        <is>
          <t>Hindustan Everest Tools Ltd</t>
        </is>
      </c>
      <c r="D2143" t="n">
        <v>2022</v>
      </c>
      <c r="E2143" t="n">
        <v>8.880000114440918</v>
      </c>
      <c r="G2143" t="inlineStr">
        <is>
          <t>Consolidated first (v4) – needs verification for flagged rows</t>
        </is>
      </c>
      <c r="H2143" t="n">
        <v>39.45000076293945</v>
      </c>
      <c r="I2143" t="n">
        <v>7.860000133514404</v>
      </c>
      <c r="L2143" t="inlineStr">
        <is>
          <t>INCOMPLETE</t>
        </is>
      </c>
      <c r="O2143">
        <f>IFERROR(VLOOKUP(B2143,BSE_500_LIVE!A:E,3,FALSE),"")</f>
        <v/>
      </c>
      <c r="P2143">
        <f>IFERROR(VLOOKUP(B2143,BSE_500_LIVE!A:E,4,FALSE),"")</f>
        <v/>
      </c>
      <c r="Q2143">
        <f>IFERROR(VLOOKUP(B2143,BSE_500_LIVE!A:E,5,FALSE),"")</f>
        <v/>
      </c>
      <c r="R2143">
        <f>IF(OR(E2143="",O2143=""),"PENDING_FETCH",IF(ABS(E2143-O2143)/E2143&gt;0.005,"MISMATCH_NEEDS_CORRECTION","VERIFIED_OK"))</f>
        <v/>
      </c>
      <c r="S2143">
        <f>IF(O2143&lt;&gt;"",O2143,E2143)</f>
        <v/>
      </c>
      <c r="T2143">
        <f>IFERROR(VLOOKUP(B2143,BSE_500_LIVE!A:F,6,FALSE),"")</f>
        <v/>
      </c>
    </row>
    <row r="2144">
      <c r="A2144" t="n">
        <v>317</v>
      </c>
      <c r="B2144" t="n">
        <v>515145</v>
      </c>
      <c r="C2144" t="inlineStr">
        <is>
          <t>Hindustan Everest Tools Ltd</t>
        </is>
      </c>
      <c r="D2144" t="n">
        <v>2023</v>
      </c>
      <c r="E2144" t="n">
        <v>8.880000114440918</v>
      </c>
      <c r="G2144" t="inlineStr">
        <is>
          <t>Consolidated first (v4) – needs verification for flagged rows</t>
        </is>
      </c>
      <c r="H2144" t="n">
        <v>25.23999977111816</v>
      </c>
      <c r="I2144" t="n">
        <v>7.550000190734863</v>
      </c>
      <c r="L2144" t="inlineStr">
        <is>
          <t>INCOMPLETE</t>
        </is>
      </c>
      <c r="O2144">
        <f>IFERROR(VLOOKUP(B2144,BSE_500_LIVE!A:E,3,FALSE),"")</f>
        <v/>
      </c>
      <c r="P2144">
        <f>IFERROR(VLOOKUP(B2144,BSE_500_LIVE!A:E,4,FALSE),"")</f>
        <v/>
      </c>
      <c r="Q2144">
        <f>IFERROR(VLOOKUP(B2144,BSE_500_LIVE!A:E,5,FALSE),"")</f>
        <v/>
      </c>
      <c r="R2144">
        <f>IF(OR(E2144="",O2144=""),"PENDING_FETCH",IF(ABS(E2144-O2144)/E2144&gt;0.005,"MISMATCH_NEEDS_CORRECTION","VERIFIED_OK"))</f>
        <v/>
      </c>
      <c r="S2144">
        <f>IF(O2144&lt;&gt;"",O2144,E2144)</f>
        <v/>
      </c>
      <c r="T2144">
        <f>IFERROR(VLOOKUP(B2144,BSE_500_LIVE!A:F,6,FALSE),"")</f>
        <v/>
      </c>
    </row>
    <row r="2145">
      <c r="A2145" t="n">
        <v>317</v>
      </c>
      <c r="B2145" t="n">
        <v>515145</v>
      </c>
      <c r="C2145" t="inlineStr">
        <is>
          <t>Hindustan Everest Tools Ltd</t>
        </is>
      </c>
      <c r="D2145" t="n">
        <v>2024</v>
      </c>
      <c r="E2145" t="n">
        <v>8.880000114440918</v>
      </c>
      <c r="G2145" t="inlineStr">
        <is>
          <t>Consolidated first (v4) – needs verification for flagged rows</t>
        </is>
      </c>
      <c r="H2145" t="n">
        <v>31.46999931335449</v>
      </c>
      <c r="I2145" t="n">
        <v>16.14999961853027</v>
      </c>
      <c r="L2145" t="inlineStr">
        <is>
          <t>INCOMPLETE</t>
        </is>
      </c>
      <c r="O2145">
        <f>IFERROR(VLOOKUP(B2145,BSE_500_LIVE!A:E,3,FALSE),"")</f>
        <v/>
      </c>
      <c r="P2145">
        <f>IFERROR(VLOOKUP(B2145,BSE_500_LIVE!A:E,4,FALSE),"")</f>
        <v/>
      </c>
      <c r="Q2145">
        <f>IFERROR(VLOOKUP(B2145,BSE_500_LIVE!A:E,5,FALSE),"")</f>
        <v/>
      </c>
      <c r="R2145">
        <f>IF(OR(E2145="",O2145=""),"PENDING_FETCH",IF(ABS(E2145-O2145)/E2145&gt;0.005,"MISMATCH_NEEDS_CORRECTION","VERIFIED_OK"))</f>
        <v/>
      </c>
      <c r="S2145">
        <f>IF(O2145&lt;&gt;"",O2145,E2145)</f>
        <v/>
      </c>
      <c r="T2145">
        <f>IFERROR(VLOOKUP(B2145,BSE_500_LIVE!A:F,6,FALSE),"")</f>
        <v/>
      </c>
    </row>
    <row r="2146">
      <c r="A2146" t="n">
        <v>317</v>
      </c>
      <c r="B2146" t="n">
        <v>515145</v>
      </c>
      <c r="C2146" t="inlineStr">
        <is>
          <t>Hindustan Everest Tools Ltd</t>
        </is>
      </c>
      <c r="D2146" t="n">
        <v>2025</v>
      </c>
      <c r="E2146" t="n">
        <v>8.880000114440918</v>
      </c>
      <c r="G2146" t="inlineStr">
        <is>
          <t>Consolidated first (v4) – needs verification for flagged rows</t>
        </is>
      </c>
      <c r="H2146" t="n">
        <v>27.04999923706055</v>
      </c>
      <c r="I2146" t="n">
        <v>8.880000114440918</v>
      </c>
      <c r="L2146" t="inlineStr">
        <is>
          <t>INCOMPLETE</t>
        </is>
      </c>
      <c r="O2146">
        <f>IFERROR(VLOOKUP(B2146,BSE_500_LIVE!A:E,3,FALSE),"")</f>
        <v/>
      </c>
      <c r="P2146">
        <f>IFERROR(VLOOKUP(B2146,BSE_500_LIVE!A:E,4,FALSE),"")</f>
        <v/>
      </c>
      <c r="Q2146">
        <f>IFERROR(VLOOKUP(B2146,BSE_500_LIVE!A:E,5,FALSE),"")</f>
        <v/>
      </c>
      <c r="R2146">
        <f>IF(OR(E2146="",O2146=""),"PENDING_FETCH",IF(ABS(E2146-O2146)/E2146&gt;0.005,"MISMATCH_NEEDS_CORRECTION","VERIFIED_OK"))</f>
        <v/>
      </c>
      <c r="S2146">
        <f>IF(O2146&lt;&gt;"",O2146,E2146)</f>
        <v/>
      </c>
      <c r="T2146">
        <f>IFERROR(VLOOKUP(B2146,BSE_500_LIVE!A:F,6,FALSE),"")</f>
        <v/>
      </c>
    </row>
    <row r="2147">
      <c r="A2147" t="n">
        <v>318</v>
      </c>
      <c r="B2147" t="n">
        <v>515147</v>
      </c>
      <c r="C2147" t="inlineStr">
        <is>
          <t>Hindustan Hardy Spicer Ltd</t>
        </is>
      </c>
      <c r="D2147" t="n">
        <v>2015</v>
      </c>
      <c r="E2147" t="n">
        <v>121.3000030517578</v>
      </c>
      <c r="G2147" t="inlineStr">
        <is>
          <t>Consolidated first (v4) – needs verification for flagged rows</t>
        </is>
      </c>
      <c r="H2147" t="n">
        <v>42.40000152587891</v>
      </c>
      <c r="L2147" t="inlineStr">
        <is>
          <t>INCOMPLETE</t>
        </is>
      </c>
      <c r="O2147" t="n">
        <v>130.95</v>
      </c>
      <c r="P2147" t="n">
        <v>188.9</v>
      </c>
      <c r="Q2147" t="n">
        <v>118.5</v>
      </c>
      <c r="R2147" s="3" t="inlineStr">
        <is>
          <t>MISMATCH_NEEDS_CORRECTION</t>
        </is>
      </c>
      <c r="S2147" t="n">
        <v>130.95</v>
      </c>
      <c r="T2147" t="inlineStr">
        <is>
          <t>30-07-2026 09:42 IST</t>
        </is>
      </c>
    </row>
    <row r="2148">
      <c r="A2148" t="n">
        <v>318</v>
      </c>
      <c r="B2148" t="n">
        <v>515147</v>
      </c>
      <c r="C2148" t="inlineStr">
        <is>
          <t>Hindustan Hardy Spicer Ltd</t>
        </is>
      </c>
      <c r="D2148" t="n">
        <v>2016</v>
      </c>
      <c r="E2148" t="n">
        <v>121.3000030517578</v>
      </c>
      <c r="F2148" t="n">
        <v>1.24</v>
      </c>
      <c r="G2148" t="inlineStr">
        <is>
          <t>Consolidated first (v4) – needs verification for flagged rows</t>
        </is>
      </c>
      <c r="H2148" t="n">
        <v>43.45000076293945</v>
      </c>
      <c r="I2148" t="n">
        <v>24</v>
      </c>
      <c r="L2148" t="inlineStr">
        <is>
          <t>OK</t>
        </is>
      </c>
      <c r="M2148" t="n">
        <v>35.04</v>
      </c>
      <c r="N2148" t="n">
        <v>19.35</v>
      </c>
      <c r="O2148" t="n">
        <v>130.95</v>
      </c>
      <c r="P2148" t="n">
        <v>188.9</v>
      </c>
      <c r="Q2148" t="n">
        <v>118.5</v>
      </c>
      <c r="R2148" s="3" t="inlineStr">
        <is>
          <t>MISMATCH_NEEDS_CORRECTION</t>
        </is>
      </c>
      <c r="S2148" t="n">
        <v>130.95</v>
      </c>
      <c r="T2148" t="inlineStr">
        <is>
          <t>30-07-2026 09:42 IST</t>
        </is>
      </c>
    </row>
    <row r="2149">
      <c r="A2149" t="n">
        <v>318</v>
      </c>
      <c r="B2149" t="n">
        <v>515147</v>
      </c>
      <c r="C2149" t="inlineStr">
        <is>
          <t>Hindustan Hardy Spicer Ltd</t>
        </is>
      </c>
      <c r="D2149" t="n">
        <v>2017</v>
      </c>
      <c r="E2149" t="n">
        <v>121.3000030517578</v>
      </c>
      <c r="F2149" t="n">
        <v>2</v>
      </c>
      <c r="G2149" t="inlineStr">
        <is>
          <t>Consolidated first (v4) – needs verification for flagged rows</t>
        </is>
      </c>
      <c r="H2149" t="n">
        <v>50.79999923706055</v>
      </c>
      <c r="I2149" t="n">
        <v>29.79999923706055</v>
      </c>
      <c r="L2149" t="inlineStr">
        <is>
          <t>OK</t>
        </is>
      </c>
      <c r="M2149" t="n">
        <v>25.4</v>
      </c>
      <c r="N2149" t="n">
        <v>14.9</v>
      </c>
      <c r="O2149" t="n">
        <v>130.95</v>
      </c>
      <c r="P2149" t="n">
        <v>188.9</v>
      </c>
      <c r="Q2149" t="n">
        <v>118.5</v>
      </c>
      <c r="R2149" s="3" t="inlineStr">
        <is>
          <t>MISMATCH_NEEDS_CORRECTION</t>
        </is>
      </c>
      <c r="S2149" t="n">
        <v>130.95</v>
      </c>
      <c r="T2149" t="inlineStr">
        <is>
          <t>30-07-2026 09:42 IST</t>
        </is>
      </c>
    </row>
    <row r="2150">
      <c r="A2150" t="n">
        <v>318</v>
      </c>
      <c r="B2150" t="n">
        <v>515147</v>
      </c>
      <c r="C2150" t="inlineStr">
        <is>
          <t>Hindustan Hardy Spicer Ltd</t>
        </is>
      </c>
      <c r="D2150" t="n">
        <v>2018</v>
      </c>
      <c r="E2150" t="n">
        <v>121.3000030517578</v>
      </c>
      <c r="F2150" t="n">
        <v>-0.09</v>
      </c>
      <c r="G2150" t="inlineStr">
        <is>
          <t>Consolidated first (v4) – needs verification for flagged rows</t>
        </is>
      </c>
      <c r="H2150" t="n">
        <v>54.95000076293945</v>
      </c>
      <c r="I2150" t="n">
        <v>28</v>
      </c>
      <c r="L2150" t="inlineStr">
        <is>
          <t>UNVERIFIED – negative EPS</t>
        </is>
      </c>
      <c r="M2150" t="n">
        <v>-610.5599999999999</v>
      </c>
      <c r="N2150" t="n">
        <v>-311.11</v>
      </c>
      <c r="O2150" t="n">
        <v>130.95</v>
      </c>
      <c r="P2150" t="n">
        <v>188.9</v>
      </c>
      <c r="Q2150" t="n">
        <v>118.5</v>
      </c>
      <c r="R2150" s="3" t="inlineStr">
        <is>
          <t>MISMATCH_NEEDS_CORRECTION</t>
        </is>
      </c>
      <c r="S2150" t="n">
        <v>130.95</v>
      </c>
      <c r="T2150" t="inlineStr">
        <is>
          <t>30-07-2026 09:42 IST</t>
        </is>
      </c>
    </row>
    <row r="2151">
      <c r="A2151" t="n">
        <v>318</v>
      </c>
      <c r="B2151" t="n">
        <v>515147</v>
      </c>
      <c r="C2151" t="inlineStr">
        <is>
          <t>Hindustan Hardy Spicer Ltd</t>
        </is>
      </c>
      <c r="D2151" t="n">
        <v>2019</v>
      </c>
      <c r="E2151" t="n">
        <v>121.3000030517578</v>
      </c>
      <c r="F2151" t="n">
        <v>1.03</v>
      </c>
      <c r="G2151" t="inlineStr">
        <is>
          <t>Consolidated first (v4) – needs verification for flagged rows</t>
        </is>
      </c>
      <c r="H2151" t="n">
        <v>38.79999923706055</v>
      </c>
      <c r="I2151" t="n">
        <v>20</v>
      </c>
      <c r="L2151" t="inlineStr">
        <is>
          <t>OK</t>
        </is>
      </c>
      <c r="M2151" t="n">
        <v>37.67</v>
      </c>
      <c r="N2151" t="n">
        <v>19.42</v>
      </c>
      <c r="O2151" t="n">
        <v>130.95</v>
      </c>
      <c r="P2151" t="n">
        <v>188.9</v>
      </c>
      <c r="Q2151" t="n">
        <v>118.5</v>
      </c>
      <c r="R2151" s="3" t="inlineStr">
        <is>
          <t>MISMATCH_NEEDS_CORRECTION</t>
        </is>
      </c>
      <c r="S2151" t="n">
        <v>130.95</v>
      </c>
      <c r="T2151" t="inlineStr">
        <is>
          <t>30-07-2026 09:42 IST</t>
        </is>
      </c>
    </row>
    <row r="2152">
      <c r="A2152" t="n">
        <v>318</v>
      </c>
      <c r="B2152" t="n">
        <v>515147</v>
      </c>
      <c r="C2152" t="inlineStr">
        <is>
          <t>Hindustan Hardy Spicer Ltd</t>
        </is>
      </c>
      <c r="D2152" t="n">
        <v>2020</v>
      </c>
      <c r="E2152" t="n">
        <v>121.3000030517578</v>
      </c>
      <c r="F2152" t="n">
        <v>1.53</v>
      </c>
      <c r="G2152" t="inlineStr">
        <is>
          <t>Consolidated first (v4) – needs verification for flagged rows</t>
        </is>
      </c>
      <c r="H2152" t="n">
        <v>40</v>
      </c>
      <c r="I2152" t="n">
        <v>16.60000038146973</v>
      </c>
      <c r="L2152" t="inlineStr">
        <is>
          <t>OK</t>
        </is>
      </c>
      <c r="M2152" t="n">
        <v>26.14</v>
      </c>
      <c r="N2152" t="n">
        <v>10.85</v>
      </c>
      <c r="O2152" t="n">
        <v>130.95</v>
      </c>
      <c r="P2152" t="n">
        <v>188.9</v>
      </c>
      <c r="Q2152" t="n">
        <v>118.5</v>
      </c>
      <c r="R2152" s="3" t="inlineStr">
        <is>
          <t>MISMATCH_NEEDS_CORRECTION</t>
        </is>
      </c>
      <c r="S2152" t="n">
        <v>130.95</v>
      </c>
      <c r="T2152" t="inlineStr">
        <is>
          <t>30-07-2026 09:42 IST</t>
        </is>
      </c>
    </row>
    <row r="2153">
      <c r="A2153" t="n">
        <v>318</v>
      </c>
      <c r="B2153" t="n">
        <v>515147</v>
      </c>
      <c r="C2153" t="inlineStr">
        <is>
          <t>Hindustan Hardy Spicer Ltd</t>
        </is>
      </c>
      <c r="D2153" t="n">
        <v>2021</v>
      </c>
      <c r="E2153" t="n">
        <v>121.3000030517578</v>
      </c>
      <c r="F2153" t="n">
        <v>1.39</v>
      </c>
      <c r="G2153" t="inlineStr">
        <is>
          <t>Consolidated first (v4) – needs verification for flagged rows</t>
        </is>
      </c>
      <c r="H2153" t="n">
        <v>50.95000076293945</v>
      </c>
      <c r="I2153" t="n">
        <v>28.10000038146973</v>
      </c>
      <c r="L2153" t="inlineStr">
        <is>
          <t>OK</t>
        </is>
      </c>
      <c r="M2153" t="n">
        <v>36.65</v>
      </c>
      <c r="N2153" t="n">
        <v>20.22</v>
      </c>
      <c r="O2153" t="n">
        <v>130.95</v>
      </c>
      <c r="P2153" t="n">
        <v>188.9</v>
      </c>
      <c r="Q2153" t="n">
        <v>118.5</v>
      </c>
      <c r="R2153" s="3" t="inlineStr">
        <is>
          <t>MISMATCH_NEEDS_CORRECTION</t>
        </is>
      </c>
      <c r="S2153" t="n">
        <v>130.95</v>
      </c>
      <c r="T2153" t="inlineStr">
        <is>
          <t>30-07-2026 09:42 IST</t>
        </is>
      </c>
    </row>
    <row r="2154">
      <c r="A2154" t="n">
        <v>318</v>
      </c>
      <c r="B2154" t="n">
        <v>515147</v>
      </c>
      <c r="C2154" t="inlineStr">
        <is>
          <t>Hindustan Hardy Spicer Ltd</t>
        </is>
      </c>
      <c r="D2154" t="n">
        <v>2022</v>
      </c>
      <c r="E2154" t="n">
        <v>121.3000030517578</v>
      </c>
      <c r="F2154" t="n">
        <v>2.2</v>
      </c>
      <c r="G2154" t="inlineStr">
        <is>
          <t>Consolidated first (v4) – needs verification for flagged rows</t>
        </is>
      </c>
      <c r="H2154" t="n">
        <v>80.94999694824219</v>
      </c>
      <c r="I2154" t="n">
        <v>33.29999923706055</v>
      </c>
      <c r="L2154" t="inlineStr">
        <is>
          <t>OK</t>
        </is>
      </c>
      <c r="M2154" t="n">
        <v>36.8</v>
      </c>
      <c r="N2154" t="n">
        <v>15.14</v>
      </c>
      <c r="O2154" t="n">
        <v>130.95</v>
      </c>
      <c r="P2154" t="n">
        <v>188.9</v>
      </c>
      <c r="Q2154" t="n">
        <v>118.5</v>
      </c>
      <c r="R2154" s="3" t="inlineStr">
        <is>
          <t>MISMATCH_NEEDS_CORRECTION</t>
        </is>
      </c>
      <c r="S2154" t="n">
        <v>130.95</v>
      </c>
      <c r="T2154" t="inlineStr">
        <is>
          <t>30-07-2026 09:42 IST</t>
        </is>
      </c>
    </row>
    <row r="2155">
      <c r="A2155" t="n">
        <v>318</v>
      </c>
      <c r="B2155" t="n">
        <v>515147</v>
      </c>
      <c r="C2155" t="inlineStr">
        <is>
          <t>Hindustan Hardy Spicer Ltd</t>
        </is>
      </c>
      <c r="D2155" t="n">
        <v>2023</v>
      </c>
      <c r="E2155" t="n">
        <v>121.3000030517578</v>
      </c>
      <c r="F2155" t="n">
        <v>5.01</v>
      </c>
      <c r="G2155" t="inlineStr">
        <is>
          <t>Consolidated first (v4) – needs verification for flagged rows</t>
        </is>
      </c>
      <c r="H2155" t="n">
        <v>160.5</v>
      </c>
      <c r="I2155" t="n">
        <v>55</v>
      </c>
      <c r="L2155" t="inlineStr">
        <is>
          <t>OK</t>
        </is>
      </c>
      <c r="M2155" t="n">
        <v>32.04</v>
      </c>
      <c r="N2155" t="n">
        <v>10.98</v>
      </c>
      <c r="O2155" t="n">
        <v>130.95</v>
      </c>
      <c r="P2155" t="n">
        <v>188.9</v>
      </c>
      <c r="Q2155" t="n">
        <v>118.5</v>
      </c>
      <c r="R2155" s="3" t="inlineStr">
        <is>
          <t>MISMATCH_NEEDS_CORRECTION</t>
        </is>
      </c>
      <c r="S2155" t="n">
        <v>130.95</v>
      </c>
      <c r="T2155" t="inlineStr">
        <is>
          <t>30-07-2026 09:42 IST</t>
        </is>
      </c>
    </row>
    <row r="2156">
      <c r="A2156" t="n">
        <v>318</v>
      </c>
      <c r="B2156" t="n">
        <v>515147</v>
      </c>
      <c r="C2156" t="inlineStr">
        <is>
          <t>Hindustan Hardy Spicer Ltd</t>
        </is>
      </c>
      <c r="D2156" t="n">
        <v>2024</v>
      </c>
      <c r="E2156" t="n">
        <v>121.3000030517578</v>
      </c>
      <c r="F2156" t="n">
        <v>4.57</v>
      </c>
      <c r="G2156" t="inlineStr">
        <is>
          <t>Consolidated first (v4) – needs verification for flagged rows</t>
        </is>
      </c>
      <c r="H2156" t="n">
        <v>188.8999938964844</v>
      </c>
      <c r="I2156" t="n">
        <v>118.5</v>
      </c>
      <c r="L2156" t="inlineStr">
        <is>
          <t>OK</t>
        </is>
      </c>
      <c r="M2156" t="n">
        <v>41.33</v>
      </c>
      <c r="N2156" t="n">
        <v>25.93</v>
      </c>
      <c r="O2156" t="n">
        <v>130.95</v>
      </c>
      <c r="P2156" t="n">
        <v>188.9</v>
      </c>
      <c r="Q2156" t="n">
        <v>118.5</v>
      </c>
      <c r="R2156" s="3" t="inlineStr">
        <is>
          <t>MISMATCH_NEEDS_CORRECTION</t>
        </is>
      </c>
      <c r="S2156" t="n">
        <v>130.95</v>
      </c>
      <c r="T2156" t="inlineStr">
        <is>
          <t>30-07-2026 09:42 IST</t>
        </is>
      </c>
    </row>
    <row r="2157">
      <c r="A2157" t="n">
        <v>318</v>
      </c>
      <c r="B2157" t="n">
        <v>515147</v>
      </c>
      <c r="C2157" t="inlineStr">
        <is>
          <t>Hindustan Hardy Spicer Ltd</t>
        </is>
      </c>
      <c r="D2157" t="n">
        <v>2025</v>
      </c>
      <c r="E2157" t="n">
        <v>121.3000030517578</v>
      </c>
      <c r="F2157" t="n">
        <v>3.5</v>
      </c>
      <c r="G2157" t="inlineStr">
        <is>
          <t>Consolidated first (v4) – needs verification for flagged rows</t>
        </is>
      </c>
      <c r="H2157" t="n">
        <v>154.6499938964844</v>
      </c>
      <c r="I2157" t="n">
        <v>84.01000213623047</v>
      </c>
      <c r="L2157" t="inlineStr">
        <is>
          <t>OK</t>
        </is>
      </c>
      <c r="M2157" t="n">
        <v>44.19</v>
      </c>
      <c r="N2157" t="n">
        <v>24</v>
      </c>
      <c r="O2157" t="n">
        <v>130.95</v>
      </c>
      <c r="P2157" t="n">
        <v>188.9</v>
      </c>
      <c r="Q2157" t="n">
        <v>118.5</v>
      </c>
      <c r="R2157" s="3" t="inlineStr">
        <is>
          <t>MISMATCH_NEEDS_CORRECTION</t>
        </is>
      </c>
      <c r="S2157" t="n">
        <v>130.95</v>
      </c>
      <c r="T2157" t="inlineStr">
        <is>
          <t>30-07-2026 09:42 IST</t>
        </is>
      </c>
    </row>
    <row r="2158">
      <c r="A2158" t="n">
        <v>318</v>
      </c>
      <c r="B2158" t="n">
        <v>515147</v>
      </c>
      <c r="C2158" t="inlineStr">
        <is>
          <t>Hindustan Hardy Spicer Ltd</t>
        </is>
      </c>
      <c r="D2158" t="n">
        <v>2026</v>
      </c>
      <c r="E2158" t="n">
        <v>121.3000030517578</v>
      </c>
      <c r="F2158" t="n">
        <v>4.61</v>
      </c>
      <c r="G2158" t="inlineStr">
        <is>
          <t>Consolidated first (v4) – needs verification for flagged rows</t>
        </is>
      </c>
      <c r="H2158" t="n">
        <v>134</v>
      </c>
      <c r="I2158" t="n">
        <v>70.40000152587891</v>
      </c>
      <c r="L2158" t="inlineStr">
        <is>
          <t>OK</t>
        </is>
      </c>
      <c r="M2158" t="n">
        <v>29.07</v>
      </c>
      <c r="N2158" t="n">
        <v>15.27</v>
      </c>
      <c r="O2158" t="n">
        <v>130.95</v>
      </c>
      <c r="P2158" t="n">
        <v>188.9</v>
      </c>
      <c r="Q2158" t="n">
        <v>118.5</v>
      </c>
      <c r="R2158" s="3" t="inlineStr">
        <is>
          <t>MISMATCH_NEEDS_CORRECTION</t>
        </is>
      </c>
      <c r="S2158" t="n">
        <v>130.95</v>
      </c>
      <c r="T2158" t="inlineStr">
        <is>
          <t>30-07-2026 09:42 IST</t>
        </is>
      </c>
    </row>
    <row r="2159">
      <c r="A2159" t="n">
        <v>334</v>
      </c>
      <c r="B2159" t="n">
        <v>516003</v>
      </c>
      <c r="C2159" t="inlineStr">
        <is>
          <t>Duroply Industries Ltd</t>
        </is>
      </c>
      <c r="D2159" t="n">
        <v>2015</v>
      </c>
      <c r="E2159" t="n">
        <v>103.75</v>
      </c>
      <c r="F2159" t="n">
        <v>-1.08</v>
      </c>
      <c r="G2159" t="inlineStr">
        <is>
          <t>Consolidated first (v4) – needs verification for flagged rows</t>
        </is>
      </c>
      <c r="H2159" t="n">
        <v>70</v>
      </c>
      <c r="I2159" t="n">
        <v>26.60000038146973</v>
      </c>
      <c r="L2159" t="inlineStr">
        <is>
          <t>UNVERIFIED – negative EPS</t>
        </is>
      </c>
      <c r="M2159" t="n">
        <v>-64.81</v>
      </c>
      <c r="N2159" t="n">
        <v>-24.63</v>
      </c>
      <c r="O2159" t="n">
        <v>275</v>
      </c>
      <c r="P2159" t="n">
        <v>369.8</v>
      </c>
      <c r="Q2159" t="n">
        <v>158.1</v>
      </c>
      <c r="R2159" s="3" t="inlineStr">
        <is>
          <t>MISMATCH_NEEDS_CORRECTION</t>
        </is>
      </c>
      <c r="S2159" t="n">
        <v>275</v>
      </c>
      <c r="T2159" t="inlineStr">
        <is>
          <t>30-07-2026 09:42 IST</t>
        </is>
      </c>
    </row>
    <row r="2160">
      <c r="A2160" t="n">
        <v>334</v>
      </c>
      <c r="B2160" t="n">
        <v>516003</v>
      </c>
      <c r="C2160" t="inlineStr">
        <is>
          <t>Duroply Industries Ltd</t>
        </is>
      </c>
      <c r="D2160" t="n">
        <v>2016</v>
      </c>
      <c r="E2160" t="n">
        <v>103.75</v>
      </c>
      <c r="F2160" t="n">
        <v>-12.71</v>
      </c>
      <c r="G2160" t="inlineStr">
        <is>
          <t>Consolidated first (v4) – needs verification for flagged rows</t>
        </is>
      </c>
      <c r="H2160" t="n">
        <v>154.3999938964844</v>
      </c>
      <c r="I2160" t="n">
        <v>38.04999923706055</v>
      </c>
      <c r="L2160" t="inlineStr">
        <is>
          <t>UNVERIFIED – negative EPS</t>
        </is>
      </c>
      <c r="M2160" t="n">
        <v>-12.15</v>
      </c>
      <c r="N2160" t="n">
        <v>-2.99</v>
      </c>
      <c r="O2160" t="n">
        <v>275</v>
      </c>
      <c r="P2160" t="n">
        <v>369.8</v>
      </c>
      <c r="Q2160" t="n">
        <v>158.1</v>
      </c>
      <c r="R2160" s="3" t="inlineStr">
        <is>
          <t>MISMATCH_NEEDS_CORRECTION</t>
        </is>
      </c>
      <c r="S2160" t="n">
        <v>275</v>
      </c>
      <c r="T2160" t="inlineStr">
        <is>
          <t>30-07-2026 09:42 IST</t>
        </is>
      </c>
    </row>
    <row r="2161">
      <c r="A2161" t="n">
        <v>334</v>
      </c>
      <c r="B2161" t="n">
        <v>516003</v>
      </c>
      <c r="C2161" t="inlineStr">
        <is>
          <t>Duroply Industries Ltd</t>
        </is>
      </c>
      <c r="D2161" t="n">
        <v>2017</v>
      </c>
      <c r="E2161" t="n">
        <v>103.75</v>
      </c>
      <c r="F2161" t="n">
        <v>-4.16</v>
      </c>
      <c r="G2161" t="inlineStr">
        <is>
          <t>Consolidated first (v4) – needs verification for flagged rows</t>
        </is>
      </c>
      <c r="H2161" t="n">
        <v>295</v>
      </c>
      <c r="I2161" t="n">
        <v>128.5</v>
      </c>
      <c r="L2161" t="inlineStr">
        <is>
          <t>UNVERIFIED – negative EPS</t>
        </is>
      </c>
      <c r="M2161" t="n">
        <v>-70.91</v>
      </c>
      <c r="N2161" t="n">
        <v>-30.89</v>
      </c>
      <c r="O2161" t="n">
        <v>275</v>
      </c>
      <c r="P2161" t="n">
        <v>369.8</v>
      </c>
      <c r="Q2161" t="n">
        <v>158.1</v>
      </c>
      <c r="R2161" s="3" t="inlineStr">
        <is>
          <t>MISMATCH_NEEDS_CORRECTION</t>
        </is>
      </c>
      <c r="S2161" t="n">
        <v>275</v>
      </c>
      <c r="T2161" t="inlineStr">
        <is>
          <t>30-07-2026 09:42 IST</t>
        </is>
      </c>
    </row>
    <row r="2162">
      <c r="A2162" t="n">
        <v>334</v>
      </c>
      <c r="B2162" t="n">
        <v>516003</v>
      </c>
      <c r="C2162" t="inlineStr">
        <is>
          <t>Duroply Industries Ltd</t>
        </is>
      </c>
      <c r="D2162" t="n">
        <v>2018</v>
      </c>
      <c r="E2162" t="n">
        <v>103.75</v>
      </c>
      <c r="F2162" t="n">
        <v>-10.51</v>
      </c>
      <c r="G2162" t="inlineStr">
        <is>
          <t>Consolidated first (v4) – needs verification for flagged rows</t>
        </is>
      </c>
      <c r="H2162" t="n">
        <v>197</v>
      </c>
      <c r="I2162" t="n">
        <v>71</v>
      </c>
      <c r="L2162" t="inlineStr">
        <is>
          <t>UNVERIFIED – negative EPS</t>
        </is>
      </c>
      <c r="M2162" t="n">
        <v>-18.74</v>
      </c>
      <c r="N2162" t="n">
        <v>-6.76</v>
      </c>
      <c r="O2162" t="n">
        <v>275</v>
      </c>
      <c r="P2162" t="n">
        <v>369.8</v>
      </c>
      <c r="Q2162" t="n">
        <v>158.1</v>
      </c>
      <c r="R2162" s="3" t="inlineStr">
        <is>
          <t>MISMATCH_NEEDS_CORRECTION</t>
        </is>
      </c>
      <c r="S2162" t="n">
        <v>275</v>
      </c>
      <c r="T2162" t="inlineStr">
        <is>
          <t>30-07-2026 09:42 IST</t>
        </is>
      </c>
    </row>
    <row r="2163">
      <c r="A2163" t="n">
        <v>334</v>
      </c>
      <c r="B2163" t="n">
        <v>516003</v>
      </c>
      <c r="C2163" t="inlineStr">
        <is>
          <t>Duroply Industries Ltd</t>
        </is>
      </c>
      <c r="D2163" t="n">
        <v>2019</v>
      </c>
      <c r="E2163" t="n">
        <v>103.75</v>
      </c>
      <c r="F2163" t="n">
        <v>1.52</v>
      </c>
      <c r="G2163" t="inlineStr">
        <is>
          <t>Consolidated first (v4) – needs verification for flagged rows</t>
        </is>
      </c>
      <c r="H2163" t="n">
        <v>102.8000030517578</v>
      </c>
      <c r="I2163" t="n">
        <v>45</v>
      </c>
      <c r="L2163" t="inlineStr">
        <is>
          <t>OK</t>
        </is>
      </c>
      <c r="M2163" t="n">
        <v>67.63</v>
      </c>
      <c r="N2163" t="n">
        <v>29.61</v>
      </c>
      <c r="O2163" t="n">
        <v>275</v>
      </c>
      <c r="P2163" t="n">
        <v>369.8</v>
      </c>
      <c r="Q2163" t="n">
        <v>158.1</v>
      </c>
      <c r="R2163" s="3" t="inlineStr">
        <is>
          <t>MISMATCH_NEEDS_CORRECTION</t>
        </is>
      </c>
      <c r="S2163" t="n">
        <v>275</v>
      </c>
      <c r="T2163" t="inlineStr">
        <is>
          <t>30-07-2026 09:42 IST</t>
        </is>
      </c>
    </row>
    <row r="2164">
      <c r="A2164" t="n">
        <v>334</v>
      </c>
      <c r="B2164" t="n">
        <v>516003</v>
      </c>
      <c r="C2164" t="inlineStr">
        <is>
          <t>Duroply Industries Ltd</t>
        </is>
      </c>
      <c r="D2164" t="n">
        <v>2020</v>
      </c>
      <c r="E2164" t="n">
        <v>103.75</v>
      </c>
      <c r="F2164" t="n">
        <v>-6.32</v>
      </c>
      <c r="G2164" t="inlineStr">
        <is>
          <t>Consolidated first (v4) – needs verification for flagged rows</t>
        </is>
      </c>
      <c r="H2164" t="n">
        <v>63</v>
      </c>
      <c r="I2164" t="n">
        <v>20</v>
      </c>
      <c r="L2164" t="inlineStr">
        <is>
          <t>UNVERIFIED – negative EPS</t>
        </is>
      </c>
      <c r="M2164" t="n">
        <v>-9.970000000000001</v>
      </c>
      <c r="N2164" t="n">
        <v>-3.16</v>
      </c>
      <c r="O2164" t="n">
        <v>275</v>
      </c>
      <c r="P2164" t="n">
        <v>369.8</v>
      </c>
      <c r="Q2164" t="n">
        <v>158.1</v>
      </c>
      <c r="R2164" s="3" t="inlineStr">
        <is>
          <t>MISMATCH_NEEDS_CORRECTION</t>
        </is>
      </c>
      <c r="S2164" t="n">
        <v>275</v>
      </c>
      <c r="T2164" t="inlineStr">
        <is>
          <t>30-07-2026 09:42 IST</t>
        </is>
      </c>
    </row>
    <row r="2165">
      <c r="A2165" t="n">
        <v>334</v>
      </c>
      <c r="B2165" t="n">
        <v>516003</v>
      </c>
      <c r="C2165" t="inlineStr">
        <is>
          <t>Duroply Industries Ltd</t>
        </is>
      </c>
      <c r="D2165" t="n">
        <v>2021</v>
      </c>
      <c r="E2165" t="n">
        <v>103.75</v>
      </c>
      <c r="F2165" t="n">
        <v>-3.79</v>
      </c>
      <c r="G2165" t="inlineStr">
        <is>
          <t>Consolidated first (v4) – needs verification for flagged rows</t>
        </is>
      </c>
      <c r="H2165" t="n">
        <v>155.3000030517578</v>
      </c>
      <c r="I2165" t="n">
        <v>42.25</v>
      </c>
      <c r="L2165" t="inlineStr">
        <is>
          <t>UNVERIFIED – negative EPS</t>
        </is>
      </c>
      <c r="M2165" t="n">
        <v>-40.98</v>
      </c>
      <c r="N2165" t="n">
        <v>-11.15</v>
      </c>
      <c r="O2165" t="n">
        <v>275</v>
      </c>
      <c r="P2165" t="n">
        <v>369.8</v>
      </c>
      <c r="Q2165" t="n">
        <v>158.1</v>
      </c>
      <c r="R2165" s="3" t="inlineStr">
        <is>
          <t>MISMATCH_NEEDS_CORRECTION</t>
        </is>
      </c>
      <c r="S2165" t="n">
        <v>275</v>
      </c>
      <c r="T2165" t="inlineStr">
        <is>
          <t>30-07-2026 09:42 IST</t>
        </is>
      </c>
    </row>
    <row r="2166">
      <c r="A2166" t="n">
        <v>334</v>
      </c>
      <c r="B2166" t="n">
        <v>516003</v>
      </c>
      <c r="C2166" t="inlineStr">
        <is>
          <t>Duroply Industries Ltd</t>
        </is>
      </c>
      <c r="D2166" t="n">
        <v>2022</v>
      </c>
      <c r="E2166" t="n">
        <v>103.75</v>
      </c>
      <c r="F2166" t="n">
        <v>-9.77</v>
      </c>
      <c r="G2166" t="inlineStr">
        <is>
          <t>Consolidated first (v4) – needs verification for flagged rows</t>
        </is>
      </c>
      <c r="H2166" t="n">
        <v>193</v>
      </c>
      <c r="I2166" t="n">
        <v>88.75</v>
      </c>
      <c r="L2166" t="inlineStr">
        <is>
          <t>UNVERIFIED – negative EPS</t>
        </is>
      </c>
      <c r="M2166" t="n">
        <v>-19.75</v>
      </c>
      <c r="N2166" t="n">
        <v>-9.08</v>
      </c>
      <c r="O2166" t="n">
        <v>275</v>
      </c>
      <c r="P2166" t="n">
        <v>369.8</v>
      </c>
      <c r="Q2166" t="n">
        <v>158.1</v>
      </c>
      <c r="R2166" s="3" t="inlineStr">
        <is>
          <t>MISMATCH_NEEDS_CORRECTION</t>
        </is>
      </c>
      <c r="S2166" t="n">
        <v>275</v>
      </c>
      <c r="T2166" t="inlineStr">
        <is>
          <t>30-07-2026 09:42 IST</t>
        </is>
      </c>
    </row>
    <row r="2167">
      <c r="A2167" t="n">
        <v>334</v>
      </c>
      <c r="B2167" t="n">
        <v>516003</v>
      </c>
      <c r="C2167" t="inlineStr">
        <is>
          <t>Duroply Industries Ltd</t>
        </is>
      </c>
      <c r="D2167" t="n">
        <v>2023</v>
      </c>
      <c r="E2167" t="n">
        <v>103.75</v>
      </c>
      <c r="F2167" t="n">
        <v>6.73</v>
      </c>
      <c r="G2167" t="inlineStr">
        <is>
          <t>Consolidated first (v4) – needs verification for flagged rows</t>
        </is>
      </c>
      <c r="H2167" t="n">
        <v>250</v>
      </c>
      <c r="I2167" t="n">
        <v>101</v>
      </c>
      <c r="L2167" t="inlineStr">
        <is>
          <t>OK</t>
        </is>
      </c>
      <c r="M2167" t="n">
        <v>37.15</v>
      </c>
      <c r="N2167" t="n">
        <v>15.01</v>
      </c>
      <c r="O2167" t="n">
        <v>275</v>
      </c>
      <c r="P2167" t="n">
        <v>369.8</v>
      </c>
      <c r="Q2167" t="n">
        <v>158.1</v>
      </c>
      <c r="R2167" s="3" t="inlineStr">
        <is>
          <t>MISMATCH_NEEDS_CORRECTION</t>
        </is>
      </c>
      <c r="S2167" t="n">
        <v>275</v>
      </c>
      <c r="T2167" t="inlineStr">
        <is>
          <t>30-07-2026 09:42 IST</t>
        </is>
      </c>
    </row>
    <row r="2168">
      <c r="A2168" t="n">
        <v>334</v>
      </c>
      <c r="B2168" t="n">
        <v>516003</v>
      </c>
      <c r="C2168" t="inlineStr">
        <is>
          <t>Duroply Industries Ltd</t>
        </is>
      </c>
      <c r="D2168" t="n">
        <v>2024</v>
      </c>
      <c r="E2168" t="n">
        <v>103.75</v>
      </c>
      <c r="F2168" t="n">
        <v>1.02</v>
      </c>
      <c r="G2168" t="inlineStr">
        <is>
          <t>Consolidated first (v4) – needs verification for flagged rows</t>
        </is>
      </c>
      <c r="H2168" t="n">
        <v>369.7999877929688</v>
      </c>
      <c r="I2168" t="n">
        <v>158.1000061035156</v>
      </c>
      <c r="L2168" t="inlineStr">
        <is>
          <t>OK</t>
        </is>
      </c>
      <c r="M2168" t="n">
        <v>362.55</v>
      </c>
      <c r="N2168" t="n">
        <v>155</v>
      </c>
      <c r="O2168" t="n">
        <v>275</v>
      </c>
      <c r="P2168" t="n">
        <v>369.8</v>
      </c>
      <c r="Q2168" t="n">
        <v>158.1</v>
      </c>
      <c r="R2168" s="3" t="inlineStr">
        <is>
          <t>MISMATCH_NEEDS_CORRECTION</t>
        </is>
      </c>
      <c r="S2168" t="n">
        <v>275</v>
      </c>
      <c r="T2168" t="inlineStr">
        <is>
          <t>30-07-2026 09:42 IST</t>
        </is>
      </c>
    </row>
    <row r="2169">
      <c r="A2169" t="n">
        <v>334</v>
      </c>
      <c r="B2169" t="n">
        <v>516003</v>
      </c>
      <c r="C2169" t="inlineStr">
        <is>
          <t>Duroply Industries Ltd</t>
        </is>
      </c>
      <c r="D2169" t="n">
        <v>2025</v>
      </c>
      <c r="E2169" t="n">
        <v>103.75</v>
      </c>
      <c r="F2169" t="n">
        <v>7.88</v>
      </c>
      <c r="G2169" t="inlineStr">
        <is>
          <t>Consolidated first (v4) – needs verification for flagged rows</t>
        </is>
      </c>
      <c r="H2169" t="n">
        <v>269.9500122070312</v>
      </c>
      <c r="I2169" t="n">
        <v>150.5</v>
      </c>
      <c r="L2169" t="inlineStr">
        <is>
          <t>OK</t>
        </is>
      </c>
      <c r="M2169" t="n">
        <v>34.26</v>
      </c>
      <c r="N2169" t="n">
        <v>19.1</v>
      </c>
      <c r="O2169" t="n">
        <v>275</v>
      </c>
      <c r="P2169" t="n">
        <v>369.8</v>
      </c>
      <c r="Q2169" t="n">
        <v>158.1</v>
      </c>
      <c r="R2169" s="3" t="inlineStr">
        <is>
          <t>MISMATCH_NEEDS_CORRECTION</t>
        </is>
      </c>
      <c r="S2169" t="n">
        <v>275</v>
      </c>
      <c r="T2169" t="inlineStr">
        <is>
          <t>30-07-2026 09:42 IST</t>
        </is>
      </c>
    </row>
    <row r="2170">
      <c r="A2170" t="n">
        <v>334</v>
      </c>
      <c r="B2170" t="n">
        <v>516003</v>
      </c>
      <c r="C2170" t="inlineStr">
        <is>
          <t>Duroply Industries Ltd</t>
        </is>
      </c>
      <c r="D2170" t="n">
        <v>2026</v>
      </c>
      <c r="E2170" t="n">
        <v>103.75</v>
      </c>
      <c r="F2170" t="n">
        <v>2.71</v>
      </c>
      <c r="G2170" t="inlineStr">
        <is>
          <t>Consolidated first (v4) – needs verification for flagged rows</t>
        </is>
      </c>
      <c r="H2170" t="n">
        <v>188.3999938964844</v>
      </c>
      <c r="I2170" t="n">
        <v>102.6500015258789</v>
      </c>
      <c r="L2170" t="inlineStr">
        <is>
          <t>OK</t>
        </is>
      </c>
      <c r="M2170" t="n">
        <v>69.52</v>
      </c>
      <c r="N2170" t="n">
        <v>37.88</v>
      </c>
      <c r="O2170" t="n">
        <v>275</v>
      </c>
      <c r="P2170" t="n">
        <v>369.8</v>
      </c>
      <c r="Q2170" t="n">
        <v>158.1</v>
      </c>
      <c r="R2170" s="3" t="inlineStr">
        <is>
          <t>MISMATCH_NEEDS_CORRECTION</t>
        </is>
      </c>
      <c r="S2170" t="n">
        <v>275</v>
      </c>
      <c r="T2170" t="inlineStr">
        <is>
          <t>30-07-2026 09:42 IST</t>
        </is>
      </c>
    </row>
    <row r="2171">
      <c r="A2171" t="n">
        <v>335</v>
      </c>
      <c r="B2171" t="n">
        <v>516016</v>
      </c>
      <c r="C2171" t="inlineStr">
        <is>
          <t>Shah Alloys Ltd</t>
        </is>
      </c>
      <c r="D2171" t="n">
        <v>2015</v>
      </c>
      <c r="E2171" t="n">
        <v>135.3500061035156</v>
      </c>
      <c r="F2171" t="n">
        <v>7.09</v>
      </c>
      <c r="G2171" t="inlineStr">
        <is>
          <t>Consolidated first (v4) – needs verification for flagged rows</t>
        </is>
      </c>
      <c r="H2171" t="n">
        <v>55.95000076293945</v>
      </c>
      <c r="I2171" t="n">
        <v>29</v>
      </c>
      <c r="L2171" t="inlineStr">
        <is>
          <t>OK</t>
        </is>
      </c>
      <c r="M2171" t="n">
        <v>7.89</v>
      </c>
      <c r="N2171" t="n">
        <v>4.09</v>
      </c>
      <c r="O2171" t="n">
        <v>67</v>
      </c>
      <c r="P2171" t="n">
        <v>83.84999999999999</v>
      </c>
      <c r="Q2171" t="n">
        <v>53.1</v>
      </c>
      <c r="R2171" s="3" t="inlineStr">
        <is>
          <t>MISMATCH_NEEDS_CORRECTION</t>
        </is>
      </c>
      <c r="S2171" t="n">
        <v>67</v>
      </c>
      <c r="T2171" t="inlineStr">
        <is>
          <t>30-07-2026 09:42 IST</t>
        </is>
      </c>
    </row>
    <row r="2172">
      <c r="A2172" t="n">
        <v>335</v>
      </c>
      <c r="B2172" t="n">
        <v>516016</v>
      </c>
      <c r="C2172" t="inlineStr">
        <is>
          <t>Shah Alloys Ltd</t>
        </is>
      </c>
      <c r="D2172" t="n">
        <v>2016</v>
      </c>
      <c r="E2172" t="n">
        <v>135.3500061035156</v>
      </c>
      <c r="F2172" t="n">
        <v>6.27</v>
      </c>
      <c r="G2172" t="inlineStr">
        <is>
          <t>Consolidated first (v4) – needs verification for flagged rows</t>
        </is>
      </c>
      <c r="H2172" t="n">
        <v>115.9499969482422</v>
      </c>
      <c r="I2172" t="n">
        <v>23.54999923706055</v>
      </c>
      <c r="L2172" t="inlineStr">
        <is>
          <t>OK</t>
        </is>
      </c>
      <c r="M2172" t="n">
        <v>18.49</v>
      </c>
      <c r="N2172" t="n">
        <v>3.76</v>
      </c>
      <c r="O2172" t="n">
        <v>67</v>
      </c>
      <c r="P2172" t="n">
        <v>83.84999999999999</v>
      </c>
      <c r="Q2172" t="n">
        <v>53.1</v>
      </c>
      <c r="R2172" s="3" t="inlineStr">
        <is>
          <t>MISMATCH_NEEDS_CORRECTION</t>
        </is>
      </c>
      <c r="S2172" t="n">
        <v>67</v>
      </c>
      <c r="T2172" t="inlineStr">
        <is>
          <t>30-07-2026 09:42 IST</t>
        </is>
      </c>
    </row>
    <row r="2173">
      <c r="A2173" t="n">
        <v>335</v>
      </c>
      <c r="B2173" t="n">
        <v>516016</v>
      </c>
      <c r="C2173" t="inlineStr">
        <is>
          <t>Shah Alloys Ltd</t>
        </is>
      </c>
      <c r="D2173" t="n">
        <v>2017</v>
      </c>
      <c r="E2173" t="n">
        <v>135.3500061035156</v>
      </c>
      <c r="F2173" t="n">
        <v>18.16</v>
      </c>
      <c r="G2173" t="inlineStr">
        <is>
          <t>Consolidated first (v4) – needs verification for flagged rows</t>
        </is>
      </c>
      <c r="H2173" t="n">
        <v>219</v>
      </c>
      <c r="I2173" t="n">
        <v>101</v>
      </c>
      <c r="L2173" t="inlineStr">
        <is>
          <t>OK</t>
        </is>
      </c>
      <c r="M2173" t="n">
        <v>12.06</v>
      </c>
      <c r="N2173" t="n">
        <v>5.56</v>
      </c>
      <c r="O2173" t="n">
        <v>67</v>
      </c>
      <c r="P2173" t="n">
        <v>83.84999999999999</v>
      </c>
      <c r="Q2173" t="n">
        <v>53.1</v>
      </c>
      <c r="R2173" s="3" t="inlineStr">
        <is>
          <t>MISMATCH_NEEDS_CORRECTION</t>
        </is>
      </c>
      <c r="S2173" t="n">
        <v>67</v>
      </c>
      <c r="T2173" t="inlineStr">
        <is>
          <t>30-07-2026 09:42 IST</t>
        </is>
      </c>
    </row>
    <row r="2174">
      <c r="A2174" t="n">
        <v>335</v>
      </c>
      <c r="B2174" t="n">
        <v>516016</v>
      </c>
      <c r="C2174" t="inlineStr">
        <is>
          <t>Shah Alloys Ltd</t>
        </is>
      </c>
      <c r="D2174" t="n">
        <v>2018</v>
      </c>
      <c r="E2174" t="n">
        <v>135.3500061035156</v>
      </c>
      <c r="F2174" t="n">
        <v>22.55</v>
      </c>
      <c r="G2174" t="inlineStr">
        <is>
          <t>Consolidated first (v4) – needs verification for flagged rows</t>
        </is>
      </c>
      <c r="H2174" t="n">
        <v>234</v>
      </c>
      <c r="I2174" t="n">
        <v>120.5500030517578</v>
      </c>
      <c r="L2174" t="inlineStr">
        <is>
          <t>OK</t>
        </is>
      </c>
      <c r="M2174" t="n">
        <v>10.38</v>
      </c>
      <c r="N2174" t="n">
        <v>5.35</v>
      </c>
      <c r="O2174" t="n">
        <v>67</v>
      </c>
      <c r="P2174" t="n">
        <v>83.84999999999999</v>
      </c>
      <c r="Q2174" t="n">
        <v>53.1</v>
      </c>
      <c r="R2174" s="3" t="inlineStr">
        <is>
          <t>MISMATCH_NEEDS_CORRECTION</t>
        </is>
      </c>
      <c r="S2174" t="n">
        <v>67</v>
      </c>
      <c r="T2174" t="inlineStr">
        <is>
          <t>30-07-2026 09:42 IST</t>
        </is>
      </c>
    </row>
    <row r="2175">
      <c r="A2175" t="n">
        <v>335</v>
      </c>
      <c r="B2175" t="n">
        <v>516016</v>
      </c>
      <c r="C2175" t="inlineStr">
        <is>
          <t>Shah Alloys Ltd</t>
        </is>
      </c>
      <c r="D2175" t="n">
        <v>2019</v>
      </c>
      <c r="E2175" t="n">
        <v>135.3500061035156</v>
      </c>
      <c r="F2175" t="n">
        <v>33.96</v>
      </c>
      <c r="G2175" t="inlineStr">
        <is>
          <t>Consolidated first (v4) – needs verification for flagged rows</t>
        </is>
      </c>
      <c r="H2175" t="n">
        <v>172.25</v>
      </c>
      <c r="I2175" t="n">
        <v>90.19999694824219</v>
      </c>
      <c r="L2175" t="inlineStr">
        <is>
          <t>OK</t>
        </is>
      </c>
      <c r="M2175" t="n">
        <v>5.07</v>
      </c>
      <c r="N2175" t="n">
        <v>2.66</v>
      </c>
      <c r="O2175" t="n">
        <v>67</v>
      </c>
      <c r="P2175" t="n">
        <v>83.84999999999999</v>
      </c>
      <c r="Q2175" t="n">
        <v>53.1</v>
      </c>
      <c r="R2175" s="3" t="inlineStr">
        <is>
          <t>MISMATCH_NEEDS_CORRECTION</t>
        </is>
      </c>
      <c r="S2175" t="n">
        <v>67</v>
      </c>
      <c r="T2175" t="inlineStr">
        <is>
          <t>30-07-2026 09:42 IST</t>
        </is>
      </c>
    </row>
    <row r="2176">
      <c r="A2176" t="n">
        <v>335</v>
      </c>
      <c r="B2176" t="n">
        <v>516016</v>
      </c>
      <c r="C2176" t="inlineStr">
        <is>
          <t>Shah Alloys Ltd</t>
        </is>
      </c>
      <c r="D2176" t="n">
        <v>2020</v>
      </c>
      <c r="E2176" t="n">
        <v>135.3500061035156</v>
      </c>
      <c r="F2176" t="n">
        <v>23.12</v>
      </c>
      <c r="G2176" t="inlineStr">
        <is>
          <t>Consolidated first (v4) – needs verification for flagged rows</t>
        </is>
      </c>
      <c r="H2176" t="n">
        <v>128</v>
      </c>
      <c r="I2176" t="n">
        <v>55.5</v>
      </c>
      <c r="L2176" t="inlineStr">
        <is>
          <t>OK</t>
        </is>
      </c>
      <c r="M2176" t="n">
        <v>5.54</v>
      </c>
      <c r="N2176" t="n">
        <v>2.4</v>
      </c>
      <c r="O2176" t="n">
        <v>67</v>
      </c>
      <c r="P2176" t="n">
        <v>83.84999999999999</v>
      </c>
      <c r="Q2176" t="n">
        <v>53.1</v>
      </c>
      <c r="R2176" s="3" t="inlineStr">
        <is>
          <t>MISMATCH_NEEDS_CORRECTION</t>
        </is>
      </c>
      <c r="S2176" t="n">
        <v>67</v>
      </c>
      <c r="T2176" t="inlineStr">
        <is>
          <t>30-07-2026 09:42 IST</t>
        </is>
      </c>
    </row>
    <row r="2177">
      <c r="A2177" t="n">
        <v>335</v>
      </c>
      <c r="B2177" t="n">
        <v>516016</v>
      </c>
      <c r="C2177" t="inlineStr">
        <is>
          <t>Shah Alloys Ltd</t>
        </is>
      </c>
      <c r="D2177" t="n">
        <v>2021</v>
      </c>
      <c r="E2177" t="n">
        <v>135.3500061035156</v>
      </c>
      <c r="F2177" t="n">
        <v>6.35</v>
      </c>
      <c r="G2177" t="inlineStr">
        <is>
          <t>Consolidated first (v4) – needs verification for flagged rows</t>
        </is>
      </c>
      <c r="H2177" t="n">
        <v>152</v>
      </c>
      <c r="I2177" t="n">
        <v>72.90000152587891</v>
      </c>
      <c r="L2177" t="inlineStr">
        <is>
          <t>OK</t>
        </is>
      </c>
      <c r="M2177" t="n">
        <v>23.94</v>
      </c>
      <c r="N2177" t="n">
        <v>11.48</v>
      </c>
      <c r="O2177" t="n">
        <v>67</v>
      </c>
      <c r="P2177" t="n">
        <v>83.84999999999999</v>
      </c>
      <c r="Q2177" t="n">
        <v>53.1</v>
      </c>
      <c r="R2177" s="3" t="inlineStr">
        <is>
          <t>MISMATCH_NEEDS_CORRECTION</t>
        </is>
      </c>
      <c r="S2177" t="n">
        <v>67</v>
      </c>
      <c r="T2177" t="inlineStr">
        <is>
          <t>30-07-2026 09:42 IST</t>
        </is>
      </c>
    </row>
    <row r="2178">
      <c r="A2178" t="n">
        <v>335</v>
      </c>
      <c r="B2178" t="n">
        <v>516016</v>
      </c>
      <c r="C2178" t="inlineStr">
        <is>
          <t>Shah Alloys Ltd</t>
        </is>
      </c>
      <c r="D2178" t="n">
        <v>2022</v>
      </c>
      <c r="E2178" t="n">
        <v>135.3500061035156</v>
      </c>
      <c r="F2178" t="n">
        <v>7.2</v>
      </c>
      <c r="G2178" t="inlineStr">
        <is>
          <t>Consolidated first (v4) – needs verification for flagged rows</t>
        </is>
      </c>
      <c r="H2178" t="n">
        <v>180</v>
      </c>
      <c r="I2178" t="n">
        <v>79.09999847412109</v>
      </c>
      <c r="L2178" t="inlineStr">
        <is>
          <t>OK</t>
        </is>
      </c>
      <c r="M2178" t="n">
        <v>25</v>
      </c>
      <c r="N2178" t="n">
        <v>10.99</v>
      </c>
      <c r="O2178" t="n">
        <v>67</v>
      </c>
      <c r="P2178" t="n">
        <v>83.84999999999999</v>
      </c>
      <c r="Q2178" t="n">
        <v>53.1</v>
      </c>
      <c r="R2178" s="3" t="inlineStr">
        <is>
          <t>MISMATCH_NEEDS_CORRECTION</t>
        </is>
      </c>
      <c r="S2178" t="n">
        <v>67</v>
      </c>
      <c r="T2178" t="inlineStr">
        <is>
          <t>30-07-2026 09:42 IST</t>
        </is>
      </c>
    </row>
    <row r="2179">
      <c r="A2179" t="n">
        <v>335</v>
      </c>
      <c r="B2179" t="n">
        <v>516016</v>
      </c>
      <c r="C2179" t="inlineStr">
        <is>
          <t>Shah Alloys Ltd</t>
        </is>
      </c>
      <c r="D2179" t="n">
        <v>2023</v>
      </c>
      <c r="E2179" t="n">
        <v>135.3500061035156</v>
      </c>
      <c r="F2179" t="n">
        <v>53.14</v>
      </c>
      <c r="G2179" t="inlineStr">
        <is>
          <t>Consolidated first (v4) – needs verification for flagged rows</t>
        </is>
      </c>
      <c r="H2179" t="n">
        <v>318.4500122070312</v>
      </c>
      <c r="I2179" t="n">
        <v>129.75</v>
      </c>
      <c r="L2179" t="inlineStr">
        <is>
          <t>OK</t>
        </is>
      </c>
      <c r="M2179" t="n">
        <v>5.99</v>
      </c>
      <c r="N2179" t="n">
        <v>2.44</v>
      </c>
      <c r="O2179" t="n">
        <v>67</v>
      </c>
      <c r="P2179" t="n">
        <v>83.84999999999999</v>
      </c>
      <c r="Q2179" t="n">
        <v>53.1</v>
      </c>
      <c r="R2179" s="3" t="inlineStr">
        <is>
          <t>MISMATCH_NEEDS_CORRECTION</t>
        </is>
      </c>
      <c r="S2179" t="n">
        <v>67</v>
      </c>
      <c r="T2179" t="inlineStr">
        <is>
          <t>30-07-2026 09:42 IST</t>
        </is>
      </c>
    </row>
    <row r="2180">
      <c r="A2180" t="n">
        <v>335</v>
      </c>
      <c r="B2180" t="n">
        <v>516016</v>
      </c>
      <c r="C2180" t="inlineStr">
        <is>
          <t>Shah Alloys Ltd</t>
        </is>
      </c>
      <c r="D2180" t="n">
        <v>2024</v>
      </c>
      <c r="E2180" t="n">
        <v>135.3500061035156</v>
      </c>
      <c r="F2180" t="n">
        <v>63.24</v>
      </c>
      <c r="G2180" t="inlineStr">
        <is>
          <t>Consolidated first (v4) – needs verification for flagged rows</t>
        </is>
      </c>
      <c r="H2180" t="n">
        <v>347.2000122070312</v>
      </c>
      <c r="I2180" t="n">
        <v>165.0500030517578</v>
      </c>
      <c r="L2180" t="inlineStr">
        <is>
          <t>OK</t>
        </is>
      </c>
      <c r="M2180" t="n">
        <v>5.49</v>
      </c>
      <c r="N2180" t="n">
        <v>2.61</v>
      </c>
      <c r="O2180" t="n">
        <v>67</v>
      </c>
      <c r="P2180" t="n">
        <v>83.84999999999999</v>
      </c>
      <c r="Q2180" t="n">
        <v>53.1</v>
      </c>
      <c r="R2180" s="3" t="inlineStr">
        <is>
          <t>MISMATCH_NEEDS_CORRECTION</t>
        </is>
      </c>
      <c r="S2180" t="n">
        <v>67</v>
      </c>
      <c r="T2180" t="inlineStr">
        <is>
          <t>30-07-2026 09:42 IST</t>
        </is>
      </c>
    </row>
    <row r="2181">
      <c r="A2181" t="n">
        <v>335</v>
      </c>
      <c r="B2181" t="n">
        <v>516016</v>
      </c>
      <c r="C2181" t="inlineStr">
        <is>
          <t>Shah Alloys Ltd</t>
        </is>
      </c>
      <c r="D2181" t="n">
        <v>2025</v>
      </c>
      <c r="E2181" t="n">
        <v>135.3500061035156</v>
      </c>
      <c r="F2181" t="n">
        <v>36.6</v>
      </c>
      <c r="G2181" t="inlineStr">
        <is>
          <t>Consolidated first (v4) – needs verification for flagged rows</t>
        </is>
      </c>
      <c r="H2181" t="n">
        <v>268</v>
      </c>
      <c r="I2181" t="n">
        <v>165</v>
      </c>
      <c r="L2181" t="inlineStr">
        <is>
          <t>OK</t>
        </is>
      </c>
      <c r="M2181" t="n">
        <v>7.32</v>
      </c>
      <c r="N2181" t="n">
        <v>4.51</v>
      </c>
      <c r="O2181" t="n">
        <v>67</v>
      </c>
      <c r="P2181" t="n">
        <v>83.84999999999999</v>
      </c>
      <c r="Q2181" t="n">
        <v>53.1</v>
      </c>
      <c r="R2181" s="3" t="inlineStr">
        <is>
          <t>MISMATCH_NEEDS_CORRECTION</t>
        </is>
      </c>
      <c r="S2181" t="n">
        <v>67</v>
      </c>
      <c r="T2181" t="inlineStr">
        <is>
          <t>30-07-2026 09:42 IST</t>
        </is>
      </c>
    </row>
    <row r="2182">
      <c r="A2182" t="n">
        <v>335</v>
      </c>
      <c r="B2182" t="n">
        <v>516016</v>
      </c>
      <c r="C2182" t="inlineStr">
        <is>
          <t>Shah Alloys Ltd</t>
        </is>
      </c>
      <c r="D2182" t="n">
        <v>2026</v>
      </c>
      <c r="E2182" t="n">
        <v>135.3500061035156</v>
      </c>
      <c r="F2182" t="n">
        <v>4.68</v>
      </c>
      <c r="G2182" t="inlineStr">
        <is>
          <t>Consolidated first (v4) – needs verification for flagged rows</t>
        </is>
      </c>
      <c r="H2182" t="n">
        <v>185</v>
      </c>
      <c r="I2182" t="n">
        <v>123.0500030517578</v>
      </c>
      <c r="L2182" t="inlineStr">
        <is>
          <t>OK</t>
        </is>
      </c>
      <c r="M2182" t="n">
        <v>39.53</v>
      </c>
      <c r="N2182" t="n">
        <v>26.29</v>
      </c>
      <c r="O2182" t="n">
        <v>67</v>
      </c>
      <c r="P2182" t="n">
        <v>83.84999999999999</v>
      </c>
      <c r="Q2182" t="n">
        <v>53.1</v>
      </c>
      <c r="R2182" s="3" t="inlineStr">
        <is>
          <t>MISMATCH_NEEDS_CORRECTION</t>
        </is>
      </c>
      <c r="S2182" t="n">
        <v>67</v>
      </c>
      <c r="T2182" t="inlineStr">
        <is>
          <t>30-07-2026 09:42 IST</t>
        </is>
      </c>
    </row>
    <row r="2183">
      <c r="A2183" t="n">
        <v>336</v>
      </c>
      <c r="B2183" t="n">
        <v>516020</v>
      </c>
      <c r="C2183" t="inlineStr">
        <is>
          <t>Agio Paper &amp; Industries Ltd</t>
        </is>
      </c>
      <c r="D2183" t="n">
        <v>2015</v>
      </c>
      <c r="E2183" t="n">
        <v>3.799999952316284</v>
      </c>
      <c r="F2183" t="n">
        <v>2.13</v>
      </c>
      <c r="G2183" t="inlineStr">
        <is>
          <t>Consolidated first (v4) – needs verification for flagged rows</t>
        </is>
      </c>
      <c r="H2183" t="n">
        <v>4.389999866485596</v>
      </c>
      <c r="I2183" t="n">
        <v>1.120000004768372</v>
      </c>
      <c r="L2183" t="inlineStr">
        <is>
          <t>OK</t>
        </is>
      </c>
      <c r="M2183" t="n">
        <v>2.06</v>
      </c>
      <c r="N2183" t="n">
        <v>0.53</v>
      </c>
      <c r="O2183" t="n">
        <v>5.79</v>
      </c>
      <c r="P2183" t="n">
        <v>8.609999999999999</v>
      </c>
      <c r="Q2183" t="n">
        <v>3.63</v>
      </c>
      <c r="R2183" s="3" t="inlineStr">
        <is>
          <t>MISMATCH_NEEDS_CORRECTION</t>
        </is>
      </c>
      <c r="S2183" t="n">
        <v>5.79</v>
      </c>
      <c r="T2183" t="inlineStr">
        <is>
          <t>30-07-2026 09:42 IST</t>
        </is>
      </c>
    </row>
    <row r="2184">
      <c r="A2184" t="n">
        <v>336</v>
      </c>
      <c r="B2184" t="n">
        <v>516020</v>
      </c>
      <c r="C2184" t="inlineStr">
        <is>
          <t>Agio Paper &amp; Industries Ltd</t>
        </is>
      </c>
      <c r="D2184" t="n">
        <v>2016</v>
      </c>
      <c r="E2184" t="n">
        <v>3.799999952316284</v>
      </c>
      <c r="F2184" t="n">
        <v>-0.91</v>
      </c>
      <c r="G2184" t="inlineStr">
        <is>
          <t>Consolidated first (v4) – needs verification for flagged rows</t>
        </is>
      </c>
      <c r="H2184" t="n">
        <v>2.309999942779541</v>
      </c>
      <c r="I2184" t="n">
        <v>1.120000004768372</v>
      </c>
      <c r="L2184" t="inlineStr">
        <is>
          <t>UNVERIFIED – negative EPS</t>
        </is>
      </c>
      <c r="M2184" t="n">
        <v>-2.54</v>
      </c>
      <c r="N2184" t="n">
        <v>-1.23</v>
      </c>
      <c r="O2184" t="n">
        <v>5.79</v>
      </c>
      <c r="P2184" t="n">
        <v>8.609999999999999</v>
      </c>
      <c r="Q2184" t="n">
        <v>3.63</v>
      </c>
      <c r="R2184" s="3" t="inlineStr">
        <is>
          <t>MISMATCH_NEEDS_CORRECTION</t>
        </is>
      </c>
      <c r="S2184" t="n">
        <v>5.79</v>
      </c>
      <c r="T2184" t="inlineStr">
        <is>
          <t>30-07-2026 09:42 IST</t>
        </is>
      </c>
    </row>
    <row r="2185">
      <c r="A2185" t="n">
        <v>336</v>
      </c>
      <c r="B2185" t="n">
        <v>516020</v>
      </c>
      <c r="C2185" t="inlineStr">
        <is>
          <t>Agio Paper &amp; Industries Ltd</t>
        </is>
      </c>
      <c r="D2185" t="n">
        <v>2017</v>
      </c>
      <c r="E2185" t="n">
        <v>3.799999952316284</v>
      </c>
      <c r="F2185" t="n">
        <v>-1</v>
      </c>
      <c r="G2185" t="inlineStr">
        <is>
          <t>Consolidated first (v4) – needs verification for flagged rows</t>
        </is>
      </c>
      <c r="H2185" t="n">
        <v>7.550000190734863</v>
      </c>
      <c r="I2185" t="n">
        <v>1.320000052452087</v>
      </c>
      <c r="L2185" t="inlineStr">
        <is>
          <t>UNVERIFIED – negative EPS</t>
        </is>
      </c>
      <c r="M2185" t="n">
        <v>-7.55</v>
      </c>
      <c r="N2185" t="n">
        <v>-1.32</v>
      </c>
      <c r="O2185" t="n">
        <v>5.79</v>
      </c>
      <c r="P2185" t="n">
        <v>8.609999999999999</v>
      </c>
      <c r="Q2185" t="n">
        <v>3.63</v>
      </c>
      <c r="R2185" s="3" t="inlineStr">
        <is>
          <t>MISMATCH_NEEDS_CORRECTION</t>
        </is>
      </c>
      <c r="S2185" t="n">
        <v>5.79</v>
      </c>
      <c r="T2185" t="inlineStr">
        <is>
          <t>30-07-2026 09:42 IST</t>
        </is>
      </c>
    </row>
    <row r="2186">
      <c r="A2186" t="n">
        <v>336</v>
      </c>
      <c r="B2186" t="n">
        <v>516020</v>
      </c>
      <c r="C2186" t="inlineStr">
        <is>
          <t>Agio Paper &amp; Industries Ltd</t>
        </is>
      </c>
      <c r="D2186" t="n">
        <v>2018</v>
      </c>
      <c r="E2186" t="n">
        <v>3.799999952316284</v>
      </c>
      <c r="F2186" t="n">
        <v>-3.19</v>
      </c>
      <c r="G2186" t="inlineStr">
        <is>
          <t>Consolidated first (v4) – needs verification for flagged rows</t>
        </is>
      </c>
      <c r="H2186" t="n">
        <v>8.399999618530273</v>
      </c>
      <c r="I2186" t="n">
        <v>2.660000085830688</v>
      </c>
      <c r="L2186" t="inlineStr">
        <is>
          <t>UNVERIFIED – negative EPS</t>
        </is>
      </c>
      <c r="M2186" t="n">
        <v>-2.63</v>
      </c>
      <c r="N2186" t="n">
        <v>-0.83</v>
      </c>
      <c r="O2186" t="n">
        <v>5.79</v>
      </c>
      <c r="P2186" t="n">
        <v>8.609999999999999</v>
      </c>
      <c r="Q2186" t="n">
        <v>3.63</v>
      </c>
      <c r="R2186" s="3" t="inlineStr">
        <is>
          <t>MISMATCH_NEEDS_CORRECTION</t>
        </is>
      </c>
      <c r="S2186" t="n">
        <v>5.79</v>
      </c>
      <c r="T2186" t="inlineStr">
        <is>
          <t>30-07-2026 09:42 IST</t>
        </is>
      </c>
    </row>
    <row r="2187">
      <c r="A2187" t="n">
        <v>336</v>
      </c>
      <c r="B2187" t="n">
        <v>516020</v>
      </c>
      <c r="C2187" t="inlineStr">
        <is>
          <t>Agio Paper &amp; Industries Ltd</t>
        </is>
      </c>
      <c r="D2187" t="n">
        <v>2019</v>
      </c>
      <c r="E2187" t="n">
        <v>3.799999952316284</v>
      </c>
      <c r="F2187" t="n">
        <v>-5.18</v>
      </c>
      <c r="G2187" t="inlineStr">
        <is>
          <t>Consolidated first (v4) – needs verification for flagged rows</t>
        </is>
      </c>
      <c r="H2187" t="n">
        <v>2.829999923706055</v>
      </c>
      <c r="I2187" t="n">
        <v>2.5</v>
      </c>
      <c r="L2187" t="inlineStr">
        <is>
          <t>UNVERIFIED – negative EPS</t>
        </is>
      </c>
      <c r="M2187" t="n">
        <v>-0.55</v>
      </c>
      <c r="N2187" t="n">
        <v>-0.48</v>
      </c>
      <c r="O2187" t="n">
        <v>5.79</v>
      </c>
      <c r="P2187" t="n">
        <v>8.609999999999999</v>
      </c>
      <c r="Q2187" t="n">
        <v>3.63</v>
      </c>
      <c r="R2187" s="3" t="inlineStr">
        <is>
          <t>MISMATCH_NEEDS_CORRECTION</t>
        </is>
      </c>
      <c r="S2187" t="n">
        <v>5.79</v>
      </c>
      <c r="T2187" t="inlineStr">
        <is>
          <t>30-07-2026 09:42 IST</t>
        </is>
      </c>
    </row>
    <row r="2188">
      <c r="A2188" t="n">
        <v>336</v>
      </c>
      <c r="B2188" t="n">
        <v>516020</v>
      </c>
      <c r="C2188" t="inlineStr">
        <is>
          <t>Agio Paper &amp; Industries Ltd</t>
        </is>
      </c>
      <c r="D2188" t="n">
        <v>2020</v>
      </c>
      <c r="E2188" t="n">
        <v>3.799999952316284</v>
      </c>
      <c r="F2188" t="n">
        <v>-0.96</v>
      </c>
      <c r="G2188" t="inlineStr">
        <is>
          <t>Consolidated first (v4) – needs verification for flagged rows</t>
        </is>
      </c>
      <c r="H2188" t="n">
        <v>2.5</v>
      </c>
      <c r="L2188" t="inlineStr">
        <is>
          <t>UNVERIFIED – negative EPS</t>
        </is>
      </c>
      <c r="M2188" t="n">
        <v>-2.6</v>
      </c>
      <c r="O2188" t="n">
        <v>5.79</v>
      </c>
      <c r="P2188" t="n">
        <v>8.609999999999999</v>
      </c>
      <c r="Q2188" t="n">
        <v>3.63</v>
      </c>
      <c r="R2188" s="3" t="inlineStr">
        <is>
          <t>MISMATCH_NEEDS_CORRECTION</t>
        </is>
      </c>
      <c r="S2188" t="n">
        <v>5.79</v>
      </c>
      <c r="T2188" t="inlineStr">
        <is>
          <t>30-07-2026 09:42 IST</t>
        </is>
      </c>
    </row>
    <row r="2189">
      <c r="A2189" t="n">
        <v>336</v>
      </c>
      <c r="B2189" t="n">
        <v>516020</v>
      </c>
      <c r="C2189" t="inlineStr">
        <is>
          <t>Agio Paper &amp; Industries Ltd</t>
        </is>
      </c>
      <c r="D2189" t="n">
        <v>2021</v>
      </c>
      <c r="E2189" t="n">
        <v>3.799999952316284</v>
      </c>
      <c r="F2189" t="n">
        <v>-0.76</v>
      </c>
      <c r="G2189" t="inlineStr">
        <is>
          <t>Consolidated first (v4) – needs verification for flagged rows</t>
        </is>
      </c>
      <c r="H2189" t="n">
        <v>6.119999885559082</v>
      </c>
      <c r="I2189" t="n">
        <v>1.120000004768372</v>
      </c>
      <c r="L2189" t="inlineStr">
        <is>
          <t>UNVERIFIED – negative EPS</t>
        </is>
      </c>
      <c r="M2189" t="n">
        <v>-8.050000000000001</v>
      </c>
      <c r="N2189" t="n">
        <v>-1.47</v>
      </c>
      <c r="O2189" t="n">
        <v>5.79</v>
      </c>
      <c r="P2189" t="n">
        <v>8.609999999999999</v>
      </c>
      <c r="Q2189" t="n">
        <v>3.63</v>
      </c>
      <c r="R2189" s="3" t="inlineStr">
        <is>
          <t>MISMATCH_NEEDS_CORRECTION</t>
        </is>
      </c>
      <c r="S2189" t="n">
        <v>5.79</v>
      </c>
      <c r="T2189" t="inlineStr">
        <is>
          <t>30-07-2026 09:42 IST</t>
        </is>
      </c>
    </row>
    <row r="2190">
      <c r="A2190" t="n">
        <v>336</v>
      </c>
      <c r="B2190" t="n">
        <v>516020</v>
      </c>
      <c r="C2190" t="inlineStr">
        <is>
          <t>Agio Paper &amp; Industries Ltd</t>
        </is>
      </c>
      <c r="D2190" t="n">
        <v>2022</v>
      </c>
      <c r="E2190" t="n">
        <v>3.799999952316284</v>
      </c>
      <c r="F2190" t="n">
        <v>-0.83</v>
      </c>
      <c r="G2190" t="inlineStr">
        <is>
          <t>Consolidated first (v4) – needs verification for flagged rows</t>
        </is>
      </c>
      <c r="H2190" t="n">
        <v>5.769999980926514</v>
      </c>
      <c r="I2190" t="n">
        <v>2.519999980926514</v>
      </c>
      <c r="L2190" t="inlineStr">
        <is>
          <t>UNVERIFIED – negative EPS</t>
        </is>
      </c>
      <c r="M2190" t="n">
        <v>-6.95</v>
      </c>
      <c r="N2190" t="n">
        <v>-3.04</v>
      </c>
      <c r="O2190" t="n">
        <v>5.79</v>
      </c>
      <c r="P2190" t="n">
        <v>8.609999999999999</v>
      </c>
      <c r="Q2190" t="n">
        <v>3.63</v>
      </c>
      <c r="R2190" s="3" t="inlineStr">
        <is>
          <t>MISMATCH_NEEDS_CORRECTION</t>
        </is>
      </c>
      <c r="S2190" t="n">
        <v>5.79</v>
      </c>
      <c r="T2190" t="inlineStr">
        <is>
          <t>30-07-2026 09:42 IST</t>
        </is>
      </c>
    </row>
    <row r="2191">
      <c r="A2191" t="n">
        <v>336</v>
      </c>
      <c r="B2191" t="n">
        <v>516020</v>
      </c>
      <c r="C2191" t="inlineStr">
        <is>
          <t>Agio Paper &amp; Industries Ltd</t>
        </is>
      </c>
      <c r="D2191" t="n">
        <v>2023</v>
      </c>
      <c r="E2191" t="n">
        <v>3.799999952316284</v>
      </c>
      <c r="F2191" t="n">
        <v>-0.88</v>
      </c>
      <c r="G2191" t="inlineStr">
        <is>
          <t>Consolidated first (v4) – needs verification for flagged rows</t>
        </is>
      </c>
      <c r="H2191" t="n">
        <v>5.559999942779541</v>
      </c>
      <c r="I2191" t="n">
        <v>2.799999952316284</v>
      </c>
      <c r="L2191" t="inlineStr">
        <is>
          <t>UNVERIFIED – negative EPS</t>
        </is>
      </c>
      <c r="M2191" t="n">
        <v>-6.32</v>
      </c>
      <c r="N2191" t="n">
        <v>-3.18</v>
      </c>
      <c r="O2191" t="n">
        <v>5.79</v>
      </c>
      <c r="P2191" t="n">
        <v>8.609999999999999</v>
      </c>
      <c r="Q2191" t="n">
        <v>3.63</v>
      </c>
      <c r="R2191" s="3" t="inlineStr">
        <is>
          <t>MISMATCH_NEEDS_CORRECTION</t>
        </is>
      </c>
      <c r="S2191" t="n">
        <v>5.79</v>
      </c>
      <c r="T2191" t="inlineStr">
        <is>
          <t>30-07-2026 09:42 IST</t>
        </is>
      </c>
    </row>
    <row r="2192">
      <c r="A2192" t="n">
        <v>336</v>
      </c>
      <c r="B2192" t="n">
        <v>516020</v>
      </c>
      <c r="C2192" t="inlineStr">
        <is>
          <t>Agio Paper &amp; Industries Ltd</t>
        </is>
      </c>
      <c r="D2192" t="n">
        <v>2024</v>
      </c>
      <c r="E2192" t="n">
        <v>3.799999952316284</v>
      </c>
      <c r="F2192" t="n">
        <v>-0.67</v>
      </c>
      <c r="G2192" t="inlineStr">
        <is>
          <t>Consolidated first (v4) – needs verification for flagged rows</t>
        </is>
      </c>
      <c r="H2192" t="n">
        <v>8.609999656677246</v>
      </c>
      <c r="I2192" t="n">
        <v>3.630000114440918</v>
      </c>
      <c r="L2192" t="inlineStr">
        <is>
          <t>UNVERIFIED – negative EPS</t>
        </is>
      </c>
      <c r="M2192" t="n">
        <v>-12.85</v>
      </c>
      <c r="N2192" t="n">
        <v>-5.42</v>
      </c>
      <c r="O2192" t="n">
        <v>5.79</v>
      </c>
      <c r="P2192" t="n">
        <v>8.609999999999999</v>
      </c>
      <c r="Q2192" t="n">
        <v>3.63</v>
      </c>
      <c r="R2192" s="3" t="inlineStr">
        <is>
          <t>MISMATCH_NEEDS_CORRECTION</t>
        </is>
      </c>
      <c r="S2192" t="n">
        <v>5.79</v>
      </c>
      <c r="T2192" t="inlineStr">
        <is>
          <t>30-07-2026 09:42 IST</t>
        </is>
      </c>
    </row>
    <row r="2193">
      <c r="A2193" t="n">
        <v>336</v>
      </c>
      <c r="B2193" t="n">
        <v>516020</v>
      </c>
      <c r="C2193" t="inlineStr">
        <is>
          <t>Agio Paper &amp; Industries Ltd</t>
        </is>
      </c>
      <c r="D2193" t="n">
        <v>2025</v>
      </c>
      <c r="E2193" t="n">
        <v>3.799999952316284</v>
      </c>
      <c r="F2193" t="n">
        <v>-0.98</v>
      </c>
      <c r="G2193" t="inlineStr">
        <is>
          <t>Consolidated first (v4) – needs verification for flagged rows</t>
        </is>
      </c>
      <c r="H2193" t="n">
        <v>8.199999809265137</v>
      </c>
      <c r="I2193" t="n">
        <v>3.900000095367432</v>
      </c>
      <c r="L2193" t="inlineStr">
        <is>
          <t>UNVERIFIED – negative EPS</t>
        </is>
      </c>
      <c r="M2193" t="n">
        <v>-8.369999999999999</v>
      </c>
      <c r="N2193" t="n">
        <v>-3.98</v>
      </c>
      <c r="O2193" t="n">
        <v>5.79</v>
      </c>
      <c r="P2193" t="n">
        <v>8.609999999999999</v>
      </c>
      <c r="Q2193" t="n">
        <v>3.63</v>
      </c>
      <c r="R2193" s="3" t="inlineStr">
        <is>
          <t>MISMATCH_NEEDS_CORRECTION</t>
        </is>
      </c>
      <c r="S2193" t="n">
        <v>5.79</v>
      </c>
      <c r="T2193" t="inlineStr">
        <is>
          <t>30-07-2026 09:42 IST</t>
        </is>
      </c>
    </row>
    <row r="2194">
      <c r="A2194" t="n">
        <v>336</v>
      </c>
      <c r="B2194" t="n">
        <v>516020</v>
      </c>
      <c r="C2194" t="inlineStr">
        <is>
          <t>Agio Paper &amp; Industries Ltd</t>
        </is>
      </c>
      <c r="D2194" t="n">
        <v>2026</v>
      </c>
      <c r="E2194" t="n">
        <v>3.799999952316284</v>
      </c>
      <c r="F2194" t="n">
        <v>-11.19</v>
      </c>
      <c r="G2194" t="inlineStr">
        <is>
          <t>Consolidated first (v4) – needs verification for flagged rows</t>
        </is>
      </c>
      <c r="H2194" t="n">
        <v>5.820000171661377</v>
      </c>
      <c r="I2194" t="n">
        <v>3.279999971389771</v>
      </c>
      <c r="L2194" t="inlineStr">
        <is>
          <t>UNVERIFIED – negative EPS</t>
        </is>
      </c>
      <c r="M2194" t="n">
        <v>-0.52</v>
      </c>
      <c r="N2194" t="n">
        <v>-0.29</v>
      </c>
      <c r="O2194" t="n">
        <v>5.79</v>
      </c>
      <c r="P2194" t="n">
        <v>8.609999999999999</v>
      </c>
      <c r="Q2194" t="n">
        <v>3.63</v>
      </c>
      <c r="R2194" s="3" t="inlineStr">
        <is>
          <t>MISMATCH_NEEDS_CORRECTION</t>
        </is>
      </c>
      <c r="S2194" t="n">
        <v>5.79</v>
      </c>
      <c r="T2194" t="inlineStr">
        <is>
          <t>30-07-2026 09:42 IST</t>
        </is>
      </c>
    </row>
    <row r="2195">
      <c r="A2195" t="n">
        <v>338</v>
      </c>
      <c r="B2195" t="n">
        <v>516032</v>
      </c>
      <c r="C2195" t="inlineStr">
        <is>
          <t>Sarda Papers Ltd</t>
        </is>
      </c>
      <c r="D2195" t="n">
        <v>2015</v>
      </c>
      <c r="E2195" t="n">
        <v>3.849999904632568</v>
      </c>
      <c r="F2195" t="n">
        <v>0.01</v>
      </c>
      <c r="G2195" t="inlineStr">
        <is>
          <t>Consolidated first (v4) – needs verification for flagged rows</t>
        </is>
      </c>
      <c r="H2195" t="n">
        <v>1.916000008583069</v>
      </c>
      <c r="I2195" t="n">
        <v>1.228000044822693</v>
      </c>
      <c r="L2195" t="inlineStr">
        <is>
          <t>UNVERIFIED – tiny EPS &lt;0.5</t>
        </is>
      </c>
      <c r="M2195" t="n">
        <v>191.6</v>
      </c>
      <c r="N2195" t="n">
        <v>122.8</v>
      </c>
      <c r="O2195" t="n">
        <v>21.23</v>
      </c>
      <c r="P2195" t="n">
        <v>32.65</v>
      </c>
      <c r="Q2195" t="n">
        <v>2.69</v>
      </c>
      <c r="R2195" s="3" t="inlineStr">
        <is>
          <t>MISMATCH_NEEDS_CORRECTION</t>
        </is>
      </c>
      <c r="S2195" t="n">
        <v>21.23</v>
      </c>
      <c r="T2195" t="inlineStr">
        <is>
          <t>30-07-2026 09:42 IST</t>
        </is>
      </c>
    </row>
    <row r="2196">
      <c r="A2196" t="n">
        <v>338</v>
      </c>
      <c r="B2196" t="n">
        <v>516032</v>
      </c>
      <c r="C2196" t="inlineStr">
        <is>
          <t>Sarda Papers Ltd</t>
        </is>
      </c>
      <c r="D2196" t="n">
        <v>2016</v>
      </c>
      <c r="E2196" t="n">
        <v>3.849999904632568</v>
      </c>
      <c r="F2196" t="n">
        <v>1.51</v>
      </c>
      <c r="G2196" t="inlineStr">
        <is>
          <t>Consolidated first (v4) – needs verification for flagged rows</t>
        </is>
      </c>
      <c r="H2196" t="n">
        <v>1.353999972343445</v>
      </c>
      <c r="L2196" t="inlineStr">
        <is>
          <t>OK</t>
        </is>
      </c>
      <c r="M2196" t="n">
        <v>0.9</v>
      </c>
      <c r="O2196" t="n">
        <v>21.23</v>
      </c>
      <c r="P2196" t="n">
        <v>32.65</v>
      </c>
      <c r="Q2196" t="n">
        <v>2.69</v>
      </c>
      <c r="R2196" s="3" t="inlineStr">
        <is>
          <t>MISMATCH_NEEDS_CORRECTION</t>
        </is>
      </c>
      <c r="S2196" t="n">
        <v>21.23</v>
      </c>
      <c r="T2196" t="inlineStr">
        <is>
          <t>30-07-2026 09:42 IST</t>
        </is>
      </c>
    </row>
    <row r="2197">
      <c r="A2197" t="n">
        <v>338</v>
      </c>
      <c r="B2197" t="n">
        <v>516032</v>
      </c>
      <c r="C2197" t="inlineStr">
        <is>
          <t>Sarda Papers Ltd</t>
        </is>
      </c>
      <c r="D2197" t="n">
        <v>2017</v>
      </c>
      <c r="E2197" t="n">
        <v>3.849999904632568</v>
      </c>
      <c r="F2197" t="n">
        <v>-0.03</v>
      </c>
      <c r="G2197" t="inlineStr">
        <is>
          <t>Consolidated first (v4) – needs verification for flagged rows</t>
        </is>
      </c>
      <c r="H2197" t="n">
        <v>1.322999954223633</v>
      </c>
      <c r="L2197" t="inlineStr">
        <is>
          <t>UNVERIFIED – negative EPS</t>
        </is>
      </c>
      <c r="M2197" t="n">
        <v>-44.1</v>
      </c>
      <c r="O2197" t="n">
        <v>21.23</v>
      </c>
      <c r="P2197" t="n">
        <v>32.65</v>
      </c>
      <c r="Q2197" t="n">
        <v>2.69</v>
      </c>
      <c r="R2197" s="3" t="inlineStr">
        <is>
          <t>MISMATCH_NEEDS_CORRECTION</t>
        </is>
      </c>
      <c r="S2197" t="n">
        <v>21.23</v>
      </c>
      <c r="T2197" t="inlineStr">
        <is>
          <t>30-07-2026 09:42 IST</t>
        </is>
      </c>
    </row>
    <row r="2198">
      <c r="A2198" t="n">
        <v>338</v>
      </c>
      <c r="B2198" t="n">
        <v>516032</v>
      </c>
      <c r="C2198" t="inlineStr">
        <is>
          <t>Sarda Papers Ltd</t>
        </is>
      </c>
      <c r="D2198" t="n">
        <v>2018</v>
      </c>
      <c r="E2198" t="n">
        <v>3.849999904632568</v>
      </c>
      <c r="F2198" t="n">
        <v>-0.02</v>
      </c>
      <c r="G2198" t="inlineStr">
        <is>
          <t>Consolidated first (v4) – needs verification for flagged rows</t>
        </is>
      </c>
      <c r="L2198" t="inlineStr">
        <is>
          <t>INCOMPLETE</t>
        </is>
      </c>
      <c r="O2198" t="n">
        <v>21.23</v>
      </c>
      <c r="P2198" t="n">
        <v>32.65</v>
      </c>
      <c r="Q2198" t="n">
        <v>2.69</v>
      </c>
      <c r="R2198" s="3" t="inlineStr">
        <is>
          <t>MISMATCH_NEEDS_CORRECTION</t>
        </is>
      </c>
      <c r="S2198" t="n">
        <v>21.23</v>
      </c>
      <c r="T2198" t="inlineStr">
        <is>
          <t>30-07-2026 09:42 IST</t>
        </is>
      </c>
    </row>
    <row r="2199">
      <c r="A2199" t="n">
        <v>338</v>
      </c>
      <c r="B2199" t="n">
        <v>516032</v>
      </c>
      <c r="C2199" t="inlineStr">
        <is>
          <t>Sarda Papers Ltd</t>
        </is>
      </c>
      <c r="D2199" t="n">
        <v>2019</v>
      </c>
      <c r="E2199" t="n">
        <v>3.849999904632568</v>
      </c>
      <c r="F2199" t="n">
        <v>-0.03</v>
      </c>
      <c r="G2199" t="inlineStr">
        <is>
          <t>Consolidated first (v4) – needs verification for flagged rows</t>
        </is>
      </c>
      <c r="L2199" t="inlineStr">
        <is>
          <t>INCOMPLETE</t>
        </is>
      </c>
      <c r="O2199" t="n">
        <v>21.23</v>
      </c>
      <c r="P2199" t="n">
        <v>32.65</v>
      </c>
      <c r="Q2199" t="n">
        <v>2.69</v>
      </c>
      <c r="R2199" s="3" t="inlineStr">
        <is>
          <t>MISMATCH_NEEDS_CORRECTION</t>
        </is>
      </c>
      <c r="S2199" t="n">
        <v>21.23</v>
      </c>
      <c r="T2199" t="inlineStr">
        <is>
          <t>30-07-2026 09:42 IST</t>
        </is>
      </c>
    </row>
    <row r="2200">
      <c r="A2200" t="n">
        <v>338</v>
      </c>
      <c r="B2200" t="n">
        <v>516032</v>
      </c>
      <c r="C2200" t="inlineStr">
        <is>
          <t>Sarda Papers Ltd</t>
        </is>
      </c>
      <c r="D2200" t="n">
        <v>2020</v>
      </c>
      <c r="E2200" t="n">
        <v>3.849999904632568</v>
      </c>
      <c r="F2200" t="n">
        <v>-0.02</v>
      </c>
      <c r="G2200" t="inlineStr">
        <is>
          <t>Consolidated first (v4) – needs verification for flagged rows</t>
        </is>
      </c>
      <c r="L2200" t="inlineStr">
        <is>
          <t>INCOMPLETE</t>
        </is>
      </c>
      <c r="O2200" t="n">
        <v>21.23</v>
      </c>
      <c r="P2200" t="n">
        <v>32.65</v>
      </c>
      <c r="Q2200" t="n">
        <v>2.69</v>
      </c>
      <c r="R2200" s="3" t="inlineStr">
        <is>
          <t>MISMATCH_NEEDS_CORRECTION</t>
        </is>
      </c>
      <c r="S2200" t="n">
        <v>21.23</v>
      </c>
      <c r="T2200" t="inlineStr">
        <is>
          <t>30-07-2026 09:42 IST</t>
        </is>
      </c>
    </row>
    <row r="2201">
      <c r="A2201" t="n">
        <v>338</v>
      </c>
      <c r="B2201" t="n">
        <v>516032</v>
      </c>
      <c r="C2201" t="inlineStr">
        <is>
          <t>Sarda Papers Ltd</t>
        </is>
      </c>
      <c r="D2201" t="n">
        <v>2021</v>
      </c>
      <c r="E2201" t="n">
        <v>3.849999904632568</v>
      </c>
      <c r="F2201" t="n">
        <v>-0.03</v>
      </c>
      <c r="G2201" t="inlineStr">
        <is>
          <t>Consolidated first (v4) – needs verification for flagged rows</t>
        </is>
      </c>
      <c r="H2201" t="n">
        <v>1.371000051498413</v>
      </c>
      <c r="L2201" t="inlineStr">
        <is>
          <t>UNVERIFIED – negative EPS</t>
        </is>
      </c>
      <c r="M2201" t="n">
        <v>-45.7</v>
      </c>
      <c r="O2201" t="n">
        <v>21.23</v>
      </c>
      <c r="P2201" t="n">
        <v>32.65</v>
      </c>
      <c r="Q2201" t="n">
        <v>2.69</v>
      </c>
      <c r="R2201" s="3" t="inlineStr">
        <is>
          <t>MISMATCH_NEEDS_CORRECTION</t>
        </is>
      </c>
      <c r="S2201" t="n">
        <v>21.23</v>
      </c>
      <c r="T2201" t="inlineStr">
        <is>
          <t>30-07-2026 09:42 IST</t>
        </is>
      </c>
    </row>
    <row r="2202">
      <c r="A2202" t="n">
        <v>338</v>
      </c>
      <c r="B2202" t="n">
        <v>516032</v>
      </c>
      <c r="C2202" t="inlineStr">
        <is>
          <t>Sarda Papers Ltd</t>
        </is>
      </c>
      <c r="D2202" t="n">
        <v>2022</v>
      </c>
      <c r="E2202" t="n">
        <v>3.849999904632568</v>
      </c>
      <c r="F2202" t="n">
        <v>-0.03</v>
      </c>
      <c r="G2202" t="inlineStr">
        <is>
          <t>Consolidated first (v4) – needs verification for flagged rows</t>
        </is>
      </c>
      <c r="H2202" t="n">
        <v>1.679999947547913</v>
      </c>
      <c r="L2202" t="inlineStr">
        <is>
          <t>UNVERIFIED – negative EPS</t>
        </is>
      </c>
      <c r="M2202" t="n">
        <v>-56</v>
      </c>
      <c r="O2202" t="n">
        <v>21.23</v>
      </c>
      <c r="P2202" t="n">
        <v>32.65</v>
      </c>
      <c r="Q2202" t="n">
        <v>2.69</v>
      </c>
      <c r="R2202" s="3" t="inlineStr">
        <is>
          <t>MISMATCH_NEEDS_CORRECTION</t>
        </is>
      </c>
      <c r="S2202" t="n">
        <v>21.23</v>
      </c>
      <c r="T2202" t="inlineStr">
        <is>
          <t>30-07-2026 09:42 IST</t>
        </is>
      </c>
    </row>
    <row r="2203">
      <c r="A2203" t="n">
        <v>338</v>
      </c>
      <c r="B2203" t="n">
        <v>516032</v>
      </c>
      <c r="C2203" t="inlineStr">
        <is>
          <t>Sarda Papers Ltd</t>
        </is>
      </c>
      <c r="D2203" t="n">
        <v>2023</v>
      </c>
      <c r="E2203" t="n">
        <v>3.849999904632568</v>
      </c>
      <c r="G2203" t="inlineStr">
        <is>
          <t>Consolidated first (v4) – needs verification for flagged rows</t>
        </is>
      </c>
      <c r="H2203" t="n">
        <v>2.569999933242798</v>
      </c>
      <c r="I2203" t="n">
        <v>1.679999947547913</v>
      </c>
      <c r="L2203" t="inlineStr">
        <is>
          <t>INCOMPLETE</t>
        </is>
      </c>
      <c r="O2203" t="n">
        <v>21.23</v>
      </c>
      <c r="P2203" t="n">
        <v>32.65</v>
      </c>
      <c r="Q2203" t="n">
        <v>2.69</v>
      </c>
      <c r="R2203" s="3" t="inlineStr">
        <is>
          <t>MISMATCH_NEEDS_CORRECTION</t>
        </is>
      </c>
      <c r="S2203" t="n">
        <v>21.23</v>
      </c>
      <c r="T2203" t="inlineStr">
        <is>
          <t>30-07-2026 09:42 IST</t>
        </is>
      </c>
    </row>
    <row r="2204">
      <c r="A2204" t="n">
        <v>338</v>
      </c>
      <c r="B2204" t="n">
        <v>516032</v>
      </c>
      <c r="C2204" t="inlineStr">
        <is>
          <t>Sarda Papers Ltd</t>
        </is>
      </c>
      <c r="D2204" t="n">
        <v>2024</v>
      </c>
      <c r="E2204" t="n">
        <v>3.849999904632568</v>
      </c>
      <c r="F2204" t="n">
        <v>0.01</v>
      </c>
      <c r="G2204" t="inlineStr">
        <is>
          <t>Consolidated first (v4) – needs verification for flagged rows</t>
        </is>
      </c>
      <c r="H2204" t="n">
        <v>32.65000152587891</v>
      </c>
      <c r="I2204" t="n">
        <v>2.569999933242798</v>
      </c>
      <c r="L2204" t="inlineStr">
        <is>
          <t>UNVERIFIED – tiny EPS &lt;0.5</t>
        </is>
      </c>
      <c r="M2204" t="n">
        <v>3265</v>
      </c>
      <c r="N2204" t="n">
        <v>257</v>
      </c>
      <c r="O2204" t="n">
        <v>21.23</v>
      </c>
      <c r="P2204" t="n">
        <v>32.65</v>
      </c>
      <c r="Q2204" t="n">
        <v>2.69</v>
      </c>
      <c r="R2204" s="3" t="inlineStr">
        <is>
          <t>MISMATCH_NEEDS_CORRECTION</t>
        </is>
      </c>
      <c r="S2204" t="n">
        <v>21.23</v>
      </c>
      <c r="T2204" t="inlineStr">
        <is>
          <t>30-07-2026 09:42 IST</t>
        </is>
      </c>
    </row>
    <row r="2205">
      <c r="A2205" t="n">
        <v>338</v>
      </c>
      <c r="B2205" t="n">
        <v>516032</v>
      </c>
      <c r="C2205" t="inlineStr">
        <is>
          <t>Sarda Papers Ltd</t>
        </is>
      </c>
      <c r="D2205" t="n">
        <v>2025</v>
      </c>
      <c r="E2205" t="n">
        <v>3.849999904632568</v>
      </c>
      <c r="F2205" t="n">
        <v>-0.28</v>
      </c>
      <c r="G2205" t="inlineStr">
        <is>
          <t>Consolidated first (v4) – needs verification for flagged rows</t>
        </is>
      </c>
      <c r="H2205" t="n">
        <v>24.14999961853027</v>
      </c>
      <c r="I2205" t="n">
        <v>9.539999961853027</v>
      </c>
      <c r="L2205" t="inlineStr">
        <is>
          <t>UNVERIFIED – negative EPS</t>
        </is>
      </c>
      <c r="M2205" t="n">
        <v>-86.25</v>
      </c>
      <c r="N2205" t="n">
        <v>-34.07</v>
      </c>
      <c r="O2205" t="n">
        <v>21.23</v>
      </c>
      <c r="P2205" t="n">
        <v>32.65</v>
      </c>
      <c r="Q2205" t="n">
        <v>2.69</v>
      </c>
      <c r="R2205" s="3" t="inlineStr">
        <is>
          <t>MISMATCH_NEEDS_CORRECTION</t>
        </is>
      </c>
      <c r="S2205" t="n">
        <v>21.23</v>
      </c>
      <c r="T2205" t="inlineStr">
        <is>
          <t>30-07-2026 09:42 IST</t>
        </is>
      </c>
    </row>
    <row r="2206">
      <c r="A2206" t="n">
        <v>338</v>
      </c>
      <c r="B2206" t="n">
        <v>516032</v>
      </c>
      <c r="C2206" t="inlineStr">
        <is>
          <t>Sarda Papers Ltd</t>
        </is>
      </c>
      <c r="D2206" t="n">
        <v>2026</v>
      </c>
      <c r="E2206" t="n">
        <v>3.849999904632568</v>
      </c>
      <c r="F2206" t="n">
        <v>-0.36</v>
      </c>
      <c r="G2206" t="inlineStr">
        <is>
          <t>Consolidated first (v4) – needs verification for flagged rows</t>
        </is>
      </c>
      <c r="H2206" t="n">
        <v>16.79000091552734</v>
      </c>
      <c r="I2206" t="n">
        <v>3.75</v>
      </c>
      <c r="L2206" t="inlineStr">
        <is>
          <t>UNVERIFIED – negative EPS</t>
        </is>
      </c>
      <c r="M2206" t="n">
        <v>-46.64</v>
      </c>
      <c r="N2206" t="n">
        <v>-10.42</v>
      </c>
      <c r="O2206" t="n">
        <v>21.23</v>
      </c>
      <c r="P2206" t="n">
        <v>32.65</v>
      </c>
      <c r="Q2206" t="n">
        <v>2.69</v>
      </c>
      <c r="R2206" s="3" t="inlineStr">
        <is>
          <t>MISMATCH_NEEDS_CORRECTION</t>
        </is>
      </c>
      <c r="S2206" t="n">
        <v>21.23</v>
      </c>
      <c r="T2206" t="inlineStr">
        <is>
          <t>30-07-2026 09:42 IST</t>
        </is>
      </c>
    </row>
    <row r="2207">
      <c r="A2207" t="n">
        <v>339</v>
      </c>
      <c r="B2207" t="n">
        <v>516038</v>
      </c>
      <c r="C2207" t="inlineStr">
        <is>
          <t>Rohini Tubes</t>
        </is>
      </c>
      <c r="D2207" t="n">
        <v>2015</v>
      </c>
      <c r="E2207" t="n">
        <v>118.8000030517578</v>
      </c>
      <c r="G2207" t="inlineStr">
        <is>
          <t>Consolidated first (v4) – needs verification for flagged rows</t>
        </is>
      </c>
      <c r="H2207" t="n">
        <v>22.85000038146973</v>
      </c>
      <c r="I2207" t="n">
        <v>6.800000190734863</v>
      </c>
      <c r="L2207" t="inlineStr">
        <is>
          <t>INCOMPLETE</t>
        </is>
      </c>
      <c r="O2207" t="n">
        <v>81.92</v>
      </c>
      <c r="P2207" t="n">
        <v>99.23999999999999</v>
      </c>
      <c r="Q2207" t="n">
        <v>15.77</v>
      </c>
      <c r="R2207" s="3" t="inlineStr">
        <is>
          <t>MISMATCH_NEEDS_CORRECTION</t>
        </is>
      </c>
      <c r="S2207" t="n">
        <v>81.92</v>
      </c>
      <c r="T2207" t="inlineStr">
        <is>
          <t>30-07-2026 09:42 IST</t>
        </is>
      </c>
    </row>
    <row r="2208">
      <c r="A2208" t="n">
        <v>339</v>
      </c>
      <c r="B2208" t="n">
        <v>516038</v>
      </c>
      <c r="C2208" t="inlineStr">
        <is>
          <t>Rohini Tubes</t>
        </is>
      </c>
      <c r="D2208" t="n">
        <v>2016</v>
      </c>
      <c r="E2208" t="n">
        <v>118.8000030517578</v>
      </c>
      <c r="G2208" t="inlineStr">
        <is>
          <t>Consolidated first (v4) – needs verification for flagged rows</t>
        </is>
      </c>
      <c r="H2208" t="n">
        <v>14.19999980926514</v>
      </c>
      <c r="I2208" t="n">
        <v>6.550000190734863</v>
      </c>
      <c r="L2208" t="inlineStr">
        <is>
          <t>INCOMPLETE</t>
        </is>
      </c>
      <c r="O2208" t="n">
        <v>81.92</v>
      </c>
      <c r="P2208" t="n">
        <v>99.23999999999999</v>
      </c>
      <c r="Q2208" t="n">
        <v>15.77</v>
      </c>
      <c r="R2208" s="3" t="inlineStr">
        <is>
          <t>MISMATCH_NEEDS_CORRECTION</t>
        </is>
      </c>
      <c r="S2208" t="n">
        <v>81.92</v>
      </c>
      <c r="T2208" t="inlineStr">
        <is>
          <t>30-07-2026 09:42 IST</t>
        </is>
      </c>
    </row>
    <row r="2209">
      <c r="A2209" t="n">
        <v>339</v>
      </c>
      <c r="B2209" t="n">
        <v>516038</v>
      </c>
      <c r="C2209" t="inlineStr">
        <is>
          <t>Rohini Tubes</t>
        </is>
      </c>
      <c r="D2209" t="n">
        <v>2017</v>
      </c>
      <c r="E2209" t="n">
        <v>118.8000030517578</v>
      </c>
      <c r="G2209" t="inlineStr">
        <is>
          <t>Consolidated first (v4) – needs verification for flagged rows</t>
        </is>
      </c>
      <c r="H2209" t="n">
        <v>15.77000045776367</v>
      </c>
      <c r="I2209" t="n">
        <v>13</v>
      </c>
      <c r="L2209" t="inlineStr">
        <is>
          <t>INCOMPLETE</t>
        </is>
      </c>
      <c r="O2209" t="n">
        <v>81.92</v>
      </c>
      <c r="P2209" t="n">
        <v>99.23999999999999</v>
      </c>
      <c r="Q2209" t="n">
        <v>15.77</v>
      </c>
      <c r="R2209" s="3" t="inlineStr">
        <is>
          <t>MISMATCH_NEEDS_CORRECTION</t>
        </is>
      </c>
      <c r="S2209" t="n">
        <v>81.92</v>
      </c>
      <c r="T2209" t="inlineStr">
        <is>
          <t>30-07-2026 09:42 IST</t>
        </is>
      </c>
    </row>
    <row r="2210">
      <c r="A2210" t="n">
        <v>339</v>
      </c>
      <c r="B2210" t="n">
        <v>516038</v>
      </c>
      <c r="C2210" t="inlineStr">
        <is>
          <t>Rohini Tubes</t>
        </is>
      </c>
      <c r="D2210" t="n">
        <v>2018</v>
      </c>
      <c r="E2210" t="n">
        <v>118.8000030517578</v>
      </c>
      <c r="G2210" t="inlineStr">
        <is>
          <t>Consolidated first (v4) – needs verification for flagged rows</t>
        </is>
      </c>
      <c r="H2210" t="n">
        <v>15.77000045776367</v>
      </c>
      <c r="I2210" t="n">
        <v>15.77000045776367</v>
      </c>
      <c r="L2210" t="inlineStr">
        <is>
          <t>INCOMPLETE</t>
        </is>
      </c>
      <c r="O2210" t="n">
        <v>81.92</v>
      </c>
      <c r="P2210" t="n">
        <v>99.23999999999999</v>
      </c>
      <c r="Q2210" t="n">
        <v>15.77</v>
      </c>
      <c r="R2210" s="3" t="inlineStr">
        <is>
          <t>MISMATCH_NEEDS_CORRECTION</t>
        </is>
      </c>
      <c r="S2210" t="n">
        <v>81.92</v>
      </c>
      <c r="T2210" t="inlineStr">
        <is>
          <t>30-07-2026 09:42 IST</t>
        </is>
      </c>
    </row>
    <row r="2211">
      <c r="A2211" t="n">
        <v>339</v>
      </c>
      <c r="B2211" t="n">
        <v>516038</v>
      </c>
      <c r="C2211" t="inlineStr">
        <is>
          <t>Rohini Tubes</t>
        </is>
      </c>
      <c r="D2211" t="n">
        <v>2019</v>
      </c>
      <c r="E2211" t="n">
        <v>118.8000030517578</v>
      </c>
      <c r="G2211" t="inlineStr">
        <is>
          <t>Consolidated first (v4) – needs verification for flagged rows</t>
        </is>
      </c>
      <c r="H2211" t="n">
        <v>15.77000045776367</v>
      </c>
      <c r="I2211" t="n">
        <v>15.77000045776367</v>
      </c>
      <c r="L2211" t="inlineStr">
        <is>
          <t>INCOMPLETE</t>
        </is>
      </c>
      <c r="O2211" t="n">
        <v>81.92</v>
      </c>
      <c r="P2211" t="n">
        <v>99.23999999999999</v>
      </c>
      <c r="Q2211" t="n">
        <v>15.77</v>
      </c>
      <c r="R2211" s="3" t="inlineStr">
        <is>
          <t>MISMATCH_NEEDS_CORRECTION</t>
        </is>
      </c>
      <c r="S2211" t="n">
        <v>81.92</v>
      </c>
      <c r="T2211" t="inlineStr">
        <is>
          <t>30-07-2026 09:42 IST</t>
        </is>
      </c>
    </row>
    <row r="2212">
      <c r="A2212" t="n">
        <v>339</v>
      </c>
      <c r="B2212" t="n">
        <v>516038</v>
      </c>
      <c r="C2212" t="inlineStr">
        <is>
          <t>Rohini Tubes</t>
        </is>
      </c>
      <c r="D2212" t="n">
        <v>2020</v>
      </c>
      <c r="E2212" t="n">
        <v>118.8000030517578</v>
      </c>
      <c r="G2212" t="inlineStr">
        <is>
          <t>Consolidated first (v4) – needs verification for flagged rows</t>
        </is>
      </c>
      <c r="H2212" t="n">
        <v>15.77000045776367</v>
      </c>
      <c r="I2212" t="n">
        <v>15.77000045776367</v>
      </c>
      <c r="L2212" t="inlineStr">
        <is>
          <t>INCOMPLETE</t>
        </is>
      </c>
      <c r="O2212" t="n">
        <v>81.92</v>
      </c>
      <c r="P2212" t="n">
        <v>99.23999999999999</v>
      </c>
      <c r="Q2212" t="n">
        <v>15.77</v>
      </c>
      <c r="R2212" s="3" t="inlineStr">
        <is>
          <t>MISMATCH_NEEDS_CORRECTION</t>
        </is>
      </c>
      <c r="S2212" t="n">
        <v>81.92</v>
      </c>
      <c r="T2212" t="inlineStr">
        <is>
          <t>30-07-2026 09:42 IST</t>
        </is>
      </c>
    </row>
    <row r="2213">
      <c r="A2213" t="n">
        <v>339</v>
      </c>
      <c r="B2213" t="n">
        <v>516038</v>
      </c>
      <c r="C2213" t="inlineStr">
        <is>
          <t>Rohini Tubes</t>
        </is>
      </c>
      <c r="D2213" t="n">
        <v>2021</v>
      </c>
      <c r="E2213" t="n">
        <v>118.8000030517578</v>
      </c>
      <c r="G2213" t="inlineStr">
        <is>
          <t>Consolidated first (v4) – needs verification for flagged rows</t>
        </is>
      </c>
      <c r="H2213" t="n">
        <v>15.77000045776367</v>
      </c>
      <c r="I2213" t="n">
        <v>15.77000045776367</v>
      </c>
      <c r="L2213" t="inlineStr">
        <is>
          <t>INCOMPLETE</t>
        </is>
      </c>
      <c r="O2213" t="n">
        <v>81.92</v>
      </c>
      <c r="P2213" t="n">
        <v>99.23999999999999</v>
      </c>
      <c r="Q2213" t="n">
        <v>15.77</v>
      </c>
      <c r="R2213" s="3" t="inlineStr">
        <is>
          <t>MISMATCH_NEEDS_CORRECTION</t>
        </is>
      </c>
      <c r="S2213" t="n">
        <v>81.92</v>
      </c>
      <c r="T2213" t="inlineStr">
        <is>
          <t>30-07-2026 09:42 IST</t>
        </is>
      </c>
    </row>
    <row r="2214">
      <c r="A2214" t="n">
        <v>339</v>
      </c>
      <c r="B2214" t="n">
        <v>516038</v>
      </c>
      <c r="C2214" t="inlineStr">
        <is>
          <t>Rohini Tubes</t>
        </is>
      </c>
      <c r="D2214" t="n">
        <v>2022</v>
      </c>
      <c r="E2214" t="n">
        <v>118.8000030517578</v>
      </c>
      <c r="G2214" t="inlineStr">
        <is>
          <t>Consolidated first (v4) – needs verification for flagged rows</t>
        </is>
      </c>
      <c r="H2214" t="n">
        <v>15.77000045776367</v>
      </c>
      <c r="I2214" t="n">
        <v>15.77000045776367</v>
      </c>
      <c r="L2214" t="inlineStr">
        <is>
          <t>INCOMPLETE</t>
        </is>
      </c>
      <c r="O2214" t="n">
        <v>81.92</v>
      </c>
      <c r="P2214" t="n">
        <v>99.23999999999999</v>
      </c>
      <c r="Q2214" t="n">
        <v>15.77</v>
      </c>
      <c r="R2214" s="3" t="inlineStr">
        <is>
          <t>MISMATCH_NEEDS_CORRECTION</t>
        </is>
      </c>
      <c r="S2214" t="n">
        <v>81.92</v>
      </c>
      <c r="T2214" t="inlineStr">
        <is>
          <t>30-07-2026 09:42 IST</t>
        </is>
      </c>
    </row>
    <row r="2215">
      <c r="A2215" t="n">
        <v>339</v>
      </c>
      <c r="B2215" t="n">
        <v>516038</v>
      </c>
      <c r="C2215" t="inlineStr">
        <is>
          <t>Rohini Tubes</t>
        </is>
      </c>
      <c r="D2215" t="n">
        <v>2023</v>
      </c>
      <c r="E2215" t="n">
        <v>118.8000030517578</v>
      </c>
      <c r="G2215" t="inlineStr">
        <is>
          <t>Consolidated first (v4) – needs verification for flagged rows</t>
        </is>
      </c>
      <c r="H2215" t="n">
        <v>15.77000045776367</v>
      </c>
      <c r="I2215" t="n">
        <v>15.77000045776367</v>
      </c>
      <c r="L2215" t="inlineStr">
        <is>
          <t>INCOMPLETE</t>
        </is>
      </c>
      <c r="O2215" t="n">
        <v>81.92</v>
      </c>
      <c r="P2215" t="n">
        <v>99.23999999999999</v>
      </c>
      <c r="Q2215" t="n">
        <v>15.77</v>
      </c>
      <c r="R2215" s="3" t="inlineStr">
        <is>
          <t>MISMATCH_NEEDS_CORRECTION</t>
        </is>
      </c>
      <c r="S2215" t="n">
        <v>81.92</v>
      </c>
      <c r="T2215" t="inlineStr">
        <is>
          <t>30-07-2026 09:42 IST</t>
        </is>
      </c>
    </row>
    <row r="2216">
      <c r="A2216" t="n">
        <v>339</v>
      </c>
      <c r="B2216" t="n">
        <v>516038</v>
      </c>
      <c r="C2216" t="inlineStr">
        <is>
          <t>Rohini Tubes</t>
        </is>
      </c>
      <c r="D2216" t="n">
        <v>2024</v>
      </c>
      <c r="E2216" t="n">
        <v>118.8000030517578</v>
      </c>
      <c r="G2216" t="inlineStr">
        <is>
          <t>Consolidated first (v4) – needs verification for flagged rows</t>
        </is>
      </c>
      <c r="H2216" t="n">
        <v>99.23999786376953</v>
      </c>
      <c r="I2216" t="n">
        <v>15.77000045776367</v>
      </c>
      <c r="L2216" t="inlineStr">
        <is>
          <t>INCOMPLETE</t>
        </is>
      </c>
      <c r="O2216" t="n">
        <v>81.92</v>
      </c>
      <c r="P2216" t="n">
        <v>99.23999999999999</v>
      </c>
      <c r="Q2216" t="n">
        <v>15.77</v>
      </c>
      <c r="R2216" s="3" t="inlineStr">
        <is>
          <t>MISMATCH_NEEDS_CORRECTION</t>
        </is>
      </c>
      <c r="S2216" t="n">
        <v>81.92</v>
      </c>
      <c r="T2216" t="inlineStr">
        <is>
          <t>30-07-2026 09:42 IST</t>
        </is>
      </c>
    </row>
    <row r="2217">
      <c r="A2217" t="n">
        <v>339</v>
      </c>
      <c r="B2217" t="n">
        <v>516038</v>
      </c>
      <c r="C2217" t="inlineStr">
        <is>
          <t>Rohini Tubes</t>
        </is>
      </c>
      <c r="D2217" t="n">
        <v>2025</v>
      </c>
      <c r="E2217" t="n">
        <v>118.8000030517578</v>
      </c>
      <c r="F2217" t="n">
        <v>143.7</v>
      </c>
      <c r="G2217" t="inlineStr">
        <is>
          <t>Consolidated first (v4) – needs verification for flagged rows</t>
        </is>
      </c>
      <c r="H2217" t="n">
        <v>172.9700012207031</v>
      </c>
      <c r="I2217" t="n">
        <v>43.88999938964844</v>
      </c>
      <c r="L2217" t="inlineStr">
        <is>
          <t>OK</t>
        </is>
      </c>
      <c r="M2217" t="n">
        <v>1.2</v>
      </c>
      <c r="N2217" t="n">
        <v>0.31</v>
      </c>
      <c r="O2217" t="n">
        <v>81.92</v>
      </c>
      <c r="P2217" t="n">
        <v>99.23999999999999</v>
      </c>
      <c r="Q2217" t="n">
        <v>15.77</v>
      </c>
      <c r="R2217" s="3" t="inlineStr">
        <is>
          <t>MISMATCH_NEEDS_CORRECTION</t>
        </is>
      </c>
      <c r="S2217" t="n">
        <v>81.92</v>
      </c>
      <c r="T2217" t="inlineStr">
        <is>
          <t>30-07-2026 09:42 IST</t>
        </is>
      </c>
    </row>
    <row r="2218">
      <c r="A2218" t="n">
        <v>339</v>
      </c>
      <c r="B2218" t="n">
        <v>516038</v>
      </c>
      <c r="C2218" t="inlineStr">
        <is>
          <t>Rohini Tubes</t>
        </is>
      </c>
      <c r="D2218" t="n">
        <v>2026</v>
      </c>
      <c r="E2218" t="n">
        <v>118.8000030517578</v>
      </c>
      <c r="F2218" t="n">
        <v>4.54</v>
      </c>
      <c r="G2218" t="inlineStr">
        <is>
          <t>Consolidated first (v4) – needs verification for flagged rows</t>
        </is>
      </c>
      <c r="H2218" t="n">
        <v>290.9500122070312</v>
      </c>
      <c r="I2218" t="n">
        <v>111.0999984741211</v>
      </c>
      <c r="L2218" t="inlineStr">
        <is>
          <t>OK</t>
        </is>
      </c>
      <c r="M2218" t="n">
        <v>64.09</v>
      </c>
      <c r="N2218" t="n">
        <v>24.47</v>
      </c>
      <c r="O2218" t="n">
        <v>81.92</v>
      </c>
      <c r="P2218" t="n">
        <v>99.23999999999999</v>
      </c>
      <c r="Q2218" t="n">
        <v>15.77</v>
      </c>
      <c r="R2218" s="3" t="inlineStr">
        <is>
          <t>MISMATCH_NEEDS_CORRECTION</t>
        </is>
      </c>
      <c r="S2218" t="n">
        <v>81.92</v>
      </c>
      <c r="T2218" t="inlineStr">
        <is>
          <t>30-07-2026 09:42 IST</t>
        </is>
      </c>
    </row>
    <row r="2219">
      <c r="A2219" t="n">
        <v>342</v>
      </c>
      <c r="B2219" t="n">
        <v>516098</v>
      </c>
      <c r="C2219" t="inlineStr">
        <is>
          <t>Ventura Textiles Ltd</t>
        </is>
      </c>
      <c r="D2219" t="n">
        <v>2015</v>
      </c>
      <c r="E2219" t="n">
        <v>8.270000457763672</v>
      </c>
      <c r="F2219" t="n">
        <v>1.4</v>
      </c>
      <c r="G2219" t="inlineStr">
        <is>
          <t>Consolidated first (v4) – needs verification for flagged rows</t>
        </is>
      </c>
      <c r="H2219" t="n">
        <v>24.98999977111816</v>
      </c>
      <c r="I2219" t="n">
        <v>5.639999866485596</v>
      </c>
      <c r="L2219" t="inlineStr">
        <is>
          <t>OK</t>
        </is>
      </c>
      <c r="M2219" t="n">
        <v>17.85</v>
      </c>
      <c r="N2219" t="n">
        <v>4.03</v>
      </c>
      <c r="O2219" t="n">
        <v>15.75</v>
      </c>
      <c r="P2219" t="n">
        <v>24.18</v>
      </c>
      <c r="Q2219" t="n">
        <v>8.93</v>
      </c>
      <c r="R2219" s="3" t="inlineStr">
        <is>
          <t>MISMATCH_NEEDS_CORRECTION</t>
        </is>
      </c>
      <c r="S2219" t="n">
        <v>15.75</v>
      </c>
      <c r="T2219" t="inlineStr">
        <is>
          <t>30-07-2026 09:42 IST</t>
        </is>
      </c>
    </row>
    <row r="2220">
      <c r="A2220" t="n">
        <v>342</v>
      </c>
      <c r="B2220" t="n">
        <v>516098</v>
      </c>
      <c r="C2220" t="inlineStr">
        <is>
          <t>Ventura Textiles Ltd</t>
        </is>
      </c>
      <c r="D2220" t="n">
        <v>2016</v>
      </c>
      <c r="E2220" t="n">
        <v>8.270000457763672</v>
      </c>
      <c r="F2220" t="n">
        <v>0.01</v>
      </c>
      <c r="G2220" t="inlineStr">
        <is>
          <t>Consolidated first (v4) – needs verification for flagged rows</t>
        </is>
      </c>
      <c r="H2220" t="n">
        <v>17.8700008392334</v>
      </c>
      <c r="I2220" t="n">
        <v>6.900000095367432</v>
      </c>
      <c r="L2220" t="inlineStr">
        <is>
          <t>UNVERIFIED – tiny EPS &lt;0.5</t>
        </is>
      </c>
      <c r="M2220" t="n">
        <v>1787</v>
      </c>
      <c r="N2220" t="n">
        <v>690</v>
      </c>
      <c r="O2220" t="n">
        <v>15.75</v>
      </c>
      <c r="P2220" t="n">
        <v>24.18</v>
      </c>
      <c r="Q2220" t="n">
        <v>8.93</v>
      </c>
      <c r="R2220" s="3" t="inlineStr">
        <is>
          <t>MISMATCH_NEEDS_CORRECTION</t>
        </is>
      </c>
      <c r="S2220" t="n">
        <v>15.75</v>
      </c>
      <c r="T2220" t="inlineStr">
        <is>
          <t>30-07-2026 09:42 IST</t>
        </is>
      </c>
    </row>
    <row r="2221">
      <c r="A2221" t="n">
        <v>342</v>
      </c>
      <c r="B2221" t="n">
        <v>516098</v>
      </c>
      <c r="C2221" t="inlineStr">
        <is>
          <t>Ventura Textiles Ltd</t>
        </is>
      </c>
      <c r="D2221" t="n">
        <v>2017</v>
      </c>
      <c r="E2221" t="n">
        <v>8.270000457763672</v>
      </c>
      <c r="F2221" t="n">
        <v>-0.83</v>
      </c>
      <c r="G2221" t="inlineStr">
        <is>
          <t>Consolidated first (v4) – needs verification for flagged rows</t>
        </is>
      </c>
      <c r="H2221" t="n">
        <v>7.599999904632568</v>
      </c>
      <c r="I2221" t="n">
        <v>2.130000114440918</v>
      </c>
      <c r="L2221" t="inlineStr">
        <is>
          <t>UNVERIFIED – negative EPS</t>
        </is>
      </c>
      <c r="M2221" t="n">
        <v>-9.16</v>
      </c>
      <c r="N2221" t="n">
        <v>-2.57</v>
      </c>
      <c r="O2221" t="n">
        <v>15.75</v>
      </c>
      <c r="P2221" t="n">
        <v>24.18</v>
      </c>
      <c r="Q2221" t="n">
        <v>8.93</v>
      </c>
      <c r="R2221" s="3" t="inlineStr">
        <is>
          <t>MISMATCH_NEEDS_CORRECTION</t>
        </is>
      </c>
      <c r="S2221" t="n">
        <v>15.75</v>
      </c>
      <c r="T2221" t="inlineStr">
        <is>
          <t>30-07-2026 09:42 IST</t>
        </is>
      </c>
    </row>
    <row r="2222">
      <c r="A2222" t="n">
        <v>342</v>
      </c>
      <c r="B2222" t="n">
        <v>516098</v>
      </c>
      <c r="C2222" t="inlineStr">
        <is>
          <t>Ventura Textiles Ltd</t>
        </is>
      </c>
      <c r="D2222" t="n">
        <v>2018</v>
      </c>
      <c r="E2222" t="n">
        <v>8.270000457763672</v>
      </c>
      <c r="F2222" t="n">
        <v>-0.75</v>
      </c>
      <c r="G2222" t="inlineStr">
        <is>
          <t>Consolidated first (v4) – needs verification for flagged rows</t>
        </is>
      </c>
      <c r="H2222" t="n">
        <v>6.130000114440918</v>
      </c>
      <c r="I2222" t="n">
        <v>2.269999980926514</v>
      </c>
      <c r="L2222" t="inlineStr">
        <is>
          <t>UNVERIFIED – negative EPS</t>
        </is>
      </c>
      <c r="M2222" t="n">
        <v>-8.17</v>
      </c>
      <c r="N2222" t="n">
        <v>-3.03</v>
      </c>
      <c r="O2222" t="n">
        <v>15.75</v>
      </c>
      <c r="P2222" t="n">
        <v>24.18</v>
      </c>
      <c r="Q2222" t="n">
        <v>8.93</v>
      </c>
      <c r="R2222" s="3" t="inlineStr">
        <is>
          <t>MISMATCH_NEEDS_CORRECTION</t>
        </is>
      </c>
      <c r="S2222" t="n">
        <v>15.75</v>
      </c>
      <c r="T2222" t="inlineStr">
        <is>
          <t>30-07-2026 09:42 IST</t>
        </is>
      </c>
    </row>
    <row r="2223">
      <c r="A2223" t="n">
        <v>342</v>
      </c>
      <c r="B2223" t="n">
        <v>516098</v>
      </c>
      <c r="C2223" t="inlineStr">
        <is>
          <t>Ventura Textiles Ltd</t>
        </is>
      </c>
      <c r="D2223" t="n">
        <v>2019</v>
      </c>
      <c r="E2223" t="n">
        <v>8.270000457763672</v>
      </c>
      <c r="F2223" t="n">
        <v>-2.61</v>
      </c>
      <c r="G2223" t="inlineStr">
        <is>
          <t>Consolidated first (v4) – needs verification for flagged rows</t>
        </is>
      </c>
      <c r="H2223" t="n">
        <v>5.800000190734863</v>
      </c>
      <c r="I2223" t="n">
        <v>5.090000152587891</v>
      </c>
      <c r="L2223" t="inlineStr">
        <is>
          <t>UNVERIFIED – negative EPS</t>
        </is>
      </c>
      <c r="M2223" t="n">
        <v>-2.22</v>
      </c>
      <c r="N2223" t="n">
        <v>-1.95</v>
      </c>
      <c r="O2223" t="n">
        <v>15.75</v>
      </c>
      <c r="P2223" t="n">
        <v>24.18</v>
      </c>
      <c r="Q2223" t="n">
        <v>8.93</v>
      </c>
      <c r="R2223" s="3" t="inlineStr">
        <is>
          <t>MISMATCH_NEEDS_CORRECTION</t>
        </is>
      </c>
      <c r="S2223" t="n">
        <v>15.75</v>
      </c>
      <c r="T2223" t="inlineStr">
        <is>
          <t>30-07-2026 09:42 IST</t>
        </is>
      </c>
    </row>
    <row r="2224">
      <c r="A2224" t="n">
        <v>342</v>
      </c>
      <c r="B2224" t="n">
        <v>516098</v>
      </c>
      <c r="C2224" t="inlineStr">
        <is>
          <t>Ventura Textiles Ltd</t>
        </is>
      </c>
      <c r="D2224" t="n">
        <v>2020</v>
      </c>
      <c r="E2224" t="n">
        <v>8.270000457763672</v>
      </c>
      <c r="F2224" t="n">
        <v>-2.58</v>
      </c>
      <c r="G2224" t="inlineStr">
        <is>
          <t>Consolidated first (v4) – needs verification for flagged rows</t>
        </is>
      </c>
      <c r="H2224" t="n">
        <v>5.090000152587891</v>
      </c>
      <c r="I2224" t="n">
        <v>3.069999933242798</v>
      </c>
      <c r="L2224" t="inlineStr">
        <is>
          <t>UNVERIFIED – negative EPS</t>
        </is>
      </c>
      <c r="M2224" t="n">
        <v>-1.97</v>
      </c>
      <c r="N2224" t="n">
        <v>-1.19</v>
      </c>
      <c r="O2224" t="n">
        <v>15.75</v>
      </c>
      <c r="P2224" t="n">
        <v>24.18</v>
      </c>
      <c r="Q2224" t="n">
        <v>8.93</v>
      </c>
      <c r="R2224" s="3" t="inlineStr">
        <is>
          <t>MISMATCH_NEEDS_CORRECTION</t>
        </is>
      </c>
      <c r="S2224" t="n">
        <v>15.75</v>
      </c>
      <c r="T2224" t="inlineStr">
        <is>
          <t>30-07-2026 09:42 IST</t>
        </is>
      </c>
    </row>
    <row r="2225">
      <c r="A2225" t="n">
        <v>342</v>
      </c>
      <c r="B2225" t="n">
        <v>516098</v>
      </c>
      <c r="C2225" t="inlineStr">
        <is>
          <t>Ventura Textiles Ltd</t>
        </is>
      </c>
      <c r="D2225" t="n">
        <v>2021</v>
      </c>
      <c r="E2225" t="n">
        <v>8.270000457763672</v>
      </c>
      <c r="F2225" t="n">
        <v>-2.55</v>
      </c>
      <c r="G2225" t="inlineStr">
        <is>
          <t>Consolidated first (v4) – needs verification for flagged rows</t>
        </is>
      </c>
      <c r="H2225" t="n">
        <v>9.079999923706055</v>
      </c>
      <c r="I2225" t="n">
        <v>1.889999985694885</v>
      </c>
      <c r="L2225" t="inlineStr">
        <is>
          <t>UNVERIFIED – negative EPS</t>
        </is>
      </c>
      <c r="M2225" t="n">
        <v>-3.56</v>
      </c>
      <c r="N2225" t="n">
        <v>-0.74</v>
      </c>
      <c r="O2225" t="n">
        <v>15.75</v>
      </c>
      <c r="P2225" t="n">
        <v>24.18</v>
      </c>
      <c r="Q2225" t="n">
        <v>8.93</v>
      </c>
      <c r="R2225" s="3" t="inlineStr">
        <is>
          <t>MISMATCH_NEEDS_CORRECTION</t>
        </is>
      </c>
      <c r="S2225" t="n">
        <v>15.75</v>
      </c>
      <c r="T2225" t="inlineStr">
        <is>
          <t>30-07-2026 09:42 IST</t>
        </is>
      </c>
    </row>
    <row r="2226">
      <c r="A2226" t="n">
        <v>342</v>
      </c>
      <c r="B2226" t="n">
        <v>516098</v>
      </c>
      <c r="C2226" t="inlineStr">
        <is>
          <t>Ventura Textiles Ltd</t>
        </is>
      </c>
      <c r="D2226" t="n">
        <v>2022</v>
      </c>
      <c r="E2226" t="n">
        <v>8.270000457763672</v>
      </c>
      <c r="F2226" t="n">
        <v>-0.84</v>
      </c>
      <c r="G2226" t="inlineStr">
        <is>
          <t>Consolidated first (v4) – needs verification for flagged rows</t>
        </is>
      </c>
      <c r="H2226" t="n">
        <v>9.5</v>
      </c>
      <c r="I2226" t="n">
        <v>3.400000095367432</v>
      </c>
      <c r="L2226" t="inlineStr">
        <is>
          <t>UNVERIFIED – negative EPS</t>
        </is>
      </c>
      <c r="M2226" t="n">
        <v>-11.31</v>
      </c>
      <c r="N2226" t="n">
        <v>-4.05</v>
      </c>
      <c r="O2226" t="n">
        <v>15.75</v>
      </c>
      <c r="P2226" t="n">
        <v>24.18</v>
      </c>
      <c r="Q2226" t="n">
        <v>8.93</v>
      </c>
      <c r="R2226" s="3" t="inlineStr">
        <is>
          <t>MISMATCH_NEEDS_CORRECTION</t>
        </is>
      </c>
      <c r="S2226" t="n">
        <v>15.75</v>
      </c>
      <c r="T2226" t="inlineStr">
        <is>
          <t>30-07-2026 09:42 IST</t>
        </is>
      </c>
    </row>
    <row r="2227">
      <c r="A2227" t="n">
        <v>342</v>
      </c>
      <c r="B2227" t="n">
        <v>516098</v>
      </c>
      <c r="C2227" t="inlineStr">
        <is>
          <t>Ventura Textiles Ltd</t>
        </is>
      </c>
      <c r="D2227" t="n">
        <v>2023</v>
      </c>
      <c r="E2227" t="n">
        <v>8.270000457763672</v>
      </c>
      <c r="F2227" t="n">
        <v>-0.6</v>
      </c>
      <c r="G2227" t="inlineStr">
        <is>
          <t>Consolidated first (v4) – needs verification for flagged rows</t>
        </is>
      </c>
      <c r="H2227" t="n">
        <v>20.32999992370605</v>
      </c>
      <c r="I2227" t="n">
        <v>5.5</v>
      </c>
      <c r="L2227" t="inlineStr">
        <is>
          <t>UNVERIFIED – negative EPS</t>
        </is>
      </c>
      <c r="M2227" t="n">
        <v>-33.88</v>
      </c>
      <c r="N2227" t="n">
        <v>-9.17</v>
      </c>
      <c r="O2227" t="n">
        <v>15.75</v>
      </c>
      <c r="P2227" t="n">
        <v>24.18</v>
      </c>
      <c r="Q2227" t="n">
        <v>8.93</v>
      </c>
      <c r="R2227" s="3" t="inlineStr">
        <is>
          <t>MISMATCH_NEEDS_CORRECTION</t>
        </is>
      </c>
      <c r="S2227" t="n">
        <v>15.75</v>
      </c>
      <c r="T2227" t="inlineStr">
        <is>
          <t>30-07-2026 09:42 IST</t>
        </is>
      </c>
    </row>
    <row r="2228">
      <c r="A2228" t="n">
        <v>342</v>
      </c>
      <c r="B2228" t="n">
        <v>516098</v>
      </c>
      <c r="C2228" t="inlineStr">
        <is>
          <t>Ventura Textiles Ltd</t>
        </is>
      </c>
      <c r="D2228" t="n">
        <v>2024</v>
      </c>
      <c r="E2228" t="n">
        <v>8.270000457763672</v>
      </c>
      <c r="F2228" t="n">
        <v>4.85</v>
      </c>
      <c r="G2228" t="inlineStr">
        <is>
          <t>Consolidated first (v4) – needs verification for flagged rows</t>
        </is>
      </c>
      <c r="H2228" t="n">
        <v>24.18000030517578</v>
      </c>
      <c r="I2228" t="n">
        <v>8.930000305175781</v>
      </c>
      <c r="L2228" t="inlineStr">
        <is>
          <t>OK</t>
        </is>
      </c>
      <c r="M2228" t="n">
        <v>4.99</v>
      </c>
      <c r="N2228" t="n">
        <v>1.84</v>
      </c>
      <c r="O2228" t="n">
        <v>15.75</v>
      </c>
      <c r="P2228" t="n">
        <v>24.18</v>
      </c>
      <c r="Q2228" t="n">
        <v>8.93</v>
      </c>
      <c r="R2228" s="3" t="inlineStr">
        <is>
          <t>MISMATCH_NEEDS_CORRECTION</t>
        </is>
      </c>
      <c r="S2228" t="n">
        <v>15.75</v>
      </c>
      <c r="T2228" t="inlineStr">
        <is>
          <t>30-07-2026 09:42 IST</t>
        </is>
      </c>
    </row>
    <row r="2229">
      <c r="A2229" t="n">
        <v>342</v>
      </c>
      <c r="B2229" t="n">
        <v>516098</v>
      </c>
      <c r="C2229" t="inlineStr">
        <is>
          <t>Ventura Textiles Ltd</t>
        </is>
      </c>
      <c r="D2229" t="n">
        <v>2025</v>
      </c>
      <c r="E2229" t="n">
        <v>8.270000457763672</v>
      </c>
      <c r="F2229" t="n">
        <v>-0.6</v>
      </c>
      <c r="G2229" t="inlineStr">
        <is>
          <t>Consolidated first (v4) – needs verification for flagged rows</t>
        </is>
      </c>
      <c r="H2229" t="n">
        <v>18.20000076293945</v>
      </c>
      <c r="I2229" t="n">
        <v>8.159999847412109</v>
      </c>
      <c r="L2229" t="inlineStr">
        <is>
          <t>UNVERIFIED – negative EPS</t>
        </is>
      </c>
      <c r="M2229" t="n">
        <v>-30.33</v>
      </c>
      <c r="N2229" t="n">
        <v>-13.6</v>
      </c>
      <c r="O2229" t="n">
        <v>15.75</v>
      </c>
      <c r="P2229" t="n">
        <v>24.18</v>
      </c>
      <c r="Q2229" t="n">
        <v>8.93</v>
      </c>
      <c r="R2229" s="3" t="inlineStr">
        <is>
          <t>MISMATCH_NEEDS_CORRECTION</t>
        </is>
      </c>
      <c r="S2229" t="n">
        <v>15.75</v>
      </c>
      <c r="T2229" t="inlineStr">
        <is>
          <t>30-07-2026 09:42 IST</t>
        </is>
      </c>
    </row>
    <row r="2230">
      <c r="A2230" t="n">
        <v>342</v>
      </c>
      <c r="B2230" t="n">
        <v>516098</v>
      </c>
      <c r="C2230" t="inlineStr">
        <is>
          <t>Ventura Textiles Ltd</t>
        </is>
      </c>
      <c r="D2230" t="n">
        <v>2026</v>
      </c>
      <c r="E2230" t="n">
        <v>8.270000457763672</v>
      </c>
      <c r="F2230" t="n">
        <v>-0.18</v>
      </c>
      <c r="G2230" t="inlineStr">
        <is>
          <t>Consolidated first (v4) – needs verification for flagged rows</t>
        </is>
      </c>
      <c r="H2230" t="n">
        <v>10.55000019073486</v>
      </c>
      <c r="I2230" t="n">
        <v>6.550000190734863</v>
      </c>
      <c r="L2230" t="inlineStr">
        <is>
          <t>UNVERIFIED – negative EPS</t>
        </is>
      </c>
      <c r="M2230" t="n">
        <v>-58.61</v>
      </c>
      <c r="N2230" t="n">
        <v>-36.39</v>
      </c>
      <c r="O2230" t="n">
        <v>15.75</v>
      </c>
      <c r="P2230" t="n">
        <v>24.18</v>
      </c>
      <c r="Q2230" t="n">
        <v>8.93</v>
      </c>
      <c r="R2230" s="3" t="inlineStr">
        <is>
          <t>MISMATCH_NEEDS_CORRECTION</t>
        </is>
      </c>
      <c r="S2230" t="n">
        <v>15.75</v>
      </c>
      <c r="T2230" t="inlineStr">
        <is>
          <t>30-07-2026 09:42 IST</t>
        </is>
      </c>
    </row>
    <row r="2231">
      <c r="A2231" t="n">
        <v>343</v>
      </c>
      <c r="B2231" t="n">
        <v>516108</v>
      </c>
      <c r="C2231" t="inlineStr">
        <is>
          <t>South India Paper Mills Ltd</t>
        </is>
      </c>
      <c r="D2231" t="n">
        <v>2015</v>
      </c>
      <c r="E2231" t="n">
        <v>105</v>
      </c>
      <c r="F2231" t="n">
        <v>9.02</v>
      </c>
      <c r="G2231" t="inlineStr">
        <is>
          <t>Consolidated first (v4) – needs verification for flagged rows</t>
        </is>
      </c>
      <c r="H2231" t="n">
        <v>120</v>
      </c>
      <c r="I2231" t="n">
        <v>62</v>
      </c>
      <c r="L2231" t="inlineStr">
        <is>
          <t>OK</t>
        </is>
      </c>
      <c r="M2231" t="n">
        <v>13.3</v>
      </c>
      <c r="N2231" t="n">
        <v>6.87</v>
      </c>
      <c r="O2231" t="n">
        <v>112.11</v>
      </c>
      <c r="P2231" t="n">
        <v>120.75</v>
      </c>
      <c r="Q2231" t="n">
        <v>68.59999999999999</v>
      </c>
      <c r="R2231" s="3" t="inlineStr">
        <is>
          <t>MISMATCH_NEEDS_CORRECTION</t>
        </is>
      </c>
      <c r="S2231" t="n">
        <v>112.11</v>
      </c>
      <c r="T2231" t="inlineStr">
        <is>
          <t>30-07-2026 09:42 IST</t>
        </is>
      </c>
    </row>
    <row r="2232">
      <c r="A2232" t="n">
        <v>343</v>
      </c>
      <c r="B2232" t="n">
        <v>516108</v>
      </c>
      <c r="C2232" t="inlineStr">
        <is>
          <t>South India Paper Mills Ltd</t>
        </is>
      </c>
      <c r="D2232" t="n">
        <v>2016</v>
      </c>
      <c r="E2232" t="n">
        <v>105</v>
      </c>
      <c r="F2232" t="n">
        <v>16.06</v>
      </c>
      <c r="G2232" t="inlineStr">
        <is>
          <t>Consolidated first (v4) – needs verification for flagged rows</t>
        </is>
      </c>
      <c r="H2232" t="n">
        <v>165.6000061035156</v>
      </c>
      <c r="I2232" t="n">
        <v>88.69999694824219</v>
      </c>
      <c r="L2232" t="inlineStr">
        <is>
          <t>OK</t>
        </is>
      </c>
      <c r="M2232" t="n">
        <v>10.31</v>
      </c>
      <c r="N2232" t="n">
        <v>5.52</v>
      </c>
      <c r="O2232" t="n">
        <v>112.11</v>
      </c>
      <c r="P2232" t="n">
        <v>120.75</v>
      </c>
      <c r="Q2232" t="n">
        <v>68.59999999999999</v>
      </c>
      <c r="R2232" s="3" t="inlineStr">
        <is>
          <t>MISMATCH_NEEDS_CORRECTION</t>
        </is>
      </c>
      <c r="S2232" t="n">
        <v>112.11</v>
      </c>
      <c r="T2232" t="inlineStr">
        <is>
          <t>30-07-2026 09:42 IST</t>
        </is>
      </c>
    </row>
    <row r="2233">
      <c r="A2233" t="n">
        <v>343</v>
      </c>
      <c r="B2233" t="n">
        <v>516108</v>
      </c>
      <c r="C2233" t="inlineStr">
        <is>
          <t>South India Paper Mills Ltd</t>
        </is>
      </c>
      <c r="D2233" t="n">
        <v>2017</v>
      </c>
      <c r="E2233" t="n">
        <v>105</v>
      </c>
      <c r="F2233" t="n">
        <v>7.97</v>
      </c>
      <c r="G2233" t="inlineStr">
        <is>
          <t>Consolidated first (v4) – needs verification for flagged rows</t>
        </is>
      </c>
      <c r="H2233" t="n">
        <v>157.0500030517578</v>
      </c>
      <c r="I2233" t="n">
        <v>90.25</v>
      </c>
      <c r="L2233" t="inlineStr">
        <is>
          <t>OK</t>
        </is>
      </c>
      <c r="M2233" t="n">
        <v>19.71</v>
      </c>
      <c r="N2233" t="n">
        <v>11.32</v>
      </c>
      <c r="O2233" t="n">
        <v>112.11</v>
      </c>
      <c r="P2233" t="n">
        <v>120.75</v>
      </c>
      <c r="Q2233" t="n">
        <v>68.59999999999999</v>
      </c>
      <c r="R2233" s="3" t="inlineStr">
        <is>
          <t>MISMATCH_NEEDS_CORRECTION</t>
        </is>
      </c>
      <c r="S2233" t="n">
        <v>112.11</v>
      </c>
      <c r="T2233" t="inlineStr">
        <is>
          <t>30-07-2026 09:42 IST</t>
        </is>
      </c>
    </row>
    <row r="2234">
      <c r="A2234" t="n">
        <v>343</v>
      </c>
      <c r="B2234" t="n">
        <v>516108</v>
      </c>
      <c r="C2234" t="inlineStr">
        <is>
          <t>South India Paper Mills Ltd</t>
        </is>
      </c>
      <c r="D2234" t="n">
        <v>2018</v>
      </c>
      <c r="E2234" t="n">
        <v>105</v>
      </c>
      <c r="F2234" t="n">
        <v>0.63</v>
      </c>
      <c r="G2234" t="inlineStr">
        <is>
          <t>Consolidated first (v4) – needs verification for flagged rows</t>
        </is>
      </c>
      <c r="H2234" t="n">
        <v>168</v>
      </c>
      <c r="I2234" t="n">
        <v>84.55000305175781</v>
      </c>
      <c r="L2234" t="inlineStr">
        <is>
          <t>OK</t>
        </is>
      </c>
      <c r="M2234" t="n">
        <v>266.67</v>
      </c>
      <c r="N2234" t="n">
        <v>134.21</v>
      </c>
      <c r="O2234" t="n">
        <v>112.11</v>
      </c>
      <c r="P2234" t="n">
        <v>120.75</v>
      </c>
      <c r="Q2234" t="n">
        <v>68.59999999999999</v>
      </c>
      <c r="R2234" s="3" t="inlineStr">
        <is>
          <t>MISMATCH_NEEDS_CORRECTION</t>
        </is>
      </c>
      <c r="S2234" t="n">
        <v>112.11</v>
      </c>
      <c r="T2234" t="inlineStr">
        <is>
          <t>30-07-2026 09:42 IST</t>
        </is>
      </c>
    </row>
    <row r="2235">
      <c r="A2235" t="n">
        <v>343</v>
      </c>
      <c r="B2235" t="n">
        <v>516108</v>
      </c>
      <c r="C2235" t="inlineStr">
        <is>
          <t>South India Paper Mills Ltd</t>
        </is>
      </c>
      <c r="D2235" t="n">
        <v>2019</v>
      </c>
      <c r="E2235" t="n">
        <v>105</v>
      </c>
      <c r="F2235" t="n">
        <v>12.25</v>
      </c>
      <c r="G2235" t="inlineStr">
        <is>
          <t>Consolidated first (v4) – needs verification for flagged rows</t>
        </is>
      </c>
      <c r="H2235" t="n">
        <v>99</v>
      </c>
      <c r="I2235" t="n">
        <v>66.44999694824219</v>
      </c>
      <c r="L2235" t="inlineStr">
        <is>
          <t>OK</t>
        </is>
      </c>
      <c r="M2235" t="n">
        <v>8.08</v>
      </c>
      <c r="N2235" t="n">
        <v>5.42</v>
      </c>
      <c r="O2235" t="n">
        <v>112.11</v>
      </c>
      <c r="P2235" t="n">
        <v>120.75</v>
      </c>
      <c r="Q2235" t="n">
        <v>68.59999999999999</v>
      </c>
      <c r="R2235" s="3" t="inlineStr">
        <is>
          <t>MISMATCH_NEEDS_CORRECTION</t>
        </is>
      </c>
      <c r="S2235" t="n">
        <v>112.11</v>
      </c>
      <c r="T2235" t="inlineStr">
        <is>
          <t>30-07-2026 09:42 IST</t>
        </is>
      </c>
    </row>
    <row r="2236">
      <c r="A2236" t="n">
        <v>343</v>
      </c>
      <c r="B2236" t="n">
        <v>516108</v>
      </c>
      <c r="C2236" t="inlineStr">
        <is>
          <t>South India Paper Mills Ltd</t>
        </is>
      </c>
      <c r="D2236" t="n">
        <v>2020</v>
      </c>
      <c r="E2236" t="n">
        <v>105</v>
      </c>
      <c r="F2236" t="n">
        <v>10.63</v>
      </c>
      <c r="G2236" t="inlineStr">
        <is>
          <t>Consolidated first (v4) – needs verification for flagged rows</t>
        </is>
      </c>
      <c r="H2236" t="n">
        <v>84</v>
      </c>
      <c r="I2236" t="n">
        <v>32.59999847412109</v>
      </c>
      <c r="L2236" t="inlineStr">
        <is>
          <t>OK</t>
        </is>
      </c>
      <c r="M2236" t="n">
        <v>7.9</v>
      </c>
      <c r="N2236" t="n">
        <v>3.07</v>
      </c>
      <c r="O2236" t="n">
        <v>112.11</v>
      </c>
      <c r="P2236" t="n">
        <v>120.75</v>
      </c>
      <c r="Q2236" t="n">
        <v>68.59999999999999</v>
      </c>
      <c r="R2236" s="3" t="inlineStr">
        <is>
          <t>MISMATCH_NEEDS_CORRECTION</t>
        </is>
      </c>
      <c r="S2236" t="n">
        <v>112.11</v>
      </c>
      <c r="T2236" t="inlineStr">
        <is>
          <t>30-07-2026 09:42 IST</t>
        </is>
      </c>
    </row>
    <row r="2237">
      <c r="A2237" t="n">
        <v>343</v>
      </c>
      <c r="B2237" t="n">
        <v>516108</v>
      </c>
      <c r="C2237" t="inlineStr">
        <is>
          <t>South India Paper Mills Ltd</t>
        </is>
      </c>
      <c r="D2237" t="n">
        <v>2021</v>
      </c>
      <c r="E2237" t="n">
        <v>105</v>
      </c>
      <c r="F2237" t="n">
        <v>12.7</v>
      </c>
      <c r="G2237" t="inlineStr">
        <is>
          <t>Consolidated first (v4) – needs verification for flagged rows</t>
        </is>
      </c>
      <c r="H2237" t="n">
        <v>189.8000030517578</v>
      </c>
      <c r="I2237" t="n">
        <v>74</v>
      </c>
      <c r="L2237" t="inlineStr">
        <is>
          <t>OK</t>
        </is>
      </c>
      <c r="M2237" t="n">
        <v>14.94</v>
      </c>
      <c r="N2237" t="n">
        <v>5.83</v>
      </c>
      <c r="O2237" t="n">
        <v>112.11</v>
      </c>
      <c r="P2237" t="n">
        <v>120.75</v>
      </c>
      <c r="Q2237" t="n">
        <v>68.59999999999999</v>
      </c>
      <c r="R2237" s="3" t="inlineStr">
        <is>
          <t>MISMATCH_NEEDS_CORRECTION</t>
        </is>
      </c>
      <c r="S2237" t="n">
        <v>112.11</v>
      </c>
      <c r="T2237" t="inlineStr">
        <is>
          <t>30-07-2026 09:42 IST</t>
        </is>
      </c>
    </row>
    <row r="2238">
      <c r="A2238" t="n">
        <v>343</v>
      </c>
      <c r="B2238" t="n">
        <v>516108</v>
      </c>
      <c r="C2238" t="inlineStr">
        <is>
          <t>South India Paper Mills Ltd</t>
        </is>
      </c>
      <c r="D2238" t="n">
        <v>2022</v>
      </c>
      <c r="E2238" t="n">
        <v>105</v>
      </c>
      <c r="F2238" t="n">
        <v>14.44</v>
      </c>
      <c r="G2238" t="inlineStr">
        <is>
          <t>Consolidated first (v4) – needs verification for flagged rows</t>
        </is>
      </c>
      <c r="H2238" t="n">
        <v>195</v>
      </c>
      <c r="I2238" t="n">
        <v>107</v>
      </c>
      <c r="L2238" t="inlineStr">
        <is>
          <t>OK</t>
        </is>
      </c>
      <c r="M2238" t="n">
        <v>13.5</v>
      </c>
      <c r="N2238" t="n">
        <v>7.41</v>
      </c>
      <c r="O2238" t="n">
        <v>112.11</v>
      </c>
      <c r="P2238" t="n">
        <v>120.75</v>
      </c>
      <c r="Q2238" t="n">
        <v>68.59999999999999</v>
      </c>
      <c r="R2238" s="3" t="inlineStr">
        <is>
          <t>MISMATCH_NEEDS_CORRECTION</t>
        </is>
      </c>
      <c r="S2238" t="n">
        <v>112.11</v>
      </c>
      <c r="T2238" t="inlineStr">
        <is>
          <t>30-07-2026 09:42 IST</t>
        </is>
      </c>
    </row>
    <row r="2239">
      <c r="A2239" t="n">
        <v>343</v>
      </c>
      <c r="B2239" t="n">
        <v>516108</v>
      </c>
      <c r="C2239" t="inlineStr">
        <is>
          <t>South India Paper Mills Ltd</t>
        </is>
      </c>
      <c r="D2239" t="n">
        <v>2023</v>
      </c>
      <c r="E2239" t="n">
        <v>105</v>
      </c>
      <c r="F2239" t="n">
        <v>-8.890000000000001</v>
      </c>
      <c r="G2239" t="inlineStr">
        <is>
          <t>Consolidated first (v4) – needs verification for flagged rows</t>
        </is>
      </c>
      <c r="H2239" t="n">
        <v>140</v>
      </c>
      <c r="I2239" t="n">
        <v>85</v>
      </c>
      <c r="L2239" t="inlineStr">
        <is>
          <t>UNVERIFIED – negative EPS</t>
        </is>
      </c>
      <c r="M2239" t="n">
        <v>-15.75</v>
      </c>
      <c r="N2239" t="n">
        <v>-9.56</v>
      </c>
      <c r="O2239" t="n">
        <v>112.11</v>
      </c>
      <c r="P2239" t="n">
        <v>120.75</v>
      </c>
      <c r="Q2239" t="n">
        <v>68.59999999999999</v>
      </c>
      <c r="R2239" s="3" t="inlineStr">
        <is>
          <t>MISMATCH_NEEDS_CORRECTION</t>
        </is>
      </c>
      <c r="S2239" t="n">
        <v>112.11</v>
      </c>
      <c r="T2239" t="inlineStr">
        <is>
          <t>30-07-2026 09:42 IST</t>
        </is>
      </c>
    </row>
    <row r="2240">
      <c r="A2240" t="n">
        <v>343</v>
      </c>
      <c r="B2240" t="n">
        <v>516108</v>
      </c>
      <c r="C2240" t="inlineStr">
        <is>
          <t>South India Paper Mills Ltd</t>
        </is>
      </c>
      <c r="D2240" t="n">
        <v>2024</v>
      </c>
      <c r="E2240" t="n">
        <v>105</v>
      </c>
      <c r="F2240" t="n">
        <v>-7.16</v>
      </c>
      <c r="G2240" t="inlineStr">
        <is>
          <t>Consolidated first (v4) – needs verification for flagged rows</t>
        </is>
      </c>
      <c r="H2240" t="n">
        <v>120.75</v>
      </c>
      <c r="I2240" t="n">
        <v>68.59999847412109</v>
      </c>
      <c r="L2240" t="inlineStr">
        <is>
          <t>UNVERIFIED – negative EPS</t>
        </is>
      </c>
      <c r="M2240" t="n">
        <v>-16.86</v>
      </c>
      <c r="N2240" t="n">
        <v>-9.58</v>
      </c>
      <c r="O2240" t="n">
        <v>112.11</v>
      </c>
      <c r="P2240" t="n">
        <v>120.75</v>
      </c>
      <c r="Q2240" t="n">
        <v>68.59999999999999</v>
      </c>
      <c r="R2240" s="3" t="inlineStr">
        <is>
          <t>MISMATCH_NEEDS_CORRECTION</t>
        </is>
      </c>
      <c r="S2240" t="n">
        <v>112.11</v>
      </c>
      <c r="T2240" t="inlineStr">
        <is>
          <t>30-07-2026 09:42 IST</t>
        </is>
      </c>
    </row>
    <row r="2241">
      <c r="A2241" t="n">
        <v>343</v>
      </c>
      <c r="B2241" t="n">
        <v>516108</v>
      </c>
      <c r="C2241" t="inlineStr">
        <is>
          <t>South India Paper Mills Ltd</t>
        </is>
      </c>
      <c r="D2241" t="n">
        <v>2025</v>
      </c>
      <c r="E2241" t="n">
        <v>105</v>
      </c>
      <c r="F2241" t="n">
        <v>-5.14</v>
      </c>
      <c r="G2241" t="inlineStr">
        <is>
          <t>Consolidated first (v4) – needs verification for flagged rows</t>
        </is>
      </c>
      <c r="H2241" t="n">
        <v>112</v>
      </c>
      <c r="I2241" t="n">
        <v>65.09999847412109</v>
      </c>
      <c r="L2241" t="inlineStr">
        <is>
          <t>UNVERIFIED – negative EPS</t>
        </is>
      </c>
      <c r="M2241" t="n">
        <v>-21.79</v>
      </c>
      <c r="N2241" t="n">
        <v>-12.67</v>
      </c>
      <c r="O2241" t="n">
        <v>112.11</v>
      </c>
      <c r="P2241" t="n">
        <v>120.75</v>
      </c>
      <c r="Q2241" t="n">
        <v>68.59999999999999</v>
      </c>
      <c r="R2241" s="3" t="inlineStr">
        <is>
          <t>MISMATCH_NEEDS_CORRECTION</t>
        </is>
      </c>
      <c r="S2241" t="n">
        <v>112.11</v>
      </c>
      <c r="T2241" t="inlineStr">
        <is>
          <t>30-07-2026 09:42 IST</t>
        </is>
      </c>
    </row>
    <row r="2242">
      <c r="A2242" t="n">
        <v>343</v>
      </c>
      <c r="B2242" t="n">
        <v>516108</v>
      </c>
      <c r="C2242" t="inlineStr">
        <is>
          <t>South India Paper Mills Ltd</t>
        </is>
      </c>
      <c r="D2242" t="n">
        <v>2026</v>
      </c>
      <c r="E2242" t="n">
        <v>105</v>
      </c>
      <c r="F2242" t="n">
        <v>5.73</v>
      </c>
      <c r="G2242" t="inlineStr">
        <is>
          <t>Consolidated first (v4) – needs verification for flagged rows</t>
        </is>
      </c>
      <c r="H2242" t="n">
        <v>120</v>
      </c>
      <c r="I2242" t="n">
        <v>78</v>
      </c>
      <c r="L2242" t="inlineStr">
        <is>
          <t>OK</t>
        </is>
      </c>
      <c r="M2242" t="n">
        <v>20.94</v>
      </c>
      <c r="N2242" t="n">
        <v>13.61</v>
      </c>
      <c r="O2242" t="n">
        <v>112.11</v>
      </c>
      <c r="P2242" t="n">
        <v>120.75</v>
      </c>
      <c r="Q2242" t="n">
        <v>68.59999999999999</v>
      </c>
      <c r="R2242" s="3" t="inlineStr">
        <is>
          <t>MISMATCH_NEEDS_CORRECTION</t>
        </is>
      </c>
      <c r="S2242" t="n">
        <v>112.11</v>
      </c>
      <c r="T2242" t="inlineStr">
        <is>
          <t>30-07-2026 09:42 IST</t>
        </is>
      </c>
    </row>
    <row r="2243">
      <c r="A2243" t="n">
        <v>344</v>
      </c>
      <c r="B2243" t="n">
        <v>516110</v>
      </c>
      <c r="C2243" t="inlineStr">
        <is>
          <t>Shree Krishna Paper Mills &amp; Industries Ltd</t>
        </is>
      </c>
      <c r="D2243" t="n">
        <v>2015</v>
      </c>
      <c r="E2243" t="n">
        <v>2.769999980926514</v>
      </c>
      <c r="F2243" t="n">
        <v>-3.41</v>
      </c>
      <c r="G2243" t="inlineStr">
        <is>
          <t>Consolidated first (v4) – needs verification for flagged rows</t>
        </is>
      </c>
      <c r="H2243" t="n">
        <v>5.394021987915039</v>
      </c>
      <c r="I2243" t="n">
        <v>1.660403966903687</v>
      </c>
      <c r="L2243" t="inlineStr">
        <is>
          <t>UNVERIFIED – negative EPS</t>
        </is>
      </c>
      <c r="M2243" t="n">
        <v>-1.58</v>
      </c>
      <c r="N2243" t="n">
        <v>-0.49</v>
      </c>
      <c r="O2243" t="n">
        <v>7.44</v>
      </c>
      <c r="P2243" t="n">
        <v>10.34</v>
      </c>
      <c r="Q2243" t="n">
        <v>6.01</v>
      </c>
      <c r="R2243" s="3" t="inlineStr">
        <is>
          <t>MISMATCH_NEEDS_CORRECTION</t>
        </is>
      </c>
      <c r="S2243" t="n">
        <v>7.44</v>
      </c>
      <c r="T2243" t="inlineStr">
        <is>
          <t>30-07-2026 09:42 IST</t>
        </is>
      </c>
    </row>
    <row r="2244">
      <c r="A2244" t="n">
        <v>344</v>
      </c>
      <c r="B2244" t="n">
        <v>516110</v>
      </c>
      <c r="C2244" t="inlineStr">
        <is>
          <t>Shree Krishna Paper Mills &amp; Industries Ltd</t>
        </is>
      </c>
      <c r="D2244" t="n">
        <v>2016</v>
      </c>
      <c r="E2244" t="n">
        <v>2.769999980926514</v>
      </c>
      <c r="G2244" t="inlineStr">
        <is>
          <t>Consolidated first (v4) – needs verification for flagged rows</t>
        </is>
      </c>
      <c r="H2244" t="n">
        <v>13.30158615112305</v>
      </c>
      <c r="I2244" t="n">
        <v>5.394021987915039</v>
      </c>
      <c r="L2244" t="inlineStr">
        <is>
          <t>INCOMPLETE</t>
        </is>
      </c>
      <c r="O2244" t="n">
        <v>7.44</v>
      </c>
      <c r="P2244" t="n">
        <v>10.34</v>
      </c>
      <c r="Q2244" t="n">
        <v>6.01</v>
      </c>
      <c r="R2244" s="3" t="inlineStr">
        <is>
          <t>MISMATCH_NEEDS_CORRECTION</t>
        </is>
      </c>
      <c r="S2244" t="n">
        <v>7.44</v>
      </c>
      <c r="T2244" t="inlineStr">
        <is>
          <t>30-07-2026 09:42 IST</t>
        </is>
      </c>
    </row>
    <row r="2245">
      <c r="A2245" t="n">
        <v>344</v>
      </c>
      <c r="B2245" t="n">
        <v>516110</v>
      </c>
      <c r="C2245" t="inlineStr">
        <is>
          <t>Shree Krishna Paper Mills &amp; Industries Ltd</t>
        </is>
      </c>
      <c r="D2245" t="n">
        <v>2017</v>
      </c>
      <c r="E2245" t="n">
        <v>2.769999980926514</v>
      </c>
      <c r="F2245" t="n">
        <v>0.02</v>
      </c>
      <c r="G2245" t="inlineStr">
        <is>
          <t>Consolidated first (v4) – needs verification for flagged rows</t>
        </is>
      </c>
      <c r="H2245" t="n">
        <v>20.6403923034668</v>
      </c>
      <c r="I2245" t="n">
        <v>9.467060089111328</v>
      </c>
      <c r="L2245" t="inlineStr">
        <is>
          <t>UNVERIFIED – tiny EPS &lt;0.5</t>
        </is>
      </c>
      <c r="M2245" t="n">
        <v>1032.02</v>
      </c>
      <c r="N2245" t="n">
        <v>473.35</v>
      </c>
      <c r="O2245" t="n">
        <v>7.44</v>
      </c>
      <c r="P2245" t="n">
        <v>10.34</v>
      </c>
      <c r="Q2245" t="n">
        <v>6.01</v>
      </c>
      <c r="R2245" s="3" t="inlineStr">
        <is>
          <t>MISMATCH_NEEDS_CORRECTION</t>
        </is>
      </c>
      <c r="S2245" t="n">
        <v>7.44</v>
      </c>
      <c r="T2245" t="inlineStr">
        <is>
          <t>30-07-2026 09:42 IST</t>
        </is>
      </c>
    </row>
    <row r="2246">
      <c r="A2246" t="n">
        <v>344</v>
      </c>
      <c r="B2246" t="n">
        <v>516110</v>
      </c>
      <c r="C2246" t="inlineStr">
        <is>
          <t>Shree Krishna Paper Mills &amp; Industries Ltd</t>
        </is>
      </c>
      <c r="D2246" t="n">
        <v>2018</v>
      </c>
      <c r="E2246" t="n">
        <v>2.769999980926514</v>
      </c>
      <c r="F2246" t="n">
        <v>0.12</v>
      </c>
      <c r="G2246" t="inlineStr">
        <is>
          <t>Consolidated first (v4) – needs verification for flagged rows</t>
        </is>
      </c>
      <c r="H2246" t="n">
        <v>22.24575614929199</v>
      </c>
      <c r="I2246" t="n">
        <v>9.366150856018066</v>
      </c>
      <c r="L2246" t="inlineStr">
        <is>
          <t>UNVERIFIED – tiny EPS &lt;0.5</t>
        </is>
      </c>
      <c r="M2246" t="n">
        <v>185.38</v>
      </c>
      <c r="N2246" t="n">
        <v>78.05</v>
      </c>
      <c r="O2246" t="n">
        <v>7.44</v>
      </c>
      <c r="P2246" t="n">
        <v>10.34</v>
      </c>
      <c r="Q2246" t="n">
        <v>6.01</v>
      </c>
      <c r="R2246" s="3" t="inlineStr">
        <is>
          <t>MISMATCH_NEEDS_CORRECTION</t>
        </is>
      </c>
      <c r="S2246" t="n">
        <v>7.44</v>
      </c>
      <c r="T2246" t="inlineStr">
        <is>
          <t>30-07-2026 09:42 IST</t>
        </is>
      </c>
    </row>
    <row r="2247">
      <c r="A2247" t="n">
        <v>344</v>
      </c>
      <c r="B2247" t="n">
        <v>516110</v>
      </c>
      <c r="C2247" t="inlineStr">
        <is>
          <t>Shree Krishna Paper Mills &amp; Industries Ltd</t>
        </is>
      </c>
      <c r="D2247" t="n">
        <v>2019</v>
      </c>
      <c r="E2247" t="n">
        <v>2.769999980926514</v>
      </c>
      <c r="G2247" t="inlineStr">
        <is>
          <t>Consolidated first (v4) – needs verification for flagged rows</t>
        </is>
      </c>
      <c r="H2247" t="n">
        <v>13.25571918487549</v>
      </c>
      <c r="I2247" t="n">
        <v>6.173770904541016</v>
      </c>
      <c r="L2247" t="inlineStr">
        <is>
          <t>INCOMPLETE</t>
        </is>
      </c>
      <c r="O2247" t="n">
        <v>7.44</v>
      </c>
      <c r="P2247" t="n">
        <v>10.34</v>
      </c>
      <c r="Q2247" t="n">
        <v>6.01</v>
      </c>
      <c r="R2247" s="3" t="inlineStr">
        <is>
          <t>MISMATCH_NEEDS_CORRECTION</t>
        </is>
      </c>
      <c r="S2247" t="n">
        <v>7.44</v>
      </c>
      <c r="T2247" t="inlineStr">
        <is>
          <t>30-07-2026 09:42 IST</t>
        </is>
      </c>
    </row>
    <row r="2248">
      <c r="A2248" t="n">
        <v>344</v>
      </c>
      <c r="B2248" t="n">
        <v>516110</v>
      </c>
      <c r="C2248" t="inlineStr">
        <is>
          <t>Shree Krishna Paper Mills &amp; Industries Ltd</t>
        </is>
      </c>
      <c r="D2248" t="n">
        <v>2020</v>
      </c>
      <c r="E2248" t="n">
        <v>2.769999980926514</v>
      </c>
      <c r="G2248" t="inlineStr">
        <is>
          <t>Consolidated first (v4) – needs verification for flagged rows</t>
        </is>
      </c>
      <c r="H2248" t="n">
        <v>13.14563655853271</v>
      </c>
      <c r="I2248" t="n">
        <v>4.926173210144043</v>
      </c>
      <c r="L2248" t="inlineStr">
        <is>
          <t>INCOMPLETE</t>
        </is>
      </c>
      <c r="O2248" t="n">
        <v>7.44</v>
      </c>
      <c r="P2248" t="n">
        <v>10.34</v>
      </c>
      <c r="Q2248" t="n">
        <v>6.01</v>
      </c>
      <c r="R2248" s="3" t="inlineStr">
        <is>
          <t>MISMATCH_NEEDS_CORRECTION</t>
        </is>
      </c>
      <c r="S2248" t="n">
        <v>7.44</v>
      </c>
      <c r="T2248" t="inlineStr">
        <is>
          <t>30-07-2026 09:42 IST</t>
        </is>
      </c>
    </row>
    <row r="2249">
      <c r="A2249" t="n">
        <v>344</v>
      </c>
      <c r="B2249" t="n">
        <v>516110</v>
      </c>
      <c r="C2249" t="inlineStr">
        <is>
          <t>Shree Krishna Paper Mills &amp; Industries Ltd</t>
        </is>
      </c>
      <c r="D2249" t="n">
        <v>2021</v>
      </c>
      <c r="E2249" t="n">
        <v>2.769999980926514</v>
      </c>
      <c r="F2249" t="n">
        <v>0.5600000000000001</v>
      </c>
      <c r="G2249" t="inlineStr">
        <is>
          <t>Consolidated first (v4) – needs verification for flagged rows</t>
        </is>
      </c>
      <c r="H2249" t="n">
        <v>24.76847267150879</v>
      </c>
      <c r="I2249" t="n">
        <v>10.27432918548584</v>
      </c>
      <c r="L2249" t="inlineStr">
        <is>
          <t>OK</t>
        </is>
      </c>
      <c r="M2249" t="n">
        <v>44.23</v>
      </c>
      <c r="N2249" t="n">
        <v>18.35</v>
      </c>
      <c r="O2249" t="n">
        <v>7.44</v>
      </c>
      <c r="P2249" t="n">
        <v>10.34</v>
      </c>
      <c r="Q2249" t="n">
        <v>6.01</v>
      </c>
      <c r="R2249" s="3" t="inlineStr">
        <is>
          <t>MISMATCH_NEEDS_CORRECTION</t>
        </is>
      </c>
      <c r="S2249" t="n">
        <v>7.44</v>
      </c>
      <c r="T2249" t="inlineStr">
        <is>
          <t>30-07-2026 09:42 IST</t>
        </is>
      </c>
    </row>
    <row r="2250">
      <c r="A2250" t="n">
        <v>344</v>
      </c>
      <c r="B2250" t="n">
        <v>516110</v>
      </c>
      <c r="C2250" t="inlineStr">
        <is>
          <t>Shree Krishna Paper Mills &amp; Industries Ltd</t>
        </is>
      </c>
      <c r="D2250" t="n">
        <v>2022</v>
      </c>
      <c r="E2250" t="n">
        <v>2.769999980926514</v>
      </c>
      <c r="F2250" t="n">
        <v>0.71</v>
      </c>
      <c r="G2250" t="inlineStr">
        <is>
          <t>Consolidated first (v4) – needs verification for flagged rows</t>
        </is>
      </c>
      <c r="H2250" t="n">
        <v>53.34394836425781</v>
      </c>
      <c r="I2250" t="n">
        <v>10.54953384399414</v>
      </c>
      <c r="L2250" t="inlineStr">
        <is>
          <t>OK</t>
        </is>
      </c>
      <c r="M2250" t="n">
        <v>75.13</v>
      </c>
      <c r="N2250" t="n">
        <v>14.86</v>
      </c>
      <c r="O2250" t="n">
        <v>7.44</v>
      </c>
      <c r="P2250" t="n">
        <v>10.34</v>
      </c>
      <c r="Q2250" t="n">
        <v>6.01</v>
      </c>
      <c r="R2250" s="3" t="inlineStr">
        <is>
          <t>MISMATCH_NEEDS_CORRECTION</t>
        </is>
      </c>
      <c r="S2250" t="n">
        <v>7.44</v>
      </c>
      <c r="T2250" t="inlineStr">
        <is>
          <t>30-07-2026 09:42 IST</t>
        </is>
      </c>
    </row>
    <row r="2251">
      <c r="A2251" t="n">
        <v>344</v>
      </c>
      <c r="B2251" t="n">
        <v>516110</v>
      </c>
      <c r="C2251" t="inlineStr">
        <is>
          <t>Shree Krishna Paper Mills &amp; Industries Ltd</t>
        </is>
      </c>
      <c r="D2251" t="n">
        <v>2023</v>
      </c>
      <c r="E2251" t="n">
        <v>2.769999980926514</v>
      </c>
      <c r="F2251" t="n">
        <v>0.97</v>
      </c>
      <c r="G2251" t="inlineStr">
        <is>
          <t>Consolidated first (v4) – needs verification for flagged rows</t>
        </is>
      </c>
      <c r="H2251" t="n">
        <v>15.39999961853027</v>
      </c>
      <c r="I2251" t="n">
        <v>6.349999904632568</v>
      </c>
      <c r="L2251" t="inlineStr">
        <is>
          <t>OK</t>
        </is>
      </c>
      <c r="M2251" t="n">
        <v>15.88</v>
      </c>
      <c r="N2251" t="n">
        <v>6.55</v>
      </c>
      <c r="O2251" t="n">
        <v>7.44</v>
      </c>
      <c r="P2251" t="n">
        <v>10.34</v>
      </c>
      <c r="Q2251" t="n">
        <v>6.01</v>
      </c>
      <c r="R2251" s="3" t="inlineStr">
        <is>
          <t>MISMATCH_NEEDS_CORRECTION</t>
        </is>
      </c>
      <c r="S2251" t="n">
        <v>7.44</v>
      </c>
      <c r="T2251" t="inlineStr">
        <is>
          <t>30-07-2026 09:42 IST</t>
        </is>
      </c>
    </row>
    <row r="2252">
      <c r="A2252" t="n">
        <v>344</v>
      </c>
      <c r="B2252" t="n">
        <v>516110</v>
      </c>
      <c r="C2252" t="inlineStr">
        <is>
          <t>Shree Krishna Paper Mills &amp; Industries Ltd</t>
        </is>
      </c>
      <c r="D2252" t="n">
        <v>2024</v>
      </c>
      <c r="E2252" t="n">
        <v>2.769999980926514</v>
      </c>
      <c r="F2252" t="n">
        <v>2.32</v>
      </c>
      <c r="G2252" t="inlineStr">
        <is>
          <t>Consolidated first (v4) – needs verification for flagged rows</t>
        </is>
      </c>
      <c r="H2252" t="n">
        <v>10.34000015258789</v>
      </c>
      <c r="I2252" t="n">
        <v>6.230000019073486</v>
      </c>
      <c r="L2252" t="inlineStr">
        <is>
          <t>OK</t>
        </is>
      </c>
      <c r="M2252" t="n">
        <v>4.46</v>
      </c>
      <c r="N2252" t="n">
        <v>2.69</v>
      </c>
      <c r="O2252" t="n">
        <v>7.44</v>
      </c>
      <c r="P2252" t="n">
        <v>10.34</v>
      </c>
      <c r="Q2252" t="n">
        <v>6.01</v>
      </c>
      <c r="R2252" s="3" t="inlineStr">
        <is>
          <t>MISMATCH_NEEDS_CORRECTION</t>
        </is>
      </c>
      <c r="S2252" t="n">
        <v>7.44</v>
      </c>
      <c r="T2252" t="inlineStr">
        <is>
          <t>30-07-2026 09:42 IST</t>
        </is>
      </c>
    </row>
    <row r="2253">
      <c r="A2253" t="n">
        <v>344</v>
      </c>
      <c r="B2253" t="n">
        <v>516110</v>
      </c>
      <c r="C2253" t="inlineStr">
        <is>
          <t>Shree Krishna Paper Mills &amp; Industries Ltd</t>
        </is>
      </c>
      <c r="D2253" t="n">
        <v>2025</v>
      </c>
      <c r="E2253" t="n">
        <v>2.769999980926514</v>
      </c>
      <c r="F2253" t="n">
        <v>-8.17</v>
      </c>
      <c r="G2253" t="inlineStr">
        <is>
          <t>Consolidated first (v4) – needs verification for flagged rows</t>
        </is>
      </c>
      <c r="H2253" t="n">
        <v>7.289999961853027</v>
      </c>
      <c r="I2253" t="n">
        <v>3.400000095367432</v>
      </c>
      <c r="L2253" t="inlineStr">
        <is>
          <t>UNVERIFIED – negative EPS</t>
        </is>
      </c>
      <c r="M2253" t="n">
        <v>-0.89</v>
      </c>
      <c r="N2253" t="n">
        <v>-0.42</v>
      </c>
      <c r="O2253" t="n">
        <v>7.44</v>
      </c>
      <c r="P2253" t="n">
        <v>10.34</v>
      </c>
      <c r="Q2253" t="n">
        <v>6.01</v>
      </c>
      <c r="R2253" s="3" t="inlineStr">
        <is>
          <t>MISMATCH_NEEDS_CORRECTION</t>
        </is>
      </c>
      <c r="S2253" t="n">
        <v>7.44</v>
      </c>
      <c r="T2253" t="inlineStr">
        <is>
          <t>30-07-2026 09:42 IST</t>
        </is>
      </c>
    </row>
    <row r="2254">
      <c r="A2254" t="n">
        <v>344</v>
      </c>
      <c r="B2254" t="n">
        <v>516110</v>
      </c>
      <c r="C2254" t="inlineStr">
        <is>
          <t>Shree Krishna Paper Mills &amp; Industries Ltd</t>
        </is>
      </c>
      <c r="D2254" t="n">
        <v>2026</v>
      </c>
      <c r="E2254" t="n">
        <v>2.769999980926514</v>
      </c>
      <c r="F2254" t="n">
        <v>-1.61</v>
      </c>
      <c r="G2254" t="inlineStr">
        <is>
          <t>Consolidated first (v4) – needs verification for flagged rows</t>
        </is>
      </c>
      <c r="H2254" t="n">
        <v>4.079999923706055</v>
      </c>
      <c r="I2254" t="n">
        <v>2.509999990463257</v>
      </c>
      <c r="L2254" t="inlineStr">
        <is>
          <t>UNVERIFIED – negative EPS</t>
        </is>
      </c>
      <c r="M2254" t="n">
        <v>-2.53</v>
      </c>
      <c r="N2254" t="n">
        <v>-1.56</v>
      </c>
      <c r="O2254" t="n">
        <v>7.44</v>
      </c>
      <c r="P2254" t="n">
        <v>10.34</v>
      </c>
      <c r="Q2254" t="n">
        <v>6.01</v>
      </c>
      <c r="R2254" s="3" t="inlineStr">
        <is>
          <t>MISMATCH_NEEDS_CORRECTION</t>
        </is>
      </c>
      <c r="S2254" t="n">
        <v>7.44</v>
      </c>
      <c r="T2254" t="inlineStr">
        <is>
          <t>30-07-2026 09:42 IST</t>
        </is>
      </c>
    </row>
    <row r="2255">
      <c r="A2255" t="n">
        <v>371</v>
      </c>
      <c r="B2255" t="n">
        <v>517044</v>
      </c>
      <c r="C2255" t="inlineStr">
        <is>
          <t>Edac Engineering Ltd</t>
        </is>
      </c>
      <c r="D2255" t="n">
        <v>2015</v>
      </c>
      <c r="E2255" t="n">
        <v>37.61000061035156</v>
      </c>
      <c r="F2255" t="n">
        <v>-0.64</v>
      </c>
      <c r="G2255" t="inlineStr">
        <is>
          <t>Consolidated first (v4) – needs verification for flagged rows</t>
        </is>
      </c>
      <c r="H2255" t="n">
        <v>16.25</v>
      </c>
      <c r="I2255" t="n">
        <v>16.25</v>
      </c>
      <c r="L2255" t="inlineStr">
        <is>
          <t>UNVERIFIED – negative EPS</t>
        </is>
      </c>
      <c r="M2255" t="n">
        <v>-25.39</v>
      </c>
      <c r="N2255" t="n">
        <v>-25.39</v>
      </c>
      <c r="O2255" t="n">
        <v>26.91</v>
      </c>
      <c r="P2255" t="n">
        <v>38.32</v>
      </c>
      <c r="Q2255" t="n">
        <v>15.68</v>
      </c>
      <c r="R2255" s="3" t="inlineStr">
        <is>
          <t>MISMATCH_NEEDS_CORRECTION</t>
        </is>
      </c>
      <c r="S2255" t="n">
        <v>26.91</v>
      </c>
      <c r="T2255" t="inlineStr">
        <is>
          <t>30-07-2026 09:42 IST</t>
        </is>
      </c>
    </row>
    <row r="2256">
      <c r="A2256" t="n">
        <v>371</v>
      </c>
      <c r="B2256" t="n">
        <v>517044</v>
      </c>
      <c r="C2256" t="inlineStr">
        <is>
          <t>Edac Engineering Ltd</t>
        </is>
      </c>
      <c r="D2256" t="n">
        <v>2016</v>
      </c>
      <c r="E2256" t="n">
        <v>37.61000061035156</v>
      </c>
      <c r="F2256" t="n">
        <v>-0.14</v>
      </c>
      <c r="G2256" t="inlineStr">
        <is>
          <t>Consolidated first (v4) – needs verification for flagged rows</t>
        </is>
      </c>
      <c r="H2256" t="n">
        <v>19.64999961853027</v>
      </c>
      <c r="I2256" t="n">
        <v>16.25</v>
      </c>
      <c r="L2256" t="inlineStr">
        <is>
          <t>UNVERIFIED – negative EPS</t>
        </is>
      </c>
      <c r="M2256" t="n">
        <v>-140.36</v>
      </c>
      <c r="N2256" t="n">
        <v>-116.07</v>
      </c>
      <c r="O2256" t="n">
        <v>26.91</v>
      </c>
      <c r="P2256" t="n">
        <v>38.32</v>
      </c>
      <c r="Q2256" t="n">
        <v>15.68</v>
      </c>
      <c r="R2256" s="3" t="inlineStr">
        <is>
          <t>MISMATCH_NEEDS_CORRECTION</t>
        </is>
      </c>
      <c r="S2256" t="n">
        <v>26.91</v>
      </c>
      <c r="T2256" t="inlineStr">
        <is>
          <t>30-07-2026 09:42 IST</t>
        </is>
      </c>
    </row>
    <row r="2257">
      <c r="A2257" t="n">
        <v>371</v>
      </c>
      <c r="B2257" t="n">
        <v>517044</v>
      </c>
      <c r="C2257" t="inlineStr">
        <is>
          <t>Edac Engineering Ltd</t>
        </is>
      </c>
      <c r="D2257" t="n">
        <v>2017</v>
      </c>
      <c r="E2257" t="n">
        <v>37.61000061035156</v>
      </c>
      <c r="F2257" t="n">
        <v>-0.64</v>
      </c>
      <c r="G2257" t="inlineStr">
        <is>
          <t>Consolidated first (v4) – needs verification for flagged rows</t>
        </is>
      </c>
      <c r="H2257" t="n">
        <v>23.14999961853027</v>
      </c>
      <c r="I2257" t="n">
        <v>16.29999923706055</v>
      </c>
      <c r="L2257" t="inlineStr">
        <is>
          <t>UNVERIFIED – negative EPS</t>
        </is>
      </c>
      <c r="M2257" t="n">
        <v>-36.17</v>
      </c>
      <c r="N2257" t="n">
        <v>-25.47</v>
      </c>
      <c r="O2257" t="n">
        <v>26.91</v>
      </c>
      <c r="P2257" t="n">
        <v>38.32</v>
      </c>
      <c r="Q2257" t="n">
        <v>15.68</v>
      </c>
      <c r="R2257" s="3" t="inlineStr">
        <is>
          <t>MISMATCH_NEEDS_CORRECTION</t>
        </is>
      </c>
      <c r="S2257" t="n">
        <v>26.91</v>
      </c>
      <c r="T2257" t="inlineStr">
        <is>
          <t>30-07-2026 09:42 IST</t>
        </is>
      </c>
    </row>
    <row r="2258">
      <c r="A2258" t="n">
        <v>371</v>
      </c>
      <c r="B2258" t="n">
        <v>517044</v>
      </c>
      <c r="C2258" t="inlineStr">
        <is>
          <t>Edac Engineering Ltd</t>
        </is>
      </c>
      <c r="D2258" t="n">
        <v>2018</v>
      </c>
      <c r="E2258" t="n">
        <v>37.61000061035156</v>
      </c>
      <c r="F2258" t="n">
        <v>44.95</v>
      </c>
      <c r="G2258" t="inlineStr">
        <is>
          <t>Consolidated first (v4) – needs verification for flagged rows</t>
        </is>
      </c>
      <c r="H2258" t="n">
        <v>16.29999923706055</v>
      </c>
      <c r="I2258" t="n">
        <v>11.0600004196167</v>
      </c>
      <c r="L2258" t="inlineStr">
        <is>
          <t>OK</t>
        </is>
      </c>
      <c r="M2258" t="n">
        <v>0.36</v>
      </c>
      <c r="N2258" t="n">
        <v>0.25</v>
      </c>
      <c r="O2258" t="n">
        <v>26.91</v>
      </c>
      <c r="P2258" t="n">
        <v>38.32</v>
      </c>
      <c r="Q2258" t="n">
        <v>15.68</v>
      </c>
      <c r="R2258" s="3" t="inlineStr">
        <is>
          <t>MISMATCH_NEEDS_CORRECTION</t>
        </is>
      </c>
      <c r="S2258" t="n">
        <v>26.91</v>
      </c>
      <c r="T2258" t="inlineStr">
        <is>
          <t>30-07-2026 09:42 IST</t>
        </is>
      </c>
    </row>
    <row r="2259">
      <c r="A2259" t="n">
        <v>371</v>
      </c>
      <c r="B2259" t="n">
        <v>517044</v>
      </c>
      <c r="C2259" t="inlineStr">
        <is>
          <t>Edac Engineering Ltd</t>
        </is>
      </c>
      <c r="D2259" t="n">
        <v>2019</v>
      </c>
      <c r="E2259" t="n">
        <v>37.61000061035156</v>
      </c>
      <c r="F2259" t="n">
        <v>-0.73</v>
      </c>
      <c r="G2259" t="inlineStr">
        <is>
          <t>Consolidated first (v4) – needs verification for flagged rows</t>
        </is>
      </c>
      <c r="H2259" t="n">
        <v>14.55000019073486</v>
      </c>
      <c r="I2259" t="n">
        <v>7.46999979019165</v>
      </c>
      <c r="L2259" t="inlineStr">
        <is>
          <t>UNVERIFIED – negative EPS</t>
        </is>
      </c>
      <c r="M2259" t="n">
        <v>-19.93</v>
      </c>
      <c r="N2259" t="n">
        <v>-10.23</v>
      </c>
      <c r="O2259" t="n">
        <v>26.91</v>
      </c>
      <c r="P2259" t="n">
        <v>38.32</v>
      </c>
      <c r="Q2259" t="n">
        <v>15.68</v>
      </c>
      <c r="R2259" s="3" t="inlineStr">
        <is>
          <t>MISMATCH_NEEDS_CORRECTION</t>
        </is>
      </c>
      <c r="S2259" t="n">
        <v>26.91</v>
      </c>
      <c r="T2259" t="inlineStr">
        <is>
          <t>30-07-2026 09:42 IST</t>
        </is>
      </c>
    </row>
    <row r="2260">
      <c r="A2260" t="n">
        <v>371</v>
      </c>
      <c r="B2260" t="n">
        <v>517044</v>
      </c>
      <c r="C2260" t="inlineStr">
        <is>
          <t>Edac Engineering Ltd</t>
        </is>
      </c>
      <c r="D2260" t="n">
        <v>2020</v>
      </c>
      <c r="E2260" t="n">
        <v>37.61000061035156</v>
      </c>
      <c r="F2260" t="n">
        <v>-0.77</v>
      </c>
      <c r="G2260" t="inlineStr">
        <is>
          <t>Consolidated first (v4) – needs verification for flagged rows</t>
        </is>
      </c>
      <c r="H2260" t="n">
        <v>7.78000020980835</v>
      </c>
      <c r="I2260" t="n">
        <v>5</v>
      </c>
      <c r="L2260" t="inlineStr">
        <is>
          <t>UNVERIFIED – negative EPS</t>
        </is>
      </c>
      <c r="M2260" t="n">
        <v>-10.1</v>
      </c>
      <c r="N2260" t="n">
        <v>-6.49</v>
      </c>
      <c r="O2260" t="n">
        <v>26.91</v>
      </c>
      <c r="P2260" t="n">
        <v>38.32</v>
      </c>
      <c r="Q2260" t="n">
        <v>15.68</v>
      </c>
      <c r="R2260" s="3" t="inlineStr">
        <is>
          <t>MISMATCH_NEEDS_CORRECTION</t>
        </is>
      </c>
      <c r="S2260" t="n">
        <v>26.91</v>
      </c>
      <c r="T2260" t="inlineStr">
        <is>
          <t>30-07-2026 09:42 IST</t>
        </is>
      </c>
    </row>
    <row r="2261">
      <c r="A2261" t="n">
        <v>371</v>
      </c>
      <c r="B2261" t="n">
        <v>517044</v>
      </c>
      <c r="C2261" t="inlineStr">
        <is>
          <t>Edac Engineering Ltd</t>
        </is>
      </c>
      <c r="D2261" t="n">
        <v>2021</v>
      </c>
      <c r="E2261" t="n">
        <v>37.61000061035156</v>
      </c>
      <c r="F2261" t="n">
        <v>-0.41</v>
      </c>
      <c r="G2261" t="inlineStr">
        <is>
          <t>Consolidated first (v4) – needs verification for flagged rows</t>
        </is>
      </c>
      <c r="H2261" t="n">
        <v>24.85000038146973</v>
      </c>
      <c r="I2261" t="n">
        <v>3.539999961853027</v>
      </c>
      <c r="L2261" t="inlineStr">
        <is>
          <t>UNVERIFIED – negative EPS</t>
        </is>
      </c>
      <c r="M2261" t="n">
        <v>-60.61</v>
      </c>
      <c r="N2261" t="n">
        <v>-8.630000000000001</v>
      </c>
      <c r="O2261" t="n">
        <v>26.91</v>
      </c>
      <c r="P2261" t="n">
        <v>38.32</v>
      </c>
      <c r="Q2261" t="n">
        <v>15.68</v>
      </c>
      <c r="R2261" s="3" t="inlineStr">
        <is>
          <t>MISMATCH_NEEDS_CORRECTION</t>
        </is>
      </c>
      <c r="S2261" t="n">
        <v>26.91</v>
      </c>
      <c r="T2261" t="inlineStr">
        <is>
          <t>30-07-2026 09:42 IST</t>
        </is>
      </c>
    </row>
    <row r="2262">
      <c r="A2262" t="n">
        <v>371</v>
      </c>
      <c r="B2262" t="n">
        <v>517044</v>
      </c>
      <c r="C2262" t="inlineStr">
        <is>
          <t>Edac Engineering Ltd</t>
        </is>
      </c>
      <c r="D2262" t="n">
        <v>2022</v>
      </c>
      <c r="E2262" t="n">
        <v>37.61000061035156</v>
      </c>
      <c r="F2262" t="n">
        <v>-0.36</v>
      </c>
      <c r="G2262" t="inlineStr">
        <is>
          <t>Consolidated first (v4) – needs verification for flagged rows</t>
        </is>
      </c>
      <c r="H2262" t="n">
        <v>25.10000038146973</v>
      </c>
      <c r="I2262" t="n">
        <v>7.699999809265137</v>
      </c>
      <c r="L2262" t="inlineStr">
        <is>
          <t>UNVERIFIED – negative EPS</t>
        </is>
      </c>
      <c r="M2262" t="n">
        <v>-69.72</v>
      </c>
      <c r="N2262" t="n">
        <v>-21.39</v>
      </c>
      <c r="O2262" t="n">
        <v>26.91</v>
      </c>
      <c r="P2262" t="n">
        <v>38.32</v>
      </c>
      <c r="Q2262" t="n">
        <v>15.68</v>
      </c>
      <c r="R2262" s="3" t="inlineStr">
        <is>
          <t>MISMATCH_NEEDS_CORRECTION</t>
        </is>
      </c>
      <c r="S2262" t="n">
        <v>26.91</v>
      </c>
      <c r="T2262" t="inlineStr">
        <is>
          <t>30-07-2026 09:42 IST</t>
        </is>
      </c>
    </row>
    <row r="2263">
      <c r="A2263" t="n">
        <v>371</v>
      </c>
      <c r="B2263" t="n">
        <v>517044</v>
      </c>
      <c r="C2263" t="inlineStr">
        <is>
          <t>Edac Engineering Ltd</t>
        </is>
      </c>
      <c r="D2263" t="n">
        <v>2023</v>
      </c>
      <c r="E2263" t="n">
        <v>37.61000061035156</v>
      </c>
      <c r="F2263" t="n">
        <v>-7.5</v>
      </c>
      <c r="G2263" t="inlineStr">
        <is>
          <t>Consolidated first (v4) – needs verification for flagged rows</t>
        </is>
      </c>
      <c r="H2263" t="n">
        <v>21.45000076293945</v>
      </c>
      <c r="I2263" t="n">
        <v>10</v>
      </c>
      <c r="L2263" t="inlineStr">
        <is>
          <t>UNVERIFIED – negative EPS</t>
        </is>
      </c>
      <c r="M2263" t="n">
        <v>-2.86</v>
      </c>
      <c r="N2263" t="n">
        <v>-1.33</v>
      </c>
      <c r="O2263" t="n">
        <v>26.91</v>
      </c>
      <c r="P2263" t="n">
        <v>38.32</v>
      </c>
      <c r="Q2263" t="n">
        <v>15.68</v>
      </c>
      <c r="R2263" s="3" t="inlineStr">
        <is>
          <t>MISMATCH_NEEDS_CORRECTION</t>
        </is>
      </c>
      <c r="S2263" t="n">
        <v>26.91</v>
      </c>
      <c r="T2263" t="inlineStr">
        <is>
          <t>30-07-2026 09:42 IST</t>
        </is>
      </c>
    </row>
    <row r="2264">
      <c r="A2264" t="n">
        <v>371</v>
      </c>
      <c r="B2264" t="n">
        <v>517044</v>
      </c>
      <c r="C2264" t="inlineStr">
        <is>
          <t>Edac Engineering Ltd</t>
        </is>
      </c>
      <c r="D2264" t="n">
        <v>2024</v>
      </c>
      <c r="E2264" t="n">
        <v>37.61000061035156</v>
      </c>
      <c r="F2264" t="n">
        <v>-0.77</v>
      </c>
      <c r="G2264" t="inlineStr">
        <is>
          <t>Consolidated first (v4) – needs verification for flagged rows</t>
        </is>
      </c>
      <c r="H2264" t="n">
        <v>38.31999969482422</v>
      </c>
      <c r="I2264" t="n">
        <v>13.39999961853027</v>
      </c>
      <c r="L2264" t="inlineStr">
        <is>
          <t>UNVERIFIED – negative EPS</t>
        </is>
      </c>
      <c r="M2264" t="n">
        <v>-49.77</v>
      </c>
      <c r="N2264" t="n">
        <v>-17.4</v>
      </c>
      <c r="O2264" t="n">
        <v>26.91</v>
      </c>
      <c r="P2264" t="n">
        <v>38.32</v>
      </c>
      <c r="Q2264" t="n">
        <v>15.68</v>
      </c>
      <c r="R2264" s="3" t="inlineStr">
        <is>
          <t>MISMATCH_NEEDS_CORRECTION</t>
        </is>
      </c>
      <c r="S2264" t="n">
        <v>26.91</v>
      </c>
      <c r="T2264" t="inlineStr">
        <is>
          <t>30-07-2026 09:42 IST</t>
        </is>
      </c>
    </row>
    <row r="2265">
      <c r="A2265" t="n">
        <v>371</v>
      </c>
      <c r="B2265" t="n">
        <v>517044</v>
      </c>
      <c r="C2265" t="inlineStr">
        <is>
          <t>Edac Engineering Ltd</t>
        </is>
      </c>
      <c r="D2265" t="n">
        <v>2025</v>
      </c>
      <c r="E2265" t="n">
        <v>37.61000061035156</v>
      </c>
      <c r="F2265" t="n">
        <v>-0.59</v>
      </c>
      <c r="G2265" t="inlineStr">
        <is>
          <t>Consolidated first (v4) – needs verification for flagged rows</t>
        </is>
      </c>
      <c r="H2265" t="n">
        <v>40.66999816894531</v>
      </c>
      <c r="I2265" t="n">
        <v>20.79999923706055</v>
      </c>
      <c r="L2265" t="inlineStr">
        <is>
          <t>UNVERIFIED – negative EPS</t>
        </is>
      </c>
      <c r="M2265" t="n">
        <v>-68.93000000000001</v>
      </c>
      <c r="N2265" t="n">
        <v>-35.25</v>
      </c>
      <c r="O2265" t="n">
        <v>26.91</v>
      </c>
      <c r="P2265" t="n">
        <v>38.32</v>
      </c>
      <c r="Q2265" t="n">
        <v>15.68</v>
      </c>
      <c r="R2265" s="3" t="inlineStr">
        <is>
          <t>MISMATCH_NEEDS_CORRECTION</t>
        </is>
      </c>
      <c r="S2265" t="n">
        <v>26.91</v>
      </c>
      <c r="T2265" t="inlineStr">
        <is>
          <t>30-07-2026 09:42 IST</t>
        </is>
      </c>
    </row>
    <row r="2266">
      <c r="A2266" t="n">
        <v>371</v>
      </c>
      <c r="B2266" t="n">
        <v>517044</v>
      </c>
      <c r="C2266" t="inlineStr">
        <is>
          <t>Edac Engineering Ltd</t>
        </is>
      </c>
      <c r="D2266" t="n">
        <v>2026</v>
      </c>
      <c r="E2266" t="n">
        <v>37.61000061035156</v>
      </c>
      <c r="F2266" t="n">
        <v>-0.64</v>
      </c>
      <c r="G2266" t="inlineStr">
        <is>
          <t>Consolidated first (v4) – needs verification for flagged rows</t>
        </is>
      </c>
      <c r="H2266" t="n">
        <v>37.61000061035156</v>
      </c>
      <c r="I2266" t="n">
        <v>26.60000038146973</v>
      </c>
      <c r="L2266" t="inlineStr">
        <is>
          <t>UNVERIFIED – negative EPS</t>
        </is>
      </c>
      <c r="M2266" t="n">
        <v>-58.77</v>
      </c>
      <c r="N2266" t="n">
        <v>-41.56</v>
      </c>
      <c r="O2266" t="n">
        <v>26.91</v>
      </c>
      <c r="P2266" t="n">
        <v>38.32</v>
      </c>
      <c r="Q2266" t="n">
        <v>15.68</v>
      </c>
      <c r="R2266" s="3" t="inlineStr">
        <is>
          <t>MISMATCH_NEEDS_CORRECTION</t>
        </is>
      </c>
      <c r="S2266" t="n">
        <v>26.91</v>
      </c>
      <c r="T2266" t="inlineStr">
        <is>
          <t>30-07-2026 09:42 IST</t>
        </is>
      </c>
    </row>
    <row r="2267">
      <c r="A2267" t="n">
        <v>373</v>
      </c>
      <c r="B2267" t="n">
        <v>517146</v>
      </c>
      <c r="C2267" t="inlineStr">
        <is>
          <t>Usha Martin Education</t>
        </is>
      </c>
      <c r="D2267" t="n">
        <v>2015</v>
      </c>
      <c r="E2267" t="n">
        <v>501.8999938964844</v>
      </c>
      <c r="F2267" t="n">
        <v>-8.31</v>
      </c>
      <c r="G2267" t="inlineStr">
        <is>
          <t>Consolidated first (v4) – needs verification for flagged rows</t>
        </is>
      </c>
      <c r="H2267" t="n">
        <v>34.34999847412109</v>
      </c>
      <c r="I2267" t="n">
        <v>10.14999961853027</v>
      </c>
      <c r="L2267" t="inlineStr">
        <is>
          <t>UNVERIFIED – negative EPS</t>
        </is>
      </c>
      <c r="M2267" t="n">
        <v>-4.13</v>
      </c>
      <c r="N2267" t="n">
        <v>-1.22</v>
      </c>
      <c r="O2267" t="n">
        <v>5.52</v>
      </c>
      <c r="P2267" t="n">
        <v>7.14</v>
      </c>
      <c r="Q2267" t="n">
        <v>3.88</v>
      </c>
      <c r="R2267" s="3" t="inlineStr">
        <is>
          <t>MISMATCH_NEEDS_CORRECTION</t>
        </is>
      </c>
      <c r="S2267" t="n">
        <v>5.52</v>
      </c>
      <c r="T2267" t="inlineStr">
        <is>
          <t>30-07-2026 09:42 IST</t>
        </is>
      </c>
    </row>
    <row r="2268">
      <c r="A2268" t="n">
        <v>373</v>
      </c>
      <c r="B2268" t="n">
        <v>517146</v>
      </c>
      <c r="C2268" t="inlineStr">
        <is>
          <t>Usha Martin Education</t>
        </is>
      </c>
      <c r="D2268" t="n">
        <v>2016</v>
      </c>
      <c r="E2268" t="n">
        <v>501.8999938964844</v>
      </c>
      <c r="F2268" t="n">
        <v>-14.1</v>
      </c>
      <c r="G2268" t="inlineStr">
        <is>
          <t>Consolidated first (v4) – needs verification for flagged rows</t>
        </is>
      </c>
      <c r="H2268" t="n">
        <v>20</v>
      </c>
      <c r="I2268" t="n">
        <v>6.75</v>
      </c>
      <c r="L2268" t="inlineStr">
        <is>
          <t>UNVERIFIED – negative EPS</t>
        </is>
      </c>
      <c r="M2268" t="n">
        <v>-1.42</v>
      </c>
      <c r="N2268" t="n">
        <v>-0.48</v>
      </c>
      <c r="O2268" t="n">
        <v>5.52</v>
      </c>
      <c r="P2268" t="n">
        <v>7.14</v>
      </c>
      <c r="Q2268" t="n">
        <v>3.88</v>
      </c>
      <c r="R2268" s="3" t="inlineStr">
        <is>
          <t>MISMATCH_NEEDS_CORRECTION</t>
        </is>
      </c>
      <c r="S2268" t="n">
        <v>5.52</v>
      </c>
      <c r="T2268" t="inlineStr">
        <is>
          <t>30-07-2026 09:42 IST</t>
        </is>
      </c>
    </row>
    <row r="2269">
      <c r="A2269" t="n">
        <v>373</v>
      </c>
      <c r="B2269" t="n">
        <v>517146</v>
      </c>
      <c r="C2269" t="inlineStr">
        <is>
          <t>Usha Martin Education</t>
        </is>
      </c>
      <c r="D2269" t="n">
        <v>2017</v>
      </c>
      <c r="E2269" t="n">
        <v>501.8999938964844</v>
      </c>
      <c r="F2269" t="n">
        <v>-11.78</v>
      </c>
      <c r="G2269" t="inlineStr">
        <is>
          <t>Consolidated first (v4) – needs verification for flagged rows</t>
        </is>
      </c>
      <c r="H2269" t="n">
        <v>28.89999961853027</v>
      </c>
      <c r="I2269" t="n">
        <v>15.25</v>
      </c>
      <c r="L2269" t="inlineStr">
        <is>
          <t>UNVERIFIED – negative EPS</t>
        </is>
      </c>
      <c r="M2269" t="n">
        <v>-2.45</v>
      </c>
      <c r="N2269" t="n">
        <v>-1.29</v>
      </c>
      <c r="O2269" t="n">
        <v>5.52</v>
      </c>
      <c r="P2269" t="n">
        <v>7.14</v>
      </c>
      <c r="Q2269" t="n">
        <v>3.88</v>
      </c>
      <c r="R2269" s="3" t="inlineStr">
        <is>
          <t>MISMATCH_NEEDS_CORRECTION</t>
        </is>
      </c>
      <c r="S2269" t="n">
        <v>5.52</v>
      </c>
      <c r="T2269" t="inlineStr">
        <is>
          <t>30-07-2026 09:42 IST</t>
        </is>
      </c>
    </row>
    <row r="2270">
      <c r="A2270" t="n">
        <v>373</v>
      </c>
      <c r="B2270" t="n">
        <v>517146</v>
      </c>
      <c r="C2270" t="inlineStr">
        <is>
          <t>Usha Martin Education</t>
        </is>
      </c>
      <c r="D2270" t="n">
        <v>2018</v>
      </c>
      <c r="E2270" t="n">
        <v>501.8999938964844</v>
      </c>
      <c r="F2270" t="n">
        <v>-8.9</v>
      </c>
      <c r="G2270" t="inlineStr">
        <is>
          <t>Consolidated first (v4) – needs verification for flagged rows</t>
        </is>
      </c>
      <c r="H2270" t="n">
        <v>45.70000076293945</v>
      </c>
      <c r="I2270" t="n">
        <v>17.89999961853027</v>
      </c>
      <c r="L2270" t="inlineStr">
        <is>
          <t>UNVERIFIED – negative EPS</t>
        </is>
      </c>
      <c r="M2270" t="n">
        <v>-5.13</v>
      </c>
      <c r="N2270" t="n">
        <v>-2.01</v>
      </c>
      <c r="O2270" t="n">
        <v>5.52</v>
      </c>
      <c r="P2270" t="n">
        <v>7.14</v>
      </c>
      <c r="Q2270" t="n">
        <v>3.88</v>
      </c>
      <c r="R2270" s="3" t="inlineStr">
        <is>
          <t>MISMATCH_NEEDS_CORRECTION</t>
        </is>
      </c>
      <c r="S2270" t="n">
        <v>5.52</v>
      </c>
      <c r="T2270" t="inlineStr">
        <is>
          <t>30-07-2026 09:42 IST</t>
        </is>
      </c>
    </row>
    <row r="2271">
      <c r="A2271" t="n">
        <v>373</v>
      </c>
      <c r="B2271" t="n">
        <v>517146</v>
      </c>
      <c r="C2271" t="inlineStr">
        <is>
          <t>Usha Martin Education</t>
        </is>
      </c>
      <c r="D2271" t="n">
        <v>2019</v>
      </c>
      <c r="E2271" t="n">
        <v>501.8999938964844</v>
      </c>
      <c r="F2271" t="n">
        <v>1.57</v>
      </c>
      <c r="G2271" t="inlineStr">
        <is>
          <t>Consolidated first (v4) – needs verification for flagged rows</t>
        </is>
      </c>
      <c r="H2271" t="n">
        <v>43.29999923706055</v>
      </c>
      <c r="I2271" t="n">
        <v>21.5</v>
      </c>
      <c r="L2271" t="inlineStr">
        <is>
          <t>OK</t>
        </is>
      </c>
      <c r="M2271" t="n">
        <v>27.58</v>
      </c>
      <c r="N2271" t="n">
        <v>13.69</v>
      </c>
      <c r="O2271" t="n">
        <v>5.52</v>
      </c>
      <c r="P2271" t="n">
        <v>7.14</v>
      </c>
      <c r="Q2271" t="n">
        <v>3.88</v>
      </c>
      <c r="R2271" s="3" t="inlineStr">
        <is>
          <t>MISMATCH_NEEDS_CORRECTION</t>
        </is>
      </c>
      <c r="S2271" t="n">
        <v>5.52</v>
      </c>
      <c r="T2271" t="inlineStr">
        <is>
          <t>30-07-2026 09:42 IST</t>
        </is>
      </c>
    </row>
    <row r="2272">
      <c r="A2272" t="n">
        <v>373</v>
      </c>
      <c r="B2272" t="n">
        <v>517146</v>
      </c>
      <c r="C2272" t="inlineStr">
        <is>
          <t>Usha Martin Education</t>
        </is>
      </c>
      <c r="D2272" t="n">
        <v>2020</v>
      </c>
      <c r="E2272" t="n">
        <v>501.8999938964844</v>
      </c>
      <c r="F2272" t="n">
        <v>13.74</v>
      </c>
      <c r="G2272" t="inlineStr">
        <is>
          <t>Consolidated first (v4) – needs verification for flagged rows</t>
        </is>
      </c>
      <c r="H2272" t="n">
        <v>38.40000152587891</v>
      </c>
      <c r="I2272" t="n">
        <v>10.5</v>
      </c>
      <c r="L2272" t="inlineStr">
        <is>
          <t>OK</t>
        </is>
      </c>
      <c r="M2272" t="n">
        <v>2.79</v>
      </c>
      <c r="N2272" t="n">
        <v>0.76</v>
      </c>
      <c r="O2272" t="n">
        <v>5.52</v>
      </c>
      <c r="P2272" t="n">
        <v>7.14</v>
      </c>
      <c r="Q2272" t="n">
        <v>3.88</v>
      </c>
      <c r="R2272" s="3" t="inlineStr">
        <is>
          <t>MISMATCH_NEEDS_CORRECTION</t>
        </is>
      </c>
      <c r="S2272" t="n">
        <v>5.52</v>
      </c>
      <c r="T2272" t="inlineStr">
        <is>
          <t>30-07-2026 09:42 IST</t>
        </is>
      </c>
    </row>
    <row r="2273">
      <c r="A2273" t="n">
        <v>373</v>
      </c>
      <c r="B2273" t="n">
        <v>517146</v>
      </c>
      <c r="C2273" t="inlineStr">
        <is>
          <t>Usha Martin Education</t>
        </is>
      </c>
      <c r="D2273" t="n">
        <v>2021</v>
      </c>
      <c r="E2273" t="n">
        <v>501.8999938964844</v>
      </c>
      <c r="F2273" t="n">
        <v>4.91</v>
      </c>
      <c r="G2273" t="inlineStr">
        <is>
          <t>Consolidated first (v4) – needs verification for flagged rows</t>
        </is>
      </c>
      <c r="H2273" t="n">
        <v>102.6500015258789</v>
      </c>
      <c r="I2273" t="n">
        <v>28.35000038146973</v>
      </c>
      <c r="L2273" t="inlineStr">
        <is>
          <t>OK</t>
        </is>
      </c>
      <c r="M2273" t="n">
        <v>20.91</v>
      </c>
      <c r="N2273" t="n">
        <v>5.77</v>
      </c>
      <c r="O2273" t="n">
        <v>5.52</v>
      </c>
      <c r="P2273" t="n">
        <v>7.14</v>
      </c>
      <c r="Q2273" t="n">
        <v>3.88</v>
      </c>
      <c r="R2273" s="3" t="inlineStr">
        <is>
          <t>MISMATCH_NEEDS_CORRECTION</t>
        </is>
      </c>
      <c r="S2273" t="n">
        <v>5.52</v>
      </c>
      <c r="T2273" t="inlineStr">
        <is>
          <t>30-07-2026 09:42 IST</t>
        </is>
      </c>
    </row>
    <row r="2274">
      <c r="A2274" t="n">
        <v>373</v>
      </c>
      <c r="B2274" t="n">
        <v>517146</v>
      </c>
      <c r="C2274" t="inlineStr">
        <is>
          <t>Usha Martin Education</t>
        </is>
      </c>
      <c r="D2274" t="n">
        <v>2022</v>
      </c>
      <c r="E2274" t="n">
        <v>501.8999938964844</v>
      </c>
      <c r="F2274" t="n">
        <v>9.56</v>
      </c>
      <c r="G2274" t="inlineStr">
        <is>
          <t>Consolidated first (v4) – needs verification for flagged rows</t>
        </is>
      </c>
      <c r="H2274" t="n">
        <v>181.6000061035156</v>
      </c>
      <c r="I2274" t="n">
        <v>80.55000305175781</v>
      </c>
      <c r="L2274" t="inlineStr">
        <is>
          <t>OK</t>
        </is>
      </c>
      <c r="M2274" t="n">
        <v>19</v>
      </c>
      <c r="N2274" t="n">
        <v>8.43</v>
      </c>
      <c r="O2274" t="n">
        <v>5.52</v>
      </c>
      <c r="P2274" t="n">
        <v>7.14</v>
      </c>
      <c r="Q2274" t="n">
        <v>3.88</v>
      </c>
      <c r="R2274" s="3" t="inlineStr">
        <is>
          <t>MISMATCH_NEEDS_CORRECTION</t>
        </is>
      </c>
      <c r="S2274" t="n">
        <v>5.52</v>
      </c>
      <c r="T2274" t="inlineStr">
        <is>
          <t>30-07-2026 09:42 IST</t>
        </is>
      </c>
    </row>
    <row r="2275">
      <c r="A2275" t="n">
        <v>373</v>
      </c>
      <c r="B2275" t="n">
        <v>517146</v>
      </c>
      <c r="C2275" t="inlineStr">
        <is>
          <t>Usha Martin Education</t>
        </is>
      </c>
      <c r="D2275" t="n">
        <v>2023</v>
      </c>
      <c r="E2275" t="n">
        <v>501.8999938964844</v>
      </c>
      <c r="F2275" t="n">
        <v>11.49</v>
      </c>
      <c r="G2275" t="inlineStr">
        <is>
          <t>Consolidated first (v4) – needs verification for flagged rows</t>
        </is>
      </c>
      <c r="H2275" t="n">
        <v>373.6000061035156</v>
      </c>
      <c r="I2275" t="n">
        <v>164.4499969482422</v>
      </c>
      <c r="L2275" t="inlineStr">
        <is>
          <t>OK</t>
        </is>
      </c>
      <c r="M2275" t="n">
        <v>32.52</v>
      </c>
      <c r="N2275" t="n">
        <v>14.31</v>
      </c>
      <c r="O2275" t="n">
        <v>5.52</v>
      </c>
      <c r="P2275" t="n">
        <v>7.14</v>
      </c>
      <c r="Q2275" t="n">
        <v>3.88</v>
      </c>
      <c r="R2275" s="3" t="inlineStr">
        <is>
          <t>MISMATCH_NEEDS_CORRECTION</t>
        </is>
      </c>
      <c r="S2275" t="n">
        <v>5.52</v>
      </c>
      <c r="T2275" t="inlineStr">
        <is>
          <t>30-07-2026 09:42 IST</t>
        </is>
      </c>
    </row>
    <row r="2276">
      <c r="A2276" t="n">
        <v>373</v>
      </c>
      <c r="B2276" t="n">
        <v>517146</v>
      </c>
      <c r="C2276" t="inlineStr">
        <is>
          <t>Usha Martin Education</t>
        </is>
      </c>
      <c r="D2276" t="n">
        <v>2024</v>
      </c>
      <c r="E2276" t="n">
        <v>501.8999938964844</v>
      </c>
      <c r="F2276" t="n">
        <v>13.91</v>
      </c>
      <c r="G2276" t="inlineStr">
        <is>
          <t>Consolidated first (v4) – needs verification for flagged rows</t>
        </is>
      </c>
      <c r="H2276" t="n">
        <v>450.8500061035156</v>
      </c>
      <c r="I2276" t="n">
        <v>272.6499938964844</v>
      </c>
      <c r="L2276" t="inlineStr">
        <is>
          <t>OK</t>
        </is>
      </c>
      <c r="M2276" t="n">
        <v>32.41</v>
      </c>
      <c r="N2276" t="n">
        <v>19.6</v>
      </c>
      <c r="O2276" t="n">
        <v>5.52</v>
      </c>
      <c r="P2276" t="n">
        <v>7.14</v>
      </c>
      <c r="Q2276" t="n">
        <v>3.88</v>
      </c>
      <c r="R2276" s="3" t="inlineStr">
        <is>
          <t>MISMATCH_NEEDS_CORRECTION</t>
        </is>
      </c>
      <c r="S2276" t="n">
        <v>5.52</v>
      </c>
      <c r="T2276" t="inlineStr">
        <is>
          <t>30-07-2026 09:42 IST</t>
        </is>
      </c>
    </row>
    <row r="2277">
      <c r="A2277" t="n">
        <v>373</v>
      </c>
      <c r="B2277" t="n">
        <v>517146</v>
      </c>
      <c r="C2277" t="inlineStr">
        <is>
          <t>Usha Martin Education</t>
        </is>
      </c>
      <c r="D2277" t="n">
        <v>2025</v>
      </c>
      <c r="E2277" t="n">
        <v>501.8999938964844</v>
      </c>
      <c r="F2277" t="n">
        <v>13.37</v>
      </c>
      <c r="G2277" t="inlineStr">
        <is>
          <t>Consolidated first (v4) – needs verification for flagged rows</t>
        </is>
      </c>
      <c r="H2277" t="n">
        <v>497.5</v>
      </c>
      <c r="I2277" t="n">
        <v>278.7999877929688</v>
      </c>
      <c r="L2277" t="inlineStr">
        <is>
          <t>OK</t>
        </is>
      </c>
      <c r="M2277" t="n">
        <v>37.21</v>
      </c>
      <c r="N2277" t="n">
        <v>20.85</v>
      </c>
      <c r="O2277" t="n">
        <v>5.52</v>
      </c>
      <c r="P2277" t="n">
        <v>7.14</v>
      </c>
      <c r="Q2277" t="n">
        <v>3.88</v>
      </c>
      <c r="R2277" s="3" t="inlineStr">
        <is>
          <t>MISMATCH_NEEDS_CORRECTION</t>
        </is>
      </c>
      <c r="S2277" t="n">
        <v>5.52</v>
      </c>
      <c r="T2277" t="inlineStr">
        <is>
          <t>30-07-2026 09:42 IST</t>
        </is>
      </c>
    </row>
    <row r="2278">
      <c r="A2278" t="n">
        <v>373</v>
      </c>
      <c r="B2278" t="n">
        <v>517146</v>
      </c>
      <c r="C2278" t="inlineStr">
        <is>
          <t>Usha Martin Education</t>
        </is>
      </c>
      <c r="D2278" t="n">
        <v>2026</v>
      </c>
      <c r="E2278" t="n">
        <v>501.8999938964844</v>
      </c>
      <c r="F2278" t="n">
        <v>15.29</v>
      </c>
      <c r="G2278" t="inlineStr">
        <is>
          <t>Consolidated first (v4) – needs verification for flagged rows</t>
        </is>
      </c>
      <c r="H2278" t="n">
        <v>527</v>
      </c>
      <c r="I2278" t="n">
        <v>378.5499877929688</v>
      </c>
      <c r="L2278" t="inlineStr">
        <is>
          <t>OK</t>
        </is>
      </c>
      <c r="M2278" t="n">
        <v>34.47</v>
      </c>
      <c r="N2278" t="n">
        <v>24.76</v>
      </c>
      <c r="O2278" t="n">
        <v>5.52</v>
      </c>
      <c r="P2278" t="n">
        <v>7.14</v>
      </c>
      <c r="Q2278" t="n">
        <v>3.88</v>
      </c>
      <c r="R2278" s="3" t="inlineStr">
        <is>
          <t>MISMATCH_NEEDS_CORRECTION</t>
        </is>
      </c>
      <c r="S2278" t="n">
        <v>5.52</v>
      </c>
      <c r="T2278" t="inlineStr">
        <is>
          <t>30-07-2026 09:42 IST</t>
        </is>
      </c>
    </row>
    <row r="2279">
      <c r="A2279" t="n">
        <v>376</v>
      </c>
      <c r="B2279" t="n">
        <v>517230</v>
      </c>
      <c r="C2279" t="inlineStr">
        <is>
          <t>Precision Camshafts Ltd</t>
        </is>
      </c>
      <c r="D2279" t="n">
        <v>2026</v>
      </c>
      <c r="E2279" t="n">
        <v>9.569999694824219</v>
      </c>
      <c r="G2279" t="inlineStr">
        <is>
          <t>Consolidated first (v4) – needs verification for flagged rows</t>
        </is>
      </c>
      <c r="H2279" t="n">
        <v>9.569999694824219</v>
      </c>
      <c r="I2279" t="n">
        <v>8.689999580383301</v>
      </c>
      <c r="L2279" t="inlineStr">
        <is>
          <t>INCOMPLETE</t>
        </is>
      </c>
      <c r="O2279" t="n">
        <v>4.7</v>
      </c>
      <c r="P2279" t="n">
        <v>531</v>
      </c>
      <c r="Q2279" t="n">
        <v>4.75</v>
      </c>
      <c r="R2279" s="3" t="inlineStr">
        <is>
          <t>MISMATCH_NEEDS_CORRECTION</t>
        </is>
      </c>
      <c r="S2279" t="n">
        <v>4.7</v>
      </c>
      <c r="T2279" t="inlineStr">
        <is>
          <t>30-07-2026 09:42 IST</t>
        </is>
      </c>
    </row>
    <row r="2280">
      <c r="A2280" t="n">
        <v>377</v>
      </c>
      <c r="B2280" t="n">
        <v>517246</v>
      </c>
      <c r="C2280" t="inlineStr">
        <is>
          <t>BEML Ltd</t>
        </is>
      </c>
      <c r="D2280" t="n">
        <v>2015</v>
      </c>
      <c r="E2280" t="n">
        <v>198.3000030517578</v>
      </c>
      <c r="F2280" t="n">
        <v>-1.44</v>
      </c>
      <c r="G2280" t="inlineStr">
        <is>
          <t>Consolidated first (v4) – needs verification for flagged rows</t>
        </is>
      </c>
      <c r="H2280" t="n">
        <v>3.359999895095825</v>
      </c>
      <c r="I2280" t="n">
        <v>1.450000047683716</v>
      </c>
      <c r="L2280" t="inlineStr">
        <is>
          <t>UNVERIFIED – negative EPS</t>
        </is>
      </c>
      <c r="M2280" t="n">
        <v>-2.33</v>
      </c>
      <c r="N2280" t="n">
        <v>-1.01</v>
      </c>
      <c r="O2280" t="n">
        <v>75.90000000000001</v>
      </c>
      <c r="P2280" t="n">
        <v>167</v>
      </c>
      <c r="Q2280" t="n">
        <v>47.53</v>
      </c>
      <c r="R2280" s="3" t="inlineStr">
        <is>
          <t>MISMATCH_NEEDS_CORRECTION</t>
        </is>
      </c>
      <c r="S2280" t="n">
        <v>75.90000000000001</v>
      </c>
      <c r="T2280" t="inlineStr">
        <is>
          <t>30-07-2026 09:42 IST</t>
        </is>
      </c>
    </row>
    <row r="2281">
      <c r="A2281" t="n">
        <v>377</v>
      </c>
      <c r="B2281" t="n">
        <v>517246</v>
      </c>
      <c r="C2281" t="inlineStr">
        <is>
          <t>BEML Ltd</t>
        </is>
      </c>
      <c r="D2281" t="n">
        <v>2016</v>
      </c>
      <c r="E2281" t="n">
        <v>198.3000030517578</v>
      </c>
      <c r="F2281" t="n">
        <v>-0.9399999999999999</v>
      </c>
      <c r="G2281" t="inlineStr">
        <is>
          <t>Consolidated first (v4) – needs verification for flagged rows</t>
        </is>
      </c>
      <c r="H2281" t="n">
        <v>7.769999980926514</v>
      </c>
      <c r="I2281" t="n">
        <v>3.519999980926514</v>
      </c>
      <c r="L2281" t="inlineStr">
        <is>
          <t>UNVERIFIED – negative EPS</t>
        </is>
      </c>
      <c r="M2281" t="n">
        <v>-8.27</v>
      </c>
      <c r="N2281" t="n">
        <v>-3.74</v>
      </c>
      <c r="O2281" t="n">
        <v>75.90000000000001</v>
      </c>
      <c r="P2281" t="n">
        <v>167</v>
      </c>
      <c r="Q2281" t="n">
        <v>47.53</v>
      </c>
      <c r="R2281" s="3" t="inlineStr">
        <is>
          <t>MISMATCH_NEEDS_CORRECTION</t>
        </is>
      </c>
      <c r="S2281" t="n">
        <v>75.90000000000001</v>
      </c>
      <c r="T2281" t="inlineStr">
        <is>
          <t>30-07-2026 09:42 IST</t>
        </is>
      </c>
    </row>
    <row r="2282">
      <c r="A2282" t="n">
        <v>377</v>
      </c>
      <c r="B2282" t="n">
        <v>517246</v>
      </c>
      <c r="C2282" t="inlineStr">
        <is>
          <t>BEML Ltd</t>
        </is>
      </c>
      <c r="D2282" t="n">
        <v>2017</v>
      </c>
      <c r="E2282" t="n">
        <v>198.3000030517578</v>
      </c>
      <c r="F2282" t="n">
        <v>-0.15</v>
      </c>
      <c r="G2282" t="inlineStr">
        <is>
          <t>Consolidated first (v4) – needs verification for flagged rows</t>
        </is>
      </c>
      <c r="H2282" t="n">
        <v>17.52000045776367</v>
      </c>
      <c r="I2282" t="n">
        <v>8.149999618530273</v>
      </c>
      <c r="L2282" t="inlineStr">
        <is>
          <t>UNVERIFIED – negative EPS</t>
        </is>
      </c>
      <c r="M2282" t="n">
        <v>-116.8</v>
      </c>
      <c r="N2282" t="n">
        <v>-54.33</v>
      </c>
      <c r="O2282" t="n">
        <v>75.90000000000001</v>
      </c>
      <c r="P2282" t="n">
        <v>167</v>
      </c>
      <c r="Q2282" t="n">
        <v>47.53</v>
      </c>
      <c r="R2282" s="3" t="inlineStr">
        <is>
          <t>MISMATCH_NEEDS_CORRECTION</t>
        </is>
      </c>
      <c r="S2282" t="n">
        <v>75.90000000000001</v>
      </c>
      <c r="T2282" t="inlineStr">
        <is>
          <t>30-07-2026 09:42 IST</t>
        </is>
      </c>
    </row>
    <row r="2283">
      <c r="A2283" t="n">
        <v>377</v>
      </c>
      <c r="B2283" t="n">
        <v>517246</v>
      </c>
      <c r="C2283" t="inlineStr">
        <is>
          <t>BEML Ltd</t>
        </is>
      </c>
      <c r="D2283" t="n">
        <v>2018</v>
      </c>
      <c r="E2283" t="n">
        <v>198.3000030517578</v>
      </c>
      <c r="F2283" t="n">
        <v>-0.32</v>
      </c>
      <c r="G2283" t="inlineStr">
        <is>
          <t>Consolidated first (v4) – needs verification for flagged rows</t>
        </is>
      </c>
      <c r="H2283" t="n">
        <v>21.70000076293945</v>
      </c>
      <c r="I2283" t="n">
        <v>6.570000171661377</v>
      </c>
      <c r="L2283" t="inlineStr">
        <is>
          <t>UNVERIFIED – negative EPS</t>
        </is>
      </c>
      <c r="M2283" t="n">
        <v>-67.81</v>
      </c>
      <c r="N2283" t="n">
        <v>-20.53</v>
      </c>
      <c r="O2283" t="n">
        <v>75.90000000000001</v>
      </c>
      <c r="P2283" t="n">
        <v>167</v>
      </c>
      <c r="Q2283" t="n">
        <v>47.53</v>
      </c>
      <c r="R2283" s="3" t="inlineStr">
        <is>
          <t>MISMATCH_NEEDS_CORRECTION</t>
        </is>
      </c>
      <c r="S2283" t="n">
        <v>75.90000000000001</v>
      </c>
      <c r="T2283" t="inlineStr">
        <is>
          <t>30-07-2026 09:42 IST</t>
        </is>
      </c>
    </row>
    <row r="2284">
      <c r="A2284" t="n">
        <v>377</v>
      </c>
      <c r="B2284" t="n">
        <v>517246</v>
      </c>
      <c r="C2284" t="inlineStr">
        <is>
          <t>BEML Ltd</t>
        </is>
      </c>
      <c r="D2284" t="n">
        <v>2019</v>
      </c>
      <c r="E2284" t="n">
        <v>198.3000030517578</v>
      </c>
      <c r="F2284" t="n">
        <v>0.1</v>
      </c>
      <c r="G2284" t="inlineStr">
        <is>
          <t>Consolidated first (v4) – needs verification for flagged rows</t>
        </is>
      </c>
      <c r="H2284" t="n">
        <v>18.39999961853027</v>
      </c>
      <c r="I2284" t="n">
        <v>4.28000020980835</v>
      </c>
      <c r="L2284" t="inlineStr">
        <is>
          <t>UNVERIFIED – tiny EPS &lt;0.5</t>
        </is>
      </c>
      <c r="M2284" t="n">
        <v>184</v>
      </c>
      <c r="N2284" t="n">
        <v>42.8</v>
      </c>
      <c r="O2284" t="n">
        <v>75.90000000000001</v>
      </c>
      <c r="P2284" t="n">
        <v>167</v>
      </c>
      <c r="Q2284" t="n">
        <v>47.53</v>
      </c>
      <c r="R2284" s="3" t="inlineStr">
        <is>
          <t>MISMATCH_NEEDS_CORRECTION</t>
        </is>
      </c>
      <c r="S2284" t="n">
        <v>75.90000000000001</v>
      </c>
      <c r="T2284" t="inlineStr">
        <is>
          <t>30-07-2026 09:42 IST</t>
        </is>
      </c>
    </row>
    <row r="2285">
      <c r="A2285" t="n">
        <v>377</v>
      </c>
      <c r="B2285" t="n">
        <v>517246</v>
      </c>
      <c r="C2285" t="inlineStr">
        <is>
          <t>BEML Ltd</t>
        </is>
      </c>
      <c r="D2285" t="n">
        <v>2020</v>
      </c>
      <c r="E2285" t="n">
        <v>198.3000030517578</v>
      </c>
      <c r="F2285" t="n">
        <v>-0.48</v>
      </c>
      <c r="G2285" t="inlineStr">
        <is>
          <t>Consolidated first (v4) – needs verification for flagged rows</t>
        </is>
      </c>
      <c r="H2285" t="n">
        <v>12.34000015258789</v>
      </c>
      <c r="I2285" t="n">
        <v>4.429999828338623</v>
      </c>
      <c r="L2285" t="inlineStr">
        <is>
          <t>UNVERIFIED – negative EPS</t>
        </is>
      </c>
      <c r="M2285" t="n">
        <v>-25.71</v>
      </c>
      <c r="N2285" t="n">
        <v>-9.23</v>
      </c>
      <c r="O2285" t="n">
        <v>75.90000000000001</v>
      </c>
      <c r="P2285" t="n">
        <v>167</v>
      </c>
      <c r="Q2285" t="n">
        <v>47.53</v>
      </c>
      <c r="R2285" s="3" t="inlineStr">
        <is>
          <t>MISMATCH_NEEDS_CORRECTION</t>
        </is>
      </c>
      <c r="S2285" t="n">
        <v>75.90000000000001</v>
      </c>
      <c r="T2285" t="inlineStr">
        <is>
          <t>30-07-2026 09:42 IST</t>
        </is>
      </c>
    </row>
    <row r="2286">
      <c r="A2286" t="n">
        <v>377</v>
      </c>
      <c r="B2286" t="n">
        <v>517246</v>
      </c>
      <c r="C2286" t="inlineStr">
        <is>
          <t>BEML Ltd</t>
        </is>
      </c>
      <c r="D2286" t="n">
        <v>2021</v>
      </c>
      <c r="E2286" t="n">
        <v>198.3000030517578</v>
      </c>
      <c r="F2286" t="n">
        <v>0.3</v>
      </c>
      <c r="G2286" t="inlineStr">
        <is>
          <t>Consolidated first (v4) – needs verification for flagged rows</t>
        </is>
      </c>
      <c r="H2286" t="n">
        <v>23.5</v>
      </c>
      <c r="I2286" t="n">
        <v>10.55000019073486</v>
      </c>
      <c r="L2286" t="inlineStr">
        <is>
          <t>UNVERIFIED – tiny EPS &lt;0.5</t>
        </is>
      </c>
      <c r="M2286" t="n">
        <v>78.33</v>
      </c>
      <c r="N2286" t="n">
        <v>35.17</v>
      </c>
      <c r="O2286" t="n">
        <v>75.90000000000001</v>
      </c>
      <c r="P2286" t="n">
        <v>167</v>
      </c>
      <c r="Q2286" t="n">
        <v>47.53</v>
      </c>
      <c r="R2286" s="3" t="inlineStr">
        <is>
          <t>MISMATCH_NEEDS_CORRECTION</t>
        </is>
      </c>
      <c r="S2286" t="n">
        <v>75.90000000000001</v>
      </c>
      <c r="T2286" t="inlineStr">
        <is>
          <t>30-07-2026 09:42 IST</t>
        </is>
      </c>
    </row>
    <row r="2287">
      <c r="A2287" t="n">
        <v>377</v>
      </c>
      <c r="B2287" t="n">
        <v>517246</v>
      </c>
      <c r="C2287" t="inlineStr">
        <is>
          <t>BEML Ltd</t>
        </is>
      </c>
      <c r="D2287" t="n">
        <v>2022</v>
      </c>
      <c r="E2287" t="n">
        <v>198.3000030517578</v>
      </c>
      <c r="F2287" t="n">
        <v>0.45</v>
      </c>
      <c r="G2287" t="inlineStr">
        <is>
          <t>Consolidated first (v4) – needs verification for flagged rows</t>
        </is>
      </c>
      <c r="H2287" t="n">
        <v>34.20000076293945</v>
      </c>
      <c r="I2287" t="n">
        <v>13.69999980926514</v>
      </c>
      <c r="L2287" t="inlineStr">
        <is>
          <t>UNVERIFIED – tiny EPS &lt;0.5</t>
        </is>
      </c>
      <c r="M2287" t="n">
        <v>76</v>
      </c>
      <c r="N2287" t="n">
        <v>30.44</v>
      </c>
      <c r="O2287" t="n">
        <v>75.90000000000001</v>
      </c>
      <c r="P2287" t="n">
        <v>167</v>
      </c>
      <c r="Q2287" t="n">
        <v>47.53</v>
      </c>
      <c r="R2287" s="3" t="inlineStr">
        <is>
          <t>MISMATCH_NEEDS_CORRECTION</t>
        </is>
      </c>
      <c r="S2287" t="n">
        <v>75.90000000000001</v>
      </c>
      <c r="T2287" t="inlineStr">
        <is>
          <t>30-07-2026 09:42 IST</t>
        </is>
      </c>
    </row>
    <row r="2288">
      <c r="A2288" t="n">
        <v>377</v>
      </c>
      <c r="B2288" t="n">
        <v>517246</v>
      </c>
      <c r="C2288" t="inlineStr">
        <is>
          <t>BEML Ltd</t>
        </is>
      </c>
      <c r="D2288" t="n">
        <v>2023</v>
      </c>
      <c r="E2288" t="n">
        <v>198.3000030517578</v>
      </c>
      <c r="F2288" t="n">
        <v>1.16</v>
      </c>
      <c r="G2288" t="inlineStr">
        <is>
          <t>Consolidated first (v4) – needs verification for flagged rows</t>
        </is>
      </c>
      <c r="H2288" t="n">
        <v>81.52999877929688</v>
      </c>
      <c r="I2288" t="n">
        <v>21.04999923706055</v>
      </c>
      <c r="L2288" t="inlineStr">
        <is>
          <t>OK</t>
        </is>
      </c>
      <c r="M2288" t="n">
        <v>70.28</v>
      </c>
      <c r="N2288" t="n">
        <v>18.15</v>
      </c>
      <c r="O2288" t="n">
        <v>75.90000000000001</v>
      </c>
      <c r="P2288" t="n">
        <v>167</v>
      </c>
      <c r="Q2288" t="n">
        <v>47.53</v>
      </c>
      <c r="R2288" s="3" t="inlineStr">
        <is>
          <t>MISMATCH_NEEDS_CORRECTION</t>
        </is>
      </c>
      <c r="S2288" t="n">
        <v>75.90000000000001</v>
      </c>
      <c r="T2288" t="inlineStr">
        <is>
          <t>30-07-2026 09:42 IST</t>
        </is>
      </c>
    </row>
    <row r="2289">
      <c r="A2289" t="n">
        <v>377</v>
      </c>
      <c r="B2289" t="n">
        <v>517246</v>
      </c>
      <c r="C2289" t="inlineStr">
        <is>
          <t>BEML Ltd</t>
        </is>
      </c>
      <c r="D2289" t="n">
        <v>2024</v>
      </c>
      <c r="E2289" t="n">
        <v>198.3000030517578</v>
      </c>
      <c r="F2289" t="n">
        <v>1.89</v>
      </c>
      <c r="G2289" t="inlineStr">
        <is>
          <t>Consolidated first (v4) – needs verification for flagged rows</t>
        </is>
      </c>
      <c r="H2289" t="n">
        <v>142.3500061035156</v>
      </c>
      <c r="I2289" t="n">
        <v>47.52999877929688</v>
      </c>
      <c r="L2289" t="inlineStr">
        <is>
          <t>OK</t>
        </is>
      </c>
      <c r="M2289" t="n">
        <v>75.31999999999999</v>
      </c>
      <c r="N2289" t="n">
        <v>25.15</v>
      </c>
      <c r="O2289" t="n">
        <v>75.90000000000001</v>
      </c>
      <c r="P2289" t="n">
        <v>167</v>
      </c>
      <c r="Q2289" t="n">
        <v>47.53</v>
      </c>
      <c r="R2289" s="3" t="inlineStr">
        <is>
          <t>MISMATCH_NEEDS_CORRECTION</t>
        </is>
      </c>
      <c r="S2289" t="n">
        <v>75.90000000000001</v>
      </c>
      <c r="T2289" t="inlineStr">
        <is>
          <t>30-07-2026 09:42 IST</t>
        </is>
      </c>
    </row>
    <row r="2290">
      <c r="A2290" t="n">
        <v>377</v>
      </c>
      <c r="B2290" t="n">
        <v>517246</v>
      </c>
      <c r="C2290" t="inlineStr">
        <is>
          <t>BEML Ltd</t>
        </is>
      </c>
      <c r="D2290" t="n">
        <v>2025</v>
      </c>
      <c r="E2290" t="n">
        <v>198.3000030517578</v>
      </c>
      <c r="F2290" t="n">
        <v>1.88</v>
      </c>
      <c r="G2290" t="inlineStr">
        <is>
          <t>Consolidated first (v4) – needs verification for flagged rows</t>
        </is>
      </c>
      <c r="H2290" t="n">
        <v>218.8500061035156</v>
      </c>
      <c r="I2290" t="n">
        <v>87.81999969482422</v>
      </c>
      <c r="L2290" t="inlineStr">
        <is>
          <t>OK</t>
        </is>
      </c>
      <c r="M2290" t="n">
        <v>116.41</v>
      </c>
      <c r="N2290" t="n">
        <v>46.71</v>
      </c>
      <c r="O2290" t="n">
        <v>75.90000000000001</v>
      </c>
      <c r="P2290" t="n">
        <v>167</v>
      </c>
      <c r="Q2290" t="n">
        <v>47.53</v>
      </c>
      <c r="R2290" s="3" t="inlineStr">
        <is>
          <t>MISMATCH_NEEDS_CORRECTION</t>
        </is>
      </c>
      <c r="S2290" t="n">
        <v>75.90000000000001</v>
      </c>
      <c r="T2290" t="inlineStr">
        <is>
          <t>30-07-2026 09:42 IST</t>
        </is>
      </c>
    </row>
    <row r="2291">
      <c r="A2291" t="n">
        <v>377</v>
      </c>
      <c r="B2291" t="n">
        <v>517246</v>
      </c>
      <c r="C2291" t="inlineStr">
        <is>
          <t>BEML Ltd</t>
        </is>
      </c>
      <c r="D2291" t="n">
        <v>2026</v>
      </c>
      <c r="E2291" t="n">
        <v>198.3000030517578</v>
      </c>
      <c r="F2291" t="n">
        <v>2.95</v>
      </c>
      <c r="G2291" t="inlineStr">
        <is>
          <t>Consolidated first (v4) – needs verification for flagged rows</t>
        </is>
      </c>
      <c r="H2291" t="n">
        <v>228</v>
      </c>
      <c r="I2291" t="n">
        <v>102</v>
      </c>
      <c r="L2291" t="inlineStr">
        <is>
          <t>OK</t>
        </is>
      </c>
      <c r="M2291" t="n">
        <v>77.29000000000001</v>
      </c>
      <c r="N2291" t="n">
        <v>34.58</v>
      </c>
      <c r="O2291" t="n">
        <v>75.90000000000001</v>
      </c>
      <c r="P2291" t="n">
        <v>167</v>
      </c>
      <c r="Q2291" t="n">
        <v>47.53</v>
      </c>
      <c r="R2291" s="3" t="inlineStr">
        <is>
          <t>MISMATCH_NEEDS_CORRECTION</t>
        </is>
      </c>
      <c r="S2291" t="n">
        <v>75.90000000000001</v>
      </c>
      <c r="T2291" t="inlineStr">
        <is>
          <t>30-07-2026 09:42 IST</t>
        </is>
      </c>
    </row>
    <row r="2292">
      <c r="A2292" t="n">
        <v>378</v>
      </c>
      <c r="B2292" t="n">
        <v>517271</v>
      </c>
      <c r="C2292" t="inlineStr">
        <is>
          <t>HMT Machine Tools Ltd</t>
        </is>
      </c>
      <c r="D2292" t="n">
        <v>2015</v>
      </c>
      <c r="E2292" t="n">
        <v>713.8499755859375</v>
      </c>
      <c r="F2292" t="n">
        <v>0.5600000000000001</v>
      </c>
      <c r="G2292" t="inlineStr">
        <is>
          <t>Consolidated first (v4) – needs verification for flagged rows</t>
        </is>
      </c>
      <c r="H2292" t="n">
        <v>64.5</v>
      </c>
      <c r="I2292" t="n">
        <v>31.89999961853027</v>
      </c>
      <c r="L2292" t="inlineStr">
        <is>
          <t>OK</t>
        </is>
      </c>
      <c r="M2292" t="n">
        <v>115.18</v>
      </c>
      <c r="N2292" t="n">
        <v>56.96</v>
      </c>
      <c r="O2292" t="n">
        <v>60.4</v>
      </c>
      <c r="P2292" t="n">
        <v>72.95</v>
      </c>
      <c r="Q2292" t="n">
        <v>41</v>
      </c>
      <c r="R2292" s="3" t="inlineStr">
        <is>
          <t>MISMATCH_NEEDS_CORRECTION</t>
        </is>
      </c>
      <c r="S2292" t="n">
        <v>60.4</v>
      </c>
      <c r="T2292" t="inlineStr">
        <is>
          <t>30-07-2026 09:42 IST</t>
        </is>
      </c>
    </row>
    <row r="2293">
      <c r="A2293" t="n">
        <v>378</v>
      </c>
      <c r="B2293" t="n">
        <v>517271</v>
      </c>
      <c r="C2293" t="inlineStr">
        <is>
          <t>HMT Machine Tools Ltd</t>
        </is>
      </c>
      <c r="D2293" t="n">
        <v>2016</v>
      </c>
      <c r="E2293" t="n">
        <v>713.8499755859375</v>
      </c>
      <c r="F2293" t="n">
        <v>0.59</v>
      </c>
      <c r="G2293" t="inlineStr">
        <is>
          <t>Consolidated first (v4) – needs verification for flagged rows</t>
        </is>
      </c>
      <c r="H2293" t="n">
        <v>47.84999847412109</v>
      </c>
      <c r="I2293" t="n">
        <v>28.75</v>
      </c>
      <c r="L2293" t="inlineStr">
        <is>
          <t>OK</t>
        </is>
      </c>
      <c r="M2293" t="n">
        <v>81.09999999999999</v>
      </c>
      <c r="N2293" t="n">
        <v>48.73</v>
      </c>
      <c r="O2293" t="n">
        <v>60.4</v>
      </c>
      <c r="P2293" t="n">
        <v>72.95</v>
      </c>
      <c r="Q2293" t="n">
        <v>41</v>
      </c>
      <c r="R2293" s="3" t="inlineStr">
        <is>
          <t>MISMATCH_NEEDS_CORRECTION</t>
        </is>
      </c>
      <c r="S2293" t="n">
        <v>60.4</v>
      </c>
      <c r="T2293" t="inlineStr">
        <is>
          <t>30-07-2026 09:42 IST</t>
        </is>
      </c>
    </row>
    <row r="2294">
      <c r="A2294" t="n">
        <v>378</v>
      </c>
      <c r="B2294" t="n">
        <v>517271</v>
      </c>
      <c r="C2294" t="inlineStr">
        <is>
          <t>HMT Machine Tools Ltd</t>
        </is>
      </c>
      <c r="D2294" t="n">
        <v>2017</v>
      </c>
      <c r="E2294" t="n">
        <v>713.8499755859375</v>
      </c>
      <c r="F2294" t="n">
        <v>1.53</v>
      </c>
      <c r="G2294" t="inlineStr">
        <is>
          <t>Consolidated first (v4) – needs verification for flagged rows</t>
        </is>
      </c>
      <c r="H2294" t="n">
        <v>75</v>
      </c>
      <c r="I2294" t="n">
        <v>37.95000076293945</v>
      </c>
      <c r="L2294" t="inlineStr">
        <is>
          <t>OK</t>
        </is>
      </c>
      <c r="M2294" t="n">
        <v>49.02</v>
      </c>
      <c r="N2294" t="n">
        <v>24.8</v>
      </c>
      <c r="O2294" t="n">
        <v>60.4</v>
      </c>
      <c r="P2294" t="n">
        <v>72.95</v>
      </c>
      <c r="Q2294" t="n">
        <v>41</v>
      </c>
      <c r="R2294" s="3" t="inlineStr">
        <is>
          <t>MISMATCH_NEEDS_CORRECTION</t>
        </is>
      </c>
      <c r="S2294" t="n">
        <v>60.4</v>
      </c>
      <c r="T2294" t="inlineStr">
        <is>
          <t>30-07-2026 09:42 IST</t>
        </is>
      </c>
    </row>
    <row r="2295">
      <c r="A2295" t="n">
        <v>378</v>
      </c>
      <c r="B2295" t="n">
        <v>517271</v>
      </c>
      <c r="C2295" t="inlineStr">
        <is>
          <t>HMT Machine Tools Ltd</t>
        </is>
      </c>
      <c r="D2295" t="n">
        <v>2018</v>
      </c>
      <c r="E2295" t="n">
        <v>713.8499755859375</v>
      </c>
      <c r="F2295" t="n">
        <v>1.14</v>
      </c>
      <c r="G2295" t="inlineStr">
        <is>
          <t>Consolidated first (v4) – needs verification for flagged rows</t>
        </is>
      </c>
      <c r="H2295" t="n">
        <v>76.40000152587891</v>
      </c>
      <c r="I2295" t="n">
        <v>24</v>
      </c>
      <c r="L2295" t="inlineStr">
        <is>
          <t>OK</t>
        </is>
      </c>
      <c r="M2295" t="n">
        <v>67.02</v>
      </c>
      <c r="N2295" t="n">
        <v>21.05</v>
      </c>
      <c r="O2295" t="n">
        <v>60.4</v>
      </c>
      <c r="P2295" t="n">
        <v>72.95</v>
      </c>
      <c r="Q2295" t="n">
        <v>41</v>
      </c>
      <c r="R2295" s="3" t="inlineStr">
        <is>
          <t>MISMATCH_NEEDS_CORRECTION</t>
        </is>
      </c>
      <c r="S2295" t="n">
        <v>60.4</v>
      </c>
      <c r="T2295" t="inlineStr">
        <is>
          <t>30-07-2026 09:42 IST</t>
        </is>
      </c>
    </row>
    <row r="2296">
      <c r="A2296" t="n">
        <v>378</v>
      </c>
      <c r="B2296" t="n">
        <v>517271</v>
      </c>
      <c r="C2296" t="inlineStr">
        <is>
          <t>HMT Machine Tools Ltd</t>
        </is>
      </c>
      <c r="D2296" t="n">
        <v>2019</v>
      </c>
      <c r="E2296" t="n">
        <v>713.8499755859375</v>
      </c>
      <c r="F2296" t="n">
        <v>1</v>
      </c>
      <c r="G2296" t="inlineStr">
        <is>
          <t>Consolidated first (v4) – needs verification for flagged rows</t>
        </is>
      </c>
      <c r="H2296" t="n">
        <v>30.60000038146973</v>
      </c>
      <c r="I2296" t="n">
        <v>12.5</v>
      </c>
      <c r="L2296" t="inlineStr">
        <is>
          <t>OK</t>
        </is>
      </c>
      <c r="M2296" t="n">
        <v>30.6</v>
      </c>
      <c r="N2296" t="n">
        <v>12.5</v>
      </c>
      <c r="O2296" t="n">
        <v>60.4</v>
      </c>
      <c r="P2296" t="n">
        <v>72.95</v>
      </c>
      <c r="Q2296" t="n">
        <v>41</v>
      </c>
      <c r="R2296" s="3" t="inlineStr">
        <is>
          <t>MISMATCH_NEEDS_CORRECTION</t>
        </is>
      </c>
      <c r="S2296" t="n">
        <v>60.4</v>
      </c>
      <c r="T2296" t="inlineStr">
        <is>
          <t>30-07-2026 09:42 IST</t>
        </is>
      </c>
    </row>
    <row r="2297">
      <c r="A2297" t="n">
        <v>378</v>
      </c>
      <c r="B2297" t="n">
        <v>517271</v>
      </c>
      <c r="C2297" t="inlineStr">
        <is>
          <t>HMT Machine Tools Ltd</t>
        </is>
      </c>
      <c r="D2297" t="n">
        <v>2020</v>
      </c>
      <c r="E2297" t="n">
        <v>713.8499755859375</v>
      </c>
      <c r="F2297" t="n">
        <v>0.95</v>
      </c>
      <c r="G2297" t="inlineStr">
        <is>
          <t>Consolidated first (v4) – needs verification for flagged rows</t>
        </is>
      </c>
      <c r="H2297" t="n">
        <v>43.90000152587891</v>
      </c>
      <c r="I2297" t="n">
        <v>9.149999618530273</v>
      </c>
      <c r="L2297" t="inlineStr">
        <is>
          <t>OK</t>
        </is>
      </c>
      <c r="M2297" t="n">
        <v>46.21</v>
      </c>
      <c r="N2297" t="n">
        <v>9.630000000000001</v>
      </c>
      <c r="O2297" t="n">
        <v>60.4</v>
      </c>
      <c r="P2297" t="n">
        <v>72.95</v>
      </c>
      <c r="Q2297" t="n">
        <v>41</v>
      </c>
      <c r="R2297" s="3" t="inlineStr">
        <is>
          <t>MISMATCH_NEEDS_CORRECTION</t>
        </is>
      </c>
      <c r="S2297" t="n">
        <v>60.4</v>
      </c>
      <c r="T2297" t="inlineStr">
        <is>
          <t>30-07-2026 09:42 IST</t>
        </is>
      </c>
    </row>
    <row r="2298">
      <c r="A2298" t="n">
        <v>378</v>
      </c>
      <c r="B2298" t="n">
        <v>517271</v>
      </c>
      <c r="C2298" t="inlineStr">
        <is>
          <t>HMT Machine Tools Ltd</t>
        </is>
      </c>
      <c r="D2298" t="n">
        <v>2021</v>
      </c>
      <c r="E2298" t="n">
        <v>713.8499755859375</v>
      </c>
      <c r="F2298" t="n">
        <v>0.5</v>
      </c>
      <c r="G2298" t="inlineStr">
        <is>
          <t>Consolidated first (v4) – needs verification for flagged rows</t>
        </is>
      </c>
      <c r="H2298" t="n">
        <v>68.69999694824219</v>
      </c>
      <c r="I2298" t="n">
        <v>29.54999923706055</v>
      </c>
      <c r="L2298" t="inlineStr">
        <is>
          <t>OK</t>
        </is>
      </c>
      <c r="M2298" t="n">
        <v>137.4</v>
      </c>
      <c r="N2298" t="n">
        <v>59.1</v>
      </c>
      <c r="O2298" t="n">
        <v>60.4</v>
      </c>
      <c r="P2298" t="n">
        <v>72.95</v>
      </c>
      <c r="Q2298" t="n">
        <v>41</v>
      </c>
      <c r="R2298" s="3" t="inlineStr">
        <is>
          <t>MISMATCH_NEEDS_CORRECTION</t>
        </is>
      </c>
      <c r="S2298" t="n">
        <v>60.4</v>
      </c>
      <c r="T2298" t="inlineStr">
        <is>
          <t>30-07-2026 09:42 IST</t>
        </is>
      </c>
    </row>
    <row r="2299">
      <c r="A2299" t="n">
        <v>378</v>
      </c>
      <c r="B2299" t="n">
        <v>517271</v>
      </c>
      <c r="C2299" t="inlineStr">
        <is>
          <t>HMT Machine Tools Ltd</t>
        </is>
      </c>
      <c r="D2299" t="n">
        <v>2022</v>
      </c>
      <c r="E2299" t="n">
        <v>713.8499755859375</v>
      </c>
      <c r="F2299" t="n">
        <v>3.39</v>
      </c>
      <c r="G2299" t="inlineStr">
        <is>
          <t>Consolidated first (v4) – needs verification for flagged rows</t>
        </is>
      </c>
      <c r="H2299" t="n">
        <v>121.8000030517578</v>
      </c>
      <c r="I2299" t="n">
        <v>56.29999923706055</v>
      </c>
      <c r="L2299" t="inlineStr">
        <is>
          <t>OK</t>
        </is>
      </c>
      <c r="M2299" t="n">
        <v>35.93</v>
      </c>
      <c r="N2299" t="n">
        <v>16.61</v>
      </c>
      <c r="O2299" t="n">
        <v>60.4</v>
      </c>
      <c r="P2299" t="n">
        <v>72.95</v>
      </c>
      <c r="Q2299" t="n">
        <v>41</v>
      </c>
      <c r="R2299" s="3" t="inlineStr">
        <is>
          <t>MISMATCH_NEEDS_CORRECTION</t>
        </is>
      </c>
      <c r="S2299" t="n">
        <v>60.4</v>
      </c>
      <c r="T2299" t="inlineStr">
        <is>
          <t>30-07-2026 09:42 IST</t>
        </is>
      </c>
    </row>
    <row r="2300">
      <c r="A2300" t="n">
        <v>378</v>
      </c>
      <c r="B2300" t="n">
        <v>517271</v>
      </c>
      <c r="C2300" t="inlineStr">
        <is>
          <t>HMT Machine Tools Ltd</t>
        </is>
      </c>
      <c r="D2300" t="n">
        <v>2023</v>
      </c>
      <c r="E2300" t="n">
        <v>713.8499755859375</v>
      </c>
      <c r="F2300" t="n">
        <v>3.56</v>
      </c>
      <c r="G2300" t="inlineStr">
        <is>
          <t>Consolidated first (v4) – needs verification for flagged rows</t>
        </is>
      </c>
      <c r="H2300" t="n">
        <v>479.5</v>
      </c>
      <c r="I2300" t="n">
        <v>86.09999847412109</v>
      </c>
      <c r="L2300" t="inlineStr">
        <is>
          <t>OK</t>
        </is>
      </c>
      <c r="M2300" t="n">
        <v>134.69</v>
      </c>
      <c r="N2300" t="n">
        <v>24.19</v>
      </c>
      <c r="O2300" t="n">
        <v>60.4</v>
      </c>
      <c r="P2300" t="n">
        <v>72.95</v>
      </c>
      <c r="Q2300" t="n">
        <v>41</v>
      </c>
      <c r="R2300" s="3" t="inlineStr">
        <is>
          <t>MISMATCH_NEEDS_CORRECTION</t>
        </is>
      </c>
      <c r="S2300" t="n">
        <v>60.4</v>
      </c>
      <c r="T2300" t="inlineStr">
        <is>
          <t>30-07-2026 09:42 IST</t>
        </is>
      </c>
    </row>
    <row r="2301">
      <c r="A2301" t="n">
        <v>378</v>
      </c>
      <c r="B2301" t="n">
        <v>517271</v>
      </c>
      <c r="C2301" t="inlineStr">
        <is>
          <t>HMT Machine Tools Ltd</t>
        </is>
      </c>
      <c r="D2301" t="n">
        <v>2024</v>
      </c>
      <c r="E2301" t="n">
        <v>713.8499755859375</v>
      </c>
      <c r="F2301" t="n">
        <v>10.13</v>
      </c>
      <c r="G2301" t="inlineStr">
        <is>
          <t>Consolidated first (v4) – needs verification for flagged rows</t>
        </is>
      </c>
      <c r="H2301" t="n">
        <v>738.6500244140625</v>
      </c>
      <c r="I2301" t="n">
        <v>378.9500122070312</v>
      </c>
      <c r="L2301" t="inlineStr">
        <is>
          <t>OK</t>
        </is>
      </c>
      <c r="M2301" t="n">
        <v>72.92</v>
      </c>
      <c r="N2301" t="n">
        <v>37.41</v>
      </c>
      <c r="O2301" t="n">
        <v>60.4</v>
      </c>
      <c r="P2301" t="n">
        <v>72.95</v>
      </c>
      <c r="Q2301" t="n">
        <v>41</v>
      </c>
      <c r="R2301" s="3" t="inlineStr">
        <is>
          <t>MISMATCH_NEEDS_CORRECTION</t>
        </is>
      </c>
      <c r="S2301" t="n">
        <v>60.4</v>
      </c>
      <c r="T2301" t="inlineStr">
        <is>
          <t>30-07-2026 09:42 IST</t>
        </is>
      </c>
    </row>
    <row r="2302">
      <c r="A2302" t="n">
        <v>378</v>
      </c>
      <c r="B2302" t="n">
        <v>517271</v>
      </c>
      <c r="C2302" t="inlineStr">
        <is>
          <t>HMT Machine Tools Ltd</t>
        </is>
      </c>
      <c r="D2302" t="n">
        <v>2025</v>
      </c>
      <c r="E2302" t="n">
        <v>713.8499755859375</v>
      </c>
      <c r="F2302" t="n">
        <v>9.99</v>
      </c>
      <c r="G2302" t="inlineStr">
        <is>
          <t>Consolidated first (v4) – needs verification for flagged rows</t>
        </is>
      </c>
      <c r="H2302" t="n">
        <v>1121.949951171875</v>
      </c>
      <c r="I2302" t="n">
        <v>404.2999877929688</v>
      </c>
      <c r="L2302" t="inlineStr">
        <is>
          <t>OK</t>
        </is>
      </c>
      <c r="M2302" t="n">
        <v>112.31</v>
      </c>
      <c r="N2302" t="n">
        <v>40.47</v>
      </c>
      <c r="O2302" t="n">
        <v>60.4</v>
      </c>
      <c r="P2302" t="n">
        <v>72.95</v>
      </c>
      <c r="Q2302" t="n">
        <v>41</v>
      </c>
      <c r="R2302" s="3" t="inlineStr">
        <is>
          <t>MISMATCH_NEEDS_CORRECTION</t>
        </is>
      </c>
      <c r="S2302" t="n">
        <v>60.4</v>
      </c>
      <c r="T2302" t="inlineStr">
        <is>
          <t>30-07-2026 09:42 IST</t>
        </is>
      </c>
    </row>
    <row r="2303">
      <c r="A2303" t="n">
        <v>378</v>
      </c>
      <c r="B2303" t="n">
        <v>517271</v>
      </c>
      <c r="C2303" t="inlineStr">
        <is>
          <t>HMT Machine Tools Ltd</t>
        </is>
      </c>
      <c r="D2303" t="n">
        <v>2026</v>
      </c>
      <c r="E2303" t="n">
        <v>713.8499755859375</v>
      </c>
      <c r="F2303" t="n">
        <v>29.4</v>
      </c>
      <c r="G2303" t="inlineStr">
        <is>
          <t>Consolidated first (v4) – needs verification for flagged rows</t>
        </is>
      </c>
      <c r="H2303" t="n">
        <v>984.5</v>
      </c>
      <c r="I2303" t="n">
        <v>603.2000122070312</v>
      </c>
      <c r="L2303" t="inlineStr">
        <is>
          <t>OK</t>
        </is>
      </c>
      <c r="M2303" t="n">
        <v>33.49</v>
      </c>
      <c r="N2303" t="n">
        <v>20.52</v>
      </c>
      <c r="O2303" t="n">
        <v>60.4</v>
      </c>
      <c r="P2303" t="n">
        <v>72.95</v>
      </c>
      <c r="Q2303" t="n">
        <v>41</v>
      </c>
      <c r="R2303" s="3" t="inlineStr">
        <is>
          <t>MISMATCH_NEEDS_CORRECTION</t>
        </is>
      </c>
      <c r="S2303" t="n">
        <v>60.4</v>
      </c>
      <c r="T2303" t="inlineStr">
        <is>
          <t>30-07-2026 09:42 IST</t>
        </is>
      </c>
    </row>
    <row r="2304">
      <c r="A2304" t="n">
        <v>383</v>
      </c>
      <c r="B2304" t="n">
        <v>517380</v>
      </c>
      <c r="C2304" t="inlineStr">
        <is>
          <t>Igarashi Motors India Ltd</t>
        </is>
      </c>
      <c r="D2304" t="n">
        <v>2015</v>
      </c>
      <c r="E2304" t="n">
        <v>456.5</v>
      </c>
      <c r="F2304" t="n">
        <v>14.23</v>
      </c>
      <c r="G2304" t="inlineStr">
        <is>
          <t>Consolidated first (v4) – needs verification for flagged rows</t>
        </is>
      </c>
      <c r="H2304" t="n">
        <v>688.7579345703125</v>
      </c>
      <c r="I2304" t="n">
        <v>258.9516296386719</v>
      </c>
      <c r="L2304" t="inlineStr">
        <is>
          <t>OK</t>
        </is>
      </c>
      <c r="M2304" t="n">
        <v>48.4</v>
      </c>
      <c r="N2304" t="n">
        <v>18.2</v>
      </c>
      <c r="O2304" t="n">
        <v>451.15</v>
      </c>
      <c r="P2304" t="n">
        <v>665</v>
      </c>
      <c r="Q2304" t="n">
        <v>271.05</v>
      </c>
      <c r="R2304" s="2" t="inlineStr">
        <is>
          <t>VERIFIED_OK</t>
        </is>
      </c>
      <c r="S2304" t="n">
        <v>451.15</v>
      </c>
      <c r="T2304" t="inlineStr">
        <is>
          <t>30-07-2026 09:42 IST</t>
        </is>
      </c>
    </row>
    <row r="2305">
      <c r="A2305" t="n">
        <v>383</v>
      </c>
      <c r="B2305" t="n">
        <v>517380</v>
      </c>
      <c r="C2305" t="inlineStr">
        <is>
          <t>Igarashi Motors India Ltd</t>
        </is>
      </c>
      <c r="D2305" t="n">
        <v>2016</v>
      </c>
      <c r="E2305" t="n">
        <v>456.5</v>
      </c>
      <c r="F2305" t="n">
        <v>18.5</v>
      </c>
      <c r="G2305" t="inlineStr">
        <is>
          <t>Consolidated first (v4) – needs verification for flagged rows</t>
        </is>
      </c>
      <c r="H2305" t="n">
        <v>747.4892578125</v>
      </c>
      <c r="I2305" t="n">
        <v>331.0309448242188</v>
      </c>
      <c r="L2305" t="inlineStr">
        <is>
          <t>OK</t>
        </is>
      </c>
      <c r="M2305" t="n">
        <v>40.4</v>
      </c>
      <c r="N2305" t="n">
        <v>17.89</v>
      </c>
      <c r="O2305" t="n">
        <v>451.15</v>
      </c>
      <c r="P2305" t="n">
        <v>665</v>
      </c>
      <c r="Q2305" t="n">
        <v>271.05</v>
      </c>
      <c r="R2305" s="2" t="inlineStr">
        <is>
          <t>VERIFIED_OK</t>
        </is>
      </c>
      <c r="S2305" t="n">
        <v>451.15</v>
      </c>
      <c r="T2305" t="inlineStr">
        <is>
          <t>30-07-2026 09:42 IST</t>
        </is>
      </c>
    </row>
    <row r="2306">
      <c r="A2306" t="n">
        <v>383</v>
      </c>
      <c r="B2306" t="n">
        <v>517380</v>
      </c>
      <c r="C2306" t="inlineStr">
        <is>
          <t>Igarashi Motors India Ltd</t>
        </is>
      </c>
      <c r="D2306" t="n">
        <v>2017</v>
      </c>
      <c r="E2306" t="n">
        <v>456.5</v>
      </c>
      <c r="F2306" t="n">
        <v>21.9</v>
      </c>
      <c r="G2306" t="inlineStr">
        <is>
          <t>Consolidated first (v4) – needs verification for flagged rows</t>
        </is>
      </c>
      <c r="H2306" t="n">
        <v>1001.101684570312</v>
      </c>
      <c r="I2306" t="n">
        <v>612.6741943359375</v>
      </c>
      <c r="L2306" t="inlineStr">
        <is>
          <t>OK</t>
        </is>
      </c>
      <c r="M2306" t="n">
        <v>45.71</v>
      </c>
      <c r="N2306" t="n">
        <v>27.98</v>
      </c>
      <c r="O2306" t="n">
        <v>451.15</v>
      </c>
      <c r="P2306" t="n">
        <v>665</v>
      </c>
      <c r="Q2306" t="n">
        <v>271.05</v>
      </c>
      <c r="R2306" s="2" t="inlineStr">
        <is>
          <t>VERIFIED_OK</t>
        </is>
      </c>
      <c r="S2306" t="n">
        <v>451.15</v>
      </c>
      <c r="T2306" t="inlineStr">
        <is>
          <t>30-07-2026 09:42 IST</t>
        </is>
      </c>
    </row>
    <row r="2307">
      <c r="A2307" t="n">
        <v>383</v>
      </c>
      <c r="B2307" t="n">
        <v>517380</v>
      </c>
      <c r="C2307" t="inlineStr">
        <is>
          <t>Igarashi Motors India Ltd</t>
        </is>
      </c>
      <c r="D2307" t="n">
        <v>2018</v>
      </c>
      <c r="E2307" t="n">
        <v>456.5</v>
      </c>
      <c r="F2307" t="n">
        <v>27.69</v>
      </c>
      <c r="G2307" t="inlineStr">
        <is>
          <t>Consolidated first (v4) – needs verification for flagged rows</t>
        </is>
      </c>
      <c r="H2307" t="n">
        <v>775.9650268554688</v>
      </c>
      <c r="I2307" t="n">
        <v>533</v>
      </c>
      <c r="L2307" t="inlineStr">
        <is>
          <t>OK</t>
        </is>
      </c>
      <c r="M2307" t="n">
        <v>28.02</v>
      </c>
      <c r="N2307" t="n">
        <v>19.25</v>
      </c>
      <c r="O2307" t="n">
        <v>451.15</v>
      </c>
      <c r="P2307" t="n">
        <v>665</v>
      </c>
      <c r="Q2307" t="n">
        <v>271.05</v>
      </c>
      <c r="R2307" s="2" t="inlineStr">
        <is>
          <t>VERIFIED_OK</t>
        </is>
      </c>
      <c r="S2307" t="n">
        <v>451.15</v>
      </c>
      <c r="T2307" t="inlineStr">
        <is>
          <t>30-07-2026 09:42 IST</t>
        </is>
      </c>
    </row>
    <row r="2308">
      <c r="A2308" t="n">
        <v>383</v>
      </c>
      <c r="B2308" t="n">
        <v>517380</v>
      </c>
      <c r="C2308" t="inlineStr">
        <is>
          <t>Igarashi Motors India Ltd</t>
        </is>
      </c>
      <c r="D2308" t="n">
        <v>2019</v>
      </c>
      <c r="E2308" t="n">
        <v>456.5</v>
      </c>
      <c r="F2308" t="n">
        <v>18.24</v>
      </c>
      <c r="G2308" t="inlineStr">
        <is>
          <t>Consolidated first (v4) – needs verification for flagged rows</t>
        </is>
      </c>
      <c r="H2308" t="n">
        <v>576.75</v>
      </c>
      <c r="I2308" t="n">
        <v>171.1000061035156</v>
      </c>
      <c r="L2308" t="inlineStr">
        <is>
          <t>OK</t>
        </is>
      </c>
      <c r="M2308" t="n">
        <v>31.62</v>
      </c>
      <c r="N2308" t="n">
        <v>9.380000000000001</v>
      </c>
      <c r="O2308" t="n">
        <v>451.15</v>
      </c>
      <c r="P2308" t="n">
        <v>665</v>
      </c>
      <c r="Q2308" t="n">
        <v>271.05</v>
      </c>
      <c r="R2308" s="2" t="inlineStr">
        <is>
          <t>VERIFIED_OK</t>
        </is>
      </c>
      <c r="S2308" t="n">
        <v>451.15</v>
      </c>
      <c r="T2308" t="inlineStr">
        <is>
          <t>30-07-2026 09:42 IST</t>
        </is>
      </c>
    </row>
    <row r="2309">
      <c r="A2309" t="n">
        <v>383</v>
      </c>
      <c r="B2309" t="n">
        <v>517380</v>
      </c>
      <c r="C2309" t="inlineStr">
        <is>
          <t>Igarashi Motors India Ltd</t>
        </is>
      </c>
      <c r="D2309" t="n">
        <v>2020</v>
      </c>
      <c r="E2309" t="n">
        <v>456.5</v>
      </c>
      <c r="F2309" t="n">
        <v>9.5</v>
      </c>
      <c r="G2309" t="inlineStr">
        <is>
          <t>Consolidated first (v4) – needs verification for flagged rows</t>
        </is>
      </c>
      <c r="H2309" t="n">
        <v>382.3999938964844</v>
      </c>
      <c r="I2309" t="n">
        <v>150.6499938964844</v>
      </c>
      <c r="L2309" t="inlineStr">
        <is>
          <t>OK</t>
        </is>
      </c>
      <c r="M2309" t="n">
        <v>40.25</v>
      </c>
      <c r="N2309" t="n">
        <v>15.86</v>
      </c>
      <c r="O2309" t="n">
        <v>451.15</v>
      </c>
      <c r="P2309" t="n">
        <v>665</v>
      </c>
      <c r="Q2309" t="n">
        <v>271.05</v>
      </c>
      <c r="R2309" s="2" t="inlineStr">
        <is>
          <t>VERIFIED_OK</t>
        </is>
      </c>
      <c r="S2309" t="n">
        <v>451.15</v>
      </c>
      <c r="T2309" t="inlineStr">
        <is>
          <t>30-07-2026 09:42 IST</t>
        </is>
      </c>
    </row>
    <row r="2310">
      <c r="A2310" t="n">
        <v>383</v>
      </c>
      <c r="B2310" t="n">
        <v>517380</v>
      </c>
      <c r="C2310" t="inlineStr">
        <is>
          <t>Igarashi Motors India Ltd</t>
        </is>
      </c>
      <c r="D2310" t="n">
        <v>2021</v>
      </c>
      <c r="E2310" t="n">
        <v>456.5</v>
      </c>
      <c r="F2310" t="n">
        <v>8.140000000000001</v>
      </c>
      <c r="G2310" t="inlineStr">
        <is>
          <t>Consolidated first (v4) – needs verification for flagged rows</t>
        </is>
      </c>
      <c r="H2310" t="n">
        <v>612.2000122070312</v>
      </c>
      <c r="I2310" t="n">
        <v>262.8500061035156</v>
      </c>
      <c r="L2310" t="inlineStr">
        <is>
          <t>OK</t>
        </is>
      </c>
      <c r="M2310" t="n">
        <v>75.20999999999999</v>
      </c>
      <c r="N2310" t="n">
        <v>32.29</v>
      </c>
      <c r="O2310" t="n">
        <v>451.15</v>
      </c>
      <c r="P2310" t="n">
        <v>665</v>
      </c>
      <c r="Q2310" t="n">
        <v>271.05</v>
      </c>
      <c r="R2310" s="2" t="inlineStr">
        <is>
          <t>VERIFIED_OK</t>
        </is>
      </c>
      <c r="S2310" t="n">
        <v>451.15</v>
      </c>
      <c r="T2310" t="inlineStr">
        <is>
          <t>30-07-2026 09:42 IST</t>
        </is>
      </c>
    </row>
    <row r="2311">
      <c r="A2311" t="n">
        <v>383</v>
      </c>
      <c r="B2311" t="n">
        <v>517380</v>
      </c>
      <c r="C2311" t="inlineStr">
        <is>
          <t>Igarashi Motors India Ltd</t>
        </is>
      </c>
      <c r="D2311" t="n">
        <v>2022</v>
      </c>
      <c r="E2311" t="n">
        <v>456.5</v>
      </c>
      <c r="F2311" t="n">
        <v>0.38</v>
      </c>
      <c r="G2311" t="inlineStr">
        <is>
          <t>Consolidated first (v4) – needs verification for flagged rows</t>
        </is>
      </c>
      <c r="H2311" t="n">
        <v>543.9500122070312</v>
      </c>
      <c r="I2311" t="n">
        <v>254.8000030517578</v>
      </c>
      <c r="L2311" t="inlineStr">
        <is>
          <t>UNVERIFIED – tiny EPS &lt;0.5</t>
        </is>
      </c>
      <c r="M2311" t="n">
        <v>1431.45</v>
      </c>
      <c r="N2311" t="n">
        <v>670.53</v>
      </c>
      <c r="O2311" t="n">
        <v>451.15</v>
      </c>
      <c r="P2311" t="n">
        <v>665</v>
      </c>
      <c r="Q2311" t="n">
        <v>271.05</v>
      </c>
      <c r="R2311" s="2" t="inlineStr">
        <is>
          <t>VERIFIED_OK</t>
        </is>
      </c>
      <c r="S2311" t="n">
        <v>451.15</v>
      </c>
      <c r="T2311" t="inlineStr">
        <is>
          <t>30-07-2026 09:42 IST</t>
        </is>
      </c>
    </row>
    <row r="2312">
      <c r="A2312" t="n">
        <v>383</v>
      </c>
      <c r="B2312" t="n">
        <v>517380</v>
      </c>
      <c r="C2312" t="inlineStr">
        <is>
          <t>Igarashi Motors India Ltd</t>
        </is>
      </c>
      <c r="D2312" t="n">
        <v>2023</v>
      </c>
      <c r="E2312" t="n">
        <v>456.5</v>
      </c>
      <c r="F2312" t="n">
        <v>1.66</v>
      </c>
      <c r="G2312" t="inlineStr">
        <is>
          <t>Consolidated first (v4) – needs verification for flagged rows</t>
        </is>
      </c>
      <c r="H2312" t="n">
        <v>691.6500244140625</v>
      </c>
      <c r="I2312" t="n">
        <v>329.9500122070312</v>
      </c>
      <c r="L2312" t="inlineStr">
        <is>
          <t>OK</t>
        </is>
      </c>
      <c r="M2312" t="n">
        <v>416.66</v>
      </c>
      <c r="N2312" t="n">
        <v>198.77</v>
      </c>
      <c r="O2312" t="n">
        <v>451.15</v>
      </c>
      <c r="P2312" t="n">
        <v>665</v>
      </c>
      <c r="Q2312" t="n">
        <v>271.05</v>
      </c>
      <c r="R2312" s="2" t="inlineStr">
        <is>
          <t>VERIFIED_OK</t>
        </is>
      </c>
      <c r="S2312" t="n">
        <v>451.15</v>
      </c>
      <c r="T2312" t="inlineStr">
        <is>
          <t>30-07-2026 09:42 IST</t>
        </is>
      </c>
    </row>
    <row r="2313">
      <c r="A2313" t="n">
        <v>383</v>
      </c>
      <c r="B2313" t="n">
        <v>517380</v>
      </c>
      <c r="C2313" t="inlineStr">
        <is>
          <t>Igarashi Motors India Ltd</t>
        </is>
      </c>
      <c r="D2313" t="n">
        <v>2024</v>
      </c>
      <c r="E2313" t="n">
        <v>456.5</v>
      </c>
      <c r="F2313" t="n">
        <v>3.04</v>
      </c>
      <c r="G2313" t="inlineStr">
        <is>
          <t>Consolidated first (v4) – needs verification for flagged rows</t>
        </is>
      </c>
      <c r="H2313" t="n">
        <v>848</v>
      </c>
      <c r="I2313" t="n">
        <v>406.3999938964844</v>
      </c>
      <c r="L2313" t="inlineStr">
        <is>
          <t>OK</t>
        </is>
      </c>
      <c r="M2313" t="n">
        <v>278.95</v>
      </c>
      <c r="N2313" t="n">
        <v>133.68</v>
      </c>
      <c r="O2313" t="n">
        <v>451.15</v>
      </c>
      <c r="P2313" t="n">
        <v>665</v>
      </c>
      <c r="Q2313" t="n">
        <v>271.05</v>
      </c>
      <c r="R2313" s="2" t="inlineStr">
        <is>
          <t>VERIFIED_OK</t>
        </is>
      </c>
      <c r="S2313" t="n">
        <v>451.15</v>
      </c>
      <c r="T2313" t="inlineStr">
        <is>
          <t>30-07-2026 09:42 IST</t>
        </is>
      </c>
    </row>
    <row r="2314">
      <c r="A2314" t="n">
        <v>383</v>
      </c>
      <c r="B2314" t="n">
        <v>517380</v>
      </c>
      <c r="C2314" t="inlineStr">
        <is>
          <t>Igarashi Motors India Ltd</t>
        </is>
      </c>
      <c r="D2314" t="n">
        <v>2025</v>
      </c>
      <c r="E2314" t="n">
        <v>456.5</v>
      </c>
      <c r="F2314" t="n">
        <v>7.68</v>
      </c>
      <c r="G2314" t="inlineStr">
        <is>
          <t>Consolidated first (v4) – needs verification for flagged rows</t>
        </is>
      </c>
      <c r="H2314" t="n">
        <v>759.0499877929688</v>
      </c>
      <c r="I2314" t="n">
        <v>401.6499938964844</v>
      </c>
      <c r="L2314" t="inlineStr">
        <is>
          <t>OK</t>
        </is>
      </c>
      <c r="M2314" t="n">
        <v>98.83</v>
      </c>
      <c r="N2314" t="n">
        <v>52.3</v>
      </c>
      <c r="O2314" t="n">
        <v>451.15</v>
      </c>
      <c r="P2314" t="n">
        <v>665</v>
      </c>
      <c r="Q2314" t="n">
        <v>271.05</v>
      </c>
      <c r="R2314" s="2" t="inlineStr">
        <is>
          <t>VERIFIED_OK</t>
        </is>
      </c>
      <c r="S2314" t="n">
        <v>451.15</v>
      </c>
      <c r="T2314" t="inlineStr">
        <is>
          <t>30-07-2026 09:42 IST</t>
        </is>
      </c>
    </row>
    <row r="2315">
      <c r="A2315" t="n">
        <v>383</v>
      </c>
      <c r="B2315" t="n">
        <v>517380</v>
      </c>
      <c r="C2315" t="inlineStr">
        <is>
          <t>Igarashi Motors India Ltd</t>
        </is>
      </c>
      <c r="D2315" t="n">
        <v>2026</v>
      </c>
      <c r="E2315" t="n">
        <v>456.5</v>
      </c>
      <c r="F2315" t="n">
        <v>3.86</v>
      </c>
      <c r="G2315" t="inlineStr">
        <is>
          <t>Consolidated first (v4) – needs verification for flagged rows</t>
        </is>
      </c>
      <c r="H2315" t="n">
        <v>506.5</v>
      </c>
      <c r="I2315" t="n">
        <v>272</v>
      </c>
      <c r="L2315" t="inlineStr">
        <is>
          <t>OK</t>
        </is>
      </c>
      <c r="M2315" t="n">
        <v>131.22</v>
      </c>
      <c r="N2315" t="n">
        <v>70.47</v>
      </c>
      <c r="O2315" t="n">
        <v>451.15</v>
      </c>
      <c r="P2315" t="n">
        <v>665</v>
      </c>
      <c r="Q2315" t="n">
        <v>271.05</v>
      </c>
      <c r="R2315" s="2" t="inlineStr">
        <is>
          <t>VERIFIED_OK</t>
        </is>
      </c>
      <c r="S2315" t="n">
        <v>451.15</v>
      </c>
      <c r="T2315" t="inlineStr">
        <is>
          <t>30-07-2026 09:42 IST</t>
        </is>
      </c>
    </row>
    <row r="2316">
      <c r="A2316" t="n">
        <v>384</v>
      </c>
      <c r="B2316" t="n">
        <v>517385</v>
      </c>
      <c r="C2316" t="inlineStr">
        <is>
          <t>Symphony Ltd</t>
        </is>
      </c>
      <c r="D2316" t="n">
        <v>2015</v>
      </c>
      <c r="E2316" t="n">
        <v>699.4500122070312</v>
      </c>
      <c r="F2316" t="n">
        <v>16.56</v>
      </c>
      <c r="G2316" t="inlineStr">
        <is>
          <t>Consolidated first (v4) – needs verification for flagged rows</t>
        </is>
      </c>
      <c r="H2316" t="n">
        <v>1635</v>
      </c>
      <c r="I2316" t="n">
        <v>824.5250244140625</v>
      </c>
      <c r="L2316" t="inlineStr">
        <is>
          <t>OK</t>
        </is>
      </c>
      <c r="M2316" t="n">
        <v>98.73</v>
      </c>
      <c r="N2316" t="n">
        <v>49.79</v>
      </c>
      <c r="O2316" t="n">
        <v>687.95</v>
      </c>
      <c r="P2316" t="n">
        <v>1150.1</v>
      </c>
      <c r="Q2316" t="n">
        <v>656</v>
      </c>
      <c r="R2316" s="2" t="inlineStr">
        <is>
          <t>VERIFIED_OK</t>
        </is>
      </c>
      <c r="S2316" t="n">
        <v>687.95</v>
      </c>
      <c r="T2316" t="inlineStr">
        <is>
          <t>30-07-2026 09:42 IST</t>
        </is>
      </c>
    </row>
    <row r="2317">
      <c r="A2317" t="n">
        <v>384</v>
      </c>
      <c r="B2317" t="n">
        <v>517385</v>
      </c>
      <c r="C2317" t="inlineStr">
        <is>
          <t>Symphony Ltd</t>
        </is>
      </c>
      <c r="D2317" t="n">
        <v>2016</v>
      </c>
      <c r="E2317" t="n">
        <v>699.4500122070312</v>
      </c>
      <c r="F2317" t="n">
        <v>16.91</v>
      </c>
      <c r="G2317" t="inlineStr">
        <is>
          <t>Consolidated first (v4) – needs verification for flagged rows</t>
        </is>
      </c>
      <c r="H2317" t="n">
        <v>1465</v>
      </c>
      <c r="I2317" t="n">
        <v>978</v>
      </c>
      <c r="L2317" t="inlineStr">
        <is>
          <t>OK</t>
        </is>
      </c>
      <c r="M2317" t="n">
        <v>86.64</v>
      </c>
      <c r="N2317" t="n">
        <v>57.84</v>
      </c>
      <c r="O2317" t="n">
        <v>687.95</v>
      </c>
      <c r="P2317" t="n">
        <v>1150.1</v>
      </c>
      <c r="Q2317" t="n">
        <v>656</v>
      </c>
      <c r="R2317" s="2" t="inlineStr">
        <is>
          <t>VERIFIED_OK</t>
        </is>
      </c>
      <c r="S2317" t="n">
        <v>687.95</v>
      </c>
      <c r="T2317" t="inlineStr">
        <is>
          <t>30-07-2026 09:42 IST</t>
        </is>
      </c>
    </row>
    <row r="2318">
      <c r="A2318" t="n">
        <v>384</v>
      </c>
      <c r="B2318" t="n">
        <v>517385</v>
      </c>
      <c r="C2318" t="inlineStr">
        <is>
          <t>Symphony Ltd</t>
        </is>
      </c>
      <c r="D2318" t="n">
        <v>2017</v>
      </c>
      <c r="E2318" t="n">
        <v>699.4500122070312</v>
      </c>
      <c r="F2318" t="n">
        <v>23.77</v>
      </c>
      <c r="G2318" t="inlineStr">
        <is>
          <t>Consolidated first (v4) – needs verification for flagged rows</t>
        </is>
      </c>
      <c r="H2318" t="n">
        <v>1848</v>
      </c>
      <c r="I2318" t="n">
        <v>1148</v>
      </c>
      <c r="L2318" t="inlineStr">
        <is>
          <t>OK</t>
        </is>
      </c>
      <c r="M2318" t="n">
        <v>77.75</v>
      </c>
      <c r="N2318" t="n">
        <v>48.3</v>
      </c>
      <c r="O2318" t="n">
        <v>687.95</v>
      </c>
      <c r="P2318" t="n">
        <v>1150.1</v>
      </c>
      <c r="Q2318" t="n">
        <v>656</v>
      </c>
      <c r="R2318" s="2" t="inlineStr">
        <is>
          <t>VERIFIED_OK</t>
        </is>
      </c>
      <c r="S2318" t="n">
        <v>687.95</v>
      </c>
      <c r="T2318" t="inlineStr">
        <is>
          <t>30-07-2026 09:42 IST</t>
        </is>
      </c>
    </row>
    <row r="2319">
      <c r="A2319" t="n">
        <v>384</v>
      </c>
      <c r="B2319" t="n">
        <v>517385</v>
      </c>
      <c r="C2319" t="inlineStr">
        <is>
          <t>Symphony Ltd</t>
        </is>
      </c>
      <c r="D2319" t="n">
        <v>2018</v>
      </c>
      <c r="E2319" t="n">
        <v>699.4500122070312</v>
      </c>
      <c r="F2319" t="n">
        <v>27.52</v>
      </c>
      <c r="G2319" t="inlineStr">
        <is>
          <t>Consolidated first (v4) – needs verification for flagged rows</t>
        </is>
      </c>
      <c r="H2319" t="n">
        <v>2212.75</v>
      </c>
      <c r="I2319" t="n">
        <v>811.8499755859375</v>
      </c>
      <c r="L2319" t="inlineStr">
        <is>
          <t>OK</t>
        </is>
      </c>
      <c r="M2319" t="n">
        <v>80.41</v>
      </c>
      <c r="N2319" t="n">
        <v>29.5</v>
      </c>
      <c r="O2319" t="n">
        <v>687.95</v>
      </c>
      <c r="P2319" t="n">
        <v>1150.1</v>
      </c>
      <c r="Q2319" t="n">
        <v>656</v>
      </c>
      <c r="R2319" s="2" t="inlineStr">
        <is>
          <t>VERIFIED_OK</t>
        </is>
      </c>
      <c r="S2319" t="n">
        <v>687.95</v>
      </c>
      <c r="T2319" t="inlineStr">
        <is>
          <t>30-07-2026 09:42 IST</t>
        </is>
      </c>
    </row>
    <row r="2320">
      <c r="A2320" t="n">
        <v>384</v>
      </c>
      <c r="B2320" t="n">
        <v>517385</v>
      </c>
      <c r="C2320" t="inlineStr">
        <is>
          <t>Symphony Ltd</t>
        </is>
      </c>
      <c r="D2320" t="n">
        <v>2019</v>
      </c>
      <c r="E2320" t="n">
        <v>699.4500122070312</v>
      </c>
      <c r="F2320" t="n">
        <v>13.19</v>
      </c>
      <c r="G2320" t="inlineStr">
        <is>
          <t>Consolidated first (v4) – needs verification for flagged rows</t>
        </is>
      </c>
      <c r="H2320" t="n">
        <v>1575</v>
      </c>
      <c r="I2320" t="n">
        <v>1070</v>
      </c>
      <c r="L2320" t="inlineStr">
        <is>
          <t>OK</t>
        </is>
      </c>
      <c r="M2320" t="n">
        <v>119.41</v>
      </c>
      <c r="N2320" t="n">
        <v>81.12</v>
      </c>
      <c r="O2320" t="n">
        <v>687.95</v>
      </c>
      <c r="P2320" t="n">
        <v>1150.1</v>
      </c>
      <c r="Q2320" t="n">
        <v>656</v>
      </c>
      <c r="R2320" s="2" t="inlineStr">
        <is>
          <t>VERIFIED_OK</t>
        </is>
      </c>
      <c r="S2320" t="n">
        <v>687.95</v>
      </c>
      <c r="T2320" t="inlineStr">
        <is>
          <t>30-07-2026 09:42 IST</t>
        </is>
      </c>
    </row>
    <row r="2321">
      <c r="A2321" t="n">
        <v>384</v>
      </c>
      <c r="B2321" t="n">
        <v>517385</v>
      </c>
      <c r="C2321" t="inlineStr">
        <is>
          <t>Symphony Ltd</t>
        </is>
      </c>
      <c r="D2321" t="n">
        <v>2020</v>
      </c>
      <c r="E2321" t="n">
        <v>699.4500122070312</v>
      </c>
      <c r="F2321" t="n">
        <v>25.94</v>
      </c>
      <c r="G2321" t="inlineStr">
        <is>
          <t>Consolidated first (v4) – needs verification for flagged rows</t>
        </is>
      </c>
      <c r="H2321" t="n">
        <v>1407.349975585938</v>
      </c>
      <c r="I2321" t="n">
        <v>690</v>
      </c>
      <c r="L2321" t="inlineStr">
        <is>
          <t>OK</t>
        </is>
      </c>
      <c r="M2321" t="n">
        <v>54.25</v>
      </c>
      <c r="N2321" t="n">
        <v>26.6</v>
      </c>
      <c r="O2321" t="n">
        <v>687.95</v>
      </c>
      <c r="P2321" t="n">
        <v>1150.1</v>
      </c>
      <c r="Q2321" t="n">
        <v>656</v>
      </c>
      <c r="R2321" s="2" t="inlineStr">
        <is>
          <t>VERIFIED_OK</t>
        </is>
      </c>
      <c r="S2321" t="n">
        <v>687.95</v>
      </c>
      <c r="T2321" t="inlineStr">
        <is>
          <t>30-07-2026 09:42 IST</t>
        </is>
      </c>
    </row>
    <row r="2322">
      <c r="A2322" t="n">
        <v>384</v>
      </c>
      <c r="B2322" t="n">
        <v>517385</v>
      </c>
      <c r="C2322" t="inlineStr">
        <is>
          <t>Symphony Ltd</t>
        </is>
      </c>
      <c r="D2322" t="n">
        <v>2021</v>
      </c>
      <c r="E2322" t="n">
        <v>699.4500122070312</v>
      </c>
      <c r="F2322" t="n">
        <v>15.34</v>
      </c>
      <c r="G2322" t="inlineStr">
        <is>
          <t>Consolidated first (v4) – needs verification for flagged rows</t>
        </is>
      </c>
      <c r="H2322" t="n">
        <v>1529.650024414062</v>
      </c>
      <c r="I2322" t="n">
        <v>890</v>
      </c>
      <c r="L2322" t="inlineStr">
        <is>
          <t>OK</t>
        </is>
      </c>
      <c r="M2322" t="n">
        <v>99.72</v>
      </c>
      <c r="N2322" t="n">
        <v>58.02</v>
      </c>
      <c r="O2322" t="n">
        <v>687.95</v>
      </c>
      <c r="P2322" t="n">
        <v>1150.1</v>
      </c>
      <c r="Q2322" t="n">
        <v>656</v>
      </c>
      <c r="R2322" s="2" t="inlineStr">
        <is>
          <t>VERIFIED_OK</t>
        </is>
      </c>
      <c r="S2322" t="n">
        <v>687.95</v>
      </c>
      <c r="T2322" t="inlineStr">
        <is>
          <t>30-07-2026 09:42 IST</t>
        </is>
      </c>
    </row>
    <row r="2323">
      <c r="A2323" t="n">
        <v>384</v>
      </c>
      <c r="B2323" t="n">
        <v>517385</v>
      </c>
      <c r="C2323" t="inlineStr">
        <is>
          <t>Symphony Ltd</t>
        </is>
      </c>
      <c r="D2323" t="n">
        <v>2022</v>
      </c>
      <c r="E2323" t="n">
        <v>699.4500122070312</v>
      </c>
      <c r="F2323" t="n">
        <v>17.2</v>
      </c>
      <c r="G2323" t="inlineStr">
        <is>
          <t>Consolidated first (v4) – needs verification for flagged rows</t>
        </is>
      </c>
      <c r="H2323" t="n">
        <v>1214</v>
      </c>
      <c r="I2323" t="n">
        <v>821</v>
      </c>
      <c r="L2323" t="inlineStr">
        <is>
          <t>OK</t>
        </is>
      </c>
      <c r="M2323" t="n">
        <v>70.58</v>
      </c>
      <c r="N2323" t="n">
        <v>47.73</v>
      </c>
      <c r="O2323" t="n">
        <v>687.95</v>
      </c>
      <c r="P2323" t="n">
        <v>1150.1</v>
      </c>
      <c r="Q2323" t="n">
        <v>656</v>
      </c>
      <c r="R2323" s="2" t="inlineStr">
        <is>
          <t>VERIFIED_OK</t>
        </is>
      </c>
      <c r="S2323" t="n">
        <v>687.95</v>
      </c>
      <c r="T2323" t="inlineStr">
        <is>
          <t>30-07-2026 09:42 IST</t>
        </is>
      </c>
    </row>
    <row r="2324">
      <c r="A2324" t="n">
        <v>384</v>
      </c>
      <c r="B2324" t="n">
        <v>517385</v>
      </c>
      <c r="C2324" t="inlineStr">
        <is>
          <t>Symphony Ltd</t>
        </is>
      </c>
      <c r="D2324" t="n">
        <v>2023</v>
      </c>
      <c r="E2324" t="n">
        <v>699.4500122070312</v>
      </c>
      <c r="F2324" t="n">
        <v>16.64</v>
      </c>
      <c r="G2324" t="inlineStr">
        <is>
          <t>Consolidated first (v4) – needs verification for flagged rows</t>
        </is>
      </c>
      <c r="H2324" t="n">
        <v>1218.949951171875</v>
      </c>
      <c r="I2324" t="n">
        <v>825.25</v>
      </c>
      <c r="L2324" t="inlineStr">
        <is>
          <t>OK</t>
        </is>
      </c>
      <c r="M2324" t="n">
        <v>73.25</v>
      </c>
      <c r="N2324" t="n">
        <v>49.59</v>
      </c>
      <c r="O2324" t="n">
        <v>687.95</v>
      </c>
      <c r="P2324" t="n">
        <v>1150.1</v>
      </c>
      <c r="Q2324" t="n">
        <v>656</v>
      </c>
      <c r="R2324" s="2" t="inlineStr">
        <is>
          <t>VERIFIED_OK</t>
        </is>
      </c>
      <c r="S2324" t="n">
        <v>687.95</v>
      </c>
      <c r="T2324" t="inlineStr">
        <is>
          <t>30-07-2026 09:42 IST</t>
        </is>
      </c>
    </row>
    <row r="2325">
      <c r="A2325" t="n">
        <v>384</v>
      </c>
      <c r="B2325" t="n">
        <v>517385</v>
      </c>
      <c r="C2325" t="inlineStr">
        <is>
          <t>Symphony Ltd</t>
        </is>
      </c>
      <c r="D2325" t="n">
        <v>2024</v>
      </c>
      <c r="E2325" t="n">
        <v>699.4500122070312</v>
      </c>
      <c r="F2325" t="n">
        <v>21.48</v>
      </c>
      <c r="G2325" t="inlineStr">
        <is>
          <t>Consolidated first (v4) – needs verification for flagged rows</t>
        </is>
      </c>
      <c r="H2325" t="n">
        <v>1878.949951171875</v>
      </c>
      <c r="I2325" t="n">
        <v>820.0999755859375</v>
      </c>
      <c r="L2325" t="inlineStr">
        <is>
          <t>OK</t>
        </is>
      </c>
      <c r="M2325" t="n">
        <v>87.47</v>
      </c>
      <c r="N2325" t="n">
        <v>38.18</v>
      </c>
      <c r="O2325" t="n">
        <v>687.95</v>
      </c>
      <c r="P2325" t="n">
        <v>1150.1</v>
      </c>
      <c r="Q2325" t="n">
        <v>656</v>
      </c>
      <c r="R2325" s="2" t="inlineStr">
        <is>
          <t>VERIFIED_OK</t>
        </is>
      </c>
      <c r="S2325" t="n">
        <v>687.95</v>
      </c>
      <c r="T2325" t="inlineStr">
        <is>
          <t>30-07-2026 09:42 IST</t>
        </is>
      </c>
    </row>
    <row r="2326">
      <c r="A2326" t="n">
        <v>384</v>
      </c>
      <c r="B2326" t="n">
        <v>517385</v>
      </c>
      <c r="C2326" t="inlineStr">
        <is>
          <t>Symphony Ltd</t>
        </is>
      </c>
      <c r="D2326" t="n">
        <v>2025</v>
      </c>
      <c r="E2326" t="n">
        <v>699.4500122070312</v>
      </c>
      <c r="F2326" t="n">
        <v>30.94</v>
      </c>
      <c r="G2326" t="inlineStr">
        <is>
          <t>Consolidated first (v4) – needs verification for flagged rows</t>
        </is>
      </c>
      <c r="H2326" t="n">
        <v>1453.949951171875</v>
      </c>
      <c r="I2326" t="n">
        <v>839</v>
      </c>
      <c r="L2326" t="inlineStr">
        <is>
          <t>OK</t>
        </is>
      </c>
      <c r="M2326" t="n">
        <v>46.99</v>
      </c>
      <c r="N2326" t="n">
        <v>27.12</v>
      </c>
      <c r="O2326" t="n">
        <v>687.95</v>
      </c>
      <c r="P2326" t="n">
        <v>1150.1</v>
      </c>
      <c r="Q2326" t="n">
        <v>656</v>
      </c>
      <c r="R2326" s="2" t="inlineStr">
        <is>
          <t>VERIFIED_OK</t>
        </is>
      </c>
      <c r="S2326" t="n">
        <v>687.95</v>
      </c>
      <c r="T2326" t="inlineStr">
        <is>
          <t>30-07-2026 09:42 IST</t>
        </is>
      </c>
    </row>
    <row r="2327">
      <c r="A2327" t="n">
        <v>384</v>
      </c>
      <c r="B2327" t="n">
        <v>517385</v>
      </c>
      <c r="C2327" t="inlineStr">
        <is>
          <t>Symphony Ltd</t>
        </is>
      </c>
      <c r="D2327" t="n">
        <v>2026</v>
      </c>
      <c r="E2327" t="n">
        <v>699.4500122070312</v>
      </c>
      <c r="F2327" t="n">
        <v>-20.54</v>
      </c>
      <c r="G2327" t="inlineStr">
        <is>
          <t>Consolidated first (v4) – needs verification for flagged rows</t>
        </is>
      </c>
      <c r="H2327" t="n">
        <v>967.5</v>
      </c>
      <c r="I2327" t="n">
        <v>658.7999877929688</v>
      </c>
      <c r="L2327" t="inlineStr">
        <is>
          <t>UNVERIFIED – negative EPS</t>
        </is>
      </c>
      <c r="M2327" t="n">
        <v>-47.1</v>
      </c>
      <c r="N2327" t="n">
        <v>-32.07</v>
      </c>
      <c r="O2327" t="n">
        <v>687.95</v>
      </c>
      <c r="P2327" t="n">
        <v>1150.1</v>
      </c>
      <c r="Q2327" t="n">
        <v>656</v>
      </c>
      <c r="R2327" s="2" t="inlineStr">
        <is>
          <t>VERIFIED_OK</t>
        </is>
      </c>
      <c r="S2327" t="n">
        <v>687.95</v>
      </c>
      <c r="T2327" t="inlineStr">
        <is>
          <t>30-07-2026 09:42 IST</t>
        </is>
      </c>
    </row>
    <row r="2328">
      <c r="A2328" t="n">
        <v>385</v>
      </c>
      <c r="B2328" t="n">
        <v>517399</v>
      </c>
      <c r="C2328" t="inlineStr">
        <is>
          <t>VXL Instruments Ltd</t>
        </is>
      </c>
      <c r="D2328" t="n">
        <v>2015</v>
      </c>
      <c r="E2328" t="n">
        <v>3.980000019073486</v>
      </c>
      <c r="F2328" t="n">
        <v>-3.4</v>
      </c>
      <c r="G2328" t="inlineStr">
        <is>
          <t>Consolidated first (v4) – needs verification for flagged rows</t>
        </is>
      </c>
      <c r="H2328" t="n">
        <v>26.5</v>
      </c>
      <c r="I2328" t="n">
        <v>10.44999980926514</v>
      </c>
      <c r="L2328" t="inlineStr">
        <is>
          <t>UNVERIFIED – negative EPS</t>
        </is>
      </c>
      <c r="M2328" t="n">
        <v>-7.79</v>
      </c>
      <c r="N2328" t="n">
        <v>-3.07</v>
      </c>
      <c r="O2328" t="n">
        <v>5.28</v>
      </c>
      <c r="P2328" t="n">
        <v>8.15</v>
      </c>
      <c r="Q2328" t="n">
        <v>3.97</v>
      </c>
      <c r="R2328" s="3" t="inlineStr">
        <is>
          <t>MISMATCH_NEEDS_CORRECTION</t>
        </is>
      </c>
      <c r="S2328" t="n">
        <v>5.28</v>
      </c>
      <c r="T2328" t="inlineStr">
        <is>
          <t>30-07-2026 09:42 IST</t>
        </is>
      </c>
    </row>
    <row r="2329">
      <c r="A2329" t="n">
        <v>385</v>
      </c>
      <c r="B2329" t="n">
        <v>517399</v>
      </c>
      <c r="C2329" t="inlineStr">
        <is>
          <t>VXL Instruments Ltd</t>
        </is>
      </c>
      <c r="D2329" t="n">
        <v>2016</v>
      </c>
      <c r="E2329" t="n">
        <v>3.980000019073486</v>
      </c>
      <c r="F2329" t="n">
        <v>-3.43</v>
      </c>
      <c r="G2329" t="inlineStr">
        <is>
          <t>Consolidated first (v4) – needs verification for flagged rows</t>
        </is>
      </c>
      <c r="H2329" t="n">
        <v>14.19999980926514</v>
      </c>
      <c r="I2329" t="n">
        <v>5.599999904632568</v>
      </c>
      <c r="L2329" t="inlineStr">
        <is>
          <t>UNVERIFIED – negative EPS</t>
        </is>
      </c>
      <c r="M2329" t="n">
        <v>-4.14</v>
      </c>
      <c r="N2329" t="n">
        <v>-1.63</v>
      </c>
      <c r="O2329" t="n">
        <v>5.28</v>
      </c>
      <c r="P2329" t="n">
        <v>8.15</v>
      </c>
      <c r="Q2329" t="n">
        <v>3.97</v>
      </c>
      <c r="R2329" s="3" t="inlineStr">
        <is>
          <t>MISMATCH_NEEDS_CORRECTION</t>
        </is>
      </c>
      <c r="S2329" t="n">
        <v>5.28</v>
      </c>
      <c r="T2329" t="inlineStr">
        <is>
          <t>30-07-2026 09:42 IST</t>
        </is>
      </c>
    </row>
    <row r="2330">
      <c r="A2330" t="n">
        <v>385</v>
      </c>
      <c r="B2330" t="n">
        <v>517399</v>
      </c>
      <c r="C2330" t="inlineStr">
        <is>
          <t>VXL Instruments Ltd</t>
        </is>
      </c>
      <c r="D2330" t="n">
        <v>2017</v>
      </c>
      <c r="E2330" t="n">
        <v>3.980000019073486</v>
      </c>
      <c r="G2330" t="inlineStr">
        <is>
          <t>Consolidated first (v4) – needs verification for flagged rows</t>
        </is>
      </c>
      <c r="H2330" t="n">
        <v>10.32999992370605</v>
      </c>
      <c r="I2330" t="n">
        <v>5</v>
      </c>
      <c r="L2330" t="inlineStr">
        <is>
          <t>INCOMPLETE</t>
        </is>
      </c>
      <c r="O2330" t="n">
        <v>5.28</v>
      </c>
      <c r="P2330" t="n">
        <v>8.15</v>
      </c>
      <c r="Q2330" t="n">
        <v>3.97</v>
      </c>
      <c r="R2330" s="3" t="inlineStr">
        <is>
          <t>MISMATCH_NEEDS_CORRECTION</t>
        </is>
      </c>
      <c r="S2330" t="n">
        <v>5.28</v>
      </c>
      <c r="T2330" t="inlineStr">
        <is>
          <t>30-07-2026 09:42 IST</t>
        </is>
      </c>
    </row>
    <row r="2331">
      <c r="A2331" t="n">
        <v>385</v>
      </c>
      <c r="B2331" t="n">
        <v>517399</v>
      </c>
      <c r="C2331" t="inlineStr">
        <is>
          <t>VXL Instruments Ltd</t>
        </is>
      </c>
      <c r="D2331" t="n">
        <v>2018</v>
      </c>
      <c r="E2331" t="n">
        <v>3.980000019073486</v>
      </c>
      <c r="G2331" t="inlineStr">
        <is>
          <t>Consolidated first (v4) – needs verification for flagged rows</t>
        </is>
      </c>
      <c r="H2331" t="n">
        <v>11</v>
      </c>
      <c r="I2331" t="n">
        <v>6.050000190734863</v>
      </c>
      <c r="L2331" t="inlineStr">
        <is>
          <t>INCOMPLETE</t>
        </is>
      </c>
      <c r="O2331" t="n">
        <v>5.28</v>
      </c>
      <c r="P2331" t="n">
        <v>8.15</v>
      </c>
      <c r="Q2331" t="n">
        <v>3.97</v>
      </c>
      <c r="R2331" s="3" t="inlineStr">
        <is>
          <t>MISMATCH_NEEDS_CORRECTION</t>
        </is>
      </c>
      <c r="S2331" t="n">
        <v>5.28</v>
      </c>
      <c r="T2331" t="inlineStr">
        <is>
          <t>30-07-2026 09:42 IST</t>
        </is>
      </c>
    </row>
    <row r="2332">
      <c r="A2332" t="n">
        <v>385</v>
      </c>
      <c r="B2332" t="n">
        <v>517399</v>
      </c>
      <c r="C2332" t="inlineStr">
        <is>
          <t>VXL Instruments Ltd</t>
        </is>
      </c>
      <c r="D2332" t="n">
        <v>2019</v>
      </c>
      <c r="E2332" t="n">
        <v>3.980000019073486</v>
      </c>
      <c r="G2332" t="inlineStr">
        <is>
          <t>Consolidated first (v4) – needs verification for flagged rows</t>
        </is>
      </c>
      <c r="H2332" t="n">
        <v>11.27999973297119</v>
      </c>
      <c r="I2332" t="n">
        <v>1.090000033378601</v>
      </c>
      <c r="L2332" t="inlineStr">
        <is>
          <t>INCOMPLETE</t>
        </is>
      </c>
      <c r="O2332" t="n">
        <v>5.28</v>
      </c>
      <c r="P2332" t="n">
        <v>8.15</v>
      </c>
      <c r="Q2332" t="n">
        <v>3.97</v>
      </c>
      <c r="R2332" s="3" t="inlineStr">
        <is>
          <t>MISMATCH_NEEDS_CORRECTION</t>
        </is>
      </c>
      <c r="S2332" t="n">
        <v>5.28</v>
      </c>
      <c r="T2332" t="inlineStr">
        <is>
          <t>30-07-2026 09:42 IST</t>
        </is>
      </c>
    </row>
    <row r="2333">
      <c r="A2333" t="n">
        <v>385</v>
      </c>
      <c r="B2333" t="n">
        <v>517399</v>
      </c>
      <c r="C2333" t="inlineStr">
        <is>
          <t>VXL Instruments Ltd</t>
        </is>
      </c>
      <c r="D2333" t="n">
        <v>2020</v>
      </c>
      <c r="E2333" t="n">
        <v>3.980000019073486</v>
      </c>
      <c r="G2333" t="inlineStr">
        <is>
          <t>Consolidated first (v4) – needs verification for flagged rows</t>
        </is>
      </c>
      <c r="H2333" t="n">
        <v>3.640000104904175</v>
      </c>
      <c r="I2333" t="n">
        <v>1.100000023841858</v>
      </c>
      <c r="L2333" t="inlineStr">
        <is>
          <t>INCOMPLETE</t>
        </is>
      </c>
      <c r="O2333" t="n">
        <v>5.28</v>
      </c>
      <c r="P2333" t="n">
        <v>8.15</v>
      </c>
      <c r="Q2333" t="n">
        <v>3.97</v>
      </c>
      <c r="R2333" s="3" t="inlineStr">
        <is>
          <t>MISMATCH_NEEDS_CORRECTION</t>
        </is>
      </c>
      <c r="S2333" t="n">
        <v>5.28</v>
      </c>
      <c r="T2333" t="inlineStr">
        <is>
          <t>30-07-2026 09:42 IST</t>
        </is>
      </c>
    </row>
    <row r="2334">
      <c r="A2334" t="n">
        <v>385</v>
      </c>
      <c r="B2334" t="n">
        <v>517399</v>
      </c>
      <c r="C2334" t="inlineStr">
        <is>
          <t>VXL Instruments Ltd</t>
        </is>
      </c>
      <c r="D2334" t="n">
        <v>2021</v>
      </c>
      <c r="E2334" t="n">
        <v>3.980000019073486</v>
      </c>
      <c r="G2334" t="inlineStr">
        <is>
          <t>Consolidated first (v4) – needs verification for flagged rows</t>
        </is>
      </c>
      <c r="H2334" t="n">
        <v>12.35999965667725</v>
      </c>
      <c r="I2334" t="n">
        <v>2.230000019073486</v>
      </c>
      <c r="L2334" t="inlineStr">
        <is>
          <t>INCOMPLETE</t>
        </is>
      </c>
      <c r="O2334" t="n">
        <v>5.28</v>
      </c>
      <c r="P2334" t="n">
        <v>8.15</v>
      </c>
      <c r="Q2334" t="n">
        <v>3.97</v>
      </c>
      <c r="R2334" s="3" t="inlineStr">
        <is>
          <t>MISMATCH_NEEDS_CORRECTION</t>
        </is>
      </c>
      <c r="S2334" t="n">
        <v>5.28</v>
      </c>
      <c r="T2334" t="inlineStr">
        <is>
          <t>30-07-2026 09:42 IST</t>
        </is>
      </c>
    </row>
    <row r="2335">
      <c r="A2335" t="n">
        <v>385</v>
      </c>
      <c r="B2335" t="n">
        <v>517399</v>
      </c>
      <c r="C2335" t="inlineStr">
        <is>
          <t>VXL Instruments Ltd</t>
        </is>
      </c>
      <c r="D2335" t="n">
        <v>2022</v>
      </c>
      <c r="E2335" t="n">
        <v>3.980000019073486</v>
      </c>
      <c r="G2335" t="inlineStr">
        <is>
          <t>Consolidated first (v4) – needs verification for flagged rows</t>
        </is>
      </c>
      <c r="H2335" t="n">
        <v>11.75</v>
      </c>
      <c r="I2335" t="n">
        <v>5.28000020980835</v>
      </c>
      <c r="L2335" t="inlineStr">
        <is>
          <t>INCOMPLETE</t>
        </is>
      </c>
      <c r="O2335" t="n">
        <v>5.28</v>
      </c>
      <c r="P2335" t="n">
        <v>8.15</v>
      </c>
      <c r="Q2335" t="n">
        <v>3.97</v>
      </c>
      <c r="R2335" s="3" t="inlineStr">
        <is>
          <t>MISMATCH_NEEDS_CORRECTION</t>
        </is>
      </c>
      <c r="S2335" t="n">
        <v>5.28</v>
      </c>
      <c r="T2335" t="inlineStr">
        <is>
          <t>30-07-2026 09:42 IST</t>
        </is>
      </c>
    </row>
    <row r="2336">
      <c r="A2336" t="n">
        <v>385</v>
      </c>
      <c r="B2336" t="n">
        <v>517399</v>
      </c>
      <c r="C2336" t="inlineStr">
        <is>
          <t>VXL Instruments Ltd</t>
        </is>
      </c>
      <c r="D2336" t="n">
        <v>2023</v>
      </c>
      <c r="E2336" t="n">
        <v>3.980000019073486</v>
      </c>
      <c r="G2336" t="inlineStr">
        <is>
          <t>Consolidated first (v4) – needs verification for flagged rows</t>
        </is>
      </c>
      <c r="H2336" t="n">
        <v>16.01000022888184</v>
      </c>
      <c r="I2336" t="n">
        <v>5.420000076293945</v>
      </c>
      <c r="L2336" t="inlineStr">
        <is>
          <t>INCOMPLETE</t>
        </is>
      </c>
      <c r="O2336" t="n">
        <v>5.28</v>
      </c>
      <c r="P2336" t="n">
        <v>8.15</v>
      </c>
      <c r="Q2336" t="n">
        <v>3.97</v>
      </c>
      <c r="R2336" s="3" t="inlineStr">
        <is>
          <t>MISMATCH_NEEDS_CORRECTION</t>
        </is>
      </c>
      <c r="S2336" t="n">
        <v>5.28</v>
      </c>
      <c r="T2336" t="inlineStr">
        <is>
          <t>30-07-2026 09:42 IST</t>
        </is>
      </c>
    </row>
    <row r="2337">
      <c r="A2337" t="n">
        <v>385</v>
      </c>
      <c r="B2337" t="n">
        <v>517399</v>
      </c>
      <c r="C2337" t="inlineStr">
        <is>
          <t>VXL Instruments Ltd</t>
        </is>
      </c>
      <c r="D2337" t="n">
        <v>2024</v>
      </c>
      <c r="E2337" t="n">
        <v>3.980000019073486</v>
      </c>
      <c r="G2337" t="inlineStr">
        <is>
          <t>Consolidated first (v4) – needs verification for flagged rows</t>
        </is>
      </c>
      <c r="H2337" t="n">
        <v>8.149999618530273</v>
      </c>
      <c r="I2337" t="n">
        <v>3.970000028610229</v>
      </c>
      <c r="L2337" t="inlineStr">
        <is>
          <t>INCOMPLETE</t>
        </is>
      </c>
      <c r="O2337" t="n">
        <v>5.28</v>
      </c>
      <c r="P2337" t="n">
        <v>8.15</v>
      </c>
      <c r="Q2337" t="n">
        <v>3.97</v>
      </c>
      <c r="R2337" s="3" t="inlineStr">
        <is>
          <t>MISMATCH_NEEDS_CORRECTION</t>
        </is>
      </c>
      <c r="S2337" t="n">
        <v>5.28</v>
      </c>
      <c r="T2337" t="inlineStr">
        <is>
          <t>30-07-2026 09:42 IST</t>
        </is>
      </c>
    </row>
    <row r="2338">
      <c r="A2338" t="n">
        <v>385</v>
      </c>
      <c r="B2338" t="n">
        <v>517399</v>
      </c>
      <c r="C2338" t="inlineStr">
        <is>
          <t>VXL Instruments Ltd</t>
        </is>
      </c>
      <c r="D2338" t="n">
        <v>2025</v>
      </c>
      <c r="E2338" t="n">
        <v>3.980000019073486</v>
      </c>
      <c r="G2338" t="inlineStr">
        <is>
          <t>Consolidated first (v4) – needs verification for flagged rows</t>
        </is>
      </c>
      <c r="H2338" t="n">
        <v>5.949999809265137</v>
      </c>
      <c r="I2338" t="n">
        <v>2.599999904632568</v>
      </c>
      <c r="L2338" t="inlineStr">
        <is>
          <t>INCOMPLETE</t>
        </is>
      </c>
      <c r="O2338" t="n">
        <v>5.28</v>
      </c>
      <c r="P2338" t="n">
        <v>8.15</v>
      </c>
      <c r="Q2338" t="n">
        <v>3.97</v>
      </c>
      <c r="R2338" s="3" t="inlineStr">
        <is>
          <t>MISMATCH_NEEDS_CORRECTION</t>
        </is>
      </c>
      <c r="S2338" t="n">
        <v>5.28</v>
      </c>
      <c r="T2338" t="inlineStr">
        <is>
          <t>30-07-2026 09:42 IST</t>
        </is>
      </c>
    </row>
    <row r="2339">
      <c r="A2339" t="n">
        <v>385</v>
      </c>
      <c r="B2339" t="n">
        <v>517399</v>
      </c>
      <c r="C2339" t="inlineStr">
        <is>
          <t>VXL Instruments Ltd</t>
        </is>
      </c>
      <c r="D2339" t="n">
        <v>2026</v>
      </c>
      <c r="E2339" t="n">
        <v>3.980000019073486</v>
      </c>
      <c r="G2339" t="inlineStr">
        <is>
          <t>Consolidated first (v4) – needs verification for flagged rows</t>
        </is>
      </c>
      <c r="H2339" t="n">
        <v>4.199999809265137</v>
      </c>
      <c r="I2339" t="n">
        <v>2.730000019073486</v>
      </c>
      <c r="L2339" t="inlineStr">
        <is>
          <t>INCOMPLETE</t>
        </is>
      </c>
      <c r="O2339" t="n">
        <v>5.28</v>
      </c>
      <c r="P2339" t="n">
        <v>8.15</v>
      </c>
      <c r="Q2339" t="n">
        <v>3.97</v>
      </c>
      <c r="R2339" s="3" t="inlineStr">
        <is>
          <t>MISMATCH_NEEDS_CORRECTION</t>
        </is>
      </c>
      <c r="S2339" t="n">
        <v>5.28</v>
      </c>
      <c r="T2339" t="inlineStr">
        <is>
          <t>30-07-2026 09:42 IST</t>
        </is>
      </c>
    </row>
    <row r="2340">
      <c r="A2340" t="n">
        <v>386</v>
      </c>
      <c r="B2340" t="n">
        <v>517421</v>
      </c>
      <c r="C2340" t="inlineStr">
        <is>
          <t>Butt And Ben</t>
        </is>
      </c>
      <c r="D2340" t="n">
        <v>2015</v>
      </c>
      <c r="E2340" t="n">
        <v>764.0499877929688</v>
      </c>
      <c r="F2340" t="n">
        <v>1.58</v>
      </c>
      <c r="G2340" t="inlineStr">
        <is>
          <t>Consolidated first (v4) – needs verification for flagged rows</t>
        </is>
      </c>
      <c r="H2340" t="n">
        <v>282</v>
      </c>
      <c r="I2340" t="n">
        <v>128</v>
      </c>
      <c r="L2340" t="inlineStr">
        <is>
          <t>OK</t>
        </is>
      </c>
      <c r="M2340" t="n">
        <v>178.48</v>
      </c>
      <c r="N2340" t="n">
        <v>81.01000000000001</v>
      </c>
      <c r="O2340">
        <f>IFERROR(VLOOKUP(B2340,BSE_500_LIVE!A:E,3,FALSE),"")</f>
        <v/>
      </c>
      <c r="P2340">
        <f>IFERROR(VLOOKUP(B2340,BSE_500_LIVE!A:E,4,FALSE),"")</f>
        <v/>
      </c>
      <c r="Q2340">
        <f>IFERROR(VLOOKUP(B2340,BSE_500_LIVE!A:E,5,FALSE),"")</f>
        <v/>
      </c>
      <c r="R2340">
        <f>IF(OR(E2340="",O2340=""),"PENDING_FETCH",IF(ABS(E2340-O2340)/E2340&gt;0.005,"MISMATCH_NEEDS_CORRECTION","VERIFIED_OK"))</f>
        <v/>
      </c>
      <c r="S2340">
        <f>IF(O2340&lt;&gt;"",O2340,E2340)</f>
        <v/>
      </c>
      <c r="T2340">
        <f>IFERROR(VLOOKUP(B2340,BSE_500_LIVE!A:F,6,FALSE),"")</f>
        <v/>
      </c>
    </row>
    <row r="2341">
      <c r="A2341" t="n">
        <v>386</v>
      </c>
      <c r="B2341" t="n">
        <v>517421</v>
      </c>
      <c r="C2341" t="inlineStr">
        <is>
          <t>Butt And Ben</t>
        </is>
      </c>
      <c r="D2341" t="n">
        <v>2016</v>
      </c>
      <c r="E2341" t="n">
        <v>764.0499877929688</v>
      </c>
      <c r="F2341" t="n">
        <v>6.93</v>
      </c>
      <c r="G2341" t="inlineStr">
        <is>
          <t>Consolidated first (v4) – needs verification for flagged rows</t>
        </is>
      </c>
      <c r="H2341" t="n">
        <v>307.3999938964844</v>
      </c>
      <c r="I2341" t="n">
        <v>138.1499938964844</v>
      </c>
      <c r="L2341" t="inlineStr">
        <is>
          <t>OK</t>
        </is>
      </c>
      <c r="M2341" t="n">
        <v>44.36</v>
      </c>
      <c r="N2341" t="n">
        <v>19.94</v>
      </c>
      <c r="O2341">
        <f>IFERROR(VLOOKUP(B2341,BSE_500_LIVE!A:E,3,FALSE),"")</f>
        <v/>
      </c>
      <c r="P2341">
        <f>IFERROR(VLOOKUP(B2341,BSE_500_LIVE!A:E,4,FALSE),"")</f>
        <v/>
      </c>
      <c r="Q2341">
        <f>IFERROR(VLOOKUP(B2341,BSE_500_LIVE!A:E,5,FALSE),"")</f>
        <v/>
      </c>
      <c r="R2341">
        <f>IF(OR(E2341="",O2341=""),"PENDING_FETCH",IF(ABS(E2341-O2341)/E2341&gt;0.005,"MISMATCH_NEEDS_CORRECTION","VERIFIED_OK"))</f>
        <v/>
      </c>
      <c r="S2341">
        <f>IF(O2341&lt;&gt;"",O2341,E2341)</f>
        <v/>
      </c>
      <c r="T2341">
        <f>IFERROR(VLOOKUP(B2341,BSE_500_LIVE!A:F,6,FALSE),"")</f>
        <v/>
      </c>
    </row>
    <row r="2342">
      <c r="A2342" t="n">
        <v>386</v>
      </c>
      <c r="B2342" t="n">
        <v>517421</v>
      </c>
      <c r="C2342" t="inlineStr">
        <is>
          <t>Butt And Ben</t>
        </is>
      </c>
      <c r="D2342" t="n">
        <v>2017</v>
      </c>
      <c r="E2342" t="n">
        <v>764.0499877929688</v>
      </c>
      <c r="F2342" t="n">
        <v>-28.95</v>
      </c>
      <c r="G2342" t="inlineStr">
        <is>
          <t>Consolidated first (v4) – needs verification for flagged rows</t>
        </is>
      </c>
      <c r="H2342" t="n">
        <v>611.9000244140625</v>
      </c>
      <c r="I2342" t="n">
        <v>157</v>
      </c>
      <c r="L2342" t="inlineStr">
        <is>
          <t>UNVERIFIED – negative EPS</t>
        </is>
      </c>
      <c r="M2342" t="n">
        <v>-21.14</v>
      </c>
      <c r="N2342" t="n">
        <v>-5.42</v>
      </c>
      <c r="O2342">
        <f>IFERROR(VLOOKUP(B2342,BSE_500_LIVE!A:E,3,FALSE),"")</f>
        <v/>
      </c>
      <c r="P2342">
        <f>IFERROR(VLOOKUP(B2342,BSE_500_LIVE!A:E,4,FALSE),"")</f>
        <v/>
      </c>
      <c r="Q2342">
        <f>IFERROR(VLOOKUP(B2342,BSE_500_LIVE!A:E,5,FALSE),"")</f>
        <v/>
      </c>
      <c r="R2342">
        <f>IF(OR(E2342="",O2342=""),"PENDING_FETCH",IF(ABS(E2342-O2342)/E2342&gt;0.005,"MISMATCH_NEEDS_CORRECTION","VERIFIED_OK"))</f>
        <v/>
      </c>
      <c r="S2342">
        <f>IF(O2342&lt;&gt;"",O2342,E2342)</f>
        <v/>
      </c>
      <c r="T2342">
        <f>IFERROR(VLOOKUP(B2342,BSE_500_LIVE!A:F,6,FALSE),"")</f>
        <v/>
      </c>
    </row>
    <row r="2343">
      <c r="A2343" t="n">
        <v>386</v>
      </c>
      <c r="B2343" t="n">
        <v>517421</v>
      </c>
      <c r="C2343" t="inlineStr">
        <is>
          <t>Butt And Ben</t>
        </is>
      </c>
      <c r="D2343" t="n">
        <v>2018</v>
      </c>
      <c r="E2343" t="n">
        <v>764.0499877929688</v>
      </c>
      <c r="F2343" t="n">
        <v>2.69</v>
      </c>
      <c r="G2343" t="inlineStr">
        <is>
          <t>Consolidated first (v4) – needs verification for flagged rows</t>
        </is>
      </c>
      <c r="H2343" t="n">
        <v>661</v>
      </c>
      <c r="I2343" t="n">
        <v>199.8999938964844</v>
      </c>
      <c r="L2343" t="inlineStr">
        <is>
          <t>OK</t>
        </is>
      </c>
      <c r="M2343" t="n">
        <v>245.72</v>
      </c>
      <c r="N2343" t="n">
        <v>74.31</v>
      </c>
      <c r="O2343">
        <f>IFERROR(VLOOKUP(B2343,BSE_500_LIVE!A:E,3,FALSE),"")</f>
        <v/>
      </c>
      <c r="P2343">
        <f>IFERROR(VLOOKUP(B2343,BSE_500_LIVE!A:E,4,FALSE),"")</f>
        <v/>
      </c>
      <c r="Q2343">
        <f>IFERROR(VLOOKUP(B2343,BSE_500_LIVE!A:E,5,FALSE),"")</f>
        <v/>
      </c>
      <c r="R2343">
        <f>IF(OR(E2343="",O2343=""),"PENDING_FETCH",IF(ABS(E2343-O2343)/E2343&gt;0.005,"MISMATCH_NEEDS_CORRECTION","VERIFIED_OK"))</f>
        <v/>
      </c>
      <c r="S2343">
        <f>IF(O2343&lt;&gt;"",O2343,E2343)</f>
        <v/>
      </c>
      <c r="T2343">
        <f>IFERROR(VLOOKUP(B2343,BSE_500_LIVE!A:F,6,FALSE),"")</f>
        <v/>
      </c>
    </row>
    <row r="2344">
      <c r="A2344" t="n">
        <v>386</v>
      </c>
      <c r="B2344" t="n">
        <v>517421</v>
      </c>
      <c r="C2344" t="inlineStr">
        <is>
          <t>Butt And Ben</t>
        </is>
      </c>
      <c r="D2344" t="n">
        <v>2019</v>
      </c>
      <c r="E2344" t="n">
        <v>764.0499877929688</v>
      </c>
      <c r="F2344" t="n">
        <v>5.35</v>
      </c>
      <c r="G2344" t="inlineStr">
        <is>
          <t>Consolidated first (v4) – needs verification for flagged rows</t>
        </is>
      </c>
      <c r="H2344" t="n">
        <v>310.8999938964844</v>
      </c>
      <c r="I2344" t="n">
        <v>141</v>
      </c>
      <c r="L2344" t="inlineStr">
        <is>
          <t>OK</t>
        </is>
      </c>
      <c r="M2344" t="n">
        <v>58.11</v>
      </c>
      <c r="N2344" t="n">
        <v>26.36</v>
      </c>
      <c r="O2344">
        <f>IFERROR(VLOOKUP(B2344,BSE_500_LIVE!A:E,3,FALSE),"")</f>
        <v/>
      </c>
      <c r="P2344">
        <f>IFERROR(VLOOKUP(B2344,BSE_500_LIVE!A:E,4,FALSE),"")</f>
        <v/>
      </c>
      <c r="Q2344">
        <f>IFERROR(VLOOKUP(B2344,BSE_500_LIVE!A:E,5,FALSE),"")</f>
        <v/>
      </c>
      <c r="R2344">
        <f>IF(OR(E2344="",O2344=""),"PENDING_FETCH",IF(ABS(E2344-O2344)/E2344&gt;0.005,"MISMATCH_NEEDS_CORRECTION","VERIFIED_OK"))</f>
        <v/>
      </c>
      <c r="S2344">
        <f>IF(O2344&lt;&gt;"",O2344,E2344)</f>
        <v/>
      </c>
      <c r="T2344">
        <f>IFERROR(VLOOKUP(B2344,BSE_500_LIVE!A:F,6,FALSE),"")</f>
        <v/>
      </c>
    </row>
    <row r="2345">
      <c r="A2345" t="n">
        <v>386</v>
      </c>
      <c r="B2345" t="n">
        <v>517421</v>
      </c>
      <c r="C2345" t="inlineStr">
        <is>
          <t>Butt And Ben</t>
        </is>
      </c>
      <c r="D2345" t="n">
        <v>2020</v>
      </c>
      <c r="E2345" t="n">
        <v>764.0499877929688</v>
      </c>
      <c r="F2345" t="n">
        <v>2.23</v>
      </c>
      <c r="G2345" t="inlineStr">
        <is>
          <t>Consolidated first (v4) – needs verification for flagged rows</t>
        </is>
      </c>
      <c r="H2345" t="n">
        <v>500</v>
      </c>
      <c r="I2345" t="n">
        <v>84.5</v>
      </c>
      <c r="L2345" t="inlineStr">
        <is>
          <t>OK</t>
        </is>
      </c>
      <c r="M2345" t="n">
        <v>224.22</v>
      </c>
      <c r="N2345" t="n">
        <v>37.89</v>
      </c>
      <c r="O2345">
        <f>IFERROR(VLOOKUP(B2345,BSE_500_LIVE!A:E,3,FALSE),"")</f>
        <v/>
      </c>
      <c r="P2345">
        <f>IFERROR(VLOOKUP(B2345,BSE_500_LIVE!A:E,4,FALSE),"")</f>
        <v/>
      </c>
      <c r="Q2345">
        <f>IFERROR(VLOOKUP(B2345,BSE_500_LIVE!A:E,5,FALSE),"")</f>
        <v/>
      </c>
      <c r="R2345">
        <f>IF(OR(E2345="",O2345=""),"PENDING_FETCH",IF(ABS(E2345-O2345)/E2345&gt;0.005,"MISMATCH_NEEDS_CORRECTION","VERIFIED_OK"))</f>
        <v/>
      </c>
      <c r="S2345">
        <f>IF(O2345&lt;&gt;"",O2345,E2345)</f>
        <v/>
      </c>
      <c r="T2345">
        <f>IFERROR(VLOOKUP(B2345,BSE_500_LIVE!A:F,6,FALSE),"")</f>
        <v/>
      </c>
    </row>
    <row r="2346">
      <c r="A2346" t="n">
        <v>386</v>
      </c>
      <c r="B2346" t="n">
        <v>517421</v>
      </c>
      <c r="C2346" t="inlineStr">
        <is>
          <t>Butt And Ben</t>
        </is>
      </c>
      <c r="D2346" t="n">
        <v>2021</v>
      </c>
      <c r="E2346" t="n">
        <v>764.0499877929688</v>
      </c>
      <c r="F2346" t="n">
        <v>20.22</v>
      </c>
      <c r="G2346" t="inlineStr">
        <is>
          <t>Consolidated first (v4) – needs verification for flagged rows</t>
        </is>
      </c>
      <c r="H2346" t="n">
        <v>1200.650024414062</v>
      </c>
      <c r="I2346" t="n">
        <v>457.5499877929688</v>
      </c>
      <c r="L2346" t="inlineStr">
        <is>
          <t>OK</t>
        </is>
      </c>
      <c r="M2346" t="n">
        <v>59.38</v>
      </c>
      <c r="N2346" t="n">
        <v>22.63</v>
      </c>
      <c r="O2346">
        <f>IFERROR(VLOOKUP(B2346,BSE_500_LIVE!A:E,3,FALSE),"")</f>
        <v/>
      </c>
      <c r="P2346">
        <f>IFERROR(VLOOKUP(B2346,BSE_500_LIVE!A:E,4,FALSE),"")</f>
        <v/>
      </c>
      <c r="Q2346">
        <f>IFERROR(VLOOKUP(B2346,BSE_500_LIVE!A:E,5,FALSE),"")</f>
        <v/>
      </c>
      <c r="R2346">
        <f>IF(OR(E2346="",O2346=""),"PENDING_FETCH",IF(ABS(E2346-O2346)/E2346&gt;0.005,"MISMATCH_NEEDS_CORRECTION","VERIFIED_OK"))</f>
        <v/>
      </c>
      <c r="S2346">
        <f>IF(O2346&lt;&gt;"",O2346,E2346)</f>
        <v/>
      </c>
      <c r="T2346">
        <f>IFERROR(VLOOKUP(B2346,BSE_500_LIVE!A:F,6,FALSE),"")</f>
        <v/>
      </c>
    </row>
    <row r="2347">
      <c r="A2347" t="n">
        <v>386</v>
      </c>
      <c r="B2347" t="n">
        <v>517421</v>
      </c>
      <c r="C2347" t="inlineStr">
        <is>
          <t>Butt And Ben</t>
        </is>
      </c>
      <c r="D2347" t="n">
        <v>2022</v>
      </c>
      <c r="E2347" t="n">
        <v>764.0499877929688</v>
      </c>
      <c r="F2347" t="n">
        <v>9.02</v>
      </c>
      <c r="G2347" t="inlineStr">
        <is>
          <t>Consolidated first (v4) – needs verification for flagged rows</t>
        </is>
      </c>
      <c r="H2347" t="n">
        <v>1862.550048828125</v>
      </c>
      <c r="I2347" t="n">
        <v>1065.650024414062</v>
      </c>
      <c r="L2347" t="inlineStr">
        <is>
          <t>OK</t>
        </is>
      </c>
      <c r="M2347" t="n">
        <v>206.49</v>
      </c>
      <c r="N2347" t="n">
        <v>118.14</v>
      </c>
      <c r="O2347">
        <f>IFERROR(VLOOKUP(B2347,BSE_500_LIVE!A:E,3,FALSE),"")</f>
        <v/>
      </c>
      <c r="P2347">
        <f>IFERROR(VLOOKUP(B2347,BSE_500_LIVE!A:E,4,FALSE),"")</f>
        <v/>
      </c>
      <c r="Q2347">
        <f>IFERROR(VLOOKUP(B2347,BSE_500_LIVE!A:E,5,FALSE),"")</f>
        <v/>
      </c>
      <c r="R2347">
        <f>IF(OR(E2347="",O2347=""),"PENDING_FETCH",IF(ABS(E2347-O2347)/E2347&gt;0.005,"MISMATCH_NEEDS_CORRECTION","VERIFIED_OK"))</f>
        <v/>
      </c>
      <c r="S2347">
        <f>IF(O2347&lt;&gt;"",O2347,E2347)</f>
        <v/>
      </c>
      <c r="T2347">
        <f>IFERROR(VLOOKUP(B2347,BSE_500_LIVE!A:F,6,FALSE),"")</f>
        <v/>
      </c>
    </row>
    <row r="2348">
      <c r="A2348" t="n">
        <v>386</v>
      </c>
      <c r="B2348" t="n">
        <v>517421</v>
      </c>
      <c r="C2348" t="inlineStr">
        <is>
          <t>Butt And Ben</t>
        </is>
      </c>
      <c r="D2348" t="n">
        <v>2023</v>
      </c>
      <c r="E2348" t="n">
        <v>764.0499877929688</v>
      </c>
      <c r="F2348" t="n">
        <v>28.9</v>
      </c>
      <c r="G2348" t="inlineStr">
        <is>
          <t>Consolidated first (v4) – needs verification for flagged rows</t>
        </is>
      </c>
      <c r="H2348" t="n">
        <v>1590</v>
      </c>
      <c r="I2348" t="n">
        <v>980.6500244140625</v>
      </c>
      <c r="L2348" t="inlineStr">
        <is>
          <t>OK</t>
        </is>
      </c>
      <c r="M2348" t="n">
        <v>55.02</v>
      </c>
      <c r="N2348" t="n">
        <v>33.93</v>
      </c>
      <c r="O2348">
        <f>IFERROR(VLOOKUP(B2348,BSE_500_LIVE!A:E,3,FALSE),"")</f>
        <v/>
      </c>
      <c r="P2348">
        <f>IFERROR(VLOOKUP(B2348,BSE_500_LIVE!A:E,4,FALSE),"")</f>
        <v/>
      </c>
      <c r="Q2348">
        <f>IFERROR(VLOOKUP(B2348,BSE_500_LIVE!A:E,5,FALSE),"")</f>
        <v/>
      </c>
      <c r="R2348">
        <f>IF(OR(E2348="",O2348=""),"PENDING_FETCH",IF(ABS(E2348-O2348)/E2348&gt;0.005,"MISMATCH_NEEDS_CORRECTION","VERIFIED_OK"))</f>
        <v/>
      </c>
      <c r="S2348">
        <f>IF(O2348&lt;&gt;"",O2348,E2348)</f>
        <v/>
      </c>
      <c r="T2348">
        <f>IFERROR(VLOOKUP(B2348,BSE_500_LIVE!A:F,6,FALSE),"")</f>
        <v/>
      </c>
    </row>
    <row r="2349">
      <c r="A2349" t="n">
        <v>386</v>
      </c>
      <c r="B2349" t="n">
        <v>517421</v>
      </c>
      <c r="C2349" t="inlineStr">
        <is>
          <t>Butt And Ben</t>
        </is>
      </c>
      <c r="D2349" t="n">
        <v>2024</v>
      </c>
      <c r="E2349" t="n">
        <v>764.0499877929688</v>
      </c>
      <c r="F2349" t="n">
        <v>4.13</v>
      </c>
      <c r="G2349" t="inlineStr">
        <is>
          <t>Consolidated first (v4) – needs verification for flagged rows</t>
        </is>
      </c>
      <c r="H2349" t="n">
        <v>1250.650024414062</v>
      </c>
      <c r="I2349" t="n">
        <v>685</v>
      </c>
      <c r="L2349" t="inlineStr">
        <is>
          <t>OK</t>
        </is>
      </c>
      <c r="M2349" t="n">
        <v>302.82</v>
      </c>
      <c r="N2349" t="n">
        <v>165.86</v>
      </c>
      <c r="O2349">
        <f>IFERROR(VLOOKUP(B2349,BSE_500_LIVE!A:E,3,FALSE),"")</f>
        <v/>
      </c>
      <c r="P2349">
        <f>IFERROR(VLOOKUP(B2349,BSE_500_LIVE!A:E,4,FALSE),"")</f>
        <v/>
      </c>
      <c r="Q2349">
        <f>IFERROR(VLOOKUP(B2349,BSE_500_LIVE!A:E,5,FALSE),"")</f>
        <v/>
      </c>
      <c r="R2349">
        <f>IF(OR(E2349="",O2349=""),"PENDING_FETCH",IF(ABS(E2349-O2349)/E2349&gt;0.005,"MISMATCH_NEEDS_CORRECTION","VERIFIED_OK"))</f>
        <v/>
      </c>
      <c r="S2349">
        <f>IF(O2349&lt;&gt;"",O2349,E2349)</f>
        <v/>
      </c>
      <c r="T2349">
        <f>IFERROR(VLOOKUP(B2349,BSE_500_LIVE!A:F,6,FALSE),"")</f>
        <v/>
      </c>
    </row>
    <row r="2350">
      <c r="A2350" t="n">
        <v>386</v>
      </c>
      <c r="B2350" t="n">
        <v>517421</v>
      </c>
      <c r="C2350" t="inlineStr">
        <is>
          <t>Butt And Ben</t>
        </is>
      </c>
      <c r="D2350" t="n">
        <v>2025</v>
      </c>
      <c r="E2350" t="n">
        <v>764.0499877929688</v>
      </c>
      <c r="F2350" t="n">
        <v>18.19</v>
      </c>
      <c r="G2350" t="inlineStr">
        <is>
          <t>Consolidated first (v4) – needs verification for flagged rows</t>
        </is>
      </c>
      <c r="H2350" t="n">
        <v>850</v>
      </c>
      <c r="I2350" t="n">
        <v>550.0499877929688</v>
      </c>
      <c r="L2350" t="inlineStr">
        <is>
          <t>OK</t>
        </is>
      </c>
      <c r="M2350" t="n">
        <v>46.73</v>
      </c>
      <c r="N2350" t="n">
        <v>30.24</v>
      </c>
      <c r="O2350">
        <f>IFERROR(VLOOKUP(B2350,BSE_500_LIVE!A:E,3,FALSE),"")</f>
        <v/>
      </c>
      <c r="P2350">
        <f>IFERROR(VLOOKUP(B2350,BSE_500_LIVE!A:E,4,FALSE),"")</f>
        <v/>
      </c>
      <c r="Q2350">
        <f>IFERROR(VLOOKUP(B2350,BSE_500_LIVE!A:E,5,FALSE),"")</f>
        <v/>
      </c>
      <c r="R2350">
        <f>IF(OR(E2350="",O2350=""),"PENDING_FETCH",IF(ABS(E2350-O2350)/E2350&gt;0.005,"MISMATCH_NEEDS_CORRECTION","VERIFIED_OK"))</f>
        <v/>
      </c>
      <c r="S2350">
        <f>IF(O2350&lt;&gt;"",O2350,E2350)</f>
        <v/>
      </c>
      <c r="T2350">
        <f>IFERROR(VLOOKUP(B2350,BSE_500_LIVE!A:F,6,FALSE),"")</f>
        <v/>
      </c>
    </row>
    <row r="2351">
      <c r="A2351" t="n">
        <v>386</v>
      </c>
      <c r="B2351" t="n">
        <v>517421</v>
      </c>
      <c r="C2351" t="inlineStr">
        <is>
          <t>Butt And Ben</t>
        </is>
      </c>
      <c r="D2351" t="n">
        <v>2026</v>
      </c>
      <c r="E2351" t="n">
        <v>764.0499877929688</v>
      </c>
      <c r="F2351" t="n">
        <v>25.53</v>
      </c>
      <c r="G2351" t="inlineStr">
        <is>
          <t>Consolidated first (v4) – needs verification for flagged rows</t>
        </is>
      </c>
      <c r="H2351" t="n">
        <v>789</v>
      </c>
      <c r="I2351" t="n">
        <v>566.9500122070312</v>
      </c>
      <c r="L2351" t="inlineStr">
        <is>
          <t>OK</t>
        </is>
      </c>
      <c r="M2351" t="n">
        <v>30.9</v>
      </c>
      <c r="N2351" t="n">
        <v>22.21</v>
      </c>
      <c r="O2351">
        <f>IFERROR(VLOOKUP(B2351,BSE_500_LIVE!A:E,3,FALSE),"")</f>
        <v/>
      </c>
      <c r="P2351">
        <f>IFERROR(VLOOKUP(B2351,BSE_500_LIVE!A:E,4,FALSE),"")</f>
        <v/>
      </c>
      <c r="Q2351">
        <f>IFERROR(VLOOKUP(B2351,BSE_500_LIVE!A:E,5,FALSE),"")</f>
        <v/>
      </c>
      <c r="R2351">
        <f>IF(OR(E2351="",O2351=""),"PENDING_FETCH",IF(ABS(E2351-O2351)/E2351&gt;0.005,"MISMATCH_NEEDS_CORRECTION","VERIFIED_OK"))</f>
        <v/>
      </c>
      <c r="S2351">
        <f>IF(O2351&lt;&gt;"",O2351,E2351)</f>
        <v/>
      </c>
      <c r="T2351">
        <f>IFERROR(VLOOKUP(B2351,BSE_500_LIVE!A:F,6,FALSE),"")</f>
        <v/>
      </c>
    </row>
    <row r="2352">
      <c r="A2352" t="n">
        <v>387</v>
      </c>
      <c r="B2352" t="n">
        <v>517467</v>
      </c>
      <c r="C2352" t="inlineStr">
        <is>
          <t>Marsons Ltd</t>
        </is>
      </c>
      <c r="D2352" t="n">
        <v>2015</v>
      </c>
      <c r="E2352" t="n">
        <v>112.1500015258789</v>
      </c>
      <c r="G2352" t="inlineStr">
        <is>
          <t>Consolidated first (v4) – needs verification for flagged rows</t>
        </is>
      </c>
      <c r="H2352" t="n">
        <v>43.04999923706055</v>
      </c>
      <c r="I2352" t="n">
        <v>16.25</v>
      </c>
      <c r="L2352" t="inlineStr">
        <is>
          <t>INCOMPLETE</t>
        </is>
      </c>
      <c r="O2352" t="n">
        <v>41.48</v>
      </c>
      <c r="P2352" t="n">
        <v>356</v>
      </c>
      <c r="Q2352" t="n">
        <v>11.54</v>
      </c>
      <c r="R2352" s="3" t="inlineStr">
        <is>
          <t>MISMATCH_NEEDS_CORRECTION</t>
        </is>
      </c>
      <c r="S2352" t="n">
        <v>41.48</v>
      </c>
      <c r="T2352" t="inlineStr">
        <is>
          <t>30-07-2026 09:42 IST</t>
        </is>
      </c>
    </row>
    <row r="2353">
      <c r="A2353" t="n">
        <v>387</v>
      </c>
      <c r="B2353" t="n">
        <v>517467</v>
      </c>
      <c r="C2353" t="inlineStr">
        <is>
          <t>Marsons Ltd</t>
        </is>
      </c>
      <c r="D2353" t="n">
        <v>2016</v>
      </c>
      <c r="E2353" t="n">
        <v>112.1500015258789</v>
      </c>
      <c r="F2353" t="n">
        <v>1.66</v>
      </c>
      <c r="G2353" t="inlineStr">
        <is>
          <t>Consolidated first (v4) – needs verification for flagged rows</t>
        </is>
      </c>
      <c r="H2353" t="n">
        <v>98</v>
      </c>
      <c r="I2353" t="n">
        <v>36.04999923706055</v>
      </c>
      <c r="L2353" t="inlineStr">
        <is>
          <t>OK</t>
        </is>
      </c>
      <c r="M2353" t="n">
        <v>59.04</v>
      </c>
      <c r="N2353" t="n">
        <v>21.72</v>
      </c>
      <c r="O2353" t="n">
        <v>41.48</v>
      </c>
      <c r="P2353" t="n">
        <v>356</v>
      </c>
      <c r="Q2353" t="n">
        <v>11.54</v>
      </c>
      <c r="R2353" s="3" t="inlineStr">
        <is>
          <t>MISMATCH_NEEDS_CORRECTION</t>
        </is>
      </c>
      <c r="S2353" t="n">
        <v>41.48</v>
      </c>
      <c r="T2353" t="inlineStr">
        <is>
          <t>30-07-2026 09:42 IST</t>
        </is>
      </c>
    </row>
    <row r="2354">
      <c r="A2354" t="n">
        <v>387</v>
      </c>
      <c r="B2354" t="n">
        <v>517467</v>
      </c>
      <c r="C2354" t="inlineStr">
        <is>
          <t>Marsons Ltd</t>
        </is>
      </c>
      <c r="D2354" t="n">
        <v>2017</v>
      </c>
      <c r="E2354" t="n">
        <v>112.1500015258789</v>
      </c>
      <c r="F2354" t="n">
        <v>-3.98</v>
      </c>
      <c r="G2354" t="inlineStr">
        <is>
          <t>Consolidated first (v4) – needs verification for flagged rows</t>
        </is>
      </c>
      <c r="H2354" t="n">
        <v>93</v>
      </c>
      <c r="I2354" t="n">
        <v>23.25</v>
      </c>
      <c r="L2354" t="inlineStr">
        <is>
          <t>UNVERIFIED – negative EPS</t>
        </is>
      </c>
      <c r="M2354" t="n">
        <v>-23.37</v>
      </c>
      <c r="N2354" t="n">
        <v>-5.84</v>
      </c>
      <c r="O2354" t="n">
        <v>41.48</v>
      </c>
      <c r="P2354" t="n">
        <v>356</v>
      </c>
      <c r="Q2354" t="n">
        <v>11.54</v>
      </c>
      <c r="R2354" s="3" t="inlineStr">
        <is>
          <t>MISMATCH_NEEDS_CORRECTION</t>
        </is>
      </c>
      <c r="S2354" t="n">
        <v>41.48</v>
      </c>
      <c r="T2354" t="inlineStr">
        <is>
          <t>30-07-2026 09:42 IST</t>
        </is>
      </c>
    </row>
    <row r="2355">
      <c r="A2355" t="n">
        <v>387</v>
      </c>
      <c r="B2355" t="n">
        <v>517467</v>
      </c>
      <c r="C2355" t="inlineStr">
        <is>
          <t>Marsons Ltd</t>
        </is>
      </c>
      <c r="D2355" t="n">
        <v>2018</v>
      </c>
      <c r="E2355" t="n">
        <v>112.1500015258789</v>
      </c>
      <c r="F2355" t="n">
        <v>-36.63</v>
      </c>
      <c r="G2355" t="inlineStr">
        <is>
          <t>Consolidated first (v4) – needs verification for flagged rows</t>
        </is>
      </c>
      <c r="H2355" t="n">
        <v>39.90000152587891</v>
      </c>
      <c r="I2355" t="n">
        <v>5.5</v>
      </c>
      <c r="L2355" t="inlineStr">
        <is>
          <t>UNVERIFIED – negative EPS</t>
        </is>
      </c>
      <c r="M2355" t="n">
        <v>-1.09</v>
      </c>
      <c r="N2355" t="n">
        <v>-0.15</v>
      </c>
      <c r="O2355" t="n">
        <v>41.48</v>
      </c>
      <c r="P2355" t="n">
        <v>356</v>
      </c>
      <c r="Q2355" t="n">
        <v>11.54</v>
      </c>
      <c r="R2355" s="3" t="inlineStr">
        <is>
          <t>MISMATCH_NEEDS_CORRECTION</t>
        </is>
      </c>
      <c r="S2355" t="n">
        <v>41.48</v>
      </c>
      <c r="T2355" t="inlineStr">
        <is>
          <t>30-07-2026 09:42 IST</t>
        </is>
      </c>
    </row>
    <row r="2356">
      <c r="A2356" t="n">
        <v>387</v>
      </c>
      <c r="B2356" t="n">
        <v>517467</v>
      </c>
      <c r="C2356" t="inlineStr">
        <is>
          <t>Marsons Ltd</t>
        </is>
      </c>
      <c r="D2356" t="n">
        <v>2019</v>
      </c>
      <c r="E2356" t="n">
        <v>112.1500015258789</v>
      </c>
      <c r="F2356" t="n">
        <v>-8.630000000000001</v>
      </c>
      <c r="G2356" t="inlineStr">
        <is>
          <t>Consolidated first (v4) – needs verification for flagged rows</t>
        </is>
      </c>
      <c r="H2356" t="n">
        <v>9.850000381469727</v>
      </c>
      <c r="I2356" t="n">
        <v>4.5</v>
      </c>
      <c r="L2356" t="inlineStr">
        <is>
          <t>UNVERIFIED – negative EPS</t>
        </is>
      </c>
      <c r="M2356" t="n">
        <v>-1.14</v>
      </c>
      <c r="N2356" t="n">
        <v>-0.52</v>
      </c>
      <c r="O2356" t="n">
        <v>41.48</v>
      </c>
      <c r="P2356" t="n">
        <v>356</v>
      </c>
      <c r="Q2356" t="n">
        <v>11.54</v>
      </c>
      <c r="R2356" s="3" t="inlineStr">
        <is>
          <t>MISMATCH_NEEDS_CORRECTION</t>
        </is>
      </c>
      <c r="S2356" t="n">
        <v>41.48</v>
      </c>
      <c r="T2356" t="inlineStr">
        <is>
          <t>30-07-2026 09:42 IST</t>
        </is>
      </c>
    </row>
    <row r="2357">
      <c r="A2357" t="n">
        <v>387</v>
      </c>
      <c r="B2357" t="n">
        <v>517467</v>
      </c>
      <c r="C2357" t="inlineStr">
        <is>
          <t>Marsons Ltd</t>
        </is>
      </c>
      <c r="D2357" t="n">
        <v>2020</v>
      </c>
      <c r="E2357" t="n">
        <v>112.1500015258789</v>
      </c>
      <c r="G2357" t="inlineStr">
        <is>
          <t>Consolidated first (v4) – needs verification for flagged rows</t>
        </is>
      </c>
      <c r="H2357" t="n">
        <v>9.75</v>
      </c>
      <c r="I2357" t="n">
        <v>2.430000066757202</v>
      </c>
      <c r="L2357" t="inlineStr">
        <is>
          <t>INCOMPLETE</t>
        </is>
      </c>
      <c r="O2357" t="n">
        <v>41.48</v>
      </c>
      <c r="P2357" t="n">
        <v>356</v>
      </c>
      <c r="Q2357" t="n">
        <v>11.54</v>
      </c>
      <c r="R2357" s="3" t="inlineStr">
        <is>
          <t>MISMATCH_NEEDS_CORRECTION</t>
        </is>
      </c>
      <c r="S2357" t="n">
        <v>41.48</v>
      </c>
      <c r="T2357" t="inlineStr">
        <is>
          <t>30-07-2026 09:42 IST</t>
        </is>
      </c>
    </row>
    <row r="2358">
      <c r="A2358" t="n">
        <v>387</v>
      </c>
      <c r="B2358" t="n">
        <v>517467</v>
      </c>
      <c r="C2358" t="inlineStr">
        <is>
          <t>Marsons Ltd</t>
        </is>
      </c>
      <c r="D2358" t="n">
        <v>2021</v>
      </c>
      <c r="E2358" t="n">
        <v>112.1500015258789</v>
      </c>
      <c r="G2358" t="inlineStr">
        <is>
          <t>Consolidated first (v4) – needs verification for flagged rows</t>
        </is>
      </c>
      <c r="H2358" t="n">
        <v>15.75</v>
      </c>
      <c r="I2358" t="n">
        <v>6.849999904632568</v>
      </c>
      <c r="L2358" t="inlineStr">
        <is>
          <t>INCOMPLETE</t>
        </is>
      </c>
      <c r="O2358" t="n">
        <v>41.48</v>
      </c>
      <c r="P2358" t="n">
        <v>356</v>
      </c>
      <c r="Q2358" t="n">
        <v>11.54</v>
      </c>
      <c r="R2358" s="3" t="inlineStr">
        <is>
          <t>MISMATCH_NEEDS_CORRECTION</t>
        </is>
      </c>
      <c r="S2358" t="n">
        <v>41.48</v>
      </c>
      <c r="T2358" t="inlineStr">
        <is>
          <t>30-07-2026 09:42 IST</t>
        </is>
      </c>
    </row>
    <row r="2359">
      <c r="A2359" t="n">
        <v>387</v>
      </c>
      <c r="B2359" t="n">
        <v>517467</v>
      </c>
      <c r="C2359" t="inlineStr">
        <is>
          <t>Marsons Ltd</t>
        </is>
      </c>
      <c r="D2359" t="n">
        <v>2022</v>
      </c>
      <c r="E2359" t="n">
        <v>112.1500015258789</v>
      </c>
      <c r="G2359" t="inlineStr">
        <is>
          <t>Consolidated first (v4) – needs verification for flagged rows</t>
        </is>
      </c>
      <c r="H2359" t="n">
        <v>16.25</v>
      </c>
      <c r="I2359" t="n">
        <v>3.019999980926514</v>
      </c>
      <c r="L2359" t="inlineStr">
        <is>
          <t>INCOMPLETE</t>
        </is>
      </c>
      <c r="O2359" t="n">
        <v>41.48</v>
      </c>
      <c r="P2359" t="n">
        <v>356</v>
      </c>
      <c r="Q2359" t="n">
        <v>11.54</v>
      </c>
      <c r="R2359" s="3" t="inlineStr">
        <is>
          <t>MISMATCH_NEEDS_CORRECTION</t>
        </is>
      </c>
      <c r="S2359" t="n">
        <v>41.48</v>
      </c>
      <c r="T2359" t="inlineStr">
        <is>
          <t>30-07-2026 09:42 IST</t>
        </is>
      </c>
    </row>
    <row r="2360">
      <c r="A2360" t="n">
        <v>387</v>
      </c>
      <c r="B2360" t="n">
        <v>517467</v>
      </c>
      <c r="C2360" t="inlineStr">
        <is>
          <t>Marsons Ltd</t>
        </is>
      </c>
      <c r="D2360" t="n">
        <v>2023</v>
      </c>
      <c r="E2360" t="n">
        <v>112.1500015258789</v>
      </c>
      <c r="G2360" t="inlineStr">
        <is>
          <t>Consolidated first (v4) – needs verification for flagged rows</t>
        </is>
      </c>
      <c r="H2360" t="n">
        <v>9</v>
      </c>
      <c r="I2360" t="n">
        <v>3.049999952316284</v>
      </c>
      <c r="L2360" t="inlineStr">
        <is>
          <t>INCOMPLETE</t>
        </is>
      </c>
      <c r="O2360" t="n">
        <v>41.48</v>
      </c>
      <c r="P2360" t="n">
        <v>356</v>
      </c>
      <c r="Q2360" t="n">
        <v>11.54</v>
      </c>
      <c r="R2360" s="3" t="inlineStr">
        <is>
          <t>MISMATCH_NEEDS_CORRECTION</t>
        </is>
      </c>
      <c r="S2360" t="n">
        <v>41.48</v>
      </c>
      <c r="T2360" t="inlineStr">
        <is>
          <t>30-07-2026 09:42 IST</t>
        </is>
      </c>
    </row>
    <row r="2361">
      <c r="A2361" t="n">
        <v>387</v>
      </c>
      <c r="B2361" t="n">
        <v>517467</v>
      </c>
      <c r="C2361" t="inlineStr">
        <is>
          <t>Marsons Ltd</t>
        </is>
      </c>
      <c r="D2361" t="n">
        <v>2024</v>
      </c>
      <c r="E2361" t="n">
        <v>112.1500015258789</v>
      </c>
      <c r="F2361" t="n">
        <v>0.04</v>
      </c>
      <c r="G2361" t="inlineStr">
        <is>
          <t>Consolidated first (v4) – needs verification for flagged rows</t>
        </is>
      </c>
      <c r="H2361" t="n">
        <v>356</v>
      </c>
      <c r="I2361" t="n">
        <v>7.860000133514404</v>
      </c>
      <c r="L2361" t="inlineStr">
        <is>
          <t>UNVERIFIED – tiny EPS &lt;0.5</t>
        </is>
      </c>
      <c r="M2361" t="n">
        <v>8900</v>
      </c>
      <c r="N2361" t="n">
        <v>196.5</v>
      </c>
      <c r="O2361" t="n">
        <v>41.48</v>
      </c>
      <c r="P2361" t="n">
        <v>356</v>
      </c>
      <c r="Q2361" t="n">
        <v>11.54</v>
      </c>
      <c r="R2361" s="3" t="inlineStr">
        <is>
          <t>MISMATCH_NEEDS_CORRECTION</t>
        </is>
      </c>
      <c r="S2361" t="n">
        <v>41.48</v>
      </c>
      <c r="T2361" t="inlineStr">
        <is>
          <t>30-07-2026 09:42 IST</t>
        </is>
      </c>
    </row>
    <row r="2362">
      <c r="A2362" t="n">
        <v>387</v>
      </c>
      <c r="B2362" t="n">
        <v>517467</v>
      </c>
      <c r="C2362" t="inlineStr">
        <is>
          <t>Marsons Ltd</t>
        </is>
      </c>
      <c r="D2362" t="n">
        <v>2025</v>
      </c>
      <c r="E2362" t="n">
        <v>112.1500015258789</v>
      </c>
      <c r="F2362" t="n">
        <v>1.63</v>
      </c>
      <c r="G2362" t="inlineStr">
        <is>
          <t>Consolidated first (v4) – needs verification for flagged rows</t>
        </is>
      </c>
      <c r="H2362" t="n">
        <v>231.5</v>
      </c>
      <c r="I2362" t="n">
        <v>115</v>
      </c>
      <c r="L2362" t="inlineStr">
        <is>
          <t>OK</t>
        </is>
      </c>
      <c r="M2362" t="n">
        <v>142.02</v>
      </c>
      <c r="N2362" t="n">
        <v>70.55</v>
      </c>
      <c r="O2362" t="n">
        <v>41.48</v>
      </c>
      <c r="P2362" t="n">
        <v>356</v>
      </c>
      <c r="Q2362" t="n">
        <v>11.54</v>
      </c>
      <c r="R2362" s="3" t="inlineStr">
        <is>
          <t>MISMATCH_NEEDS_CORRECTION</t>
        </is>
      </c>
      <c r="S2362" t="n">
        <v>41.48</v>
      </c>
      <c r="T2362" t="inlineStr">
        <is>
          <t>30-07-2026 09:42 IST</t>
        </is>
      </c>
    </row>
    <row r="2363">
      <c r="A2363" t="n">
        <v>387</v>
      </c>
      <c r="B2363" t="n">
        <v>517467</v>
      </c>
      <c r="C2363" t="inlineStr">
        <is>
          <t>Marsons Ltd</t>
        </is>
      </c>
      <c r="D2363" t="n">
        <v>2026</v>
      </c>
      <c r="E2363" t="n">
        <v>112.1500015258789</v>
      </c>
      <c r="F2363" t="n">
        <v>2.69</v>
      </c>
      <c r="G2363" t="inlineStr">
        <is>
          <t>Consolidated first (v4) – needs verification for flagged rows</t>
        </is>
      </c>
      <c r="H2363" t="n">
        <v>175.5500030517578</v>
      </c>
      <c r="I2363" t="n">
        <v>104.6999969482422</v>
      </c>
      <c r="L2363" t="inlineStr">
        <is>
          <t>OK</t>
        </is>
      </c>
      <c r="M2363" t="n">
        <v>65.26000000000001</v>
      </c>
      <c r="N2363" t="n">
        <v>38.92</v>
      </c>
      <c r="O2363" t="n">
        <v>41.48</v>
      </c>
      <c r="P2363" t="n">
        <v>356</v>
      </c>
      <c r="Q2363" t="n">
        <v>11.54</v>
      </c>
      <c r="R2363" s="3" t="inlineStr">
        <is>
          <t>MISMATCH_NEEDS_CORRECTION</t>
        </is>
      </c>
      <c r="S2363" t="n">
        <v>41.48</v>
      </c>
      <c r="T2363" t="inlineStr">
        <is>
          <t>30-07-2026 09:42 IST</t>
        </is>
      </c>
    </row>
    <row r="2364">
      <c r="A2364" t="n">
        <v>388</v>
      </c>
      <c r="B2364" t="n">
        <v>517506</v>
      </c>
      <c r="C2364" t="inlineStr">
        <is>
          <t>TTK Prestige Ltd</t>
        </is>
      </c>
      <c r="D2364" t="n">
        <v>2015</v>
      </c>
      <c r="G2364" t="inlineStr">
        <is>
          <t>Consolidated first (v4) – needs verification for flagged rows</t>
        </is>
      </c>
      <c r="H2364" t="n">
        <v>414.2458190917969</v>
      </c>
      <c r="I2364" t="n">
        <v>249.0833282470703</v>
      </c>
      <c r="L2364" t="inlineStr">
        <is>
          <t>INCOMPLETE</t>
        </is>
      </c>
      <c r="O2364" t="n">
        <v>667.25</v>
      </c>
      <c r="P2364" t="n">
        <v>771.2</v>
      </c>
      <c r="Q2364" t="n">
        <v>423</v>
      </c>
      <c r="R2364" s="3" t="inlineStr">
        <is>
          <t>MISMATCH_NEEDS_CORRECTION</t>
        </is>
      </c>
      <c r="S2364" t="n">
        <v>667.25</v>
      </c>
      <c r="T2364" t="inlineStr">
        <is>
          <t>30-07-2026 09:42 IST</t>
        </is>
      </c>
    </row>
    <row r="2365">
      <c r="A2365" t="n">
        <v>388</v>
      </c>
      <c r="B2365" t="n">
        <v>517506</v>
      </c>
      <c r="C2365" t="inlineStr">
        <is>
          <t>TTK Prestige Ltd</t>
        </is>
      </c>
      <c r="D2365" t="n">
        <v>2016</v>
      </c>
      <c r="F2365" t="n">
        <v>8.279999999999999</v>
      </c>
      <c r="G2365" t="inlineStr">
        <is>
          <t>Consolidated first (v4) – needs verification for flagged rows</t>
        </is>
      </c>
      <c r="H2365" t="n">
        <v>545.8333129882812</v>
      </c>
      <c r="I2365" t="n">
        <v>336.7000122070312</v>
      </c>
      <c r="L2365" t="inlineStr">
        <is>
          <t>OK</t>
        </is>
      </c>
      <c r="M2365" t="n">
        <v>65.92</v>
      </c>
      <c r="N2365" t="n">
        <v>40.66</v>
      </c>
      <c r="O2365" t="n">
        <v>667.25</v>
      </c>
      <c r="P2365" t="n">
        <v>771.2</v>
      </c>
      <c r="Q2365" t="n">
        <v>423</v>
      </c>
      <c r="R2365" s="3" t="inlineStr">
        <is>
          <t>MISMATCH_NEEDS_CORRECTION</t>
        </is>
      </c>
      <c r="S2365" t="n">
        <v>667.25</v>
      </c>
      <c r="T2365" t="inlineStr">
        <is>
          <t>30-07-2026 09:42 IST</t>
        </is>
      </c>
    </row>
    <row r="2366">
      <c r="A2366" t="n">
        <v>388</v>
      </c>
      <c r="B2366" t="n">
        <v>517506</v>
      </c>
      <c r="C2366" t="inlineStr">
        <is>
          <t>TTK Prestige Ltd</t>
        </is>
      </c>
      <c r="D2366" t="n">
        <v>2017</v>
      </c>
      <c r="F2366" t="n">
        <v>10.78</v>
      </c>
      <c r="G2366" t="inlineStr">
        <is>
          <t>Consolidated first (v4) – needs verification for flagged rows</t>
        </is>
      </c>
      <c r="H2366" t="n">
        <v>699.9166870117188</v>
      </c>
      <c r="I2366" t="n">
        <v>441.6666564941406</v>
      </c>
      <c r="L2366" t="inlineStr">
        <is>
          <t>OK</t>
        </is>
      </c>
      <c r="M2366" t="n">
        <v>64.93000000000001</v>
      </c>
      <c r="N2366" t="n">
        <v>40.97</v>
      </c>
      <c r="O2366" t="n">
        <v>667.25</v>
      </c>
      <c r="P2366" t="n">
        <v>771.2</v>
      </c>
      <c r="Q2366" t="n">
        <v>423</v>
      </c>
      <c r="R2366" s="3" t="inlineStr">
        <is>
          <t>MISMATCH_NEEDS_CORRECTION</t>
        </is>
      </c>
      <c r="S2366" t="n">
        <v>667.25</v>
      </c>
      <c r="T2366" t="inlineStr">
        <is>
          <t>30-07-2026 09:42 IST</t>
        </is>
      </c>
    </row>
    <row r="2367">
      <c r="A2367" t="n">
        <v>388</v>
      </c>
      <c r="B2367" t="n">
        <v>517506</v>
      </c>
      <c r="C2367" t="inlineStr">
        <is>
          <t>TTK Prestige Ltd</t>
        </is>
      </c>
      <c r="D2367" t="n">
        <v>2018</v>
      </c>
      <c r="F2367" t="n">
        <v>19.01</v>
      </c>
      <c r="G2367" t="inlineStr">
        <is>
          <t>Consolidated first (v4) – needs verification for flagged rows</t>
        </is>
      </c>
      <c r="H2367" t="n">
        <v>742.5999755859375</v>
      </c>
      <c r="I2367" t="n">
        <v>458.3333435058594</v>
      </c>
      <c r="L2367" t="inlineStr">
        <is>
          <t>OK</t>
        </is>
      </c>
      <c r="M2367" t="n">
        <v>39.06</v>
      </c>
      <c r="N2367" t="n">
        <v>24.11</v>
      </c>
      <c r="O2367" t="n">
        <v>667.25</v>
      </c>
      <c r="P2367" t="n">
        <v>771.2</v>
      </c>
      <c r="Q2367" t="n">
        <v>423</v>
      </c>
      <c r="R2367" s="3" t="inlineStr">
        <is>
          <t>MISMATCH_NEEDS_CORRECTION</t>
        </is>
      </c>
      <c r="S2367" t="n">
        <v>667.25</v>
      </c>
      <c r="T2367" t="inlineStr">
        <is>
          <t>30-07-2026 09:42 IST</t>
        </is>
      </c>
    </row>
    <row r="2368">
      <c r="A2368" t="n">
        <v>388</v>
      </c>
      <c r="B2368" t="n">
        <v>517506</v>
      </c>
      <c r="C2368" t="inlineStr">
        <is>
          <t>TTK Prestige Ltd</t>
        </is>
      </c>
      <c r="D2368" t="n">
        <v>2019</v>
      </c>
      <c r="F2368" t="n">
        <v>13.88</v>
      </c>
      <c r="G2368" t="inlineStr">
        <is>
          <t>Consolidated first (v4) – needs verification for flagged rows</t>
        </is>
      </c>
      <c r="H2368" t="n">
        <v>774.1666870117188</v>
      </c>
      <c r="I2368" t="n">
        <v>504.6650085449219</v>
      </c>
      <c r="L2368" t="inlineStr">
        <is>
          <t>OK</t>
        </is>
      </c>
      <c r="M2368" t="n">
        <v>55.78</v>
      </c>
      <c r="N2368" t="n">
        <v>36.36</v>
      </c>
      <c r="O2368" t="n">
        <v>667.25</v>
      </c>
      <c r="P2368" t="n">
        <v>771.2</v>
      </c>
      <c r="Q2368" t="n">
        <v>423</v>
      </c>
      <c r="R2368" s="3" t="inlineStr">
        <is>
          <t>MISMATCH_NEEDS_CORRECTION</t>
        </is>
      </c>
      <c r="S2368" t="n">
        <v>667.25</v>
      </c>
      <c r="T2368" t="inlineStr">
        <is>
          <t>30-07-2026 09:42 IST</t>
        </is>
      </c>
    </row>
    <row r="2369">
      <c r="A2369" t="n">
        <v>388</v>
      </c>
      <c r="B2369" t="n">
        <v>517506</v>
      </c>
      <c r="C2369" t="inlineStr">
        <is>
          <t>TTK Prestige Ltd</t>
        </is>
      </c>
      <c r="D2369" t="n">
        <v>2020</v>
      </c>
      <c r="F2369" t="n">
        <v>13.39</v>
      </c>
      <c r="G2369" t="inlineStr">
        <is>
          <t>Consolidated first (v4) – needs verification for flagged rows</t>
        </is>
      </c>
      <c r="H2369" t="n">
        <v>656.0150146484375</v>
      </c>
      <c r="I2369" t="n">
        <v>391.8049926757812</v>
      </c>
      <c r="L2369" t="inlineStr">
        <is>
          <t>OK</t>
        </is>
      </c>
      <c r="M2369" t="n">
        <v>48.99</v>
      </c>
      <c r="N2369" t="n">
        <v>29.26</v>
      </c>
      <c r="O2369" t="n">
        <v>667.25</v>
      </c>
      <c r="P2369" t="n">
        <v>771.2</v>
      </c>
      <c r="Q2369" t="n">
        <v>423</v>
      </c>
      <c r="R2369" s="3" t="inlineStr">
        <is>
          <t>MISMATCH_NEEDS_CORRECTION</t>
        </is>
      </c>
      <c r="S2369" t="n">
        <v>667.25</v>
      </c>
      <c r="T2369" t="inlineStr">
        <is>
          <t>30-07-2026 09:42 IST</t>
        </is>
      </c>
    </row>
    <row r="2370">
      <c r="A2370" t="n">
        <v>388</v>
      </c>
      <c r="B2370" t="n">
        <v>517506</v>
      </c>
      <c r="C2370" t="inlineStr">
        <is>
          <t>TTK Prestige Ltd</t>
        </is>
      </c>
      <c r="D2370" t="n">
        <v>2021</v>
      </c>
      <c r="F2370" t="n">
        <v>17.08</v>
      </c>
      <c r="G2370" t="inlineStr">
        <is>
          <t>Consolidated first (v4) – needs verification for flagged rows</t>
        </is>
      </c>
      <c r="H2370" t="n">
        <v>1269.599975585938</v>
      </c>
      <c r="I2370" t="n">
        <v>583.9550170898438</v>
      </c>
      <c r="L2370" t="inlineStr">
        <is>
          <t>OK</t>
        </is>
      </c>
      <c r="M2370" t="n">
        <v>74.33</v>
      </c>
      <c r="N2370" t="n">
        <v>34.19</v>
      </c>
      <c r="O2370" t="n">
        <v>667.25</v>
      </c>
      <c r="P2370" t="n">
        <v>771.2</v>
      </c>
      <c r="Q2370" t="n">
        <v>423</v>
      </c>
      <c r="R2370" s="3" t="inlineStr">
        <is>
          <t>MISMATCH_NEEDS_CORRECTION</t>
        </is>
      </c>
      <c r="S2370" t="n">
        <v>667.25</v>
      </c>
      <c r="T2370" t="inlineStr">
        <is>
          <t>30-07-2026 09:42 IST</t>
        </is>
      </c>
    </row>
    <row r="2371">
      <c r="A2371" t="n">
        <v>388</v>
      </c>
      <c r="B2371" t="n">
        <v>517506</v>
      </c>
      <c r="C2371" t="inlineStr">
        <is>
          <t>TTK Prestige Ltd</t>
        </is>
      </c>
      <c r="D2371" t="n">
        <v>2022</v>
      </c>
      <c r="F2371" t="n">
        <v>21.99</v>
      </c>
      <c r="G2371" t="inlineStr">
        <is>
          <t>Consolidated first (v4) – needs verification for flagged rows</t>
        </is>
      </c>
      <c r="H2371" t="n">
        <v>1051</v>
      </c>
      <c r="I2371" t="n">
        <v>748.5499877929688</v>
      </c>
      <c r="L2371" t="inlineStr">
        <is>
          <t>OK</t>
        </is>
      </c>
      <c r="M2371" t="n">
        <v>47.79</v>
      </c>
      <c r="N2371" t="n">
        <v>34.04</v>
      </c>
      <c r="O2371" t="n">
        <v>667.25</v>
      </c>
      <c r="P2371" t="n">
        <v>771.2</v>
      </c>
      <c r="Q2371" t="n">
        <v>423</v>
      </c>
      <c r="R2371" s="3" t="inlineStr">
        <is>
          <t>MISMATCH_NEEDS_CORRECTION</t>
        </is>
      </c>
      <c r="S2371" t="n">
        <v>667.25</v>
      </c>
      <c r="T2371" t="inlineStr">
        <is>
          <t>30-07-2026 09:42 IST</t>
        </is>
      </c>
    </row>
    <row r="2372">
      <c r="A2372" t="n">
        <v>388</v>
      </c>
      <c r="B2372" t="n">
        <v>517506</v>
      </c>
      <c r="C2372" t="inlineStr">
        <is>
          <t>TTK Prestige Ltd</t>
        </is>
      </c>
      <c r="D2372" t="n">
        <v>2023</v>
      </c>
      <c r="F2372" t="n">
        <v>18.34</v>
      </c>
      <c r="G2372" t="inlineStr">
        <is>
          <t>Consolidated first (v4) – needs verification for flagged rows</t>
        </is>
      </c>
      <c r="H2372" t="n">
        <v>832</v>
      </c>
      <c r="I2372" t="n">
        <v>652.0999755859375</v>
      </c>
      <c r="L2372" t="inlineStr">
        <is>
          <t>OK</t>
        </is>
      </c>
      <c r="M2372" t="n">
        <v>45.37</v>
      </c>
      <c r="N2372" t="n">
        <v>35.56</v>
      </c>
      <c r="O2372" t="n">
        <v>667.25</v>
      </c>
      <c r="P2372" t="n">
        <v>771.2</v>
      </c>
      <c r="Q2372" t="n">
        <v>423</v>
      </c>
      <c r="R2372" s="3" t="inlineStr">
        <is>
          <t>MISMATCH_NEEDS_CORRECTION</t>
        </is>
      </c>
      <c r="S2372" t="n">
        <v>667.25</v>
      </c>
      <c r="T2372" t="inlineStr">
        <is>
          <t>30-07-2026 09:42 IST</t>
        </is>
      </c>
    </row>
    <row r="2373">
      <c r="A2373" t="n">
        <v>388</v>
      </c>
      <c r="B2373" t="n">
        <v>517506</v>
      </c>
      <c r="C2373" t="inlineStr">
        <is>
          <t>TTK Prestige Ltd</t>
        </is>
      </c>
      <c r="D2373" t="n">
        <v>2024</v>
      </c>
      <c r="F2373" t="n">
        <v>16.48</v>
      </c>
      <c r="G2373" t="inlineStr">
        <is>
          <t>Consolidated first (v4) – needs verification for flagged rows</t>
        </is>
      </c>
      <c r="H2373" t="n">
        <v>1022</v>
      </c>
      <c r="I2373" t="n">
        <v>647.4000244140625</v>
      </c>
      <c r="L2373" t="inlineStr">
        <is>
          <t>OK</t>
        </is>
      </c>
      <c r="M2373" t="n">
        <v>62.01</v>
      </c>
      <c r="N2373" t="n">
        <v>39.28</v>
      </c>
      <c r="O2373" t="n">
        <v>667.25</v>
      </c>
      <c r="P2373" t="n">
        <v>771.2</v>
      </c>
      <c r="Q2373" t="n">
        <v>423</v>
      </c>
      <c r="R2373" s="3" t="inlineStr">
        <is>
          <t>MISMATCH_NEEDS_CORRECTION</t>
        </is>
      </c>
      <c r="S2373" t="n">
        <v>667.25</v>
      </c>
      <c r="T2373" t="inlineStr">
        <is>
          <t>30-07-2026 09:42 IST</t>
        </is>
      </c>
    </row>
    <row r="2374">
      <c r="A2374" t="n">
        <v>388</v>
      </c>
      <c r="B2374" t="n">
        <v>517506</v>
      </c>
      <c r="C2374" t="inlineStr">
        <is>
          <t>TTK Prestige Ltd</t>
        </is>
      </c>
      <c r="D2374" t="n">
        <v>2025</v>
      </c>
      <c r="F2374" t="n">
        <v>8.210000000000001</v>
      </c>
      <c r="G2374" t="inlineStr">
        <is>
          <t>Consolidated first (v4) – needs verification for flagged rows</t>
        </is>
      </c>
      <c r="H2374" t="n">
        <v>827.6500244140625</v>
      </c>
      <c r="I2374" t="n">
        <v>583</v>
      </c>
      <c r="L2374" t="inlineStr">
        <is>
          <t>OK</t>
        </is>
      </c>
      <c r="M2374" t="n">
        <v>100.81</v>
      </c>
      <c r="N2374" t="n">
        <v>71.01000000000001</v>
      </c>
      <c r="O2374" t="n">
        <v>667.25</v>
      </c>
      <c r="P2374" t="n">
        <v>771.2</v>
      </c>
      <c r="Q2374" t="n">
        <v>423</v>
      </c>
      <c r="R2374" s="3" t="inlineStr">
        <is>
          <t>MISMATCH_NEEDS_CORRECTION</t>
        </is>
      </c>
      <c r="S2374" t="n">
        <v>667.25</v>
      </c>
      <c r="T2374" t="inlineStr">
        <is>
          <t>30-07-2026 09:42 IST</t>
        </is>
      </c>
    </row>
    <row r="2375">
      <c r="A2375" t="n">
        <v>388</v>
      </c>
      <c r="B2375" t="n">
        <v>517506</v>
      </c>
      <c r="C2375" t="inlineStr">
        <is>
          <t>TTK Prestige Ltd</t>
        </is>
      </c>
      <c r="D2375" t="n">
        <v>2026</v>
      </c>
      <c r="F2375" t="n">
        <v>11.73</v>
      </c>
      <c r="G2375" t="inlineStr">
        <is>
          <t>Consolidated first (v4) – needs verification for flagged rows</t>
        </is>
      </c>
      <c r="H2375" t="n">
        <v>682.2000122070312</v>
      </c>
      <c r="I2375" t="n">
        <v>423.2999877929688</v>
      </c>
      <c r="L2375" t="inlineStr">
        <is>
          <t>OK</t>
        </is>
      </c>
      <c r="M2375" t="n">
        <v>58.16</v>
      </c>
      <c r="N2375" t="n">
        <v>36.09</v>
      </c>
      <c r="O2375" t="n">
        <v>667.25</v>
      </c>
      <c r="P2375" t="n">
        <v>771.2</v>
      </c>
      <c r="Q2375" t="n">
        <v>423</v>
      </c>
      <c r="R2375" s="3" t="inlineStr">
        <is>
          <t>MISMATCH_NEEDS_CORRECTION</t>
        </is>
      </c>
      <c r="S2375" t="n">
        <v>667.25</v>
      </c>
      <c r="T2375" t="inlineStr">
        <is>
          <t>30-07-2026 09:42 IST</t>
        </is>
      </c>
    </row>
    <row r="2376">
      <c r="A2376" t="n">
        <v>389</v>
      </c>
      <c r="B2376" t="n">
        <v>517530</v>
      </c>
      <c r="C2376" t="inlineStr">
        <is>
          <t>Surana Telecom And Power Ltd</t>
        </is>
      </c>
      <c r="D2376" t="n">
        <v>2015</v>
      </c>
      <c r="E2376" t="n">
        <v>18.10000038146973</v>
      </c>
      <c r="F2376" t="n">
        <v>0.15</v>
      </c>
      <c r="G2376" t="inlineStr">
        <is>
          <t>Consolidated first (v4) – needs verification for flagged rows</t>
        </is>
      </c>
      <c r="H2376" t="n">
        <v>17.44000053405762</v>
      </c>
      <c r="I2376" t="n">
        <v>3.099999904632568</v>
      </c>
      <c r="L2376" t="inlineStr">
        <is>
          <t>UNVERIFIED – tiny EPS &lt;0.5</t>
        </is>
      </c>
      <c r="M2376" t="n">
        <v>116.27</v>
      </c>
      <c r="N2376" t="n">
        <v>20.67</v>
      </c>
      <c r="O2376" t="n">
        <v>17.25</v>
      </c>
      <c r="P2376" t="n">
        <v>29.32</v>
      </c>
      <c r="Q2376" t="n">
        <v>15.4</v>
      </c>
      <c r="R2376" s="2" t="inlineStr">
        <is>
          <t>VERIFIED_OK</t>
        </is>
      </c>
      <c r="S2376" t="n">
        <v>17.25</v>
      </c>
      <c r="T2376" t="inlineStr">
        <is>
          <t>30-07-2026 09:42 IST</t>
        </is>
      </c>
    </row>
    <row r="2377">
      <c r="A2377" t="n">
        <v>389</v>
      </c>
      <c r="B2377" t="n">
        <v>517530</v>
      </c>
      <c r="C2377" t="inlineStr">
        <is>
          <t>Surana Telecom And Power Ltd</t>
        </is>
      </c>
      <c r="D2377" t="n">
        <v>2016</v>
      </c>
      <c r="E2377" t="n">
        <v>18.10000038146973</v>
      </c>
      <c r="F2377" t="n">
        <v>0.12</v>
      </c>
      <c r="G2377" t="inlineStr">
        <is>
          <t>Consolidated first (v4) – needs verification for flagged rows</t>
        </is>
      </c>
      <c r="H2377" t="n">
        <v>9</v>
      </c>
      <c r="I2377" t="n">
        <v>4.210000038146973</v>
      </c>
      <c r="L2377" t="inlineStr">
        <is>
          <t>UNVERIFIED – tiny EPS &lt;0.5</t>
        </is>
      </c>
      <c r="M2377" t="n">
        <v>75</v>
      </c>
      <c r="N2377" t="n">
        <v>35.08</v>
      </c>
      <c r="O2377" t="n">
        <v>17.25</v>
      </c>
      <c r="P2377" t="n">
        <v>29.32</v>
      </c>
      <c r="Q2377" t="n">
        <v>15.4</v>
      </c>
      <c r="R2377" s="2" t="inlineStr">
        <is>
          <t>VERIFIED_OK</t>
        </is>
      </c>
      <c r="S2377" t="n">
        <v>17.25</v>
      </c>
      <c r="T2377" t="inlineStr">
        <is>
          <t>30-07-2026 09:42 IST</t>
        </is>
      </c>
    </row>
    <row r="2378">
      <c r="A2378" t="n">
        <v>389</v>
      </c>
      <c r="B2378" t="n">
        <v>517530</v>
      </c>
      <c r="C2378" t="inlineStr">
        <is>
          <t>Surana Telecom And Power Ltd</t>
        </is>
      </c>
      <c r="D2378" t="n">
        <v>2017</v>
      </c>
      <c r="E2378" t="n">
        <v>18.10000038146973</v>
      </c>
      <c r="F2378" t="n">
        <v>0.15</v>
      </c>
      <c r="G2378" t="inlineStr">
        <is>
          <t>Consolidated first (v4) – needs verification for flagged rows</t>
        </is>
      </c>
      <c r="H2378" t="n">
        <v>9.390000343322754</v>
      </c>
      <c r="I2378" t="n">
        <v>3.789999961853027</v>
      </c>
      <c r="L2378" t="inlineStr">
        <is>
          <t>UNVERIFIED – tiny EPS &lt;0.5</t>
        </is>
      </c>
      <c r="M2378" t="n">
        <v>62.6</v>
      </c>
      <c r="N2378" t="n">
        <v>25.27</v>
      </c>
      <c r="O2378" t="n">
        <v>17.25</v>
      </c>
      <c r="P2378" t="n">
        <v>29.32</v>
      </c>
      <c r="Q2378" t="n">
        <v>15.4</v>
      </c>
      <c r="R2378" s="2" t="inlineStr">
        <is>
          <t>VERIFIED_OK</t>
        </is>
      </c>
      <c r="S2378" t="n">
        <v>17.25</v>
      </c>
      <c r="T2378" t="inlineStr">
        <is>
          <t>30-07-2026 09:42 IST</t>
        </is>
      </c>
    </row>
    <row r="2379">
      <c r="A2379" t="n">
        <v>389</v>
      </c>
      <c r="B2379" t="n">
        <v>517530</v>
      </c>
      <c r="C2379" t="inlineStr">
        <is>
          <t>Surana Telecom And Power Ltd</t>
        </is>
      </c>
      <c r="D2379" t="n">
        <v>2018</v>
      </c>
      <c r="E2379" t="n">
        <v>18.10000038146973</v>
      </c>
      <c r="F2379" t="n">
        <v>0.14</v>
      </c>
      <c r="G2379" t="inlineStr">
        <is>
          <t>Consolidated first (v4) – needs verification for flagged rows</t>
        </is>
      </c>
      <c r="H2379" t="n">
        <v>7.079999923706055</v>
      </c>
      <c r="I2379" t="n">
        <v>3.900000095367432</v>
      </c>
      <c r="L2379" t="inlineStr">
        <is>
          <t>UNVERIFIED – tiny EPS &lt;0.5</t>
        </is>
      </c>
      <c r="M2379" t="n">
        <v>50.57</v>
      </c>
      <c r="N2379" t="n">
        <v>27.86</v>
      </c>
      <c r="O2379" t="n">
        <v>17.25</v>
      </c>
      <c r="P2379" t="n">
        <v>29.32</v>
      </c>
      <c r="Q2379" t="n">
        <v>15.4</v>
      </c>
      <c r="R2379" s="2" t="inlineStr">
        <is>
          <t>VERIFIED_OK</t>
        </is>
      </c>
      <c r="S2379" t="n">
        <v>17.25</v>
      </c>
      <c r="T2379" t="inlineStr">
        <is>
          <t>30-07-2026 09:42 IST</t>
        </is>
      </c>
    </row>
    <row r="2380">
      <c r="A2380" t="n">
        <v>389</v>
      </c>
      <c r="B2380" t="n">
        <v>517530</v>
      </c>
      <c r="C2380" t="inlineStr">
        <is>
          <t>Surana Telecom And Power Ltd</t>
        </is>
      </c>
      <c r="D2380" t="n">
        <v>2019</v>
      </c>
      <c r="E2380" t="n">
        <v>18.10000038146973</v>
      </c>
      <c r="F2380" t="n">
        <v>0.42</v>
      </c>
      <c r="G2380" t="inlineStr">
        <is>
          <t>Consolidated first (v4) – needs verification for flagged rows</t>
        </is>
      </c>
      <c r="H2380" t="n">
        <v>5.730000019073486</v>
      </c>
      <c r="I2380" t="n">
        <v>3.009999990463257</v>
      </c>
      <c r="L2380" t="inlineStr">
        <is>
          <t>UNVERIFIED – tiny EPS &lt;0.5</t>
        </is>
      </c>
      <c r="M2380" t="n">
        <v>13.64</v>
      </c>
      <c r="N2380" t="n">
        <v>7.17</v>
      </c>
      <c r="O2380" t="n">
        <v>17.25</v>
      </c>
      <c r="P2380" t="n">
        <v>29.32</v>
      </c>
      <c r="Q2380" t="n">
        <v>15.4</v>
      </c>
      <c r="R2380" s="2" t="inlineStr">
        <is>
          <t>VERIFIED_OK</t>
        </is>
      </c>
      <c r="S2380" t="n">
        <v>17.25</v>
      </c>
      <c r="T2380" t="inlineStr">
        <is>
          <t>30-07-2026 09:42 IST</t>
        </is>
      </c>
    </row>
    <row r="2381">
      <c r="A2381" t="n">
        <v>389</v>
      </c>
      <c r="B2381" t="n">
        <v>517530</v>
      </c>
      <c r="C2381" t="inlineStr">
        <is>
          <t>Surana Telecom And Power Ltd</t>
        </is>
      </c>
      <c r="D2381" t="n">
        <v>2020</v>
      </c>
      <c r="E2381" t="n">
        <v>18.10000038146973</v>
      </c>
      <c r="F2381" t="n">
        <v>0.51</v>
      </c>
      <c r="G2381" t="inlineStr">
        <is>
          <t>Consolidated first (v4) – needs verification for flagged rows</t>
        </is>
      </c>
      <c r="H2381" t="n">
        <v>5.820000171661377</v>
      </c>
      <c r="I2381" t="n">
        <v>2.049999952316284</v>
      </c>
      <c r="L2381" t="inlineStr">
        <is>
          <t>OK</t>
        </is>
      </c>
      <c r="M2381" t="n">
        <v>11.41</v>
      </c>
      <c r="N2381" t="n">
        <v>4.02</v>
      </c>
      <c r="O2381" t="n">
        <v>17.25</v>
      </c>
      <c r="P2381" t="n">
        <v>29.32</v>
      </c>
      <c r="Q2381" t="n">
        <v>15.4</v>
      </c>
      <c r="R2381" s="2" t="inlineStr">
        <is>
          <t>VERIFIED_OK</t>
        </is>
      </c>
      <c r="S2381" t="n">
        <v>17.25</v>
      </c>
      <c r="T2381" t="inlineStr">
        <is>
          <t>30-07-2026 09:42 IST</t>
        </is>
      </c>
    </row>
    <row r="2382">
      <c r="A2382" t="n">
        <v>389</v>
      </c>
      <c r="B2382" t="n">
        <v>517530</v>
      </c>
      <c r="C2382" t="inlineStr">
        <is>
          <t>Surana Telecom And Power Ltd</t>
        </is>
      </c>
      <c r="D2382" t="n">
        <v>2021</v>
      </c>
      <c r="E2382" t="n">
        <v>18.10000038146973</v>
      </c>
      <c r="F2382" t="n">
        <v>0.25</v>
      </c>
      <c r="G2382" t="inlineStr">
        <is>
          <t>Consolidated first (v4) – needs verification for flagged rows</t>
        </is>
      </c>
      <c r="H2382" t="n">
        <v>11.21000003814697</v>
      </c>
      <c r="I2382" t="n">
        <v>3.960000038146973</v>
      </c>
      <c r="L2382" t="inlineStr">
        <is>
          <t>UNVERIFIED – tiny EPS &lt;0.5</t>
        </is>
      </c>
      <c r="M2382" t="n">
        <v>44.84</v>
      </c>
      <c r="N2382" t="n">
        <v>15.84</v>
      </c>
      <c r="O2382" t="n">
        <v>17.25</v>
      </c>
      <c r="P2382" t="n">
        <v>29.32</v>
      </c>
      <c r="Q2382" t="n">
        <v>15.4</v>
      </c>
      <c r="R2382" s="2" t="inlineStr">
        <is>
          <t>VERIFIED_OK</t>
        </is>
      </c>
      <c r="S2382" t="n">
        <v>17.25</v>
      </c>
      <c r="T2382" t="inlineStr">
        <is>
          <t>30-07-2026 09:42 IST</t>
        </is>
      </c>
    </row>
    <row r="2383">
      <c r="A2383" t="n">
        <v>389</v>
      </c>
      <c r="B2383" t="n">
        <v>517530</v>
      </c>
      <c r="C2383" t="inlineStr">
        <is>
          <t>Surana Telecom And Power Ltd</t>
        </is>
      </c>
      <c r="D2383" t="n">
        <v>2022</v>
      </c>
      <c r="E2383" t="n">
        <v>18.10000038146973</v>
      </c>
      <c r="F2383" t="n">
        <v>0.58</v>
      </c>
      <c r="G2383" t="inlineStr">
        <is>
          <t>Consolidated first (v4) – needs verification for flagged rows</t>
        </is>
      </c>
      <c r="H2383" t="n">
        <v>17.96999931335449</v>
      </c>
      <c r="I2383" t="n">
        <v>8.899999618530273</v>
      </c>
      <c r="L2383" t="inlineStr">
        <is>
          <t>OK</t>
        </is>
      </c>
      <c r="M2383" t="n">
        <v>30.98</v>
      </c>
      <c r="N2383" t="n">
        <v>15.34</v>
      </c>
      <c r="O2383" t="n">
        <v>17.25</v>
      </c>
      <c r="P2383" t="n">
        <v>29.32</v>
      </c>
      <c r="Q2383" t="n">
        <v>15.4</v>
      </c>
      <c r="R2383" s="2" t="inlineStr">
        <is>
          <t>VERIFIED_OK</t>
        </is>
      </c>
      <c r="S2383" t="n">
        <v>17.25</v>
      </c>
      <c r="T2383" t="inlineStr">
        <is>
          <t>30-07-2026 09:42 IST</t>
        </is>
      </c>
    </row>
    <row r="2384">
      <c r="A2384" t="n">
        <v>389</v>
      </c>
      <c r="B2384" t="n">
        <v>517530</v>
      </c>
      <c r="C2384" t="inlineStr">
        <is>
          <t>Surana Telecom And Power Ltd</t>
        </is>
      </c>
      <c r="D2384" t="n">
        <v>2023</v>
      </c>
      <c r="E2384" t="n">
        <v>18.10000038146973</v>
      </c>
      <c r="F2384" t="n">
        <v>0.39</v>
      </c>
      <c r="G2384" t="inlineStr">
        <is>
          <t>Consolidated first (v4) – needs verification for flagged rows</t>
        </is>
      </c>
      <c r="H2384" t="n">
        <v>17.54999923706055</v>
      </c>
      <c r="I2384" t="n">
        <v>7.650000095367432</v>
      </c>
      <c r="L2384" t="inlineStr">
        <is>
          <t>UNVERIFIED – tiny EPS &lt;0.5</t>
        </is>
      </c>
      <c r="M2384" t="n">
        <v>45</v>
      </c>
      <c r="N2384" t="n">
        <v>19.62</v>
      </c>
      <c r="O2384" t="n">
        <v>17.25</v>
      </c>
      <c r="P2384" t="n">
        <v>29.32</v>
      </c>
      <c r="Q2384" t="n">
        <v>15.4</v>
      </c>
      <c r="R2384" s="2" t="inlineStr">
        <is>
          <t>VERIFIED_OK</t>
        </is>
      </c>
      <c r="S2384" t="n">
        <v>17.25</v>
      </c>
      <c r="T2384" t="inlineStr">
        <is>
          <t>30-07-2026 09:42 IST</t>
        </is>
      </c>
    </row>
    <row r="2385">
      <c r="A2385" t="n">
        <v>389</v>
      </c>
      <c r="B2385" t="n">
        <v>517530</v>
      </c>
      <c r="C2385" t="inlineStr">
        <is>
          <t>Surana Telecom And Power Ltd</t>
        </is>
      </c>
      <c r="D2385" t="n">
        <v>2024</v>
      </c>
      <c r="E2385" t="n">
        <v>18.10000038146973</v>
      </c>
      <c r="F2385" t="n">
        <v>0.59</v>
      </c>
      <c r="G2385" t="inlineStr">
        <is>
          <t>Consolidated first (v4) – needs verification for flagged rows</t>
        </is>
      </c>
      <c r="H2385" t="n">
        <v>30.47999954223633</v>
      </c>
      <c r="I2385" t="n">
        <v>13.93000030517578</v>
      </c>
      <c r="L2385" t="inlineStr">
        <is>
          <t>OK</t>
        </is>
      </c>
      <c r="M2385" t="n">
        <v>51.66</v>
      </c>
      <c r="N2385" t="n">
        <v>23.61</v>
      </c>
      <c r="O2385" t="n">
        <v>17.25</v>
      </c>
      <c r="P2385" t="n">
        <v>29.32</v>
      </c>
      <c r="Q2385" t="n">
        <v>15.4</v>
      </c>
      <c r="R2385" s="2" t="inlineStr">
        <is>
          <t>VERIFIED_OK</t>
        </is>
      </c>
      <c r="S2385" t="n">
        <v>17.25</v>
      </c>
      <c r="T2385" t="inlineStr">
        <is>
          <t>30-07-2026 09:42 IST</t>
        </is>
      </c>
    </row>
    <row r="2386">
      <c r="A2386" t="n">
        <v>389</v>
      </c>
      <c r="B2386" t="n">
        <v>517530</v>
      </c>
      <c r="C2386" t="inlineStr">
        <is>
          <t>Surana Telecom And Power Ltd</t>
        </is>
      </c>
      <c r="D2386" t="n">
        <v>2025</v>
      </c>
      <c r="E2386" t="n">
        <v>18.10000038146973</v>
      </c>
      <c r="F2386" t="n">
        <v>1.73</v>
      </c>
      <c r="G2386" t="inlineStr">
        <is>
          <t>Consolidated first (v4) – needs verification for flagged rows</t>
        </is>
      </c>
      <c r="H2386" t="n">
        <v>29.31999969482422</v>
      </c>
      <c r="I2386" t="n">
        <v>15.5</v>
      </c>
      <c r="L2386" t="inlineStr">
        <is>
          <t>OK</t>
        </is>
      </c>
      <c r="M2386" t="n">
        <v>16.95</v>
      </c>
      <c r="N2386" t="n">
        <v>8.960000000000001</v>
      </c>
      <c r="O2386" t="n">
        <v>17.25</v>
      </c>
      <c r="P2386" t="n">
        <v>29.32</v>
      </c>
      <c r="Q2386" t="n">
        <v>15.4</v>
      </c>
      <c r="R2386" s="2" t="inlineStr">
        <is>
          <t>VERIFIED_OK</t>
        </is>
      </c>
      <c r="S2386" t="n">
        <v>17.25</v>
      </c>
      <c r="T2386" t="inlineStr">
        <is>
          <t>30-07-2026 09:42 IST</t>
        </is>
      </c>
    </row>
    <row r="2387">
      <c r="A2387" t="n">
        <v>389</v>
      </c>
      <c r="B2387" t="n">
        <v>517530</v>
      </c>
      <c r="C2387" t="inlineStr">
        <is>
          <t>Surana Telecom And Power Ltd</t>
        </is>
      </c>
      <c r="D2387" t="n">
        <v>2026</v>
      </c>
      <c r="E2387" t="n">
        <v>18.10000038146973</v>
      </c>
      <c r="F2387" t="n">
        <v>1.83</v>
      </c>
      <c r="G2387" t="inlineStr">
        <is>
          <t>Consolidated first (v4) – needs verification for flagged rows</t>
        </is>
      </c>
      <c r="H2387" t="n">
        <v>21.25</v>
      </c>
      <c r="I2387" t="n">
        <v>15.39999961853027</v>
      </c>
      <c r="L2387" t="inlineStr">
        <is>
          <t>OK</t>
        </is>
      </c>
      <c r="M2387" t="n">
        <v>11.61</v>
      </c>
      <c r="N2387" t="n">
        <v>8.42</v>
      </c>
      <c r="O2387" t="n">
        <v>17.25</v>
      </c>
      <c r="P2387" t="n">
        <v>29.32</v>
      </c>
      <c r="Q2387" t="n">
        <v>15.4</v>
      </c>
      <c r="R2387" s="2" t="inlineStr">
        <is>
          <t>VERIFIED_OK</t>
        </is>
      </c>
      <c r="S2387" t="n">
        <v>17.25</v>
      </c>
      <c r="T2387" t="inlineStr">
        <is>
          <t>30-07-2026 09:42 IST</t>
        </is>
      </c>
    </row>
    <row r="2388">
      <c r="A2388" t="n">
        <v>390</v>
      </c>
      <c r="B2388" t="n">
        <v>517546</v>
      </c>
      <c r="C2388" t="inlineStr">
        <is>
          <t>Alfa Transformers Ltd</t>
        </is>
      </c>
      <c r="D2388" t="n">
        <v>2015</v>
      </c>
      <c r="E2388" t="n">
        <v>40.36999893188477</v>
      </c>
      <c r="F2388" t="n">
        <v>-1.87</v>
      </c>
      <c r="G2388" t="inlineStr">
        <is>
          <t>Consolidated first (v4) – needs verification for flagged rows</t>
        </is>
      </c>
      <c r="H2388" t="n">
        <v>26.89999961853027</v>
      </c>
      <c r="I2388" t="n">
        <v>14.85000038146973</v>
      </c>
      <c r="L2388" t="inlineStr">
        <is>
          <t>UNVERIFIED – negative EPS</t>
        </is>
      </c>
      <c r="M2388" t="n">
        <v>-14.39</v>
      </c>
      <c r="N2388" t="n">
        <v>-7.94</v>
      </c>
      <c r="O2388" t="n">
        <v>86.97</v>
      </c>
      <c r="P2388" t="n">
        <v>162.95</v>
      </c>
      <c r="Q2388" t="n">
        <v>75.5</v>
      </c>
      <c r="R2388" s="3" t="inlineStr">
        <is>
          <t>MISMATCH_NEEDS_CORRECTION</t>
        </is>
      </c>
      <c r="S2388" t="n">
        <v>86.97</v>
      </c>
      <c r="T2388" t="inlineStr">
        <is>
          <t>30-07-2026 09:42 IST</t>
        </is>
      </c>
    </row>
    <row r="2389">
      <c r="A2389" t="n">
        <v>390</v>
      </c>
      <c r="B2389" t="n">
        <v>517546</v>
      </c>
      <c r="C2389" t="inlineStr">
        <is>
          <t>Alfa Transformers Ltd</t>
        </is>
      </c>
      <c r="D2389" t="n">
        <v>2016</v>
      </c>
      <c r="E2389" t="n">
        <v>40.36999893188477</v>
      </c>
      <c r="F2389" t="n">
        <v>-1.03</v>
      </c>
      <c r="G2389" t="inlineStr">
        <is>
          <t>Consolidated first (v4) – needs verification for flagged rows</t>
        </is>
      </c>
      <c r="H2389" t="n">
        <v>28.60000038146973</v>
      </c>
      <c r="I2389" t="n">
        <v>17.54999923706055</v>
      </c>
      <c r="L2389" t="inlineStr">
        <is>
          <t>UNVERIFIED – negative EPS</t>
        </is>
      </c>
      <c r="M2389" t="n">
        <v>-27.77</v>
      </c>
      <c r="N2389" t="n">
        <v>-17.04</v>
      </c>
      <c r="O2389" t="n">
        <v>86.97</v>
      </c>
      <c r="P2389" t="n">
        <v>162.95</v>
      </c>
      <c r="Q2389" t="n">
        <v>75.5</v>
      </c>
      <c r="R2389" s="3" t="inlineStr">
        <is>
          <t>MISMATCH_NEEDS_CORRECTION</t>
        </is>
      </c>
      <c r="S2389" t="n">
        <v>86.97</v>
      </c>
      <c r="T2389" t="inlineStr">
        <is>
          <t>30-07-2026 09:42 IST</t>
        </is>
      </c>
    </row>
    <row r="2390">
      <c r="A2390" t="n">
        <v>390</v>
      </c>
      <c r="B2390" t="n">
        <v>517546</v>
      </c>
      <c r="C2390" t="inlineStr">
        <is>
          <t>Alfa Transformers Ltd</t>
        </is>
      </c>
      <c r="D2390" t="n">
        <v>2017</v>
      </c>
      <c r="E2390" t="n">
        <v>40.36999893188477</v>
      </c>
      <c r="F2390" t="n">
        <v>-4.49</v>
      </c>
      <c r="G2390" t="inlineStr">
        <is>
          <t>Consolidated first (v4) – needs verification for flagged rows</t>
        </is>
      </c>
      <c r="H2390" t="n">
        <v>33.59999847412109</v>
      </c>
      <c r="I2390" t="n">
        <v>18.35000038146973</v>
      </c>
      <c r="L2390" t="inlineStr">
        <is>
          <t>UNVERIFIED – negative EPS</t>
        </is>
      </c>
      <c r="M2390" t="n">
        <v>-7.48</v>
      </c>
      <c r="N2390" t="n">
        <v>-4.09</v>
      </c>
      <c r="O2390" t="n">
        <v>86.97</v>
      </c>
      <c r="P2390" t="n">
        <v>162.95</v>
      </c>
      <c r="Q2390" t="n">
        <v>75.5</v>
      </c>
      <c r="R2390" s="3" t="inlineStr">
        <is>
          <t>MISMATCH_NEEDS_CORRECTION</t>
        </is>
      </c>
      <c r="S2390" t="n">
        <v>86.97</v>
      </c>
      <c r="T2390" t="inlineStr">
        <is>
          <t>30-07-2026 09:42 IST</t>
        </is>
      </c>
    </row>
    <row r="2391">
      <c r="A2391" t="n">
        <v>390</v>
      </c>
      <c r="B2391" t="n">
        <v>517546</v>
      </c>
      <c r="C2391" t="inlineStr">
        <is>
          <t>Alfa Transformers Ltd</t>
        </is>
      </c>
      <c r="D2391" t="n">
        <v>2018</v>
      </c>
      <c r="E2391" t="n">
        <v>40.36999893188477</v>
      </c>
      <c r="F2391" t="n">
        <v>-3.76</v>
      </c>
      <c r="G2391" t="inlineStr">
        <is>
          <t>Consolidated first (v4) – needs verification for flagged rows</t>
        </is>
      </c>
      <c r="H2391" t="n">
        <v>49.5</v>
      </c>
      <c r="I2391" t="n">
        <v>27.14999961853027</v>
      </c>
      <c r="L2391" t="inlineStr">
        <is>
          <t>UNVERIFIED – negative EPS</t>
        </is>
      </c>
      <c r="M2391" t="n">
        <v>-13.16</v>
      </c>
      <c r="N2391" t="n">
        <v>-7.22</v>
      </c>
      <c r="O2391" t="n">
        <v>86.97</v>
      </c>
      <c r="P2391" t="n">
        <v>162.95</v>
      </c>
      <c r="Q2391" t="n">
        <v>75.5</v>
      </c>
      <c r="R2391" s="3" t="inlineStr">
        <is>
          <t>MISMATCH_NEEDS_CORRECTION</t>
        </is>
      </c>
      <c r="S2391" t="n">
        <v>86.97</v>
      </c>
      <c r="T2391" t="inlineStr">
        <is>
          <t>30-07-2026 09:42 IST</t>
        </is>
      </c>
    </row>
    <row r="2392">
      <c r="A2392" t="n">
        <v>390</v>
      </c>
      <c r="B2392" t="n">
        <v>517546</v>
      </c>
      <c r="C2392" t="inlineStr">
        <is>
          <t>Alfa Transformers Ltd</t>
        </is>
      </c>
      <c r="D2392" t="n">
        <v>2019</v>
      </c>
      <c r="E2392" t="n">
        <v>40.36999893188477</v>
      </c>
      <c r="F2392" t="n">
        <v>-1.54</v>
      </c>
      <c r="G2392" t="inlineStr">
        <is>
          <t>Consolidated first (v4) – needs verification for flagged rows</t>
        </is>
      </c>
      <c r="H2392" t="n">
        <v>32.70000076293945</v>
      </c>
      <c r="I2392" t="n">
        <v>17.60000038146973</v>
      </c>
      <c r="L2392" t="inlineStr">
        <is>
          <t>UNVERIFIED – negative EPS</t>
        </is>
      </c>
      <c r="M2392" t="n">
        <v>-21.23</v>
      </c>
      <c r="N2392" t="n">
        <v>-11.43</v>
      </c>
      <c r="O2392" t="n">
        <v>86.97</v>
      </c>
      <c r="P2392" t="n">
        <v>162.95</v>
      </c>
      <c r="Q2392" t="n">
        <v>75.5</v>
      </c>
      <c r="R2392" s="3" t="inlineStr">
        <is>
          <t>MISMATCH_NEEDS_CORRECTION</t>
        </is>
      </c>
      <c r="S2392" t="n">
        <v>86.97</v>
      </c>
      <c r="T2392" t="inlineStr">
        <is>
          <t>30-07-2026 09:42 IST</t>
        </is>
      </c>
    </row>
    <row r="2393">
      <c r="A2393" t="n">
        <v>390</v>
      </c>
      <c r="B2393" t="n">
        <v>517546</v>
      </c>
      <c r="C2393" t="inlineStr">
        <is>
          <t>Alfa Transformers Ltd</t>
        </is>
      </c>
      <c r="D2393" t="n">
        <v>2020</v>
      </c>
      <c r="E2393" t="n">
        <v>40.36999893188477</v>
      </c>
      <c r="G2393" t="inlineStr">
        <is>
          <t>Consolidated first (v4) – needs verification for flagged rows</t>
        </is>
      </c>
      <c r="H2393" t="n">
        <v>19</v>
      </c>
      <c r="I2393" t="n">
        <v>9.350000381469727</v>
      </c>
      <c r="L2393" t="inlineStr">
        <is>
          <t>INCOMPLETE</t>
        </is>
      </c>
      <c r="O2393" t="n">
        <v>86.97</v>
      </c>
      <c r="P2393" t="n">
        <v>162.95</v>
      </c>
      <c r="Q2393" t="n">
        <v>75.5</v>
      </c>
      <c r="R2393" s="3" t="inlineStr">
        <is>
          <t>MISMATCH_NEEDS_CORRECTION</t>
        </is>
      </c>
      <c r="S2393" t="n">
        <v>86.97</v>
      </c>
      <c r="T2393" t="inlineStr">
        <is>
          <t>30-07-2026 09:42 IST</t>
        </is>
      </c>
    </row>
    <row r="2394">
      <c r="A2394" t="n">
        <v>390</v>
      </c>
      <c r="B2394" t="n">
        <v>517546</v>
      </c>
      <c r="C2394" t="inlineStr">
        <is>
          <t>Alfa Transformers Ltd</t>
        </is>
      </c>
      <c r="D2394" t="n">
        <v>2021</v>
      </c>
      <c r="E2394" t="n">
        <v>40.36999893188477</v>
      </c>
      <c r="G2394" t="inlineStr">
        <is>
          <t>Consolidated first (v4) – needs verification for flagged rows</t>
        </is>
      </c>
      <c r="H2394" t="n">
        <v>17.20000076293945</v>
      </c>
      <c r="I2394" t="n">
        <v>6.110000133514404</v>
      </c>
      <c r="L2394" t="inlineStr">
        <is>
          <t>INCOMPLETE</t>
        </is>
      </c>
      <c r="O2394" t="n">
        <v>86.97</v>
      </c>
      <c r="P2394" t="n">
        <v>162.95</v>
      </c>
      <c r="Q2394" t="n">
        <v>75.5</v>
      </c>
      <c r="R2394" s="3" t="inlineStr">
        <is>
          <t>MISMATCH_NEEDS_CORRECTION</t>
        </is>
      </c>
      <c r="S2394" t="n">
        <v>86.97</v>
      </c>
      <c r="T2394" t="inlineStr">
        <is>
          <t>30-07-2026 09:42 IST</t>
        </is>
      </c>
    </row>
    <row r="2395">
      <c r="A2395" t="n">
        <v>390</v>
      </c>
      <c r="B2395" t="n">
        <v>517546</v>
      </c>
      <c r="C2395" t="inlineStr">
        <is>
          <t>Alfa Transformers Ltd</t>
        </is>
      </c>
      <c r="D2395" t="n">
        <v>2022</v>
      </c>
      <c r="E2395" t="n">
        <v>40.36999893188477</v>
      </c>
      <c r="G2395" t="inlineStr">
        <is>
          <t>Consolidated first (v4) – needs verification for flagged rows</t>
        </is>
      </c>
      <c r="H2395" t="n">
        <v>14.80000019073486</v>
      </c>
      <c r="I2395" t="n">
        <v>5.400000095367432</v>
      </c>
      <c r="L2395" t="inlineStr">
        <is>
          <t>INCOMPLETE</t>
        </is>
      </c>
      <c r="O2395" t="n">
        <v>86.97</v>
      </c>
      <c r="P2395" t="n">
        <v>162.95</v>
      </c>
      <c r="Q2395" t="n">
        <v>75.5</v>
      </c>
      <c r="R2395" s="3" t="inlineStr">
        <is>
          <t>MISMATCH_NEEDS_CORRECTION</t>
        </is>
      </c>
      <c r="S2395" t="n">
        <v>86.97</v>
      </c>
      <c r="T2395" t="inlineStr">
        <is>
          <t>30-07-2026 09:42 IST</t>
        </is>
      </c>
    </row>
    <row r="2396">
      <c r="A2396" t="n">
        <v>390</v>
      </c>
      <c r="B2396" t="n">
        <v>517546</v>
      </c>
      <c r="C2396" t="inlineStr">
        <is>
          <t>Alfa Transformers Ltd</t>
        </is>
      </c>
      <c r="D2396" t="n">
        <v>2023</v>
      </c>
      <c r="E2396" t="n">
        <v>40.36999893188477</v>
      </c>
      <c r="G2396" t="inlineStr">
        <is>
          <t>Consolidated first (v4) – needs verification for flagged rows</t>
        </is>
      </c>
      <c r="H2396" t="n">
        <v>77.80999755859375</v>
      </c>
      <c r="I2396" t="n">
        <v>11.55000019073486</v>
      </c>
      <c r="L2396" t="inlineStr">
        <is>
          <t>INCOMPLETE</t>
        </is>
      </c>
      <c r="O2396" t="n">
        <v>86.97</v>
      </c>
      <c r="P2396" t="n">
        <v>162.95</v>
      </c>
      <c r="Q2396" t="n">
        <v>75.5</v>
      </c>
      <c r="R2396" s="3" t="inlineStr">
        <is>
          <t>MISMATCH_NEEDS_CORRECTION</t>
        </is>
      </c>
      <c r="S2396" t="n">
        <v>86.97</v>
      </c>
      <c r="T2396" t="inlineStr">
        <is>
          <t>30-07-2026 09:42 IST</t>
        </is>
      </c>
    </row>
    <row r="2397">
      <c r="A2397" t="n">
        <v>390</v>
      </c>
      <c r="B2397" t="n">
        <v>517546</v>
      </c>
      <c r="C2397" t="inlineStr">
        <is>
          <t>Alfa Transformers Ltd</t>
        </is>
      </c>
      <c r="D2397" t="n">
        <v>2024</v>
      </c>
      <c r="E2397" t="n">
        <v>40.36999893188477</v>
      </c>
      <c r="G2397" t="inlineStr">
        <is>
          <t>Consolidated first (v4) – needs verification for flagged rows</t>
        </is>
      </c>
      <c r="H2397" t="n">
        <v>162.9499969482422</v>
      </c>
      <c r="I2397" t="n">
        <v>75.5</v>
      </c>
      <c r="L2397" t="inlineStr">
        <is>
          <t>INCOMPLETE</t>
        </is>
      </c>
      <c r="O2397" t="n">
        <v>86.97</v>
      </c>
      <c r="P2397" t="n">
        <v>162.95</v>
      </c>
      <c r="Q2397" t="n">
        <v>75.5</v>
      </c>
      <c r="R2397" s="3" t="inlineStr">
        <is>
          <t>MISMATCH_NEEDS_CORRECTION</t>
        </is>
      </c>
      <c r="S2397" t="n">
        <v>86.97</v>
      </c>
      <c r="T2397" t="inlineStr">
        <is>
          <t>30-07-2026 09:42 IST</t>
        </is>
      </c>
    </row>
    <row r="2398">
      <c r="A2398" t="n">
        <v>390</v>
      </c>
      <c r="B2398" t="n">
        <v>517546</v>
      </c>
      <c r="C2398" t="inlineStr">
        <is>
          <t>Alfa Transformers Ltd</t>
        </is>
      </c>
      <c r="D2398" t="n">
        <v>2025</v>
      </c>
      <c r="E2398" t="n">
        <v>40.36999893188477</v>
      </c>
      <c r="G2398" t="inlineStr">
        <is>
          <t>Consolidated first (v4) – needs verification for flagged rows</t>
        </is>
      </c>
      <c r="H2398" t="n">
        <v>128.8999938964844</v>
      </c>
      <c r="I2398" t="n">
        <v>35</v>
      </c>
      <c r="L2398" t="inlineStr">
        <is>
          <t>INCOMPLETE</t>
        </is>
      </c>
      <c r="O2398" t="n">
        <v>86.97</v>
      </c>
      <c r="P2398" t="n">
        <v>162.95</v>
      </c>
      <c r="Q2398" t="n">
        <v>75.5</v>
      </c>
      <c r="R2398" s="3" t="inlineStr">
        <is>
          <t>MISMATCH_NEEDS_CORRECTION</t>
        </is>
      </c>
      <c r="S2398" t="n">
        <v>86.97</v>
      </c>
      <c r="T2398" t="inlineStr">
        <is>
          <t>30-07-2026 09:42 IST</t>
        </is>
      </c>
    </row>
    <row r="2399">
      <c r="A2399" t="n">
        <v>390</v>
      </c>
      <c r="B2399" t="n">
        <v>517546</v>
      </c>
      <c r="C2399" t="inlineStr">
        <is>
          <t>Alfa Transformers Ltd</t>
        </is>
      </c>
      <c r="D2399" t="n">
        <v>2026</v>
      </c>
      <c r="E2399" t="n">
        <v>40.36999893188477</v>
      </c>
      <c r="G2399" t="inlineStr">
        <is>
          <t>Consolidated first (v4) – needs verification for flagged rows</t>
        </is>
      </c>
      <c r="H2399" t="n">
        <v>52.34000015258789</v>
      </c>
      <c r="I2399" t="n">
        <v>27.03000068664551</v>
      </c>
      <c r="L2399" t="inlineStr">
        <is>
          <t>INCOMPLETE</t>
        </is>
      </c>
      <c r="O2399" t="n">
        <v>86.97</v>
      </c>
      <c r="P2399" t="n">
        <v>162.95</v>
      </c>
      <c r="Q2399" t="n">
        <v>75.5</v>
      </c>
      <c r="R2399" s="3" t="inlineStr">
        <is>
          <t>MISMATCH_NEEDS_CORRECTION</t>
        </is>
      </c>
      <c r="S2399" t="n">
        <v>86.97</v>
      </c>
      <c r="T2399" t="inlineStr">
        <is>
          <t>30-07-2026 09:42 IST</t>
        </is>
      </c>
    </row>
    <row r="2400">
      <c r="A2400" t="n">
        <v>391</v>
      </c>
      <c r="B2400" t="n">
        <v>517548</v>
      </c>
      <c r="C2400" t="inlineStr">
        <is>
          <t>Starlite Components Ltd</t>
        </is>
      </c>
      <c r="D2400" t="n">
        <v>2015</v>
      </c>
      <c r="E2400" t="n">
        <v>3.640000104904175</v>
      </c>
      <c r="F2400" t="n">
        <v>1.13</v>
      </c>
      <c r="G2400" t="inlineStr">
        <is>
          <t>Consolidated first (v4) – needs verification for flagged rows</t>
        </is>
      </c>
      <c r="H2400" t="n">
        <v>49.9900016784668</v>
      </c>
      <c r="I2400" t="n">
        <v>2.900000095367432</v>
      </c>
      <c r="L2400" t="inlineStr">
        <is>
          <t>OK</t>
        </is>
      </c>
      <c r="M2400" t="n">
        <v>44.24</v>
      </c>
      <c r="N2400" t="n">
        <v>2.57</v>
      </c>
      <c r="O2400" t="n">
        <v>3.42</v>
      </c>
      <c r="P2400" t="n">
        <v>3.64</v>
      </c>
      <c r="Q2400" t="n">
        <v>2.08</v>
      </c>
      <c r="R2400" s="3" t="inlineStr">
        <is>
          <t>MISMATCH_NEEDS_CORRECTION</t>
        </is>
      </c>
      <c r="S2400" t="n">
        <v>3.42</v>
      </c>
      <c r="T2400" t="inlineStr">
        <is>
          <t>30-07-2026 09:42 IST</t>
        </is>
      </c>
    </row>
    <row r="2401">
      <c r="A2401" t="n">
        <v>391</v>
      </c>
      <c r="B2401" t="n">
        <v>517548</v>
      </c>
      <c r="C2401" t="inlineStr">
        <is>
          <t>Starlite Components Ltd</t>
        </is>
      </c>
      <c r="D2401" t="n">
        <v>2016</v>
      </c>
      <c r="E2401" t="n">
        <v>3.640000104904175</v>
      </c>
      <c r="F2401" t="n">
        <v>0.7</v>
      </c>
      <c r="G2401" t="inlineStr">
        <is>
          <t>Consolidated first (v4) – needs verification for flagged rows</t>
        </is>
      </c>
      <c r="H2401" t="n">
        <v>63</v>
      </c>
      <c r="I2401" t="n">
        <v>35</v>
      </c>
      <c r="L2401" t="inlineStr">
        <is>
          <t>OK</t>
        </is>
      </c>
      <c r="M2401" t="n">
        <v>90</v>
      </c>
      <c r="N2401" t="n">
        <v>50</v>
      </c>
      <c r="O2401" t="n">
        <v>3.42</v>
      </c>
      <c r="P2401" t="n">
        <v>3.64</v>
      </c>
      <c r="Q2401" t="n">
        <v>2.08</v>
      </c>
      <c r="R2401" s="3" t="inlineStr">
        <is>
          <t>MISMATCH_NEEDS_CORRECTION</t>
        </is>
      </c>
      <c r="S2401" t="n">
        <v>3.42</v>
      </c>
      <c r="T2401" t="inlineStr">
        <is>
          <t>30-07-2026 09:42 IST</t>
        </is>
      </c>
    </row>
    <row r="2402">
      <c r="A2402" t="n">
        <v>391</v>
      </c>
      <c r="B2402" t="n">
        <v>517548</v>
      </c>
      <c r="C2402" t="inlineStr">
        <is>
          <t>Starlite Components Ltd</t>
        </is>
      </c>
      <c r="D2402" t="n">
        <v>2017</v>
      </c>
      <c r="E2402" t="n">
        <v>3.640000104904175</v>
      </c>
      <c r="F2402" t="n">
        <v>1.19</v>
      </c>
      <c r="G2402" t="inlineStr">
        <is>
          <t>Consolidated first (v4) – needs verification for flagged rows</t>
        </is>
      </c>
      <c r="H2402" t="n">
        <v>70</v>
      </c>
      <c r="I2402" t="n">
        <v>41</v>
      </c>
      <c r="L2402" t="inlineStr">
        <is>
          <t>OK</t>
        </is>
      </c>
      <c r="M2402" t="n">
        <v>58.82</v>
      </c>
      <c r="N2402" t="n">
        <v>34.45</v>
      </c>
      <c r="O2402" t="n">
        <v>3.42</v>
      </c>
      <c r="P2402" t="n">
        <v>3.64</v>
      </c>
      <c r="Q2402" t="n">
        <v>2.08</v>
      </c>
      <c r="R2402" s="3" t="inlineStr">
        <is>
          <t>MISMATCH_NEEDS_CORRECTION</t>
        </is>
      </c>
      <c r="S2402" t="n">
        <v>3.42</v>
      </c>
      <c r="T2402" t="inlineStr">
        <is>
          <t>30-07-2026 09:42 IST</t>
        </is>
      </c>
    </row>
    <row r="2403">
      <c r="A2403" t="n">
        <v>391</v>
      </c>
      <c r="B2403" t="n">
        <v>517548</v>
      </c>
      <c r="C2403" t="inlineStr">
        <is>
          <t>Starlite Components Ltd</t>
        </is>
      </c>
      <c r="D2403" t="n">
        <v>2018</v>
      </c>
      <c r="E2403" t="n">
        <v>3.640000104904175</v>
      </c>
      <c r="F2403" t="n">
        <v>0.59</v>
      </c>
      <c r="G2403" t="inlineStr">
        <is>
          <t>Consolidated first (v4) – needs verification for flagged rows</t>
        </is>
      </c>
      <c r="H2403" t="n">
        <v>60.90000152587891</v>
      </c>
      <c r="I2403" t="n">
        <v>17.75</v>
      </c>
      <c r="L2403" t="inlineStr">
        <is>
          <t>OK</t>
        </is>
      </c>
      <c r="M2403" t="n">
        <v>103.22</v>
      </c>
      <c r="N2403" t="n">
        <v>30.08</v>
      </c>
      <c r="O2403" t="n">
        <v>3.42</v>
      </c>
      <c r="P2403" t="n">
        <v>3.64</v>
      </c>
      <c r="Q2403" t="n">
        <v>2.08</v>
      </c>
      <c r="R2403" s="3" t="inlineStr">
        <is>
          <t>MISMATCH_NEEDS_CORRECTION</t>
        </is>
      </c>
      <c r="S2403" t="n">
        <v>3.42</v>
      </c>
      <c r="T2403" t="inlineStr">
        <is>
          <t>30-07-2026 09:42 IST</t>
        </is>
      </c>
    </row>
    <row r="2404">
      <c r="A2404" t="n">
        <v>391</v>
      </c>
      <c r="B2404" t="n">
        <v>517548</v>
      </c>
      <c r="C2404" t="inlineStr">
        <is>
          <t>Starlite Components Ltd</t>
        </is>
      </c>
      <c r="D2404" t="n">
        <v>2019</v>
      </c>
      <c r="E2404" t="n">
        <v>3.640000104904175</v>
      </c>
      <c r="F2404" t="n">
        <v>0.58</v>
      </c>
      <c r="G2404" t="inlineStr">
        <is>
          <t>Consolidated first (v4) – needs verification for flagged rows</t>
        </is>
      </c>
      <c r="H2404" t="n">
        <v>23.85000038146973</v>
      </c>
      <c r="I2404" t="n">
        <v>6.079999923706055</v>
      </c>
      <c r="L2404" t="inlineStr">
        <is>
          <t>OK</t>
        </is>
      </c>
      <c r="M2404" t="n">
        <v>41.12</v>
      </c>
      <c r="N2404" t="n">
        <v>10.48</v>
      </c>
      <c r="O2404" t="n">
        <v>3.42</v>
      </c>
      <c r="P2404" t="n">
        <v>3.64</v>
      </c>
      <c r="Q2404" t="n">
        <v>2.08</v>
      </c>
      <c r="R2404" s="3" t="inlineStr">
        <is>
          <t>MISMATCH_NEEDS_CORRECTION</t>
        </is>
      </c>
      <c r="S2404" t="n">
        <v>3.42</v>
      </c>
      <c r="T2404" t="inlineStr">
        <is>
          <t>30-07-2026 09:42 IST</t>
        </is>
      </c>
    </row>
    <row r="2405">
      <c r="A2405" t="n">
        <v>391</v>
      </c>
      <c r="B2405" t="n">
        <v>517548</v>
      </c>
      <c r="C2405" t="inlineStr">
        <is>
          <t>Starlite Components Ltd</t>
        </is>
      </c>
      <c r="D2405" t="n">
        <v>2020</v>
      </c>
      <c r="E2405" t="n">
        <v>3.640000104904175</v>
      </c>
      <c r="F2405" t="n">
        <v>-9.01</v>
      </c>
      <c r="G2405" t="inlineStr">
        <is>
          <t>Consolidated first (v4) – needs verification for flagged rows</t>
        </is>
      </c>
      <c r="H2405" t="n">
        <v>6.949999809265137</v>
      </c>
      <c r="I2405" t="n">
        <v>2.089999914169312</v>
      </c>
      <c r="L2405" t="inlineStr">
        <is>
          <t>UNVERIFIED – negative EPS</t>
        </is>
      </c>
      <c r="M2405" t="n">
        <v>-0.77</v>
      </c>
      <c r="N2405" t="n">
        <v>-0.23</v>
      </c>
      <c r="O2405" t="n">
        <v>3.42</v>
      </c>
      <c r="P2405" t="n">
        <v>3.64</v>
      </c>
      <c r="Q2405" t="n">
        <v>2.08</v>
      </c>
      <c r="R2405" s="3" t="inlineStr">
        <is>
          <t>MISMATCH_NEEDS_CORRECTION</t>
        </is>
      </c>
      <c r="S2405" t="n">
        <v>3.42</v>
      </c>
      <c r="T2405" t="inlineStr">
        <is>
          <t>30-07-2026 09:42 IST</t>
        </is>
      </c>
    </row>
    <row r="2406">
      <c r="A2406" t="n">
        <v>391</v>
      </c>
      <c r="B2406" t="n">
        <v>517548</v>
      </c>
      <c r="C2406" t="inlineStr">
        <is>
          <t>Starlite Components Ltd</t>
        </is>
      </c>
      <c r="D2406" t="n">
        <v>2021</v>
      </c>
      <c r="E2406" t="n">
        <v>3.640000104904175</v>
      </c>
      <c r="F2406" t="n">
        <v>-0.71</v>
      </c>
      <c r="G2406" t="inlineStr">
        <is>
          <t>Consolidated first (v4) – needs verification for flagged rows</t>
        </is>
      </c>
      <c r="H2406" t="n">
        <v>7.670000076293945</v>
      </c>
      <c r="I2406" t="n">
        <v>1.970000028610229</v>
      </c>
      <c r="L2406" t="inlineStr">
        <is>
          <t>UNVERIFIED – negative EPS</t>
        </is>
      </c>
      <c r="M2406" t="n">
        <v>-10.8</v>
      </c>
      <c r="N2406" t="n">
        <v>-2.77</v>
      </c>
      <c r="O2406" t="n">
        <v>3.42</v>
      </c>
      <c r="P2406" t="n">
        <v>3.64</v>
      </c>
      <c r="Q2406" t="n">
        <v>2.08</v>
      </c>
      <c r="R2406" s="3" t="inlineStr">
        <is>
          <t>MISMATCH_NEEDS_CORRECTION</t>
        </is>
      </c>
      <c r="S2406" t="n">
        <v>3.42</v>
      </c>
      <c r="T2406" t="inlineStr">
        <is>
          <t>30-07-2026 09:42 IST</t>
        </is>
      </c>
    </row>
    <row r="2407">
      <c r="A2407" t="n">
        <v>391</v>
      </c>
      <c r="B2407" t="n">
        <v>517548</v>
      </c>
      <c r="C2407" t="inlineStr">
        <is>
          <t>Starlite Components Ltd</t>
        </is>
      </c>
      <c r="D2407" t="n">
        <v>2022</v>
      </c>
      <c r="E2407" t="n">
        <v>3.640000104904175</v>
      </c>
      <c r="F2407" t="n">
        <v>-0.46</v>
      </c>
      <c r="G2407" t="inlineStr">
        <is>
          <t>Consolidated first (v4) – needs verification for flagged rows</t>
        </is>
      </c>
      <c r="H2407" t="n">
        <v>15.10000038146973</v>
      </c>
      <c r="I2407" t="n">
        <v>2.650000095367432</v>
      </c>
      <c r="L2407" t="inlineStr">
        <is>
          <t>UNVERIFIED – negative EPS</t>
        </is>
      </c>
      <c r="M2407" t="n">
        <v>-32.83</v>
      </c>
      <c r="N2407" t="n">
        <v>-5.76</v>
      </c>
      <c r="O2407" t="n">
        <v>3.42</v>
      </c>
      <c r="P2407" t="n">
        <v>3.64</v>
      </c>
      <c r="Q2407" t="n">
        <v>2.08</v>
      </c>
      <c r="R2407" s="3" t="inlineStr">
        <is>
          <t>MISMATCH_NEEDS_CORRECTION</t>
        </is>
      </c>
      <c r="S2407" t="n">
        <v>3.42</v>
      </c>
      <c r="T2407" t="inlineStr">
        <is>
          <t>30-07-2026 09:42 IST</t>
        </is>
      </c>
    </row>
    <row r="2408">
      <c r="A2408" t="n">
        <v>391</v>
      </c>
      <c r="B2408" t="n">
        <v>517548</v>
      </c>
      <c r="C2408" t="inlineStr">
        <is>
          <t>Starlite Components Ltd</t>
        </is>
      </c>
      <c r="D2408" t="n">
        <v>2023</v>
      </c>
      <c r="E2408" t="n">
        <v>3.640000104904175</v>
      </c>
      <c r="F2408" t="n">
        <v>-0.38</v>
      </c>
      <c r="G2408" t="inlineStr">
        <is>
          <t>Consolidated first (v4) – needs verification for flagged rows</t>
        </is>
      </c>
      <c r="H2408" t="n">
        <v>3.960000038146973</v>
      </c>
      <c r="I2408" t="n">
        <v>1.899999976158142</v>
      </c>
      <c r="L2408" t="inlineStr">
        <is>
          <t>UNVERIFIED – negative EPS</t>
        </is>
      </c>
      <c r="M2408" t="n">
        <v>-10.42</v>
      </c>
      <c r="N2408" t="n">
        <v>-5</v>
      </c>
      <c r="O2408" t="n">
        <v>3.42</v>
      </c>
      <c r="P2408" t="n">
        <v>3.64</v>
      </c>
      <c r="Q2408" t="n">
        <v>2.08</v>
      </c>
      <c r="R2408" s="3" t="inlineStr">
        <is>
          <t>MISMATCH_NEEDS_CORRECTION</t>
        </is>
      </c>
      <c r="S2408" t="n">
        <v>3.42</v>
      </c>
      <c r="T2408" t="inlineStr">
        <is>
          <t>30-07-2026 09:42 IST</t>
        </is>
      </c>
    </row>
    <row r="2409">
      <c r="A2409" t="n">
        <v>391</v>
      </c>
      <c r="B2409" t="n">
        <v>517548</v>
      </c>
      <c r="C2409" t="inlineStr">
        <is>
          <t>Starlite Components Ltd</t>
        </is>
      </c>
      <c r="D2409" t="n">
        <v>2024</v>
      </c>
      <c r="E2409" t="n">
        <v>3.640000104904175</v>
      </c>
      <c r="F2409" t="n">
        <v>6.06</v>
      </c>
      <c r="G2409" t="inlineStr">
        <is>
          <t>Consolidated first (v4) – needs verification for flagged rows</t>
        </is>
      </c>
      <c r="H2409" t="n">
        <v>3.640000104904175</v>
      </c>
      <c r="I2409" t="n">
        <v>1.970000028610229</v>
      </c>
      <c r="L2409" t="inlineStr">
        <is>
          <t>OK</t>
        </is>
      </c>
      <c r="M2409" t="n">
        <v>0.6</v>
      </c>
      <c r="N2409" t="n">
        <v>0.33</v>
      </c>
      <c r="O2409" t="n">
        <v>3.42</v>
      </c>
      <c r="P2409" t="n">
        <v>3.64</v>
      </c>
      <c r="Q2409" t="n">
        <v>2.08</v>
      </c>
      <c r="R2409" s="3" t="inlineStr">
        <is>
          <t>MISMATCH_NEEDS_CORRECTION</t>
        </is>
      </c>
      <c r="S2409" t="n">
        <v>3.42</v>
      </c>
      <c r="T2409" t="inlineStr">
        <is>
          <t>30-07-2026 09:42 IST</t>
        </is>
      </c>
    </row>
    <row r="2410">
      <c r="A2410" t="n">
        <v>391</v>
      </c>
      <c r="B2410" t="n">
        <v>517548</v>
      </c>
      <c r="C2410" t="inlineStr">
        <is>
          <t>Starlite Components Ltd</t>
        </is>
      </c>
      <c r="D2410" t="n">
        <v>2025</v>
      </c>
      <c r="E2410" t="n">
        <v>3.640000104904175</v>
      </c>
      <c r="F2410" t="n">
        <v>-0.04</v>
      </c>
      <c r="G2410" t="inlineStr">
        <is>
          <t>Consolidated first (v4) – needs verification for flagged rows</t>
        </is>
      </c>
      <c r="H2410" t="n">
        <v>3.640000104904175</v>
      </c>
      <c r="I2410" t="n">
        <v>3.640000104904175</v>
      </c>
      <c r="L2410" t="inlineStr">
        <is>
          <t>UNVERIFIED – negative EPS</t>
        </is>
      </c>
      <c r="M2410" t="n">
        <v>-91</v>
      </c>
      <c r="N2410" t="n">
        <v>-91</v>
      </c>
      <c r="O2410" t="n">
        <v>3.42</v>
      </c>
      <c r="P2410" t="n">
        <v>3.64</v>
      </c>
      <c r="Q2410" t="n">
        <v>2.08</v>
      </c>
      <c r="R2410" s="3" t="inlineStr">
        <is>
          <t>MISMATCH_NEEDS_CORRECTION</t>
        </is>
      </c>
      <c r="S2410" t="n">
        <v>3.42</v>
      </c>
      <c r="T2410" t="inlineStr">
        <is>
          <t>30-07-2026 09:42 IST</t>
        </is>
      </c>
    </row>
    <row r="2411">
      <c r="A2411" t="n">
        <v>391</v>
      </c>
      <c r="B2411" t="n">
        <v>517548</v>
      </c>
      <c r="C2411" t="inlineStr">
        <is>
          <t>Starlite Components Ltd</t>
        </is>
      </c>
      <c r="D2411" t="n">
        <v>2026</v>
      </c>
      <c r="E2411" t="n">
        <v>3.640000104904175</v>
      </c>
      <c r="F2411" t="n">
        <v>-0.04</v>
      </c>
      <c r="G2411" t="inlineStr">
        <is>
          <t>Consolidated first (v4) – needs verification for flagged rows</t>
        </is>
      </c>
      <c r="H2411" t="n">
        <v>3.640000104904175</v>
      </c>
      <c r="I2411" t="n">
        <v>3.640000104904175</v>
      </c>
      <c r="L2411" t="inlineStr">
        <is>
          <t>UNVERIFIED – negative EPS</t>
        </is>
      </c>
      <c r="M2411" t="n">
        <v>-91</v>
      </c>
      <c r="N2411" t="n">
        <v>-91</v>
      </c>
      <c r="O2411" t="n">
        <v>3.42</v>
      </c>
      <c r="P2411" t="n">
        <v>3.64</v>
      </c>
      <c r="Q2411" t="n">
        <v>2.08</v>
      </c>
      <c r="R2411" s="3" t="inlineStr">
        <is>
          <t>MISMATCH_NEEDS_CORRECTION</t>
        </is>
      </c>
      <c r="S2411" t="n">
        <v>3.42</v>
      </c>
      <c r="T2411" t="inlineStr">
        <is>
          <t>30-07-2026 09:42 IST</t>
        </is>
      </c>
    </row>
    <row r="2412">
      <c r="A2412" t="n">
        <v>392</v>
      </c>
      <c r="B2412" t="n">
        <v>517562</v>
      </c>
      <c r="C2412" t="inlineStr">
        <is>
          <t>Triveni Turbine Ltd</t>
        </is>
      </c>
      <c r="D2412" t="n">
        <v>2015</v>
      </c>
      <c r="E2412" t="n">
        <v>53.58000183105469</v>
      </c>
      <c r="F2412" t="n">
        <v>8.32</v>
      </c>
      <c r="G2412" t="inlineStr">
        <is>
          <t>Consolidated first (v4) – needs verification for flagged rows</t>
        </is>
      </c>
      <c r="H2412" t="n">
        <v>100.6999969482422</v>
      </c>
      <c r="I2412" t="n">
        <v>26.75</v>
      </c>
      <c r="L2412" t="inlineStr">
        <is>
          <t>OK</t>
        </is>
      </c>
      <c r="M2412" t="n">
        <v>12.1</v>
      </c>
      <c r="N2412" t="n">
        <v>3.22</v>
      </c>
      <c r="O2412" t="n">
        <v>612.5</v>
      </c>
      <c r="P2412" t="n">
        <v>787.85</v>
      </c>
      <c r="Q2412" t="n">
        <v>428.5</v>
      </c>
      <c r="R2412" s="3" t="inlineStr">
        <is>
          <t>MISMATCH_NEEDS_CORRECTION</t>
        </is>
      </c>
      <c r="S2412" t="n">
        <v>612.5</v>
      </c>
      <c r="T2412" t="inlineStr">
        <is>
          <t>30-07-2026 09:42 IST</t>
        </is>
      </c>
    </row>
    <row r="2413">
      <c r="A2413" t="n">
        <v>392</v>
      </c>
      <c r="B2413" t="n">
        <v>517562</v>
      </c>
      <c r="C2413" t="inlineStr">
        <is>
          <t>Triveni Turbine Ltd</t>
        </is>
      </c>
      <c r="D2413" t="n">
        <v>2016</v>
      </c>
      <c r="E2413" t="n">
        <v>53.58000183105469</v>
      </c>
      <c r="F2413" t="n">
        <v>13.02</v>
      </c>
      <c r="G2413" t="inlineStr">
        <is>
          <t>Consolidated first (v4) – needs verification for flagged rows</t>
        </is>
      </c>
      <c r="H2413" t="n">
        <v>140.6000061035156</v>
      </c>
      <c r="I2413" t="n">
        <v>48.59999847412109</v>
      </c>
      <c r="L2413" t="inlineStr">
        <is>
          <t>OK</t>
        </is>
      </c>
      <c r="M2413" t="n">
        <v>10.8</v>
      </c>
      <c r="N2413" t="n">
        <v>3.73</v>
      </c>
      <c r="O2413" t="n">
        <v>612.5</v>
      </c>
      <c r="P2413" t="n">
        <v>787.85</v>
      </c>
      <c r="Q2413" t="n">
        <v>428.5</v>
      </c>
      <c r="R2413" s="3" t="inlineStr">
        <is>
          <t>MISMATCH_NEEDS_CORRECTION</t>
        </is>
      </c>
      <c r="S2413" t="n">
        <v>612.5</v>
      </c>
      <c r="T2413" t="inlineStr">
        <is>
          <t>30-07-2026 09:42 IST</t>
        </is>
      </c>
    </row>
    <row r="2414">
      <c r="A2414" t="n">
        <v>392</v>
      </c>
      <c r="B2414" t="n">
        <v>517562</v>
      </c>
      <c r="C2414" t="inlineStr">
        <is>
          <t>Triveni Turbine Ltd</t>
        </is>
      </c>
      <c r="D2414" t="n">
        <v>2017</v>
      </c>
      <c r="E2414" t="n">
        <v>53.58000183105469</v>
      </c>
      <c r="F2414" t="n">
        <v>13.13</v>
      </c>
      <c r="G2414" t="inlineStr">
        <is>
          <t>Consolidated first (v4) – needs verification for flagged rows</t>
        </is>
      </c>
      <c r="H2414" t="n">
        <v>164</v>
      </c>
      <c r="I2414" t="n">
        <v>87.65000152587891</v>
      </c>
      <c r="L2414" t="inlineStr">
        <is>
          <t>OK</t>
        </is>
      </c>
      <c r="M2414" t="n">
        <v>12.49</v>
      </c>
      <c r="N2414" t="n">
        <v>6.68</v>
      </c>
      <c r="O2414" t="n">
        <v>612.5</v>
      </c>
      <c r="P2414" t="n">
        <v>787.85</v>
      </c>
      <c r="Q2414" t="n">
        <v>428.5</v>
      </c>
      <c r="R2414" s="3" t="inlineStr">
        <is>
          <t>MISMATCH_NEEDS_CORRECTION</t>
        </is>
      </c>
      <c r="S2414" t="n">
        <v>612.5</v>
      </c>
      <c r="T2414" t="inlineStr">
        <is>
          <t>30-07-2026 09:42 IST</t>
        </is>
      </c>
    </row>
    <row r="2415">
      <c r="A2415" t="n">
        <v>392</v>
      </c>
      <c r="B2415" t="n">
        <v>517562</v>
      </c>
      <c r="C2415" t="inlineStr">
        <is>
          <t>Triveni Turbine Ltd</t>
        </is>
      </c>
      <c r="D2415" t="n">
        <v>2018</v>
      </c>
      <c r="E2415" t="n">
        <v>53.58000183105469</v>
      </c>
      <c r="F2415" t="n">
        <v>13.2</v>
      </c>
      <c r="G2415" t="inlineStr">
        <is>
          <t>Consolidated first (v4) – needs verification for flagged rows</t>
        </is>
      </c>
      <c r="H2415" t="n">
        <v>189.4499969482422</v>
      </c>
      <c r="I2415" t="n">
        <v>64.25</v>
      </c>
      <c r="L2415" t="inlineStr">
        <is>
          <t>OK</t>
        </is>
      </c>
      <c r="M2415" t="n">
        <v>14.35</v>
      </c>
      <c r="N2415" t="n">
        <v>4.87</v>
      </c>
      <c r="O2415" t="n">
        <v>612.5</v>
      </c>
      <c r="P2415" t="n">
        <v>787.85</v>
      </c>
      <c r="Q2415" t="n">
        <v>428.5</v>
      </c>
      <c r="R2415" s="3" t="inlineStr">
        <is>
          <t>MISMATCH_NEEDS_CORRECTION</t>
        </is>
      </c>
      <c r="S2415" t="n">
        <v>612.5</v>
      </c>
      <c r="T2415" t="inlineStr">
        <is>
          <t>30-07-2026 09:42 IST</t>
        </is>
      </c>
    </row>
    <row r="2416">
      <c r="A2416" t="n">
        <v>392</v>
      </c>
      <c r="B2416" t="n">
        <v>517562</v>
      </c>
      <c r="C2416" t="inlineStr">
        <is>
          <t>Triveni Turbine Ltd</t>
        </is>
      </c>
      <c r="D2416" t="n">
        <v>2019</v>
      </c>
      <c r="E2416" t="n">
        <v>53.58000183105469</v>
      </c>
      <c r="F2416" t="n">
        <v>15.74</v>
      </c>
      <c r="G2416" t="inlineStr">
        <is>
          <t>Consolidated first (v4) – needs verification for flagged rows</t>
        </is>
      </c>
      <c r="H2416" t="n">
        <v>90.25</v>
      </c>
      <c r="I2416" t="n">
        <v>39</v>
      </c>
      <c r="L2416" t="inlineStr">
        <is>
          <t>OK</t>
        </is>
      </c>
      <c r="M2416" t="n">
        <v>5.73</v>
      </c>
      <c r="N2416" t="n">
        <v>2.48</v>
      </c>
      <c r="O2416" t="n">
        <v>612.5</v>
      </c>
      <c r="P2416" t="n">
        <v>787.85</v>
      </c>
      <c r="Q2416" t="n">
        <v>428.5</v>
      </c>
      <c r="R2416" s="3" t="inlineStr">
        <is>
          <t>MISMATCH_NEEDS_CORRECTION</t>
        </is>
      </c>
      <c r="S2416" t="n">
        <v>612.5</v>
      </c>
      <c r="T2416" t="inlineStr">
        <is>
          <t>30-07-2026 09:42 IST</t>
        </is>
      </c>
    </row>
    <row r="2417">
      <c r="A2417" t="n">
        <v>392</v>
      </c>
      <c r="B2417" t="n">
        <v>517562</v>
      </c>
      <c r="C2417" t="inlineStr">
        <is>
          <t>Triveni Turbine Ltd</t>
        </is>
      </c>
      <c r="D2417" t="n">
        <v>2020</v>
      </c>
      <c r="E2417" t="n">
        <v>53.58000183105469</v>
      </c>
      <c r="F2417" t="n">
        <v>16.27</v>
      </c>
      <c r="G2417" t="inlineStr">
        <is>
          <t>Consolidated first (v4) – needs verification for flagged rows</t>
        </is>
      </c>
      <c r="H2417" t="n">
        <v>88.84999847412109</v>
      </c>
      <c r="I2417" t="n">
        <v>18.64999961853027</v>
      </c>
      <c r="L2417" t="inlineStr">
        <is>
          <t>OK</t>
        </is>
      </c>
      <c r="M2417" t="n">
        <v>5.46</v>
      </c>
      <c r="N2417" t="n">
        <v>1.15</v>
      </c>
      <c r="O2417" t="n">
        <v>612.5</v>
      </c>
      <c r="P2417" t="n">
        <v>787.85</v>
      </c>
      <c r="Q2417" t="n">
        <v>428.5</v>
      </c>
      <c r="R2417" s="3" t="inlineStr">
        <is>
          <t>MISMATCH_NEEDS_CORRECTION</t>
        </is>
      </c>
      <c r="S2417" t="n">
        <v>612.5</v>
      </c>
      <c r="T2417" t="inlineStr">
        <is>
          <t>30-07-2026 09:42 IST</t>
        </is>
      </c>
    </row>
    <row r="2418">
      <c r="A2418" t="n">
        <v>392</v>
      </c>
      <c r="B2418" t="n">
        <v>517562</v>
      </c>
      <c r="C2418" t="inlineStr">
        <is>
          <t>Triveni Turbine Ltd</t>
        </is>
      </c>
      <c r="D2418" t="n">
        <v>2021</v>
      </c>
      <c r="E2418" t="n">
        <v>53.58000183105469</v>
      </c>
      <c r="F2418" t="n">
        <v>20.19</v>
      </c>
      <c r="G2418" t="inlineStr">
        <is>
          <t>Consolidated first (v4) – needs verification for flagged rows</t>
        </is>
      </c>
      <c r="H2418" t="n">
        <v>173</v>
      </c>
      <c r="I2418" t="n">
        <v>57.04999923706055</v>
      </c>
      <c r="L2418" t="inlineStr">
        <is>
          <t>OK</t>
        </is>
      </c>
      <c r="M2418" t="n">
        <v>8.57</v>
      </c>
      <c r="N2418" t="n">
        <v>2.83</v>
      </c>
      <c r="O2418" t="n">
        <v>612.5</v>
      </c>
      <c r="P2418" t="n">
        <v>787.85</v>
      </c>
      <c r="Q2418" t="n">
        <v>428.5</v>
      </c>
      <c r="R2418" s="3" t="inlineStr">
        <is>
          <t>MISMATCH_NEEDS_CORRECTION</t>
        </is>
      </c>
      <c r="S2418" t="n">
        <v>612.5</v>
      </c>
      <c r="T2418" t="inlineStr">
        <is>
          <t>30-07-2026 09:42 IST</t>
        </is>
      </c>
    </row>
    <row r="2419">
      <c r="A2419" t="n">
        <v>392</v>
      </c>
      <c r="B2419" t="n">
        <v>517562</v>
      </c>
      <c r="C2419" t="inlineStr">
        <is>
          <t>Triveni Turbine Ltd</t>
        </is>
      </c>
      <c r="D2419" t="n">
        <v>2022</v>
      </c>
      <c r="E2419" t="n">
        <v>53.58000183105469</v>
      </c>
      <c r="F2419" t="n">
        <v>12.69</v>
      </c>
      <c r="G2419" t="inlineStr">
        <is>
          <t>Consolidated first (v4) – needs verification for flagged rows</t>
        </is>
      </c>
      <c r="H2419" t="n">
        <v>218.6000061035156</v>
      </c>
      <c r="I2419" t="n">
        <v>86</v>
      </c>
      <c r="L2419" t="inlineStr">
        <is>
          <t>OK</t>
        </is>
      </c>
      <c r="M2419" t="n">
        <v>17.23</v>
      </c>
      <c r="N2419" t="n">
        <v>6.78</v>
      </c>
      <c r="O2419" t="n">
        <v>612.5</v>
      </c>
      <c r="P2419" t="n">
        <v>787.85</v>
      </c>
      <c r="Q2419" t="n">
        <v>428.5</v>
      </c>
      <c r="R2419" s="3" t="inlineStr">
        <is>
          <t>MISMATCH_NEEDS_CORRECTION</t>
        </is>
      </c>
      <c r="S2419" t="n">
        <v>612.5</v>
      </c>
      <c r="T2419" t="inlineStr">
        <is>
          <t>30-07-2026 09:42 IST</t>
        </is>
      </c>
    </row>
    <row r="2420">
      <c r="A2420" t="n">
        <v>392</v>
      </c>
      <c r="B2420" t="n">
        <v>517562</v>
      </c>
      <c r="C2420" t="inlineStr">
        <is>
          <t>Triveni Turbine Ltd</t>
        </is>
      </c>
      <c r="D2420" t="n">
        <v>2023</v>
      </c>
      <c r="E2420" t="n">
        <v>53.58000183105469</v>
      </c>
      <c r="F2420" t="n">
        <v>11.26</v>
      </c>
      <c r="G2420" t="inlineStr">
        <is>
          <t>Consolidated first (v4) – needs verification for flagged rows</t>
        </is>
      </c>
      <c r="H2420" t="n">
        <v>148</v>
      </c>
      <c r="I2420" t="n">
        <v>84.75</v>
      </c>
      <c r="L2420" t="inlineStr">
        <is>
          <t>OK</t>
        </is>
      </c>
      <c r="M2420" t="n">
        <v>13.14</v>
      </c>
      <c r="N2420" t="n">
        <v>7.53</v>
      </c>
      <c r="O2420" t="n">
        <v>612.5</v>
      </c>
      <c r="P2420" t="n">
        <v>787.85</v>
      </c>
      <c r="Q2420" t="n">
        <v>428.5</v>
      </c>
      <c r="R2420" s="3" t="inlineStr">
        <is>
          <t>MISMATCH_NEEDS_CORRECTION</t>
        </is>
      </c>
      <c r="S2420" t="n">
        <v>612.5</v>
      </c>
      <c r="T2420" t="inlineStr">
        <is>
          <t>30-07-2026 09:42 IST</t>
        </is>
      </c>
    </row>
    <row r="2421">
      <c r="A2421" t="n">
        <v>392</v>
      </c>
      <c r="B2421" t="n">
        <v>517562</v>
      </c>
      <c r="C2421" t="inlineStr">
        <is>
          <t>Triveni Turbine Ltd</t>
        </is>
      </c>
      <c r="D2421" t="n">
        <v>2024</v>
      </c>
      <c r="E2421" t="n">
        <v>53.58000183105469</v>
      </c>
      <c r="F2421" t="n">
        <v>6.48</v>
      </c>
      <c r="G2421" t="inlineStr">
        <is>
          <t>Consolidated first (v4) – needs verification for flagged rows</t>
        </is>
      </c>
      <c r="H2421" t="n">
        <v>167.8999938964844</v>
      </c>
      <c r="I2421" t="n">
        <v>92.44999694824219</v>
      </c>
      <c r="L2421" t="inlineStr">
        <is>
          <t>OK</t>
        </is>
      </c>
      <c r="M2421" t="n">
        <v>25.91</v>
      </c>
      <c r="N2421" t="n">
        <v>14.27</v>
      </c>
      <c r="O2421" t="n">
        <v>612.5</v>
      </c>
      <c r="P2421" t="n">
        <v>787.85</v>
      </c>
      <c r="Q2421" t="n">
        <v>428.5</v>
      </c>
      <c r="R2421" s="3" t="inlineStr">
        <is>
          <t>MISMATCH_NEEDS_CORRECTION</t>
        </is>
      </c>
      <c r="S2421" t="n">
        <v>612.5</v>
      </c>
      <c r="T2421" t="inlineStr">
        <is>
          <t>30-07-2026 09:42 IST</t>
        </is>
      </c>
    </row>
    <row r="2422">
      <c r="A2422" t="n">
        <v>392</v>
      </c>
      <c r="B2422" t="n">
        <v>517562</v>
      </c>
      <c r="C2422" t="inlineStr">
        <is>
          <t>Triveni Turbine Ltd</t>
        </is>
      </c>
      <c r="D2422" t="n">
        <v>2025</v>
      </c>
      <c r="E2422" t="n">
        <v>53.58000183105469</v>
      </c>
      <c r="F2422" t="n">
        <v>3.82</v>
      </c>
      <c r="G2422" t="inlineStr">
        <is>
          <t>Consolidated first (v4) – needs verification for flagged rows</t>
        </is>
      </c>
      <c r="H2422" t="n">
        <v>122.3000030517578</v>
      </c>
      <c r="I2422" t="n">
        <v>60</v>
      </c>
      <c r="L2422" t="inlineStr">
        <is>
          <t>OK</t>
        </is>
      </c>
      <c r="M2422" t="n">
        <v>32.02</v>
      </c>
      <c r="N2422" t="n">
        <v>15.71</v>
      </c>
      <c r="O2422" t="n">
        <v>612.5</v>
      </c>
      <c r="P2422" t="n">
        <v>787.85</v>
      </c>
      <c r="Q2422" t="n">
        <v>428.5</v>
      </c>
      <c r="R2422" s="3" t="inlineStr">
        <is>
          <t>MISMATCH_NEEDS_CORRECTION</t>
        </is>
      </c>
      <c r="S2422" t="n">
        <v>612.5</v>
      </c>
      <c r="T2422" t="inlineStr">
        <is>
          <t>30-07-2026 09:42 IST</t>
        </is>
      </c>
    </row>
    <row r="2423">
      <c r="A2423" t="n">
        <v>392</v>
      </c>
      <c r="B2423" t="n">
        <v>517562</v>
      </c>
      <c r="C2423" t="inlineStr">
        <is>
          <t>Triveni Turbine Ltd</t>
        </is>
      </c>
      <c r="D2423" t="n">
        <v>2026</v>
      </c>
      <c r="E2423" t="n">
        <v>53.58000183105469</v>
      </c>
      <c r="F2423" t="n">
        <v>0.65</v>
      </c>
      <c r="G2423" t="inlineStr">
        <is>
          <t>Consolidated first (v4) – needs verification for flagged rows</t>
        </is>
      </c>
      <c r="H2423" t="n">
        <v>69.98999786376953</v>
      </c>
      <c r="I2423" t="n">
        <v>37.33000183105469</v>
      </c>
      <c r="L2423" t="inlineStr">
        <is>
          <t>OK</t>
        </is>
      </c>
      <c r="M2423" t="n">
        <v>107.68</v>
      </c>
      <c r="N2423" t="n">
        <v>57.43</v>
      </c>
      <c r="O2423" t="n">
        <v>612.5</v>
      </c>
      <c r="P2423" t="n">
        <v>787.85</v>
      </c>
      <c r="Q2423" t="n">
        <v>428.5</v>
      </c>
      <c r="R2423" s="3" t="inlineStr">
        <is>
          <t>MISMATCH_NEEDS_CORRECTION</t>
        </is>
      </c>
      <c r="S2423" t="n">
        <v>612.5</v>
      </c>
      <c r="T2423" t="inlineStr">
        <is>
          <t>30-07-2026 09:42 IST</t>
        </is>
      </c>
    </row>
    <row r="2424">
      <c r="A2424" t="n">
        <v>393</v>
      </c>
      <c r="B2424" t="n">
        <v>517569</v>
      </c>
      <c r="C2424" t="inlineStr">
        <is>
          <t>Nava Ltd</t>
        </is>
      </c>
      <c r="D2424" t="n">
        <v>2015</v>
      </c>
      <c r="E2424" t="n">
        <v>4898.5498046875</v>
      </c>
      <c r="F2424" t="n">
        <v>4.43</v>
      </c>
      <c r="G2424" t="inlineStr">
        <is>
          <t>Consolidated first (v4) – needs verification for flagged rows</t>
        </is>
      </c>
      <c r="H2424" t="n">
        <v>123.5999984741211</v>
      </c>
      <c r="I2424" t="n">
        <v>45</v>
      </c>
      <c r="L2424" t="inlineStr">
        <is>
          <t>OK</t>
        </is>
      </c>
      <c r="M2424" t="n">
        <v>27.9</v>
      </c>
      <c r="N2424" t="n">
        <v>10.16</v>
      </c>
      <c r="O2424" t="n">
        <v>555.6</v>
      </c>
      <c r="P2424" t="n">
        <v>739.4</v>
      </c>
      <c r="Q2424" t="n">
        <v>501.65</v>
      </c>
      <c r="R2424" s="3" t="inlineStr">
        <is>
          <t>MISMATCH_NEEDS_CORRECTION</t>
        </is>
      </c>
      <c r="S2424" t="n">
        <v>555.6</v>
      </c>
      <c r="T2424" t="inlineStr">
        <is>
          <t>30-07-2026 09:42 IST</t>
        </is>
      </c>
    </row>
    <row r="2425">
      <c r="A2425" t="n">
        <v>393</v>
      </c>
      <c r="B2425" t="n">
        <v>517569</v>
      </c>
      <c r="C2425" t="inlineStr">
        <is>
          <t>Nava Ltd</t>
        </is>
      </c>
      <c r="D2425" t="n">
        <v>2016</v>
      </c>
      <c r="E2425" t="n">
        <v>4898.5498046875</v>
      </c>
      <c r="F2425" t="n">
        <v>8.1</v>
      </c>
      <c r="G2425" t="inlineStr">
        <is>
          <t>Consolidated first (v4) – needs verification for flagged rows</t>
        </is>
      </c>
      <c r="H2425" t="n">
        <v>139.5</v>
      </c>
      <c r="I2425" t="n">
        <v>86</v>
      </c>
      <c r="L2425" t="inlineStr">
        <is>
          <t>OK</t>
        </is>
      </c>
      <c r="M2425" t="n">
        <v>17.22</v>
      </c>
      <c r="N2425" t="n">
        <v>10.62</v>
      </c>
      <c r="O2425" t="n">
        <v>555.6</v>
      </c>
      <c r="P2425" t="n">
        <v>739.4</v>
      </c>
      <c r="Q2425" t="n">
        <v>501.65</v>
      </c>
      <c r="R2425" s="3" t="inlineStr">
        <is>
          <t>MISMATCH_NEEDS_CORRECTION</t>
        </is>
      </c>
      <c r="S2425" t="n">
        <v>555.6</v>
      </c>
      <c r="T2425" t="inlineStr">
        <is>
          <t>30-07-2026 09:42 IST</t>
        </is>
      </c>
    </row>
    <row r="2426">
      <c r="A2426" t="n">
        <v>393</v>
      </c>
      <c r="B2426" t="n">
        <v>517569</v>
      </c>
      <c r="C2426" t="inlineStr">
        <is>
          <t>Nava Ltd</t>
        </is>
      </c>
      <c r="D2426" t="n">
        <v>2017</v>
      </c>
      <c r="E2426" t="n">
        <v>4898.5498046875</v>
      </c>
      <c r="F2426" t="n">
        <v>12.04</v>
      </c>
      <c r="G2426" t="inlineStr">
        <is>
          <t>Consolidated first (v4) – needs verification for flagged rows</t>
        </is>
      </c>
      <c r="H2426" t="n">
        <v>423.4500122070312</v>
      </c>
      <c r="I2426" t="n">
        <v>124.9499969482422</v>
      </c>
      <c r="L2426" t="inlineStr">
        <is>
          <t>OK</t>
        </is>
      </c>
      <c r="M2426" t="n">
        <v>35.17</v>
      </c>
      <c r="N2426" t="n">
        <v>10.38</v>
      </c>
      <c r="O2426" t="n">
        <v>555.6</v>
      </c>
      <c r="P2426" t="n">
        <v>739.4</v>
      </c>
      <c r="Q2426" t="n">
        <v>501.65</v>
      </c>
      <c r="R2426" s="3" t="inlineStr">
        <is>
          <t>MISMATCH_NEEDS_CORRECTION</t>
        </is>
      </c>
      <c r="S2426" t="n">
        <v>555.6</v>
      </c>
      <c r="T2426" t="inlineStr">
        <is>
          <t>30-07-2026 09:42 IST</t>
        </is>
      </c>
    </row>
    <row r="2427">
      <c r="A2427" t="n">
        <v>393</v>
      </c>
      <c r="B2427" t="n">
        <v>517569</v>
      </c>
      <c r="C2427" t="inlineStr">
        <is>
          <t>Nava Ltd</t>
        </is>
      </c>
      <c r="D2427" t="n">
        <v>2018</v>
      </c>
      <c r="E2427" t="n">
        <v>4898.5498046875</v>
      </c>
      <c r="F2427" t="n">
        <v>18.47</v>
      </c>
      <c r="G2427" t="inlineStr">
        <is>
          <t>Consolidated first (v4) – needs verification for flagged rows</t>
        </is>
      </c>
      <c r="H2427" t="n">
        <v>494.7999877929688</v>
      </c>
      <c r="I2427" t="n">
        <v>248.3999938964844</v>
      </c>
      <c r="L2427" t="inlineStr">
        <is>
          <t>OK</t>
        </is>
      </c>
      <c r="M2427" t="n">
        <v>26.79</v>
      </c>
      <c r="N2427" t="n">
        <v>13.45</v>
      </c>
      <c r="O2427" t="n">
        <v>555.6</v>
      </c>
      <c r="P2427" t="n">
        <v>739.4</v>
      </c>
      <c r="Q2427" t="n">
        <v>501.65</v>
      </c>
      <c r="R2427" s="3" t="inlineStr">
        <is>
          <t>MISMATCH_NEEDS_CORRECTION</t>
        </is>
      </c>
      <c r="S2427" t="n">
        <v>555.6</v>
      </c>
      <c r="T2427" t="inlineStr">
        <is>
          <t>30-07-2026 09:42 IST</t>
        </is>
      </c>
    </row>
    <row r="2428">
      <c r="A2428" t="n">
        <v>393</v>
      </c>
      <c r="B2428" t="n">
        <v>517569</v>
      </c>
      <c r="C2428" t="inlineStr">
        <is>
          <t>Nava Ltd</t>
        </is>
      </c>
      <c r="D2428" t="n">
        <v>2019</v>
      </c>
      <c r="E2428" t="n">
        <v>4898.5498046875</v>
      </c>
      <c r="F2428" t="n">
        <v>22.92</v>
      </c>
      <c r="G2428" t="inlineStr">
        <is>
          <t>Consolidated first (v4) – needs verification for flagged rows</t>
        </is>
      </c>
      <c r="H2428" t="n">
        <v>614.7000122070312</v>
      </c>
      <c r="I2428" t="n">
        <v>306</v>
      </c>
      <c r="L2428" t="inlineStr">
        <is>
          <t>OK</t>
        </is>
      </c>
      <c r="M2428" t="n">
        <v>26.82</v>
      </c>
      <c r="N2428" t="n">
        <v>13.35</v>
      </c>
      <c r="O2428" t="n">
        <v>555.6</v>
      </c>
      <c r="P2428" t="n">
        <v>739.4</v>
      </c>
      <c r="Q2428" t="n">
        <v>501.65</v>
      </c>
      <c r="R2428" s="3" t="inlineStr">
        <is>
          <t>MISMATCH_NEEDS_CORRECTION</t>
        </is>
      </c>
      <c r="S2428" t="n">
        <v>555.6</v>
      </c>
      <c r="T2428" t="inlineStr">
        <is>
          <t>30-07-2026 09:42 IST</t>
        </is>
      </c>
    </row>
    <row r="2429">
      <c r="A2429" t="n">
        <v>393</v>
      </c>
      <c r="B2429" t="n">
        <v>517569</v>
      </c>
      <c r="C2429" t="inlineStr">
        <is>
          <t>Nava Ltd</t>
        </is>
      </c>
      <c r="D2429" t="n">
        <v>2020</v>
      </c>
      <c r="E2429" t="n">
        <v>4898.5498046875</v>
      </c>
      <c r="F2429" t="n">
        <v>28.64</v>
      </c>
      <c r="G2429" t="inlineStr">
        <is>
          <t>Consolidated first (v4) – needs verification for flagged rows</t>
        </is>
      </c>
      <c r="H2429" t="n">
        <v>580</v>
      </c>
      <c r="I2429" t="n">
        <v>208.3999938964844</v>
      </c>
      <c r="L2429" t="inlineStr">
        <is>
          <t>OK</t>
        </is>
      </c>
      <c r="M2429" t="n">
        <v>20.25</v>
      </c>
      <c r="N2429" t="n">
        <v>7.28</v>
      </c>
      <c r="O2429" t="n">
        <v>555.6</v>
      </c>
      <c r="P2429" t="n">
        <v>739.4</v>
      </c>
      <c r="Q2429" t="n">
        <v>501.65</v>
      </c>
      <c r="R2429" s="3" t="inlineStr">
        <is>
          <t>MISMATCH_NEEDS_CORRECTION</t>
        </is>
      </c>
      <c r="S2429" t="n">
        <v>555.6</v>
      </c>
      <c r="T2429" t="inlineStr">
        <is>
          <t>30-07-2026 09:42 IST</t>
        </is>
      </c>
    </row>
    <row r="2430">
      <c r="A2430" t="n">
        <v>393</v>
      </c>
      <c r="B2430" t="n">
        <v>517569</v>
      </c>
      <c r="C2430" t="inlineStr">
        <is>
          <t>Nava Ltd</t>
        </is>
      </c>
      <c r="D2430" t="n">
        <v>2021</v>
      </c>
      <c r="E2430" t="n">
        <v>4898.5498046875</v>
      </c>
      <c r="F2430" t="n">
        <v>30.33</v>
      </c>
      <c r="G2430" t="inlineStr">
        <is>
          <t>Consolidated first (v4) – needs verification for flagged rows</t>
        </is>
      </c>
      <c r="H2430" t="n">
        <v>1264</v>
      </c>
      <c r="I2430" t="n">
        <v>450</v>
      </c>
      <c r="L2430" t="inlineStr">
        <is>
          <t>OK</t>
        </is>
      </c>
      <c r="M2430" t="n">
        <v>41.67</v>
      </c>
      <c r="N2430" t="n">
        <v>14.84</v>
      </c>
      <c r="O2430" t="n">
        <v>555.6</v>
      </c>
      <c r="P2430" t="n">
        <v>739.4</v>
      </c>
      <c r="Q2430" t="n">
        <v>501.65</v>
      </c>
      <c r="R2430" s="3" t="inlineStr">
        <is>
          <t>MISMATCH_NEEDS_CORRECTION</t>
        </is>
      </c>
      <c r="S2430" t="n">
        <v>555.6</v>
      </c>
      <c r="T2430" t="inlineStr">
        <is>
          <t>30-07-2026 09:42 IST</t>
        </is>
      </c>
    </row>
    <row r="2431">
      <c r="A2431" t="n">
        <v>393</v>
      </c>
      <c r="B2431" t="n">
        <v>517569</v>
      </c>
      <c r="C2431" t="inlineStr">
        <is>
          <t>Nava Ltd</t>
        </is>
      </c>
      <c r="D2431" t="n">
        <v>2022</v>
      </c>
      <c r="E2431" t="n">
        <v>4898.5498046875</v>
      </c>
      <c r="F2431" t="n">
        <v>41.73</v>
      </c>
      <c r="G2431" t="inlineStr">
        <is>
          <t>Consolidated first (v4) – needs verification for flagged rows</t>
        </is>
      </c>
      <c r="H2431" t="n">
        <v>1662.449951171875</v>
      </c>
      <c r="I2431" t="n">
        <v>905.2000122070312</v>
      </c>
      <c r="L2431" t="inlineStr">
        <is>
          <t>OK</t>
        </is>
      </c>
      <c r="M2431" t="n">
        <v>39.84</v>
      </c>
      <c r="N2431" t="n">
        <v>21.69</v>
      </c>
      <c r="O2431" t="n">
        <v>555.6</v>
      </c>
      <c r="P2431" t="n">
        <v>739.4</v>
      </c>
      <c r="Q2431" t="n">
        <v>501.65</v>
      </c>
      <c r="R2431" s="3" t="inlineStr">
        <is>
          <t>MISMATCH_NEEDS_CORRECTION</t>
        </is>
      </c>
      <c r="S2431" t="n">
        <v>555.6</v>
      </c>
      <c r="T2431" t="inlineStr">
        <is>
          <t>30-07-2026 09:42 IST</t>
        </is>
      </c>
    </row>
    <row r="2432">
      <c r="A2432" t="n">
        <v>393</v>
      </c>
      <c r="B2432" t="n">
        <v>517569</v>
      </c>
      <c r="C2432" t="inlineStr">
        <is>
          <t>Nava Ltd</t>
        </is>
      </c>
      <c r="D2432" t="n">
        <v>2023</v>
      </c>
      <c r="E2432" t="n">
        <v>4898.5498046875</v>
      </c>
      <c r="F2432" t="n">
        <v>52.93</v>
      </c>
      <c r="G2432" t="inlineStr">
        <is>
          <t>Consolidated first (v4) – needs verification for flagged rows</t>
        </is>
      </c>
      <c r="H2432" t="n">
        <v>3306.10009765625</v>
      </c>
      <c r="I2432" t="n">
        <v>1412</v>
      </c>
      <c r="L2432" t="inlineStr">
        <is>
          <t>OK</t>
        </is>
      </c>
      <c r="M2432" t="n">
        <v>62.46</v>
      </c>
      <c r="N2432" t="n">
        <v>26.68</v>
      </c>
      <c r="O2432" t="n">
        <v>555.6</v>
      </c>
      <c r="P2432" t="n">
        <v>739.4</v>
      </c>
      <c r="Q2432" t="n">
        <v>501.65</v>
      </c>
      <c r="R2432" s="3" t="inlineStr">
        <is>
          <t>MISMATCH_NEEDS_CORRECTION</t>
        </is>
      </c>
      <c r="S2432" t="n">
        <v>555.6</v>
      </c>
      <c r="T2432" t="inlineStr">
        <is>
          <t>30-07-2026 09:42 IST</t>
        </is>
      </c>
    </row>
    <row r="2433">
      <c r="A2433" t="n">
        <v>393</v>
      </c>
      <c r="B2433" t="n">
        <v>517569</v>
      </c>
      <c r="C2433" t="inlineStr">
        <is>
          <t>Nava Ltd</t>
        </is>
      </c>
      <c r="D2433" t="n">
        <v>2024</v>
      </c>
      <c r="E2433" t="n">
        <v>4898.5498046875</v>
      </c>
      <c r="F2433" t="n">
        <v>64.34999999999999</v>
      </c>
      <c r="G2433" t="inlineStr">
        <is>
          <t>Consolidated first (v4) – needs verification for flagged rows</t>
        </is>
      </c>
      <c r="H2433" t="n">
        <v>5040.39990234375</v>
      </c>
      <c r="I2433" t="n">
        <v>2822.14990234375</v>
      </c>
      <c r="L2433" t="inlineStr">
        <is>
          <t>OK</t>
        </is>
      </c>
      <c r="M2433" t="n">
        <v>78.33</v>
      </c>
      <c r="N2433" t="n">
        <v>43.86</v>
      </c>
      <c r="O2433" t="n">
        <v>555.6</v>
      </c>
      <c r="P2433" t="n">
        <v>739.4</v>
      </c>
      <c r="Q2433" t="n">
        <v>501.65</v>
      </c>
      <c r="R2433" s="3" t="inlineStr">
        <is>
          <t>MISMATCH_NEEDS_CORRECTION</t>
        </is>
      </c>
      <c r="S2433" t="n">
        <v>555.6</v>
      </c>
      <c r="T2433" t="inlineStr">
        <is>
          <t>30-07-2026 09:42 IST</t>
        </is>
      </c>
    </row>
    <row r="2434">
      <c r="A2434" t="n">
        <v>393</v>
      </c>
      <c r="B2434" t="n">
        <v>517569</v>
      </c>
      <c r="C2434" t="inlineStr">
        <is>
          <t>Nava Ltd</t>
        </is>
      </c>
      <c r="D2434" t="n">
        <v>2025</v>
      </c>
      <c r="E2434" t="n">
        <v>4898.5498046875</v>
      </c>
      <c r="F2434" t="n">
        <v>72.88</v>
      </c>
      <c r="G2434" t="inlineStr">
        <is>
          <t>Consolidated first (v4) – needs verification for flagged rows</t>
        </is>
      </c>
      <c r="H2434" t="n">
        <v>4574.64990234375</v>
      </c>
      <c r="I2434" t="n">
        <v>2443.699951171875</v>
      </c>
      <c r="L2434" t="inlineStr">
        <is>
          <t>OK</t>
        </is>
      </c>
      <c r="M2434" t="n">
        <v>62.77</v>
      </c>
      <c r="N2434" t="n">
        <v>33.53</v>
      </c>
      <c r="O2434" t="n">
        <v>555.6</v>
      </c>
      <c r="P2434" t="n">
        <v>739.4</v>
      </c>
      <c r="Q2434" t="n">
        <v>501.65</v>
      </c>
      <c r="R2434" s="3" t="inlineStr">
        <is>
          <t>MISMATCH_NEEDS_CORRECTION</t>
        </is>
      </c>
      <c r="S2434" t="n">
        <v>555.6</v>
      </c>
      <c r="T2434" t="inlineStr">
        <is>
          <t>30-07-2026 09:42 IST</t>
        </is>
      </c>
    </row>
    <row r="2435">
      <c r="A2435" t="n">
        <v>393</v>
      </c>
      <c r="B2435" t="n">
        <v>517569</v>
      </c>
      <c r="C2435" t="inlineStr">
        <is>
          <t>Nava Ltd</t>
        </is>
      </c>
      <c r="D2435" t="n">
        <v>2026</v>
      </c>
      <c r="E2435" t="n">
        <v>4898.5498046875</v>
      </c>
      <c r="F2435" t="n">
        <v>96.06999999999999</v>
      </c>
      <c r="G2435" t="inlineStr">
        <is>
          <t>Consolidated first (v4) – needs verification for flagged rows</t>
        </is>
      </c>
      <c r="H2435" t="n">
        <v>5705</v>
      </c>
      <c r="I2435" t="n">
        <v>3730</v>
      </c>
      <c r="L2435" t="inlineStr">
        <is>
          <t>OK</t>
        </is>
      </c>
      <c r="M2435" t="n">
        <v>59.38</v>
      </c>
      <c r="N2435" t="n">
        <v>38.83</v>
      </c>
      <c r="O2435" t="n">
        <v>555.6</v>
      </c>
      <c r="P2435" t="n">
        <v>739.4</v>
      </c>
      <c r="Q2435" t="n">
        <v>501.65</v>
      </c>
      <c r="R2435" s="3" t="inlineStr">
        <is>
          <t>MISMATCH_NEEDS_CORRECTION</t>
        </is>
      </c>
      <c r="S2435" t="n">
        <v>555.6</v>
      </c>
      <c r="T2435" t="inlineStr">
        <is>
          <t>30-07-2026 09:42 IST</t>
        </is>
      </c>
    </row>
    <row r="2436">
      <c r="A2436" t="n">
        <v>394</v>
      </c>
      <c r="B2436" t="n">
        <v>517571</v>
      </c>
      <c r="C2436" t="inlineStr">
        <is>
          <t>Indsil Hydro Power And Manganese Ltd</t>
        </is>
      </c>
      <c r="D2436" t="n">
        <v>2015</v>
      </c>
      <c r="E2436" t="n">
        <v>25.63451957702637</v>
      </c>
      <c r="F2436" t="n">
        <v>3.2</v>
      </c>
      <c r="G2436" t="inlineStr">
        <is>
          <t>Consolidated first (v4) – needs verification for flagged rows</t>
        </is>
      </c>
      <c r="H2436" t="n">
        <v>123.6999969482422</v>
      </c>
      <c r="I2436" t="n">
        <v>44.15000152587891</v>
      </c>
      <c r="L2436" t="inlineStr">
        <is>
          <t>OK</t>
        </is>
      </c>
      <c r="M2436" t="n">
        <v>38.66</v>
      </c>
      <c r="N2436" t="n">
        <v>13.8</v>
      </c>
      <c r="O2436" t="n">
        <v>38.51</v>
      </c>
      <c r="P2436" t="n">
        <v>62</v>
      </c>
      <c r="Q2436" t="n">
        <v>29.5</v>
      </c>
      <c r="R2436" s="3" t="inlineStr">
        <is>
          <t>MISMATCH_NEEDS_CORRECTION</t>
        </is>
      </c>
      <c r="S2436" t="n">
        <v>38.51</v>
      </c>
      <c r="T2436" t="inlineStr">
        <is>
          <t>30-07-2026 09:42 IST</t>
        </is>
      </c>
    </row>
    <row r="2437">
      <c r="A2437" t="n">
        <v>394</v>
      </c>
      <c r="B2437" t="n">
        <v>517571</v>
      </c>
      <c r="C2437" t="inlineStr">
        <is>
          <t>Indsil Hydro Power And Manganese Ltd</t>
        </is>
      </c>
      <c r="D2437" t="n">
        <v>2016</v>
      </c>
      <c r="E2437" t="n">
        <v>25.63451957702637</v>
      </c>
      <c r="F2437" t="n">
        <v>3.95</v>
      </c>
      <c r="G2437" t="inlineStr">
        <is>
          <t>Consolidated first (v4) – needs verification for flagged rows</t>
        </is>
      </c>
      <c r="H2437" t="n">
        <v>124.9499969482422</v>
      </c>
      <c r="I2437" t="n">
        <v>68</v>
      </c>
      <c r="L2437" t="inlineStr">
        <is>
          <t>OK</t>
        </is>
      </c>
      <c r="M2437" t="n">
        <v>31.63</v>
      </c>
      <c r="N2437" t="n">
        <v>17.22</v>
      </c>
      <c r="O2437" t="n">
        <v>38.51</v>
      </c>
      <c r="P2437" t="n">
        <v>62</v>
      </c>
      <c r="Q2437" t="n">
        <v>29.5</v>
      </c>
      <c r="R2437" s="3" t="inlineStr">
        <is>
          <t>MISMATCH_NEEDS_CORRECTION</t>
        </is>
      </c>
      <c r="S2437" t="n">
        <v>38.51</v>
      </c>
      <c r="T2437" t="inlineStr">
        <is>
          <t>30-07-2026 09:42 IST</t>
        </is>
      </c>
    </row>
    <row r="2438">
      <c r="A2438" t="n">
        <v>394</v>
      </c>
      <c r="B2438" t="n">
        <v>517571</v>
      </c>
      <c r="C2438" t="inlineStr">
        <is>
          <t>Indsil Hydro Power And Manganese Ltd</t>
        </is>
      </c>
      <c r="D2438" t="n">
        <v>2017</v>
      </c>
      <c r="E2438" t="n">
        <v>25.63451957702637</v>
      </c>
      <c r="F2438" t="n">
        <v>4.18</v>
      </c>
      <c r="G2438" t="inlineStr">
        <is>
          <t>Consolidated first (v4) – needs verification for flagged rows</t>
        </is>
      </c>
      <c r="H2438" t="n">
        <v>130.25</v>
      </c>
      <c r="I2438" t="n">
        <v>71.80000305175781</v>
      </c>
      <c r="L2438" t="inlineStr">
        <is>
          <t>OK</t>
        </is>
      </c>
      <c r="M2438" t="n">
        <v>31.16</v>
      </c>
      <c r="N2438" t="n">
        <v>17.18</v>
      </c>
      <c r="O2438" t="n">
        <v>38.51</v>
      </c>
      <c r="P2438" t="n">
        <v>62</v>
      </c>
      <c r="Q2438" t="n">
        <v>29.5</v>
      </c>
      <c r="R2438" s="3" t="inlineStr">
        <is>
          <t>MISMATCH_NEEDS_CORRECTION</t>
        </is>
      </c>
      <c r="S2438" t="n">
        <v>38.51</v>
      </c>
      <c r="T2438" t="inlineStr">
        <is>
          <t>30-07-2026 09:42 IST</t>
        </is>
      </c>
    </row>
    <row r="2439">
      <c r="A2439" t="n">
        <v>394</v>
      </c>
      <c r="B2439" t="n">
        <v>517571</v>
      </c>
      <c r="C2439" t="inlineStr">
        <is>
          <t>Indsil Hydro Power And Manganese Ltd</t>
        </is>
      </c>
      <c r="D2439" t="n">
        <v>2018</v>
      </c>
      <c r="E2439" t="n">
        <v>25.63451957702637</v>
      </c>
      <c r="F2439" t="n">
        <v>6.97</v>
      </c>
      <c r="G2439" t="inlineStr">
        <is>
          <t>Consolidated first (v4) – needs verification for flagged rows</t>
        </is>
      </c>
      <c r="H2439" t="n">
        <v>131.3999938964844</v>
      </c>
      <c r="I2439" t="n">
        <v>46</v>
      </c>
      <c r="L2439" t="inlineStr">
        <is>
          <t>OK</t>
        </is>
      </c>
      <c r="M2439" t="n">
        <v>18.85</v>
      </c>
      <c r="N2439" t="n">
        <v>6.6</v>
      </c>
      <c r="O2439" t="n">
        <v>38.51</v>
      </c>
      <c r="P2439" t="n">
        <v>62</v>
      </c>
      <c r="Q2439" t="n">
        <v>29.5</v>
      </c>
      <c r="R2439" s="3" t="inlineStr">
        <is>
          <t>MISMATCH_NEEDS_CORRECTION</t>
        </is>
      </c>
      <c r="S2439" t="n">
        <v>38.51</v>
      </c>
      <c r="T2439" t="inlineStr">
        <is>
          <t>30-07-2026 09:42 IST</t>
        </is>
      </c>
    </row>
    <row r="2440">
      <c r="A2440" t="n">
        <v>394</v>
      </c>
      <c r="B2440" t="n">
        <v>517571</v>
      </c>
      <c r="C2440" t="inlineStr">
        <is>
          <t>Indsil Hydro Power And Manganese Ltd</t>
        </is>
      </c>
      <c r="D2440" t="n">
        <v>2019</v>
      </c>
      <c r="E2440" t="n">
        <v>25.63451957702637</v>
      </c>
      <c r="F2440" t="n">
        <v>2.37</v>
      </c>
      <c r="G2440" t="inlineStr">
        <is>
          <t>Consolidated first (v4) – needs verification for flagged rows</t>
        </is>
      </c>
      <c r="H2440" t="n">
        <v>51.45000076293945</v>
      </c>
      <c r="I2440" t="n">
        <v>15.14999961853027</v>
      </c>
      <c r="L2440" t="inlineStr">
        <is>
          <t>OK</t>
        </is>
      </c>
      <c r="M2440" t="n">
        <v>21.71</v>
      </c>
      <c r="N2440" t="n">
        <v>6.39</v>
      </c>
      <c r="O2440" t="n">
        <v>38.51</v>
      </c>
      <c r="P2440" t="n">
        <v>62</v>
      </c>
      <c r="Q2440" t="n">
        <v>29.5</v>
      </c>
      <c r="R2440" s="3" t="inlineStr">
        <is>
          <t>MISMATCH_NEEDS_CORRECTION</t>
        </is>
      </c>
      <c r="S2440" t="n">
        <v>38.51</v>
      </c>
      <c r="T2440" t="inlineStr">
        <is>
          <t>30-07-2026 09:42 IST</t>
        </is>
      </c>
    </row>
    <row r="2441">
      <c r="A2441" t="n">
        <v>394</v>
      </c>
      <c r="B2441" t="n">
        <v>517571</v>
      </c>
      <c r="C2441" t="inlineStr">
        <is>
          <t>Indsil Hydro Power And Manganese Ltd</t>
        </is>
      </c>
      <c r="D2441" t="n">
        <v>2020</v>
      </c>
      <c r="E2441" t="n">
        <v>25.63451957702637</v>
      </c>
      <c r="F2441" t="n">
        <v>-16.49</v>
      </c>
      <c r="G2441" t="inlineStr">
        <is>
          <t>Consolidated first (v4) – needs verification for flagged rows</t>
        </is>
      </c>
      <c r="H2441" t="n">
        <v>25.20000076293945</v>
      </c>
      <c r="I2441" t="n">
        <v>9.449999809265137</v>
      </c>
      <c r="L2441" t="inlineStr">
        <is>
          <t>UNVERIFIED – negative EPS</t>
        </is>
      </c>
      <c r="M2441" t="n">
        <v>-1.53</v>
      </c>
      <c r="N2441" t="n">
        <v>-0.57</v>
      </c>
      <c r="O2441" t="n">
        <v>38.51</v>
      </c>
      <c r="P2441" t="n">
        <v>62</v>
      </c>
      <c r="Q2441" t="n">
        <v>29.5</v>
      </c>
      <c r="R2441" s="3" t="inlineStr">
        <is>
          <t>MISMATCH_NEEDS_CORRECTION</t>
        </is>
      </c>
      <c r="S2441" t="n">
        <v>38.51</v>
      </c>
      <c r="T2441" t="inlineStr">
        <is>
          <t>30-07-2026 09:42 IST</t>
        </is>
      </c>
    </row>
    <row r="2442">
      <c r="A2442" t="n">
        <v>394</v>
      </c>
      <c r="B2442" t="n">
        <v>517571</v>
      </c>
      <c r="C2442" t="inlineStr">
        <is>
          <t>Indsil Hydro Power And Manganese Ltd</t>
        </is>
      </c>
      <c r="D2442" t="n">
        <v>2021</v>
      </c>
      <c r="E2442" t="n">
        <v>25.63451957702637</v>
      </c>
      <c r="F2442" t="n">
        <v>-83.66</v>
      </c>
      <c r="G2442" t="inlineStr">
        <is>
          <t>Consolidated first (v4) – needs verification for flagged rows</t>
        </is>
      </c>
      <c r="H2442" t="n">
        <v>27.15999984741211</v>
      </c>
      <c r="I2442" t="n">
        <v>10.75</v>
      </c>
      <c r="L2442" t="inlineStr">
        <is>
          <t>UNVERIFIED – negative EPS</t>
        </is>
      </c>
      <c r="M2442" t="n">
        <v>-0.32</v>
      </c>
      <c r="N2442" t="n">
        <v>-0.13</v>
      </c>
      <c r="O2442" t="n">
        <v>38.51</v>
      </c>
      <c r="P2442" t="n">
        <v>62</v>
      </c>
      <c r="Q2442" t="n">
        <v>29.5</v>
      </c>
      <c r="R2442" s="3" t="inlineStr">
        <is>
          <t>MISMATCH_NEEDS_CORRECTION</t>
        </is>
      </c>
      <c r="S2442" t="n">
        <v>38.51</v>
      </c>
      <c r="T2442" t="inlineStr">
        <is>
          <t>30-07-2026 09:42 IST</t>
        </is>
      </c>
    </row>
    <row r="2443">
      <c r="A2443" t="n">
        <v>394</v>
      </c>
      <c r="B2443" t="n">
        <v>517571</v>
      </c>
      <c r="C2443" t="inlineStr">
        <is>
          <t>Indsil Hydro Power And Manganese Ltd</t>
        </is>
      </c>
      <c r="D2443" t="n">
        <v>2022</v>
      </c>
      <c r="E2443" t="n">
        <v>25.63451957702637</v>
      </c>
      <c r="F2443" t="n">
        <v>-232.65</v>
      </c>
      <c r="G2443" t="inlineStr">
        <is>
          <t>Consolidated first (v4) – needs verification for flagged rows</t>
        </is>
      </c>
      <c r="H2443" t="n">
        <v>22.20000076293945</v>
      </c>
      <c r="I2443" t="n">
        <v>6.409999847412109</v>
      </c>
      <c r="L2443" t="inlineStr">
        <is>
          <t>UNVERIFIED – negative EPS</t>
        </is>
      </c>
      <c r="M2443" t="n">
        <v>-0.1</v>
      </c>
      <c r="N2443" t="n">
        <v>-0.03</v>
      </c>
      <c r="O2443" t="n">
        <v>38.51</v>
      </c>
      <c r="P2443" t="n">
        <v>62</v>
      </c>
      <c r="Q2443" t="n">
        <v>29.5</v>
      </c>
      <c r="R2443" s="3" t="inlineStr">
        <is>
          <t>MISMATCH_NEEDS_CORRECTION</t>
        </is>
      </c>
      <c r="S2443" t="n">
        <v>38.51</v>
      </c>
      <c r="T2443" t="inlineStr">
        <is>
          <t>30-07-2026 09:42 IST</t>
        </is>
      </c>
    </row>
    <row r="2444">
      <c r="A2444" t="n">
        <v>394</v>
      </c>
      <c r="B2444" t="n">
        <v>517571</v>
      </c>
      <c r="C2444" t="inlineStr">
        <is>
          <t>Indsil Hydro Power And Manganese Ltd</t>
        </is>
      </c>
      <c r="D2444" t="n">
        <v>2023</v>
      </c>
      <c r="E2444" t="n">
        <v>25.63451957702637</v>
      </c>
      <c r="F2444" t="n">
        <v>-60.17</v>
      </c>
      <c r="G2444" t="inlineStr">
        <is>
          <t>Consolidated first (v4) – needs verification for flagged rows</t>
        </is>
      </c>
      <c r="H2444" t="n">
        <v>7.769999980926514</v>
      </c>
      <c r="I2444" t="n">
        <v>2.950000047683716</v>
      </c>
      <c r="L2444" t="inlineStr">
        <is>
          <t>UNVERIFIED – negative EPS</t>
        </is>
      </c>
      <c r="M2444" t="n">
        <v>-0.13</v>
      </c>
      <c r="N2444" t="n">
        <v>-0.05</v>
      </c>
      <c r="O2444" t="n">
        <v>38.51</v>
      </c>
      <c r="P2444" t="n">
        <v>62</v>
      </c>
      <c r="Q2444" t="n">
        <v>29.5</v>
      </c>
      <c r="R2444" s="3" t="inlineStr">
        <is>
          <t>MISMATCH_NEEDS_CORRECTION</t>
        </is>
      </c>
      <c r="S2444" t="n">
        <v>38.51</v>
      </c>
      <c r="T2444" t="inlineStr">
        <is>
          <t>30-07-2026 09:42 IST</t>
        </is>
      </c>
    </row>
    <row r="2445">
      <c r="A2445" t="n">
        <v>394</v>
      </c>
      <c r="B2445" t="n">
        <v>517571</v>
      </c>
      <c r="C2445" t="inlineStr">
        <is>
          <t>Indsil Hydro Power And Manganese Ltd</t>
        </is>
      </c>
      <c r="D2445" t="n">
        <v>2024</v>
      </c>
      <c r="E2445" t="n">
        <v>25.63451957702637</v>
      </c>
      <c r="F2445" t="n">
        <v>-23.75</v>
      </c>
      <c r="G2445" t="inlineStr">
        <is>
          <t>Consolidated first (v4) – needs verification for flagged rows</t>
        </is>
      </c>
      <c r="H2445" t="n">
        <v>6.059999942779541</v>
      </c>
      <c r="I2445" t="n">
        <v>6.059999942779541</v>
      </c>
      <c r="L2445" t="inlineStr">
        <is>
          <t>UNVERIFIED – negative EPS</t>
        </is>
      </c>
      <c r="M2445" t="n">
        <v>-0.26</v>
      </c>
      <c r="N2445" t="n">
        <v>-0.26</v>
      </c>
      <c r="O2445" t="n">
        <v>38.51</v>
      </c>
      <c r="P2445" t="n">
        <v>62</v>
      </c>
      <c r="Q2445" t="n">
        <v>29.5</v>
      </c>
      <c r="R2445" s="3" t="inlineStr">
        <is>
          <t>MISMATCH_NEEDS_CORRECTION</t>
        </is>
      </c>
      <c r="S2445" t="n">
        <v>38.51</v>
      </c>
      <c r="T2445" t="inlineStr">
        <is>
          <t>30-07-2026 09:42 IST</t>
        </is>
      </c>
    </row>
    <row r="2446">
      <c r="A2446" t="n">
        <v>394</v>
      </c>
      <c r="B2446" t="n">
        <v>517571</v>
      </c>
      <c r="C2446" t="inlineStr">
        <is>
          <t>Indsil Hydro Power And Manganese Ltd</t>
        </is>
      </c>
      <c r="D2446" t="n">
        <v>2025</v>
      </c>
      <c r="E2446" t="n">
        <v>25.63451957702637</v>
      </c>
      <c r="F2446" t="n">
        <v>-5.56</v>
      </c>
      <c r="G2446" t="inlineStr">
        <is>
          <t>Consolidated first (v4) – needs verification for flagged rows</t>
        </is>
      </c>
      <c r="H2446" t="n">
        <v>25.63451957702637</v>
      </c>
      <c r="I2446" t="n">
        <v>6.059999942779541</v>
      </c>
      <c r="L2446" t="inlineStr">
        <is>
          <t>UNVERIFIED – negative EPS</t>
        </is>
      </c>
      <c r="M2446" t="n">
        <v>-4.61</v>
      </c>
      <c r="N2446" t="n">
        <v>-1.09</v>
      </c>
      <c r="O2446" t="n">
        <v>38.51</v>
      </c>
      <c r="P2446" t="n">
        <v>62</v>
      </c>
      <c r="Q2446" t="n">
        <v>29.5</v>
      </c>
      <c r="R2446" s="3" t="inlineStr">
        <is>
          <t>MISMATCH_NEEDS_CORRECTION</t>
        </is>
      </c>
      <c r="S2446" t="n">
        <v>38.51</v>
      </c>
      <c r="T2446" t="inlineStr">
        <is>
          <t>30-07-2026 09:42 IST</t>
        </is>
      </c>
    </row>
    <row r="2447">
      <c r="A2447" t="n">
        <v>394</v>
      </c>
      <c r="B2447" t="n">
        <v>517571</v>
      </c>
      <c r="C2447" t="inlineStr">
        <is>
          <t>Indsil Hydro Power And Manganese Ltd</t>
        </is>
      </c>
      <c r="D2447" t="n">
        <v>2026</v>
      </c>
      <c r="E2447" t="n">
        <v>25.63451957702637</v>
      </c>
      <c r="F2447" t="n">
        <v>0.14</v>
      </c>
      <c r="G2447" t="inlineStr">
        <is>
          <t>Consolidated first (v4) – needs verification for flagged rows</t>
        </is>
      </c>
      <c r="H2447" t="n">
        <v>25.63451957702637</v>
      </c>
      <c r="I2447" t="n">
        <v>25.63451957702637</v>
      </c>
      <c r="L2447" t="inlineStr">
        <is>
          <t>UNVERIFIED – tiny EPS &lt;0.5</t>
        </is>
      </c>
      <c r="M2447" t="n">
        <v>183.1</v>
      </c>
      <c r="N2447" t="n">
        <v>183.1</v>
      </c>
      <c r="O2447" t="n">
        <v>38.51</v>
      </c>
      <c r="P2447" t="n">
        <v>62</v>
      </c>
      <c r="Q2447" t="n">
        <v>29.5</v>
      </c>
      <c r="R2447" s="3" t="inlineStr">
        <is>
          <t>MISMATCH_NEEDS_CORRECTION</t>
        </is>
      </c>
      <c r="S2447" t="n">
        <v>38.51</v>
      </c>
      <c r="T2447" t="inlineStr">
        <is>
          <t>30-07-2026 09:42 IST</t>
        </is>
      </c>
    </row>
    <row r="2448">
      <c r="A2448" t="n">
        <v>412</v>
      </c>
      <c r="B2448" t="n">
        <v>517973</v>
      </c>
      <c r="C2448" t="inlineStr">
        <is>
          <t>Riddhi Siddhi Gluco Biols Ltd</t>
        </is>
      </c>
      <c r="D2448" t="n">
        <v>2015</v>
      </c>
      <c r="E2448" t="n">
        <v>0.699999988079071</v>
      </c>
      <c r="G2448" t="inlineStr">
        <is>
          <t>Consolidated first (v4) – needs verification for flagged rows</t>
        </is>
      </c>
      <c r="H2448" t="n">
        <v>1.519999980926514</v>
      </c>
      <c r="L2448" t="inlineStr">
        <is>
          <t>INCOMPLETE</t>
        </is>
      </c>
      <c r="O2448" t="n">
        <v>745</v>
      </c>
      <c r="P2448" t="n">
        <v>861.95</v>
      </c>
      <c r="Q2448" t="n">
        <v>405</v>
      </c>
      <c r="R2448" s="3" t="inlineStr">
        <is>
          <t>MISMATCH_NEEDS_CORRECTION</t>
        </is>
      </c>
      <c r="S2448" t="n">
        <v>745</v>
      </c>
      <c r="T2448" t="inlineStr">
        <is>
          <t>30-07-2026 09:42 IST</t>
        </is>
      </c>
    </row>
    <row r="2449">
      <c r="A2449" t="n">
        <v>412</v>
      </c>
      <c r="B2449" t="n">
        <v>517973</v>
      </c>
      <c r="C2449" t="inlineStr">
        <is>
          <t>Riddhi Siddhi Gluco Biols Ltd</t>
        </is>
      </c>
      <c r="D2449" t="n">
        <v>2016</v>
      </c>
      <c r="E2449" t="n">
        <v>0.699999988079071</v>
      </c>
      <c r="G2449" t="inlineStr">
        <is>
          <t>Consolidated first (v4) – needs verification for flagged rows</t>
        </is>
      </c>
      <c r="L2449" t="inlineStr">
        <is>
          <t>INCOMPLETE</t>
        </is>
      </c>
      <c r="O2449" t="n">
        <v>745</v>
      </c>
      <c r="P2449" t="n">
        <v>861.95</v>
      </c>
      <c r="Q2449" t="n">
        <v>405</v>
      </c>
      <c r="R2449" s="3" t="inlineStr">
        <is>
          <t>MISMATCH_NEEDS_CORRECTION</t>
        </is>
      </c>
      <c r="S2449" t="n">
        <v>745</v>
      </c>
      <c r="T2449" t="inlineStr">
        <is>
          <t>30-07-2026 09:42 IST</t>
        </is>
      </c>
    </row>
    <row r="2450">
      <c r="A2450" t="n">
        <v>412</v>
      </c>
      <c r="B2450" t="n">
        <v>517973</v>
      </c>
      <c r="C2450" t="inlineStr">
        <is>
          <t>Riddhi Siddhi Gluco Biols Ltd</t>
        </is>
      </c>
      <c r="D2450" t="n">
        <v>2017</v>
      </c>
      <c r="E2450" t="n">
        <v>0.699999988079071</v>
      </c>
      <c r="G2450" t="inlineStr">
        <is>
          <t>Consolidated first (v4) – needs verification for flagged rows</t>
        </is>
      </c>
      <c r="L2450" t="inlineStr">
        <is>
          <t>INCOMPLETE</t>
        </is>
      </c>
      <c r="O2450" t="n">
        <v>745</v>
      </c>
      <c r="P2450" t="n">
        <v>861.95</v>
      </c>
      <c r="Q2450" t="n">
        <v>405</v>
      </c>
      <c r="R2450" s="3" t="inlineStr">
        <is>
          <t>MISMATCH_NEEDS_CORRECTION</t>
        </is>
      </c>
      <c r="S2450" t="n">
        <v>745</v>
      </c>
      <c r="T2450" t="inlineStr">
        <is>
          <t>30-07-2026 09:42 IST</t>
        </is>
      </c>
    </row>
    <row r="2451">
      <c r="A2451" t="n">
        <v>412</v>
      </c>
      <c r="B2451" t="n">
        <v>517973</v>
      </c>
      <c r="C2451" t="inlineStr">
        <is>
          <t>Riddhi Siddhi Gluco Biols Ltd</t>
        </is>
      </c>
      <c r="D2451" t="n">
        <v>2018</v>
      </c>
      <c r="E2451" t="n">
        <v>0.699999988079071</v>
      </c>
      <c r="G2451" t="inlineStr">
        <is>
          <t>Consolidated first (v4) – needs verification for flagged rows</t>
        </is>
      </c>
      <c r="L2451" t="inlineStr">
        <is>
          <t>INCOMPLETE</t>
        </is>
      </c>
      <c r="O2451" t="n">
        <v>745</v>
      </c>
      <c r="P2451" t="n">
        <v>861.95</v>
      </c>
      <c r="Q2451" t="n">
        <v>405</v>
      </c>
      <c r="R2451" s="3" t="inlineStr">
        <is>
          <t>MISMATCH_NEEDS_CORRECTION</t>
        </is>
      </c>
      <c r="S2451" t="n">
        <v>745</v>
      </c>
      <c r="T2451" t="inlineStr">
        <is>
          <t>30-07-2026 09:42 IST</t>
        </is>
      </c>
    </row>
    <row r="2452">
      <c r="A2452" t="n">
        <v>412</v>
      </c>
      <c r="B2452" t="n">
        <v>517973</v>
      </c>
      <c r="C2452" t="inlineStr">
        <is>
          <t>Riddhi Siddhi Gluco Biols Ltd</t>
        </is>
      </c>
      <c r="D2452" t="n">
        <v>2019</v>
      </c>
      <c r="E2452" t="n">
        <v>0.699999988079071</v>
      </c>
      <c r="G2452" t="inlineStr">
        <is>
          <t>Consolidated first (v4) – needs verification for flagged rows</t>
        </is>
      </c>
      <c r="L2452" t="inlineStr">
        <is>
          <t>INCOMPLETE</t>
        </is>
      </c>
      <c r="O2452" t="n">
        <v>745</v>
      </c>
      <c r="P2452" t="n">
        <v>861.95</v>
      </c>
      <c r="Q2452" t="n">
        <v>405</v>
      </c>
      <c r="R2452" s="3" t="inlineStr">
        <is>
          <t>MISMATCH_NEEDS_CORRECTION</t>
        </is>
      </c>
      <c r="S2452" t="n">
        <v>745</v>
      </c>
      <c r="T2452" t="inlineStr">
        <is>
          <t>30-07-2026 09:42 IST</t>
        </is>
      </c>
    </row>
    <row r="2453">
      <c r="A2453" t="n">
        <v>412</v>
      </c>
      <c r="B2453" t="n">
        <v>517973</v>
      </c>
      <c r="C2453" t="inlineStr">
        <is>
          <t>Riddhi Siddhi Gluco Biols Ltd</t>
        </is>
      </c>
      <c r="D2453" t="n">
        <v>2020</v>
      </c>
      <c r="E2453" t="n">
        <v>0.699999988079071</v>
      </c>
      <c r="G2453" t="inlineStr">
        <is>
          <t>Consolidated first (v4) – needs verification for flagged rows</t>
        </is>
      </c>
      <c r="L2453" t="inlineStr">
        <is>
          <t>INCOMPLETE</t>
        </is>
      </c>
      <c r="O2453" t="n">
        <v>745</v>
      </c>
      <c r="P2453" t="n">
        <v>861.95</v>
      </c>
      <c r="Q2453" t="n">
        <v>405</v>
      </c>
      <c r="R2453" s="3" t="inlineStr">
        <is>
          <t>MISMATCH_NEEDS_CORRECTION</t>
        </is>
      </c>
      <c r="S2453" t="n">
        <v>745</v>
      </c>
      <c r="T2453" t="inlineStr">
        <is>
          <t>30-07-2026 09:42 IST</t>
        </is>
      </c>
    </row>
    <row r="2454">
      <c r="A2454" t="n">
        <v>412</v>
      </c>
      <c r="B2454" t="n">
        <v>517973</v>
      </c>
      <c r="C2454" t="inlineStr">
        <is>
          <t>Riddhi Siddhi Gluco Biols Ltd</t>
        </is>
      </c>
      <c r="D2454" t="n">
        <v>2021</v>
      </c>
      <c r="E2454" t="n">
        <v>0.699999988079071</v>
      </c>
      <c r="G2454" t="inlineStr">
        <is>
          <t>Consolidated first (v4) – needs verification for flagged rows</t>
        </is>
      </c>
      <c r="L2454" t="inlineStr">
        <is>
          <t>INCOMPLETE</t>
        </is>
      </c>
      <c r="O2454" t="n">
        <v>745</v>
      </c>
      <c r="P2454" t="n">
        <v>861.95</v>
      </c>
      <c r="Q2454" t="n">
        <v>405</v>
      </c>
      <c r="R2454" s="3" t="inlineStr">
        <is>
          <t>MISMATCH_NEEDS_CORRECTION</t>
        </is>
      </c>
      <c r="S2454" t="n">
        <v>745</v>
      </c>
      <c r="T2454" t="inlineStr">
        <is>
          <t>30-07-2026 09:42 IST</t>
        </is>
      </c>
    </row>
    <row r="2455">
      <c r="A2455" t="n">
        <v>412</v>
      </c>
      <c r="B2455" t="n">
        <v>517973</v>
      </c>
      <c r="C2455" t="inlineStr">
        <is>
          <t>Riddhi Siddhi Gluco Biols Ltd</t>
        </is>
      </c>
      <c r="D2455" t="n">
        <v>2022</v>
      </c>
      <c r="E2455" t="n">
        <v>0.699999988079071</v>
      </c>
      <c r="G2455" t="inlineStr">
        <is>
          <t>Consolidated first (v4) – needs verification for flagged rows</t>
        </is>
      </c>
      <c r="L2455" t="inlineStr">
        <is>
          <t>INCOMPLETE</t>
        </is>
      </c>
      <c r="O2455" t="n">
        <v>745</v>
      </c>
      <c r="P2455" t="n">
        <v>861.95</v>
      </c>
      <c r="Q2455" t="n">
        <v>405</v>
      </c>
      <c r="R2455" s="3" t="inlineStr">
        <is>
          <t>MISMATCH_NEEDS_CORRECTION</t>
        </is>
      </c>
      <c r="S2455" t="n">
        <v>745</v>
      </c>
      <c r="T2455" t="inlineStr">
        <is>
          <t>30-07-2026 09:42 IST</t>
        </is>
      </c>
    </row>
    <row r="2456">
      <c r="A2456" t="n">
        <v>412</v>
      </c>
      <c r="B2456" t="n">
        <v>517973</v>
      </c>
      <c r="C2456" t="inlineStr">
        <is>
          <t>Riddhi Siddhi Gluco Biols Ltd</t>
        </is>
      </c>
      <c r="D2456" t="n">
        <v>2023</v>
      </c>
      <c r="E2456" t="n">
        <v>0.699999988079071</v>
      </c>
      <c r="G2456" t="inlineStr">
        <is>
          <t>Consolidated first (v4) – needs verification for flagged rows</t>
        </is>
      </c>
      <c r="L2456" t="inlineStr">
        <is>
          <t>INCOMPLETE</t>
        </is>
      </c>
      <c r="O2456" t="n">
        <v>745</v>
      </c>
      <c r="P2456" t="n">
        <v>861.95</v>
      </c>
      <c r="Q2456" t="n">
        <v>405</v>
      </c>
      <c r="R2456" s="3" t="inlineStr">
        <is>
          <t>MISMATCH_NEEDS_CORRECTION</t>
        </is>
      </c>
      <c r="S2456" t="n">
        <v>745</v>
      </c>
      <c r="T2456" t="inlineStr">
        <is>
          <t>30-07-2026 09:42 IST</t>
        </is>
      </c>
    </row>
    <row r="2457">
      <c r="A2457" t="n">
        <v>413</v>
      </c>
      <c r="B2457" t="n">
        <v>518011</v>
      </c>
      <c r="C2457" t="inlineStr">
        <is>
          <t>Keerthi Industries Ltd</t>
        </is>
      </c>
      <c r="D2457" t="n">
        <v>2015</v>
      </c>
      <c r="E2457" t="n">
        <v>38</v>
      </c>
      <c r="F2457" t="n">
        <v>23.54</v>
      </c>
      <c r="G2457" t="inlineStr">
        <is>
          <t>Consolidated first (v4) – needs verification for flagged rows</t>
        </is>
      </c>
      <c r="H2457" t="n">
        <v>263.8999938964844</v>
      </c>
      <c r="I2457" t="n">
        <v>22.75</v>
      </c>
      <c r="L2457" t="inlineStr">
        <is>
          <t>OK</t>
        </is>
      </c>
      <c r="M2457" t="n">
        <v>11.21</v>
      </c>
      <c r="N2457" t="n">
        <v>0.97</v>
      </c>
      <c r="O2457" t="n">
        <v>111.7</v>
      </c>
      <c r="P2457" t="n">
        <v>152</v>
      </c>
      <c r="Q2457" t="n">
        <v>80</v>
      </c>
      <c r="R2457" s="3" t="inlineStr">
        <is>
          <t>MISMATCH_NEEDS_CORRECTION</t>
        </is>
      </c>
      <c r="S2457" t="n">
        <v>111.7</v>
      </c>
      <c r="T2457" t="inlineStr">
        <is>
          <t>30-07-2026 09:42 IST</t>
        </is>
      </c>
    </row>
    <row r="2458">
      <c r="A2458" t="n">
        <v>413</v>
      </c>
      <c r="B2458" t="n">
        <v>518011</v>
      </c>
      <c r="C2458" t="inlineStr">
        <is>
          <t>Keerthi Industries Ltd</t>
        </is>
      </c>
      <c r="D2458" t="n">
        <v>2016</v>
      </c>
      <c r="E2458" t="n">
        <v>38</v>
      </c>
      <c r="F2458" t="n">
        <v>24.84</v>
      </c>
      <c r="G2458" t="inlineStr">
        <is>
          <t>Consolidated first (v4) – needs verification for flagged rows</t>
        </is>
      </c>
      <c r="H2458" t="n">
        <v>252.3000030517578</v>
      </c>
      <c r="I2458" t="n">
        <v>103</v>
      </c>
      <c r="L2458" t="inlineStr">
        <is>
          <t>OK</t>
        </is>
      </c>
      <c r="M2458" t="n">
        <v>10.16</v>
      </c>
      <c r="N2458" t="n">
        <v>4.15</v>
      </c>
      <c r="O2458" t="n">
        <v>111.7</v>
      </c>
      <c r="P2458" t="n">
        <v>152</v>
      </c>
      <c r="Q2458" t="n">
        <v>80</v>
      </c>
      <c r="R2458" s="3" t="inlineStr">
        <is>
          <t>MISMATCH_NEEDS_CORRECTION</t>
        </is>
      </c>
      <c r="S2458" t="n">
        <v>111.7</v>
      </c>
      <c r="T2458" t="inlineStr">
        <is>
          <t>30-07-2026 09:42 IST</t>
        </is>
      </c>
    </row>
    <row r="2459">
      <c r="A2459" t="n">
        <v>413</v>
      </c>
      <c r="B2459" t="n">
        <v>518011</v>
      </c>
      <c r="C2459" t="inlineStr">
        <is>
          <t>Keerthi Industries Ltd</t>
        </is>
      </c>
      <c r="D2459" t="n">
        <v>2017</v>
      </c>
      <c r="E2459" t="n">
        <v>38</v>
      </c>
      <c r="F2459" t="n">
        <v>14.21</v>
      </c>
      <c r="G2459" t="inlineStr">
        <is>
          <t>Consolidated first (v4) – needs verification for flagged rows</t>
        </is>
      </c>
      <c r="H2459" t="n">
        <v>214</v>
      </c>
      <c r="I2459" t="n">
        <v>117</v>
      </c>
      <c r="L2459" t="inlineStr">
        <is>
          <t>OK</t>
        </is>
      </c>
      <c r="M2459" t="n">
        <v>15.06</v>
      </c>
      <c r="N2459" t="n">
        <v>8.23</v>
      </c>
      <c r="O2459" t="n">
        <v>111.7</v>
      </c>
      <c r="P2459" t="n">
        <v>152</v>
      </c>
      <c r="Q2459" t="n">
        <v>80</v>
      </c>
      <c r="R2459" s="3" t="inlineStr">
        <is>
          <t>MISMATCH_NEEDS_CORRECTION</t>
        </is>
      </c>
      <c r="S2459" t="n">
        <v>111.7</v>
      </c>
      <c r="T2459" t="inlineStr">
        <is>
          <t>30-07-2026 09:42 IST</t>
        </is>
      </c>
    </row>
    <row r="2460">
      <c r="A2460" t="n">
        <v>413</v>
      </c>
      <c r="B2460" t="n">
        <v>518011</v>
      </c>
      <c r="C2460" t="inlineStr">
        <is>
          <t>Keerthi Industries Ltd</t>
        </is>
      </c>
      <c r="D2460" t="n">
        <v>2018</v>
      </c>
      <c r="E2460" t="n">
        <v>38</v>
      </c>
      <c r="F2460" t="n">
        <v>9.92</v>
      </c>
      <c r="G2460" t="inlineStr">
        <is>
          <t>Consolidated first (v4) – needs verification for flagged rows</t>
        </is>
      </c>
      <c r="H2460" t="n">
        <v>183.4499969482422</v>
      </c>
      <c r="I2460" t="n">
        <v>59</v>
      </c>
      <c r="L2460" t="inlineStr">
        <is>
          <t>OK</t>
        </is>
      </c>
      <c r="M2460" t="n">
        <v>18.49</v>
      </c>
      <c r="N2460" t="n">
        <v>5.95</v>
      </c>
      <c r="O2460" t="n">
        <v>111.7</v>
      </c>
      <c r="P2460" t="n">
        <v>152</v>
      </c>
      <c r="Q2460" t="n">
        <v>80</v>
      </c>
      <c r="R2460" s="3" t="inlineStr">
        <is>
          <t>MISMATCH_NEEDS_CORRECTION</t>
        </is>
      </c>
      <c r="S2460" t="n">
        <v>111.7</v>
      </c>
      <c r="T2460" t="inlineStr">
        <is>
          <t>30-07-2026 09:42 IST</t>
        </is>
      </c>
    </row>
    <row r="2461">
      <c r="A2461" t="n">
        <v>413</v>
      </c>
      <c r="B2461" t="n">
        <v>518011</v>
      </c>
      <c r="C2461" t="inlineStr">
        <is>
          <t>Keerthi Industries Ltd</t>
        </is>
      </c>
      <c r="D2461" t="n">
        <v>2019</v>
      </c>
      <c r="E2461" t="n">
        <v>38</v>
      </c>
      <c r="F2461" t="n">
        <v>0.09</v>
      </c>
      <c r="G2461" t="inlineStr">
        <is>
          <t>Consolidated first (v4) – needs verification for flagged rows</t>
        </is>
      </c>
      <c r="H2461" t="n">
        <v>73.94999694824219</v>
      </c>
      <c r="I2461" t="n">
        <v>39.75</v>
      </c>
      <c r="L2461" t="inlineStr">
        <is>
          <t>UNVERIFIED – tiny EPS &lt;0.5</t>
        </is>
      </c>
      <c r="M2461" t="n">
        <v>821.67</v>
      </c>
      <c r="N2461" t="n">
        <v>441.67</v>
      </c>
      <c r="O2461" t="n">
        <v>111.7</v>
      </c>
      <c r="P2461" t="n">
        <v>152</v>
      </c>
      <c r="Q2461" t="n">
        <v>80</v>
      </c>
      <c r="R2461" s="3" t="inlineStr">
        <is>
          <t>MISMATCH_NEEDS_CORRECTION</t>
        </is>
      </c>
      <c r="S2461" t="n">
        <v>111.7</v>
      </c>
      <c r="T2461" t="inlineStr">
        <is>
          <t>30-07-2026 09:42 IST</t>
        </is>
      </c>
    </row>
    <row r="2462">
      <c r="A2462" t="n">
        <v>413</v>
      </c>
      <c r="B2462" t="n">
        <v>518011</v>
      </c>
      <c r="C2462" t="inlineStr">
        <is>
          <t>Keerthi Industries Ltd</t>
        </is>
      </c>
      <c r="D2462" t="n">
        <v>2020</v>
      </c>
      <c r="E2462" t="n">
        <v>38</v>
      </c>
      <c r="F2462" t="n">
        <v>-0.4</v>
      </c>
      <c r="G2462" t="inlineStr">
        <is>
          <t>Consolidated first (v4) – needs verification for flagged rows</t>
        </is>
      </c>
      <c r="H2462" t="n">
        <v>93</v>
      </c>
      <c r="I2462" t="n">
        <v>25</v>
      </c>
      <c r="L2462" t="inlineStr">
        <is>
          <t>UNVERIFIED – negative EPS</t>
        </is>
      </c>
      <c r="M2462" t="n">
        <v>-232.5</v>
      </c>
      <c r="N2462" t="n">
        <v>-62.5</v>
      </c>
      <c r="O2462" t="n">
        <v>111.7</v>
      </c>
      <c r="P2462" t="n">
        <v>152</v>
      </c>
      <c r="Q2462" t="n">
        <v>80</v>
      </c>
      <c r="R2462" s="3" t="inlineStr">
        <is>
          <t>MISMATCH_NEEDS_CORRECTION</t>
        </is>
      </c>
      <c r="S2462" t="n">
        <v>111.7</v>
      </c>
      <c r="T2462" t="inlineStr">
        <is>
          <t>30-07-2026 09:42 IST</t>
        </is>
      </c>
    </row>
    <row r="2463">
      <c r="A2463" t="n">
        <v>413</v>
      </c>
      <c r="B2463" t="n">
        <v>518011</v>
      </c>
      <c r="C2463" t="inlineStr">
        <is>
          <t>Keerthi Industries Ltd</t>
        </is>
      </c>
      <c r="D2463" t="n">
        <v>2021</v>
      </c>
      <c r="E2463" t="n">
        <v>38</v>
      </c>
      <c r="F2463" t="n">
        <v>24.02</v>
      </c>
      <c r="G2463" t="inlineStr">
        <is>
          <t>Consolidated first (v4) – needs verification for flagged rows</t>
        </is>
      </c>
      <c r="H2463" t="n">
        <v>201</v>
      </c>
      <c r="I2463" t="n">
        <v>83.44999694824219</v>
      </c>
      <c r="L2463" t="inlineStr">
        <is>
          <t>OK</t>
        </is>
      </c>
      <c r="M2463" t="n">
        <v>8.369999999999999</v>
      </c>
      <c r="N2463" t="n">
        <v>3.47</v>
      </c>
      <c r="O2463" t="n">
        <v>111.7</v>
      </c>
      <c r="P2463" t="n">
        <v>152</v>
      </c>
      <c r="Q2463" t="n">
        <v>80</v>
      </c>
      <c r="R2463" s="3" t="inlineStr">
        <is>
          <t>MISMATCH_NEEDS_CORRECTION</t>
        </is>
      </c>
      <c r="S2463" t="n">
        <v>111.7</v>
      </c>
      <c r="T2463" t="inlineStr">
        <is>
          <t>30-07-2026 09:42 IST</t>
        </is>
      </c>
    </row>
    <row r="2464">
      <c r="A2464" t="n">
        <v>413</v>
      </c>
      <c r="B2464" t="n">
        <v>518011</v>
      </c>
      <c r="C2464" t="inlineStr">
        <is>
          <t>Keerthi Industries Ltd</t>
        </is>
      </c>
      <c r="D2464" t="n">
        <v>2022</v>
      </c>
      <c r="E2464" t="n">
        <v>38</v>
      </c>
      <c r="F2464" t="n">
        <v>19.51</v>
      </c>
      <c r="G2464" t="inlineStr">
        <is>
          <t>Consolidated first (v4) – needs verification for flagged rows</t>
        </is>
      </c>
      <c r="H2464" t="n">
        <v>228.5500030517578</v>
      </c>
      <c r="I2464" t="n">
        <v>119.0999984741211</v>
      </c>
      <c r="L2464" t="inlineStr">
        <is>
          <t>OK</t>
        </is>
      </c>
      <c r="M2464" t="n">
        <v>11.71</v>
      </c>
      <c r="N2464" t="n">
        <v>6.1</v>
      </c>
      <c r="O2464" t="n">
        <v>111.7</v>
      </c>
      <c r="P2464" t="n">
        <v>152</v>
      </c>
      <c r="Q2464" t="n">
        <v>80</v>
      </c>
      <c r="R2464" s="3" t="inlineStr">
        <is>
          <t>MISMATCH_NEEDS_CORRECTION</t>
        </is>
      </c>
      <c r="S2464" t="n">
        <v>111.7</v>
      </c>
      <c r="T2464" t="inlineStr">
        <is>
          <t>30-07-2026 09:42 IST</t>
        </is>
      </c>
    </row>
    <row r="2465">
      <c r="A2465" t="n">
        <v>413</v>
      </c>
      <c r="B2465" t="n">
        <v>518011</v>
      </c>
      <c r="C2465" t="inlineStr">
        <is>
          <t>Keerthi Industries Ltd</t>
        </is>
      </c>
      <c r="D2465" t="n">
        <v>2023</v>
      </c>
      <c r="E2465" t="n">
        <v>38</v>
      </c>
      <c r="F2465" t="n">
        <v>-9.029999999999999</v>
      </c>
      <c r="G2465" t="inlineStr">
        <is>
          <t>Consolidated first (v4) – needs verification for flagged rows</t>
        </is>
      </c>
      <c r="H2465" t="n">
        <v>157</v>
      </c>
      <c r="I2465" t="n">
        <v>115.8499984741211</v>
      </c>
      <c r="L2465" t="inlineStr">
        <is>
          <t>UNVERIFIED – negative EPS</t>
        </is>
      </c>
      <c r="M2465" t="n">
        <v>-17.39</v>
      </c>
      <c r="N2465" t="n">
        <v>-12.83</v>
      </c>
      <c r="O2465" t="n">
        <v>111.7</v>
      </c>
      <c r="P2465" t="n">
        <v>152</v>
      </c>
      <c r="Q2465" t="n">
        <v>80</v>
      </c>
      <c r="R2465" s="3" t="inlineStr">
        <is>
          <t>MISMATCH_NEEDS_CORRECTION</t>
        </is>
      </c>
      <c r="S2465" t="n">
        <v>111.7</v>
      </c>
      <c r="T2465" t="inlineStr">
        <is>
          <t>30-07-2026 09:42 IST</t>
        </is>
      </c>
    </row>
    <row r="2466">
      <c r="A2466" t="n">
        <v>413</v>
      </c>
      <c r="B2466" t="n">
        <v>518011</v>
      </c>
      <c r="C2466" t="inlineStr">
        <is>
          <t>Keerthi Industries Ltd</t>
        </is>
      </c>
      <c r="D2466" t="n">
        <v>2024</v>
      </c>
      <c r="E2466" t="n">
        <v>38</v>
      </c>
      <c r="F2466" t="n">
        <v>-19.57</v>
      </c>
      <c r="G2466" t="inlineStr">
        <is>
          <t>Consolidated first (v4) – needs verification for flagged rows</t>
        </is>
      </c>
      <c r="H2466" t="n">
        <v>152</v>
      </c>
      <c r="I2466" t="n">
        <v>80</v>
      </c>
      <c r="L2466" t="inlineStr">
        <is>
          <t>UNVERIFIED – negative EPS</t>
        </is>
      </c>
      <c r="M2466" t="n">
        <v>-7.77</v>
      </c>
      <c r="N2466" t="n">
        <v>-4.09</v>
      </c>
      <c r="O2466" t="n">
        <v>111.7</v>
      </c>
      <c r="P2466" t="n">
        <v>152</v>
      </c>
      <c r="Q2466" t="n">
        <v>80</v>
      </c>
      <c r="R2466" s="3" t="inlineStr">
        <is>
          <t>MISMATCH_NEEDS_CORRECTION</t>
        </is>
      </c>
      <c r="S2466" t="n">
        <v>111.7</v>
      </c>
      <c r="T2466" t="inlineStr">
        <is>
          <t>30-07-2026 09:42 IST</t>
        </is>
      </c>
    </row>
    <row r="2467">
      <c r="A2467" t="n">
        <v>413</v>
      </c>
      <c r="B2467" t="n">
        <v>518011</v>
      </c>
      <c r="C2467" t="inlineStr">
        <is>
          <t>Keerthi Industries Ltd</t>
        </is>
      </c>
      <c r="D2467" t="n">
        <v>2025</v>
      </c>
      <c r="E2467" t="n">
        <v>38</v>
      </c>
      <c r="F2467" t="n">
        <v>-28.4</v>
      </c>
      <c r="G2467" t="inlineStr">
        <is>
          <t>Consolidated first (v4) – needs verification for flagged rows</t>
        </is>
      </c>
      <c r="H2467" t="n">
        <v>98.65000152587891</v>
      </c>
      <c r="I2467" t="n">
        <v>60.59999847412109</v>
      </c>
      <c r="L2467" t="inlineStr">
        <is>
          <t>UNVERIFIED – negative EPS</t>
        </is>
      </c>
      <c r="M2467" t="n">
        <v>-3.47</v>
      </c>
      <c r="N2467" t="n">
        <v>-2.13</v>
      </c>
      <c r="O2467" t="n">
        <v>111.7</v>
      </c>
      <c r="P2467" t="n">
        <v>152</v>
      </c>
      <c r="Q2467" t="n">
        <v>80</v>
      </c>
      <c r="R2467" s="3" t="inlineStr">
        <is>
          <t>MISMATCH_NEEDS_CORRECTION</t>
        </is>
      </c>
      <c r="S2467" t="n">
        <v>111.7</v>
      </c>
      <c r="T2467" t="inlineStr">
        <is>
          <t>30-07-2026 09:42 IST</t>
        </is>
      </c>
    </row>
    <row r="2468">
      <c r="A2468" t="n">
        <v>413</v>
      </c>
      <c r="B2468" t="n">
        <v>518011</v>
      </c>
      <c r="C2468" t="inlineStr">
        <is>
          <t>Keerthi Industries Ltd</t>
        </is>
      </c>
      <c r="D2468" t="n">
        <v>2026</v>
      </c>
      <c r="E2468" t="n">
        <v>38</v>
      </c>
      <c r="F2468" t="n">
        <v>-19.07</v>
      </c>
      <c r="G2468" t="inlineStr">
        <is>
          <t>Consolidated first (v4) – needs verification for flagged rows</t>
        </is>
      </c>
      <c r="H2468" t="n">
        <v>73.90000152587891</v>
      </c>
      <c r="I2468" t="n">
        <v>34.5</v>
      </c>
      <c r="L2468" t="inlineStr">
        <is>
          <t>UNVERIFIED – negative EPS</t>
        </is>
      </c>
      <c r="M2468" t="n">
        <v>-3.88</v>
      </c>
      <c r="N2468" t="n">
        <v>-1.81</v>
      </c>
      <c r="O2468" t="n">
        <v>111.7</v>
      </c>
      <c r="P2468" t="n">
        <v>152</v>
      </c>
      <c r="Q2468" t="n">
        <v>80</v>
      </c>
      <c r="R2468" s="3" t="inlineStr">
        <is>
          <t>MISMATCH_NEEDS_CORRECTION</t>
        </is>
      </c>
      <c r="S2468" t="n">
        <v>111.7</v>
      </c>
      <c r="T2468" t="inlineStr">
        <is>
          <t>30-07-2026 09:42 IST</t>
        </is>
      </c>
    </row>
    <row r="2469">
      <c r="A2469" t="n">
        <v>414</v>
      </c>
      <c r="B2469" t="n">
        <v>518017</v>
      </c>
      <c r="C2469" t="inlineStr">
        <is>
          <t>Bedmutha Industries Ltd</t>
        </is>
      </c>
      <c r="D2469" t="n">
        <v>2015</v>
      </c>
      <c r="E2469" t="n">
        <v>16.14999961853027</v>
      </c>
      <c r="F2469" t="n">
        <v>-7.35</v>
      </c>
      <c r="G2469" t="inlineStr">
        <is>
          <t>Consolidated first (v4) – needs verification for flagged rows</t>
        </is>
      </c>
      <c r="H2469" t="n">
        <v>11.07999992370605</v>
      </c>
      <c r="I2469" t="n">
        <v>8.170000076293945</v>
      </c>
      <c r="L2469" t="inlineStr">
        <is>
          <t>UNVERIFIED – negative EPS</t>
        </is>
      </c>
      <c r="M2469" t="n">
        <v>-1.51</v>
      </c>
      <c r="N2469" t="n">
        <v>-1.11</v>
      </c>
      <c r="O2469" t="n">
        <v>27.99</v>
      </c>
      <c r="P2469" t="n">
        <v>35.34</v>
      </c>
      <c r="Q2469" t="n">
        <v>19.89</v>
      </c>
      <c r="R2469" s="3" t="inlineStr">
        <is>
          <t>MISMATCH_NEEDS_CORRECTION</t>
        </is>
      </c>
      <c r="S2469" t="n">
        <v>27.99</v>
      </c>
      <c r="T2469" t="inlineStr">
        <is>
          <t>30-07-2026 09:42 IST</t>
        </is>
      </c>
    </row>
    <row r="2470">
      <c r="A2470" t="n">
        <v>414</v>
      </c>
      <c r="B2470" t="n">
        <v>518017</v>
      </c>
      <c r="C2470" t="inlineStr">
        <is>
          <t>Bedmutha Industries Ltd</t>
        </is>
      </c>
      <c r="D2470" t="n">
        <v>2016</v>
      </c>
      <c r="E2470" t="n">
        <v>16.14999961853027</v>
      </c>
      <c r="F2470" t="n">
        <v>-0.53</v>
      </c>
      <c r="G2470" t="inlineStr">
        <is>
          <t>Consolidated first (v4) – needs verification for flagged rows</t>
        </is>
      </c>
      <c r="H2470" t="n">
        <v>9.100000381469727</v>
      </c>
      <c r="I2470" t="n">
        <v>9.100000381469727</v>
      </c>
      <c r="L2470" t="inlineStr">
        <is>
          <t>UNVERIFIED – negative EPS</t>
        </is>
      </c>
      <c r="M2470" t="n">
        <v>-17.17</v>
      </c>
      <c r="N2470" t="n">
        <v>-17.17</v>
      </c>
      <c r="O2470" t="n">
        <v>27.99</v>
      </c>
      <c r="P2470" t="n">
        <v>35.34</v>
      </c>
      <c r="Q2470" t="n">
        <v>19.89</v>
      </c>
      <c r="R2470" s="3" t="inlineStr">
        <is>
          <t>MISMATCH_NEEDS_CORRECTION</t>
        </is>
      </c>
      <c r="S2470" t="n">
        <v>27.99</v>
      </c>
      <c r="T2470" t="inlineStr">
        <is>
          <t>30-07-2026 09:42 IST</t>
        </is>
      </c>
    </row>
    <row r="2471">
      <c r="A2471" t="n">
        <v>414</v>
      </c>
      <c r="B2471" t="n">
        <v>518017</v>
      </c>
      <c r="C2471" t="inlineStr">
        <is>
          <t>Bedmutha Industries Ltd</t>
        </is>
      </c>
      <c r="D2471" t="n">
        <v>2017</v>
      </c>
      <c r="E2471" t="n">
        <v>16.14999961853027</v>
      </c>
      <c r="F2471" t="n">
        <v>-8.050000000000001</v>
      </c>
      <c r="G2471" t="inlineStr">
        <is>
          <t>Consolidated first (v4) – needs verification for flagged rows</t>
        </is>
      </c>
      <c r="H2471" t="n">
        <v>9.100000381469727</v>
      </c>
      <c r="I2471" t="n">
        <v>9.100000381469727</v>
      </c>
      <c r="L2471" t="inlineStr">
        <is>
          <t>UNVERIFIED – negative EPS</t>
        </is>
      </c>
      <c r="M2471" t="n">
        <v>-1.13</v>
      </c>
      <c r="N2471" t="n">
        <v>-1.13</v>
      </c>
      <c r="O2471" t="n">
        <v>27.99</v>
      </c>
      <c r="P2471" t="n">
        <v>35.34</v>
      </c>
      <c r="Q2471" t="n">
        <v>19.89</v>
      </c>
      <c r="R2471" s="3" t="inlineStr">
        <is>
          <t>MISMATCH_NEEDS_CORRECTION</t>
        </is>
      </c>
      <c r="S2471" t="n">
        <v>27.99</v>
      </c>
      <c r="T2471" t="inlineStr">
        <is>
          <t>30-07-2026 09:42 IST</t>
        </is>
      </c>
    </row>
    <row r="2472">
      <c r="A2472" t="n">
        <v>414</v>
      </c>
      <c r="B2472" t="n">
        <v>518017</v>
      </c>
      <c r="C2472" t="inlineStr">
        <is>
          <t>Bedmutha Industries Ltd</t>
        </is>
      </c>
      <c r="D2472" t="n">
        <v>2018</v>
      </c>
      <c r="E2472" t="n">
        <v>16.14999961853027</v>
      </c>
      <c r="F2472" t="n">
        <v>-12</v>
      </c>
      <c r="G2472" t="inlineStr">
        <is>
          <t>Consolidated first (v4) – needs verification for flagged rows</t>
        </is>
      </c>
      <c r="H2472" t="n">
        <v>9.100000381469727</v>
      </c>
      <c r="I2472" t="n">
        <v>9.100000381469727</v>
      </c>
      <c r="L2472" t="inlineStr">
        <is>
          <t>UNVERIFIED – negative EPS</t>
        </is>
      </c>
      <c r="M2472" t="n">
        <v>-0.76</v>
      </c>
      <c r="N2472" t="n">
        <v>-0.76</v>
      </c>
      <c r="O2472" t="n">
        <v>27.99</v>
      </c>
      <c r="P2472" t="n">
        <v>35.34</v>
      </c>
      <c r="Q2472" t="n">
        <v>19.89</v>
      </c>
      <c r="R2472" s="3" t="inlineStr">
        <is>
          <t>MISMATCH_NEEDS_CORRECTION</t>
        </is>
      </c>
      <c r="S2472" t="n">
        <v>27.99</v>
      </c>
      <c r="T2472" t="inlineStr">
        <is>
          <t>30-07-2026 09:42 IST</t>
        </is>
      </c>
    </row>
    <row r="2473">
      <c r="A2473" t="n">
        <v>414</v>
      </c>
      <c r="B2473" t="n">
        <v>518017</v>
      </c>
      <c r="C2473" t="inlineStr">
        <is>
          <t>Bedmutha Industries Ltd</t>
        </is>
      </c>
      <c r="D2473" t="n">
        <v>2019</v>
      </c>
      <c r="E2473" t="n">
        <v>16.14999961853027</v>
      </c>
      <c r="F2473" t="n">
        <v>-6.83</v>
      </c>
      <c r="G2473" t="inlineStr">
        <is>
          <t>Consolidated first (v4) – needs verification for flagged rows</t>
        </is>
      </c>
      <c r="H2473" t="n">
        <v>9.100000381469727</v>
      </c>
      <c r="I2473" t="n">
        <v>9.100000381469727</v>
      </c>
      <c r="L2473" t="inlineStr">
        <is>
          <t>UNVERIFIED – negative EPS</t>
        </is>
      </c>
      <c r="M2473" t="n">
        <v>-1.33</v>
      </c>
      <c r="N2473" t="n">
        <v>-1.33</v>
      </c>
      <c r="O2473" t="n">
        <v>27.99</v>
      </c>
      <c r="P2473" t="n">
        <v>35.34</v>
      </c>
      <c r="Q2473" t="n">
        <v>19.89</v>
      </c>
      <c r="R2473" s="3" t="inlineStr">
        <is>
          <t>MISMATCH_NEEDS_CORRECTION</t>
        </is>
      </c>
      <c r="S2473" t="n">
        <v>27.99</v>
      </c>
      <c r="T2473" t="inlineStr">
        <is>
          <t>30-07-2026 09:42 IST</t>
        </is>
      </c>
    </row>
    <row r="2474">
      <c r="A2474" t="n">
        <v>414</v>
      </c>
      <c r="B2474" t="n">
        <v>518017</v>
      </c>
      <c r="C2474" t="inlineStr">
        <is>
          <t>Bedmutha Industries Ltd</t>
        </is>
      </c>
      <c r="D2474" t="n">
        <v>2020</v>
      </c>
      <c r="E2474" t="n">
        <v>16.14999961853027</v>
      </c>
      <c r="F2474" t="n">
        <v>-3.8</v>
      </c>
      <c r="G2474" t="inlineStr">
        <is>
          <t>Consolidated first (v4) – needs verification for flagged rows</t>
        </is>
      </c>
      <c r="H2474" t="n">
        <v>9.100000381469727</v>
      </c>
      <c r="I2474" t="n">
        <v>9.100000381469727</v>
      </c>
      <c r="L2474" t="inlineStr">
        <is>
          <t>UNVERIFIED – negative EPS</t>
        </is>
      </c>
      <c r="M2474" t="n">
        <v>-2.39</v>
      </c>
      <c r="N2474" t="n">
        <v>-2.39</v>
      </c>
      <c r="O2474" t="n">
        <v>27.99</v>
      </c>
      <c r="P2474" t="n">
        <v>35.34</v>
      </c>
      <c r="Q2474" t="n">
        <v>19.89</v>
      </c>
      <c r="R2474" s="3" t="inlineStr">
        <is>
          <t>MISMATCH_NEEDS_CORRECTION</t>
        </is>
      </c>
      <c r="S2474" t="n">
        <v>27.99</v>
      </c>
      <c r="T2474" t="inlineStr">
        <is>
          <t>30-07-2026 09:42 IST</t>
        </is>
      </c>
    </row>
    <row r="2475">
      <c r="A2475" t="n">
        <v>414</v>
      </c>
      <c r="B2475" t="n">
        <v>518017</v>
      </c>
      <c r="C2475" t="inlineStr">
        <is>
          <t>Bedmutha Industries Ltd</t>
        </is>
      </c>
      <c r="D2475" t="n">
        <v>2021</v>
      </c>
      <c r="E2475" t="n">
        <v>16.14999961853027</v>
      </c>
      <c r="F2475" t="n">
        <v>-7.38</v>
      </c>
      <c r="G2475" t="inlineStr">
        <is>
          <t>Consolidated first (v4) – needs verification for flagged rows</t>
        </is>
      </c>
      <c r="H2475" t="n">
        <v>9.100000381469727</v>
      </c>
      <c r="I2475" t="n">
        <v>9.100000381469727</v>
      </c>
      <c r="L2475" t="inlineStr">
        <is>
          <t>UNVERIFIED – negative EPS</t>
        </is>
      </c>
      <c r="M2475" t="n">
        <v>-1.23</v>
      </c>
      <c r="N2475" t="n">
        <v>-1.23</v>
      </c>
      <c r="O2475" t="n">
        <v>27.99</v>
      </c>
      <c r="P2475" t="n">
        <v>35.34</v>
      </c>
      <c r="Q2475" t="n">
        <v>19.89</v>
      </c>
      <c r="R2475" s="3" t="inlineStr">
        <is>
          <t>MISMATCH_NEEDS_CORRECTION</t>
        </is>
      </c>
      <c r="S2475" t="n">
        <v>27.99</v>
      </c>
      <c r="T2475" t="inlineStr">
        <is>
          <t>30-07-2026 09:42 IST</t>
        </is>
      </c>
    </row>
    <row r="2476">
      <c r="A2476" t="n">
        <v>414</v>
      </c>
      <c r="B2476" t="n">
        <v>518017</v>
      </c>
      <c r="C2476" t="inlineStr">
        <is>
          <t>Bedmutha Industries Ltd</t>
        </is>
      </c>
      <c r="D2476" t="n">
        <v>2022</v>
      </c>
      <c r="E2476" t="n">
        <v>16.14999961853027</v>
      </c>
      <c r="F2476" t="n">
        <v>-11.33</v>
      </c>
      <c r="G2476" t="inlineStr">
        <is>
          <t>Consolidated first (v4) – needs verification for flagged rows</t>
        </is>
      </c>
      <c r="H2476" t="n">
        <v>190</v>
      </c>
      <c r="I2476" t="n">
        <v>9.100000381469727</v>
      </c>
      <c r="L2476" t="inlineStr">
        <is>
          <t>UNVERIFIED – negative EPS</t>
        </is>
      </c>
      <c r="M2476" t="n">
        <v>-16.77</v>
      </c>
      <c r="N2476" t="n">
        <v>-0.8</v>
      </c>
      <c r="O2476" t="n">
        <v>27.99</v>
      </c>
      <c r="P2476" t="n">
        <v>35.34</v>
      </c>
      <c r="Q2476" t="n">
        <v>19.89</v>
      </c>
      <c r="R2476" s="3" t="inlineStr">
        <is>
          <t>MISMATCH_NEEDS_CORRECTION</t>
        </is>
      </c>
      <c r="S2476" t="n">
        <v>27.99</v>
      </c>
      <c r="T2476" t="inlineStr">
        <is>
          <t>30-07-2026 09:42 IST</t>
        </is>
      </c>
    </row>
    <row r="2477">
      <c r="A2477" t="n">
        <v>414</v>
      </c>
      <c r="B2477" t="n">
        <v>518017</v>
      </c>
      <c r="C2477" t="inlineStr">
        <is>
          <t>Bedmutha Industries Ltd</t>
        </is>
      </c>
      <c r="D2477" t="n">
        <v>2023</v>
      </c>
      <c r="E2477" t="n">
        <v>16.14999961853027</v>
      </c>
      <c r="F2477" t="n">
        <v>-14.42</v>
      </c>
      <c r="G2477" t="inlineStr">
        <is>
          <t>Consolidated first (v4) – needs verification for flagged rows</t>
        </is>
      </c>
      <c r="H2477" t="n">
        <v>162.9499969482422</v>
      </c>
      <c r="I2477" t="n">
        <v>21.30999946594238</v>
      </c>
      <c r="L2477" t="inlineStr">
        <is>
          <t>UNVERIFIED – negative EPS</t>
        </is>
      </c>
      <c r="M2477" t="n">
        <v>-11.3</v>
      </c>
      <c r="N2477" t="n">
        <v>-1.48</v>
      </c>
      <c r="O2477" t="n">
        <v>27.99</v>
      </c>
      <c r="P2477" t="n">
        <v>35.34</v>
      </c>
      <c r="Q2477" t="n">
        <v>19.89</v>
      </c>
      <c r="R2477" s="3" t="inlineStr">
        <is>
          <t>MISMATCH_NEEDS_CORRECTION</t>
        </is>
      </c>
      <c r="S2477" t="n">
        <v>27.99</v>
      </c>
      <c r="T2477" t="inlineStr">
        <is>
          <t>30-07-2026 09:42 IST</t>
        </is>
      </c>
    </row>
    <row r="2478">
      <c r="A2478" t="n">
        <v>414</v>
      </c>
      <c r="B2478" t="n">
        <v>518017</v>
      </c>
      <c r="C2478" t="inlineStr">
        <is>
          <t>Bedmutha Industries Ltd</t>
        </is>
      </c>
      <c r="D2478" t="n">
        <v>2024</v>
      </c>
      <c r="E2478" t="n">
        <v>16.14999961853027</v>
      </c>
      <c r="F2478" t="n">
        <v>-10.35</v>
      </c>
      <c r="G2478" t="inlineStr">
        <is>
          <t>Consolidated first (v4) – needs verification for flagged rows</t>
        </is>
      </c>
      <c r="H2478" t="n">
        <v>35.34000015258789</v>
      </c>
      <c r="I2478" t="n">
        <v>20.32999992370605</v>
      </c>
      <c r="L2478" t="inlineStr">
        <is>
          <t>UNVERIFIED – negative EPS</t>
        </is>
      </c>
      <c r="M2478" t="n">
        <v>-3.41</v>
      </c>
      <c r="N2478" t="n">
        <v>-1.96</v>
      </c>
      <c r="O2478" t="n">
        <v>27.99</v>
      </c>
      <c r="P2478" t="n">
        <v>35.34</v>
      </c>
      <c r="Q2478" t="n">
        <v>19.89</v>
      </c>
      <c r="R2478" s="3" t="inlineStr">
        <is>
          <t>MISMATCH_NEEDS_CORRECTION</t>
        </is>
      </c>
      <c r="S2478" t="n">
        <v>27.99</v>
      </c>
      <c r="T2478" t="inlineStr">
        <is>
          <t>30-07-2026 09:42 IST</t>
        </is>
      </c>
    </row>
    <row r="2479">
      <c r="A2479" t="n">
        <v>414</v>
      </c>
      <c r="B2479" t="n">
        <v>518017</v>
      </c>
      <c r="C2479" t="inlineStr">
        <is>
          <t>Bedmutha Industries Ltd</t>
        </is>
      </c>
      <c r="D2479" t="n">
        <v>2025</v>
      </c>
      <c r="E2479" t="n">
        <v>16.14999961853027</v>
      </c>
      <c r="F2479" t="n">
        <v>-9.23</v>
      </c>
      <c r="G2479" t="inlineStr">
        <is>
          <t>Consolidated first (v4) – needs verification for flagged rows</t>
        </is>
      </c>
      <c r="H2479" t="n">
        <v>20.93000030517578</v>
      </c>
      <c r="I2479" t="n">
        <v>16.14999961853027</v>
      </c>
      <c r="L2479" t="inlineStr">
        <is>
          <t>UNVERIFIED – negative EPS</t>
        </is>
      </c>
      <c r="M2479" t="n">
        <v>-2.27</v>
      </c>
      <c r="N2479" t="n">
        <v>-1.75</v>
      </c>
      <c r="O2479" t="n">
        <v>27.99</v>
      </c>
      <c r="P2479" t="n">
        <v>35.34</v>
      </c>
      <c r="Q2479" t="n">
        <v>19.89</v>
      </c>
      <c r="R2479" s="3" t="inlineStr">
        <is>
          <t>MISMATCH_NEEDS_CORRECTION</t>
        </is>
      </c>
      <c r="S2479" t="n">
        <v>27.99</v>
      </c>
      <c r="T2479" t="inlineStr">
        <is>
          <t>30-07-2026 09:42 IST</t>
        </is>
      </c>
    </row>
    <row r="2480">
      <c r="A2480" t="n">
        <v>414</v>
      </c>
      <c r="B2480" t="n">
        <v>518017</v>
      </c>
      <c r="C2480" t="inlineStr">
        <is>
          <t>Bedmutha Industries Ltd</t>
        </is>
      </c>
      <c r="D2480" t="n">
        <v>2026</v>
      </c>
      <c r="E2480" t="n">
        <v>16.14999961853027</v>
      </c>
      <c r="G2480" t="inlineStr">
        <is>
          <t>Consolidated first (v4) – needs verification for flagged rows</t>
        </is>
      </c>
      <c r="H2480" t="n">
        <v>16.14999961853027</v>
      </c>
      <c r="I2480" t="n">
        <v>16.14999961853027</v>
      </c>
      <c r="L2480" t="inlineStr">
        <is>
          <t>INCOMPLETE</t>
        </is>
      </c>
      <c r="O2480" t="n">
        <v>27.99</v>
      </c>
      <c r="P2480" t="n">
        <v>35.34</v>
      </c>
      <c r="Q2480" t="n">
        <v>19.89</v>
      </c>
      <c r="R2480" s="3" t="inlineStr">
        <is>
          <t>MISMATCH_NEEDS_CORRECTION</t>
        </is>
      </c>
      <c r="S2480" t="n">
        <v>27.99</v>
      </c>
      <c r="T2480" t="inlineStr">
        <is>
          <t>30-07-2026 09:42 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BSE Code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Old EPS in file</t>
        </is>
      </c>
      <c r="E1" s="1" t="inlineStr">
        <is>
          <t>Corrected EPS</t>
        </is>
      </c>
      <c r="F1" s="1" t="inlineStr">
        <is>
          <t>Old PE</t>
        </is>
      </c>
      <c r="G1" s="1" t="inlineStr">
        <is>
          <t>New PE</t>
        </is>
      </c>
      <c r="H1" s="1" t="inlineStr">
        <is>
          <t>Source</t>
        </is>
      </c>
      <c r="I1" s="1" t="inlineStr">
        <is>
          <t>Status</t>
        </is>
      </c>
    </row>
    <row r="2">
      <c r="A2" t="n">
        <v>500112</v>
      </c>
      <c r="B2" t="inlineStr">
        <is>
          <t>State Bank of India</t>
        </is>
      </c>
      <c r="C2" t="n">
        <v>2017</v>
      </c>
      <c r="D2" t="n">
        <v>0.3</v>
      </c>
      <c r="E2" t="n">
        <v>13.15</v>
      </c>
      <c r="F2" t="n">
        <v>1172</v>
      </c>
      <c r="G2" t="n">
        <v>26.8</v>
      </c>
      <c r="H2" t="inlineStr">
        <is>
          <t>Annual Report FY17 net profit 10,484cr / 797cr shares =13.15 – scribd table【3435303340785564242†L20-L23】</t>
        </is>
      </c>
      <c r="I2" t="inlineStr">
        <is>
          <t>VERIFIED</t>
        </is>
      </c>
    </row>
    <row r="3">
      <c r="A3" t="n">
        <v>500825</v>
      </c>
      <c r="B3" t="inlineStr">
        <is>
          <t>Britannia Industries</t>
        </is>
      </c>
      <c r="C3" t="n">
        <v>2017</v>
      </c>
      <c r="D3" t="n">
        <v>-0.48</v>
      </c>
      <c r="E3" t="n">
        <v>36.8</v>
      </c>
      <c r="F3" t="n">
        <v>-275</v>
      </c>
      <c r="G3" t="n">
        <v>95</v>
      </c>
      <c r="H3" t="inlineStr">
        <is>
          <t>Moneycontrol research Y/E March 2017 EPS 36.8【5364693404258100898†L13-L16】</t>
        </is>
      </c>
      <c r="I3" t="inlineStr">
        <is>
          <t>VERIFIED</t>
        </is>
      </c>
    </row>
    <row r="4">
      <c r="A4" t="n">
        <v>500520</v>
      </c>
      <c r="B4" t="inlineStr">
        <is>
          <t>Mahindra &amp; Mahindra</t>
        </is>
      </c>
      <c r="C4" t="n">
        <v>2020</v>
      </c>
      <c r="D4" t="n">
        <v>1.02</v>
      </c>
      <c r="E4" t="n">
        <v>11.2</v>
      </c>
      <c r="F4" t="n">
        <v>749</v>
      </c>
      <c r="G4" t="n">
        <v>67</v>
      </c>
      <c r="H4" t="inlineStr">
        <is>
          <t>ICICI Direct FY20 EPS 11.2【5535724775168940871†L9-L12】</t>
        </is>
      </c>
      <c r="I4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IST</t>
        </is>
      </c>
      <c r="B1" t="inlineStr">
        <is>
          <t>BSE Code</t>
        </is>
      </c>
      <c r="C1" t="inlineStr">
        <is>
          <t>Company</t>
        </is>
      </c>
      <c r="D1" t="inlineStr">
        <is>
          <t>Calendar Year</t>
        </is>
      </c>
      <c r="E1" t="inlineStr">
        <is>
          <t>Field</t>
        </is>
      </c>
      <c r="F1" t="inlineStr">
        <is>
          <t>Excel Old CMP</t>
        </is>
      </c>
      <c r="G1" t="inlineStr">
        <is>
          <t>BSE Official CMP</t>
        </is>
      </c>
      <c r="H1" t="inlineStr">
        <is>
          <t>Difference %</t>
        </is>
      </c>
      <c r="I1" t="inlineStr">
        <is>
          <t>Action</t>
        </is>
      </c>
      <c r="J1" t="inlineStr">
        <is>
          <t>BSE Proof URL</t>
        </is>
      </c>
      <c r="K1" t="inlineStr">
        <is>
          <t>EPS Note</t>
        </is>
      </c>
    </row>
    <row r="2">
      <c r="A2">
        <f>NOW()</f>
        <v/>
      </c>
      <c r="B2" t="inlineStr">
        <is>
          <t>Example 500325</t>
        </is>
      </c>
      <c r="C2" t="inlineStr">
        <is>
          <t>Reliance</t>
        </is>
      </c>
      <c r="D2" t="inlineStr">
        <is>
          <t>2026</t>
        </is>
      </c>
      <c r="E2" t="inlineStr">
        <is>
          <t>CMP</t>
        </is>
      </c>
      <c r="F2" t="inlineStr">
        <is>
          <t>1500</t>
        </is>
      </c>
      <c r="G2" t="inlineStr">
        <is>
          <t>1520</t>
        </is>
      </c>
      <c r="H2">
        <f>ABS(F2-G2)/F2*100</f>
        <v/>
      </c>
      <c r="I2" t="inlineStr">
        <is>
          <t>AUTO-CORRECTED</t>
        </is>
      </c>
      <c r="J2" t="inlineStr">
        <is>
          <t>https://www.bseindia.com/stock-share-price/reliance/500325/</t>
        </is>
      </c>
      <c r="K2" t="inlineStr">
        <is>
          <t>EPS historical needs annual 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MERGED MASTER - HOW TO USE - Auto Update 10PM IST</t>
        </is>
      </c>
    </row>
    <row r="3">
      <c r="A3" t="inlineStr">
        <is>
          <t>This file is your FINAL ready file - 2479 rows (2015-2026) + LIVE BSE columns</t>
        </is>
      </c>
    </row>
    <row r="4">
      <c r="A4" t="inlineStr">
        <is>
          <t>Columns E = your old CMP TODAY All Years (kept as is)</t>
        </is>
      </c>
    </row>
    <row r="5">
      <c r="A5" t="inlineStr">
        <is>
          <t>Columns O-T = new LIVE official columns that auto-fill from BSE_500_LIVE sheet via VLOOKUP</t>
        </is>
      </c>
    </row>
    <row r="7">
      <c r="A7" t="inlineStr">
        <is>
          <t>STEPS TO MAKE IT LIVE:</t>
        </is>
      </c>
    </row>
    <row r="8">
      <c r="A8" t="inlineStr">
        <is>
          <t>1. Go to BSE_500_LIVE sheet - select A1:G222 - press Ctrl+T - name table as BSECodes</t>
        </is>
      </c>
    </row>
    <row r="9">
      <c r="A9" t="inlineStr">
        <is>
          <t>2. Data &gt; Get Data &gt; Blank Query &gt; Advanced Editor &gt; Paste M Code from previous file</t>
        </is>
      </c>
    </row>
    <row r="10">
      <c r="A10" t="inlineStr">
        <is>
          <t>3. Query will populate columns C,D,E in BSE_500_LIVE from BSE API</t>
        </is>
      </c>
    </row>
    <row r="11">
      <c r="A11" t="inlineStr">
        <is>
          <t>4. As soon as BSE_500_LIVE updates, ALL 2479 rows in PE Band DETAIL v8 auto-update via VLOOKUP formulas</t>
        </is>
      </c>
    </row>
    <row r="12">
      <c r="A12" t="inlineStr">
        <is>
          <t>5. For 10PM auto: Alt+F11 &gt; paste VBA, save as .xlsm, schedule Task Scheduler to open at 9:59 PM</t>
        </is>
      </c>
    </row>
    <row r="14">
      <c r="A14" t="inlineStr">
        <is>
          <t>WHAT GETS AUTO-CORRECTED:</t>
        </is>
      </c>
    </row>
    <row r="15">
      <c r="A15" t="inlineStr">
        <is>
          <t>- Final_CMP_AutoCorrected = If BSE live exists, uses BSE official, else keeps your old</t>
        </is>
      </c>
    </row>
    <row r="16">
      <c r="A16" t="inlineStr">
        <is>
          <t>- CMP_Match_Status shows VERIFIED_OK or MISMATCH_NEEDS_CORRECTION</t>
        </is>
      </c>
    </row>
    <row r="17">
      <c r="A17" t="inlineStr">
        <is>
          <t>- Year High/Low NOT overwritten - BSE 52W High/Low kept in separate columns (different definition)</t>
        </is>
      </c>
    </row>
    <row r="18">
      <c r="A18" t="inlineStr">
        <is>
          <t>- EPS: Historical EPS (2015-2025) kept as is - BSE API only gives current TTM EPS, so only 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2026-07-29T16:02:45Z</dcterms:created>
  <dcterms:modified xmlns:dcterms="http://purl.org/dc/terms/" xmlns:xsi="http://www.w3.org/2001/XMLSchema-instance" xsi:type="dcterms:W3CDTF">2026-07-30T05:22:14Z</dcterms:modified>
  <cp:lastModifiedBy>Vinayakam P</cp:lastModifiedBy>
</cp:coreProperties>
</file>