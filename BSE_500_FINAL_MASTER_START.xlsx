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vina\Desktop\BSE 500\"/>
    </mc:Choice>
  </mc:AlternateContent>
  <xr:revisionPtr revIDLastSave="0" documentId="13_ncr:1_{4BD8F36C-FD06-4AAD-BA6A-4B7873B17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SE_500_LIVE" sheetId="1" r:id="rId1"/>
    <sheet name="PE Band DETAIL v8" sheetId="2" r:id="rId2"/>
    <sheet name="LARGE CAP CORRECTIONS" sheetId="3" r:id="rId3"/>
    <sheet name="VERIFICATION_LOG" sheetId="4" r:id="rId4"/>
    <sheet name="HOW_TO_USE_FIN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A2" i="4"/>
  <c r="T2351" i="2"/>
  <c r="S2351" i="2"/>
  <c r="Q2351" i="2"/>
  <c r="P2351" i="2"/>
  <c r="O2351" i="2"/>
  <c r="R2351" i="2" s="1"/>
  <c r="T2350" i="2"/>
  <c r="Q2350" i="2"/>
  <c r="P2350" i="2"/>
  <c r="O2350" i="2"/>
  <c r="S2350" i="2" s="1"/>
  <c r="T2349" i="2"/>
  <c r="Q2349" i="2"/>
  <c r="P2349" i="2"/>
  <c r="O2349" i="2"/>
  <c r="R2349" i="2" s="1"/>
  <c r="T2348" i="2"/>
  <c r="Q2348" i="2"/>
  <c r="P2348" i="2"/>
  <c r="O2348" i="2"/>
  <c r="S2348" i="2" s="1"/>
  <c r="T2347" i="2"/>
  <c r="Q2347" i="2"/>
  <c r="P2347" i="2"/>
  <c r="O2347" i="2"/>
  <c r="R2347" i="2" s="1"/>
  <c r="T2346" i="2"/>
  <c r="Q2346" i="2"/>
  <c r="P2346" i="2"/>
  <c r="O2346" i="2"/>
  <c r="S2346" i="2" s="1"/>
  <c r="T2345" i="2"/>
  <c r="S2345" i="2"/>
  <c r="Q2345" i="2"/>
  <c r="P2345" i="2"/>
  <c r="O2345" i="2"/>
  <c r="R2345" i="2" s="1"/>
  <c r="T2344" i="2"/>
  <c r="Q2344" i="2"/>
  <c r="P2344" i="2"/>
  <c r="O2344" i="2"/>
  <c r="S2344" i="2" s="1"/>
  <c r="T2343" i="2"/>
  <c r="S2343" i="2"/>
  <c r="Q2343" i="2"/>
  <c r="P2343" i="2"/>
  <c r="O2343" i="2"/>
  <c r="R2343" i="2" s="1"/>
  <c r="T2342" i="2"/>
  <c r="Q2342" i="2"/>
  <c r="P2342" i="2"/>
  <c r="O2342" i="2"/>
  <c r="S2342" i="2" s="1"/>
  <c r="T2341" i="2"/>
  <c r="Q2341" i="2"/>
  <c r="P2341" i="2"/>
  <c r="O2341" i="2"/>
  <c r="R2341" i="2" s="1"/>
  <c r="T2340" i="2"/>
  <c r="Q2340" i="2"/>
  <c r="P2340" i="2"/>
  <c r="O2340" i="2"/>
  <c r="S2340" i="2" s="1"/>
  <c r="T2146" i="2"/>
  <c r="Q2146" i="2"/>
  <c r="P2146" i="2"/>
  <c r="O2146" i="2"/>
  <c r="R2146" i="2" s="1"/>
  <c r="T2145" i="2"/>
  <c r="Q2145" i="2"/>
  <c r="P2145" i="2"/>
  <c r="O2145" i="2"/>
  <c r="S2145" i="2" s="1"/>
  <c r="T2144" i="2"/>
  <c r="S2144" i="2"/>
  <c r="Q2144" i="2"/>
  <c r="P2144" i="2"/>
  <c r="O2144" i="2"/>
  <c r="R2144" i="2" s="1"/>
  <c r="T2143" i="2"/>
  <c r="Q2143" i="2"/>
  <c r="P2143" i="2"/>
  <c r="O2143" i="2"/>
  <c r="S2143" i="2" s="1"/>
  <c r="T2142" i="2"/>
  <c r="S2142" i="2"/>
  <c r="Q2142" i="2"/>
  <c r="P2142" i="2"/>
  <c r="O2142" i="2"/>
  <c r="R2142" i="2" s="1"/>
  <c r="T2141" i="2"/>
  <c r="Q2141" i="2"/>
  <c r="P2141" i="2"/>
  <c r="O2141" i="2"/>
  <c r="S2141" i="2" s="1"/>
  <c r="T2140" i="2"/>
  <c r="Q2140" i="2"/>
  <c r="P2140" i="2"/>
  <c r="O2140" i="2"/>
  <c r="R2140" i="2" s="1"/>
  <c r="T2139" i="2"/>
  <c r="Q2139" i="2"/>
  <c r="P2139" i="2"/>
  <c r="O2139" i="2"/>
  <c r="S2139" i="2" s="1"/>
  <c r="T2138" i="2"/>
  <c r="Q2138" i="2"/>
  <c r="P2138" i="2"/>
  <c r="O2138" i="2"/>
  <c r="R2138" i="2" s="1"/>
  <c r="T2137" i="2"/>
  <c r="Q2137" i="2"/>
  <c r="P2137" i="2"/>
  <c r="O2137" i="2"/>
  <c r="S2137" i="2" s="1"/>
  <c r="T2136" i="2"/>
  <c r="S2136" i="2"/>
  <c r="Q2136" i="2"/>
  <c r="P2136" i="2"/>
  <c r="O2136" i="2"/>
  <c r="R2136" i="2" s="1"/>
  <c r="T1956" i="2"/>
  <c r="Q1956" i="2"/>
  <c r="P1956" i="2"/>
  <c r="O1956" i="2"/>
  <c r="S1956" i="2" s="1"/>
  <c r="T1955" i="2"/>
  <c r="S1955" i="2"/>
  <c r="Q1955" i="2"/>
  <c r="P1955" i="2"/>
  <c r="O1955" i="2"/>
  <c r="R1955" i="2" s="1"/>
  <c r="T1954" i="2"/>
  <c r="Q1954" i="2"/>
  <c r="P1954" i="2"/>
  <c r="O1954" i="2"/>
  <c r="S1954" i="2" s="1"/>
  <c r="T1953" i="2"/>
  <c r="Q1953" i="2"/>
  <c r="P1953" i="2"/>
  <c r="O1953" i="2"/>
  <c r="R1953" i="2" s="1"/>
  <c r="T1952" i="2"/>
  <c r="Q1952" i="2"/>
  <c r="P1952" i="2"/>
  <c r="O1952" i="2"/>
  <c r="S1952" i="2" s="1"/>
  <c r="T1951" i="2"/>
  <c r="Q1951" i="2"/>
  <c r="P1951" i="2"/>
  <c r="O1951" i="2"/>
  <c r="R1951" i="2" s="1"/>
  <c r="T1950" i="2"/>
  <c r="Q1950" i="2"/>
  <c r="P1950" i="2"/>
  <c r="O1950" i="2"/>
  <c r="S1950" i="2" s="1"/>
  <c r="T1949" i="2"/>
  <c r="S1949" i="2"/>
  <c r="Q1949" i="2"/>
  <c r="P1949" i="2"/>
  <c r="O1949" i="2"/>
  <c r="R1949" i="2" s="1"/>
  <c r="T1948" i="2"/>
  <c r="Q1948" i="2"/>
  <c r="P1948" i="2"/>
  <c r="O1948" i="2"/>
  <c r="S1948" i="2" s="1"/>
  <c r="T1947" i="2"/>
  <c r="S1947" i="2"/>
  <c r="Q1947" i="2"/>
  <c r="P1947" i="2"/>
  <c r="O1947" i="2"/>
  <c r="R1947" i="2" s="1"/>
  <c r="T1946" i="2"/>
  <c r="Q1946" i="2"/>
  <c r="P1946" i="2"/>
  <c r="O1946" i="2"/>
  <c r="S1946" i="2" s="1"/>
  <c r="T1945" i="2"/>
  <c r="Q1945" i="2"/>
  <c r="P1945" i="2"/>
  <c r="O1945" i="2"/>
  <c r="R1945" i="2" s="1"/>
  <c r="T1944" i="2"/>
  <c r="Q1944" i="2"/>
  <c r="P1944" i="2"/>
  <c r="O1944" i="2"/>
  <c r="S1944" i="2" s="1"/>
  <c r="T1943" i="2"/>
  <c r="Q1943" i="2"/>
  <c r="P1943" i="2"/>
  <c r="O1943" i="2"/>
  <c r="R1943" i="2" s="1"/>
  <c r="T1942" i="2"/>
  <c r="Q1942" i="2"/>
  <c r="P1942" i="2"/>
  <c r="O1942" i="2"/>
  <c r="S1942" i="2" s="1"/>
  <c r="T1941" i="2"/>
  <c r="S1941" i="2"/>
  <c r="Q1941" i="2"/>
  <c r="P1941" i="2"/>
  <c r="O1941" i="2"/>
  <c r="R1941" i="2" s="1"/>
  <c r="T1940" i="2"/>
  <c r="Q1940" i="2"/>
  <c r="P1940" i="2"/>
  <c r="O1940" i="2"/>
  <c r="S1940" i="2" s="1"/>
  <c r="T1939" i="2"/>
  <c r="S1939" i="2"/>
  <c r="Q1939" i="2"/>
  <c r="P1939" i="2"/>
  <c r="O1939" i="2"/>
  <c r="R1939" i="2" s="1"/>
  <c r="T1938" i="2"/>
  <c r="Q1938" i="2"/>
  <c r="P1938" i="2"/>
  <c r="O1938" i="2"/>
  <c r="S1938" i="2" s="1"/>
  <c r="T1937" i="2"/>
  <c r="Q1937" i="2"/>
  <c r="P1937" i="2"/>
  <c r="O1937" i="2"/>
  <c r="R1937" i="2" s="1"/>
  <c r="T1936" i="2"/>
  <c r="Q1936" i="2"/>
  <c r="P1936" i="2"/>
  <c r="O1936" i="2"/>
  <c r="S1936" i="2" s="1"/>
  <c r="T1935" i="2"/>
  <c r="Q1935" i="2"/>
  <c r="P1935" i="2"/>
  <c r="O1935" i="2"/>
  <c r="R1935" i="2" s="1"/>
  <c r="T1934" i="2"/>
  <c r="Q1934" i="2"/>
  <c r="P1934" i="2"/>
  <c r="O1934" i="2"/>
  <c r="S1934" i="2" s="1"/>
  <c r="T1933" i="2"/>
  <c r="S1933" i="2"/>
  <c r="Q1933" i="2"/>
  <c r="P1933" i="2"/>
  <c r="O1933" i="2"/>
  <c r="R1933" i="2" s="1"/>
  <c r="T1657" i="2"/>
  <c r="Q1657" i="2"/>
  <c r="P1657" i="2"/>
  <c r="O1657" i="2"/>
  <c r="S1657" i="2" s="1"/>
  <c r="T1656" i="2"/>
  <c r="S1656" i="2"/>
  <c r="Q1656" i="2"/>
  <c r="P1656" i="2"/>
  <c r="O1656" i="2"/>
  <c r="R1656" i="2" s="1"/>
  <c r="T1655" i="2"/>
  <c r="Q1655" i="2"/>
  <c r="P1655" i="2"/>
  <c r="O1655" i="2"/>
  <c r="S1655" i="2" s="1"/>
  <c r="T1654" i="2"/>
  <c r="Q1654" i="2"/>
  <c r="P1654" i="2"/>
  <c r="O1654" i="2"/>
  <c r="R1654" i="2" s="1"/>
  <c r="T1653" i="2"/>
  <c r="Q1653" i="2"/>
  <c r="P1653" i="2"/>
  <c r="O1653" i="2"/>
  <c r="S1653" i="2" s="1"/>
  <c r="T1652" i="2"/>
  <c r="Q1652" i="2"/>
  <c r="P1652" i="2"/>
  <c r="O1652" i="2"/>
  <c r="R1652" i="2" s="1"/>
  <c r="T1651" i="2"/>
  <c r="Q1651" i="2"/>
  <c r="P1651" i="2"/>
  <c r="O1651" i="2"/>
  <c r="S1651" i="2" s="1"/>
  <c r="T1650" i="2"/>
  <c r="S1650" i="2"/>
  <c r="Q1650" i="2"/>
  <c r="P1650" i="2"/>
  <c r="O1650" i="2"/>
  <c r="R1650" i="2" s="1"/>
  <c r="T1649" i="2"/>
  <c r="Q1649" i="2"/>
  <c r="P1649" i="2"/>
  <c r="O1649" i="2"/>
  <c r="S1649" i="2" s="1"/>
  <c r="T1648" i="2"/>
  <c r="S1648" i="2"/>
  <c r="Q1648" i="2"/>
  <c r="P1648" i="2"/>
  <c r="O1648" i="2"/>
  <c r="R1648" i="2" s="1"/>
  <c r="T1647" i="2"/>
  <c r="Q1647" i="2"/>
  <c r="P1647" i="2"/>
  <c r="O1647" i="2"/>
  <c r="S1647" i="2" s="1"/>
  <c r="T1566" i="2"/>
  <c r="Q1566" i="2"/>
  <c r="P1566" i="2"/>
  <c r="O1566" i="2"/>
  <c r="R1566" i="2" s="1"/>
  <c r="T1565" i="2"/>
  <c r="Q1565" i="2"/>
  <c r="P1565" i="2"/>
  <c r="O1565" i="2"/>
  <c r="S1565" i="2" s="1"/>
  <c r="T1564" i="2"/>
  <c r="Q1564" i="2"/>
  <c r="P1564" i="2"/>
  <c r="O1564" i="2"/>
  <c r="R1564" i="2" s="1"/>
  <c r="T1563" i="2"/>
  <c r="Q1563" i="2"/>
  <c r="P1563" i="2"/>
  <c r="O1563" i="2"/>
  <c r="S1563" i="2" s="1"/>
  <c r="T1562" i="2"/>
  <c r="S1562" i="2"/>
  <c r="Q1562" i="2"/>
  <c r="P1562" i="2"/>
  <c r="O1562" i="2"/>
  <c r="R1562" i="2" s="1"/>
  <c r="T1561" i="2"/>
  <c r="Q1561" i="2"/>
  <c r="P1561" i="2"/>
  <c r="O1561" i="2"/>
  <c r="S1561" i="2" s="1"/>
  <c r="T1560" i="2"/>
  <c r="S1560" i="2"/>
  <c r="Q1560" i="2"/>
  <c r="P1560" i="2"/>
  <c r="O1560" i="2"/>
  <c r="R1560" i="2" s="1"/>
  <c r="T1559" i="2"/>
  <c r="Q1559" i="2"/>
  <c r="P1559" i="2"/>
  <c r="O1559" i="2"/>
  <c r="S1559" i="2" s="1"/>
  <c r="T1558" i="2"/>
  <c r="Q1558" i="2"/>
  <c r="P1558" i="2"/>
  <c r="O1558" i="2"/>
  <c r="R1558" i="2" s="1"/>
  <c r="T1402" i="2"/>
  <c r="Q1402" i="2"/>
  <c r="P1402" i="2"/>
  <c r="O1402" i="2"/>
  <c r="S1402" i="2" s="1"/>
  <c r="T1401" i="2"/>
  <c r="Q1401" i="2"/>
  <c r="P1401" i="2"/>
  <c r="O1401" i="2"/>
  <c r="R1401" i="2" s="1"/>
  <c r="T1400" i="2"/>
  <c r="R1400" i="2"/>
  <c r="Q1400" i="2"/>
  <c r="P1400" i="2"/>
  <c r="O1400" i="2"/>
  <c r="S1400" i="2" s="1"/>
  <c r="T1399" i="2"/>
  <c r="S1399" i="2"/>
  <c r="Q1399" i="2"/>
  <c r="P1399" i="2"/>
  <c r="O1399" i="2"/>
  <c r="R1399" i="2" s="1"/>
  <c r="T1398" i="2"/>
  <c r="R1398" i="2"/>
  <c r="Q1398" i="2"/>
  <c r="P1398" i="2"/>
  <c r="O1398" i="2"/>
  <c r="S1398" i="2" s="1"/>
  <c r="T1397" i="2"/>
  <c r="Q1397" i="2"/>
  <c r="P1397" i="2"/>
  <c r="O1397" i="2"/>
  <c r="R1397" i="2" s="1"/>
  <c r="T1396" i="2"/>
  <c r="R1396" i="2"/>
  <c r="Q1396" i="2"/>
  <c r="P1396" i="2"/>
  <c r="O1396" i="2"/>
  <c r="S1396" i="2" s="1"/>
  <c r="T1395" i="2"/>
  <c r="S1395" i="2"/>
  <c r="Q1395" i="2"/>
  <c r="P1395" i="2"/>
  <c r="O1395" i="2"/>
  <c r="R1395" i="2" s="1"/>
  <c r="T1394" i="2"/>
  <c r="R1394" i="2"/>
  <c r="Q1394" i="2"/>
  <c r="P1394" i="2"/>
  <c r="O1394" i="2"/>
  <c r="S1394" i="2" s="1"/>
  <c r="T1393" i="2"/>
  <c r="Q1393" i="2"/>
  <c r="P1393" i="2"/>
  <c r="O1393" i="2"/>
  <c r="R1393" i="2" s="1"/>
  <c r="T1392" i="2"/>
  <c r="R1392" i="2"/>
  <c r="Q1392" i="2"/>
  <c r="P1392" i="2"/>
  <c r="O1392" i="2"/>
  <c r="S1392" i="2" s="1"/>
  <c r="T1391" i="2"/>
  <c r="S1391" i="2"/>
  <c r="Q1391" i="2"/>
  <c r="P1391" i="2"/>
  <c r="O1391" i="2"/>
  <c r="R1391" i="2" s="1"/>
  <c r="T1235" i="2"/>
  <c r="R1235" i="2"/>
  <c r="Q1235" i="2"/>
  <c r="P1235" i="2"/>
  <c r="O1235" i="2"/>
  <c r="S1235" i="2" s="1"/>
  <c r="T1234" i="2"/>
  <c r="Q1234" i="2"/>
  <c r="P1234" i="2"/>
  <c r="O1234" i="2"/>
  <c r="R1234" i="2" s="1"/>
  <c r="T1233" i="2"/>
  <c r="R1233" i="2"/>
  <c r="Q1233" i="2"/>
  <c r="P1233" i="2"/>
  <c r="O1233" i="2"/>
  <c r="S1233" i="2" s="1"/>
  <c r="T1232" i="2"/>
  <c r="S1232" i="2"/>
  <c r="Q1232" i="2"/>
  <c r="P1232" i="2"/>
  <c r="O1232" i="2"/>
  <c r="R1232" i="2" s="1"/>
  <c r="T1231" i="2"/>
  <c r="R1231" i="2"/>
  <c r="Q1231" i="2"/>
  <c r="P1231" i="2"/>
  <c r="O1231" i="2"/>
  <c r="S1231" i="2" s="1"/>
  <c r="T1230" i="2"/>
  <c r="Q1230" i="2"/>
  <c r="P1230" i="2"/>
  <c r="O1230" i="2"/>
  <c r="R1230" i="2" s="1"/>
  <c r="T1229" i="2"/>
  <c r="R1229" i="2"/>
  <c r="Q1229" i="2"/>
  <c r="P1229" i="2"/>
  <c r="O1229" i="2"/>
  <c r="S1229" i="2" s="1"/>
  <c r="T1228" i="2"/>
  <c r="S1228" i="2"/>
  <c r="Q1228" i="2"/>
  <c r="P1228" i="2"/>
  <c r="O1228" i="2"/>
  <c r="R1228" i="2" s="1"/>
  <c r="T1227" i="2"/>
  <c r="R1227" i="2"/>
  <c r="Q1227" i="2"/>
  <c r="P1227" i="2"/>
  <c r="O1227" i="2"/>
  <c r="S1227" i="2" s="1"/>
  <c r="T1226" i="2"/>
  <c r="Q1226" i="2"/>
  <c r="P1226" i="2"/>
  <c r="O1226" i="2"/>
  <c r="R1226" i="2" s="1"/>
  <c r="T1225" i="2"/>
  <c r="R1225" i="2"/>
  <c r="Q1225" i="2"/>
  <c r="P1225" i="2"/>
  <c r="O1225" i="2"/>
  <c r="S1225" i="2" s="1"/>
  <c r="T1224" i="2"/>
  <c r="S1224" i="2"/>
  <c r="Q1224" i="2"/>
  <c r="P1224" i="2"/>
  <c r="O1224" i="2"/>
  <c r="R1224" i="2" s="1"/>
  <c r="T1223" i="2"/>
  <c r="R1223" i="2"/>
  <c r="Q1223" i="2"/>
  <c r="P1223" i="2"/>
  <c r="O1223" i="2"/>
  <c r="S1223" i="2" s="1"/>
  <c r="T1222" i="2"/>
  <c r="Q1222" i="2"/>
  <c r="P1222" i="2"/>
  <c r="O1222" i="2"/>
  <c r="R1222" i="2" s="1"/>
  <c r="T1221" i="2"/>
  <c r="R1221" i="2"/>
  <c r="Q1221" i="2"/>
  <c r="P1221" i="2"/>
  <c r="O1221" i="2"/>
  <c r="S1221" i="2" s="1"/>
  <c r="T1220" i="2"/>
  <c r="S1220" i="2"/>
  <c r="Q1220" i="2"/>
  <c r="P1220" i="2"/>
  <c r="O1220" i="2"/>
  <c r="R1220" i="2" s="1"/>
  <c r="T1219" i="2"/>
  <c r="R1219" i="2"/>
  <c r="Q1219" i="2"/>
  <c r="P1219" i="2"/>
  <c r="O1219" i="2"/>
  <c r="S1219" i="2" s="1"/>
  <c r="T1218" i="2"/>
  <c r="Q1218" i="2"/>
  <c r="P1218" i="2"/>
  <c r="O1218" i="2"/>
  <c r="R1218" i="2" s="1"/>
  <c r="T1217" i="2"/>
  <c r="R1217" i="2"/>
  <c r="Q1217" i="2"/>
  <c r="P1217" i="2"/>
  <c r="O1217" i="2"/>
  <c r="S1217" i="2" s="1"/>
  <c r="T1216" i="2"/>
  <c r="S1216" i="2"/>
  <c r="Q1216" i="2"/>
  <c r="P1216" i="2"/>
  <c r="O1216" i="2"/>
  <c r="R1216" i="2" s="1"/>
  <c r="T1215" i="2"/>
  <c r="R1215" i="2"/>
  <c r="Q1215" i="2"/>
  <c r="P1215" i="2"/>
  <c r="O1215" i="2"/>
  <c r="S1215" i="2" s="1"/>
  <c r="T1214" i="2"/>
  <c r="Q1214" i="2"/>
  <c r="P1214" i="2"/>
  <c r="O1214" i="2"/>
  <c r="R1214" i="2" s="1"/>
  <c r="T1213" i="2"/>
  <c r="R1213" i="2"/>
  <c r="Q1213" i="2"/>
  <c r="P1213" i="2"/>
  <c r="O1213" i="2"/>
  <c r="S1213" i="2" s="1"/>
  <c r="T1212" i="2"/>
  <c r="S1212" i="2"/>
  <c r="Q1212" i="2"/>
  <c r="P1212" i="2"/>
  <c r="O1212" i="2"/>
  <c r="R1212" i="2" s="1"/>
  <c r="T1127" i="2"/>
  <c r="R1127" i="2"/>
  <c r="Q1127" i="2"/>
  <c r="P1127" i="2"/>
  <c r="O1127" i="2"/>
  <c r="S1127" i="2" s="1"/>
  <c r="T1126" i="2"/>
  <c r="Q1126" i="2"/>
  <c r="P1126" i="2"/>
  <c r="O1126" i="2"/>
  <c r="R1126" i="2" s="1"/>
  <c r="T1125" i="2"/>
  <c r="R1125" i="2"/>
  <c r="Q1125" i="2"/>
  <c r="P1125" i="2"/>
  <c r="O1125" i="2"/>
  <c r="S1125" i="2" s="1"/>
  <c r="T1124" i="2"/>
  <c r="S1124" i="2"/>
  <c r="Q1124" i="2"/>
  <c r="P1124" i="2"/>
  <c r="O1124" i="2"/>
  <c r="R1124" i="2" s="1"/>
  <c r="T1123" i="2"/>
  <c r="R1123" i="2"/>
  <c r="Q1123" i="2"/>
  <c r="P1123" i="2"/>
  <c r="O1123" i="2"/>
  <c r="S1123" i="2" s="1"/>
  <c r="T1122" i="2"/>
  <c r="Q1122" i="2"/>
  <c r="P1122" i="2"/>
  <c r="O1122" i="2"/>
  <c r="R1122" i="2" s="1"/>
  <c r="T1121" i="2"/>
  <c r="R1121" i="2"/>
  <c r="Q1121" i="2"/>
  <c r="P1121" i="2"/>
  <c r="O1121" i="2"/>
  <c r="S1121" i="2" s="1"/>
  <c r="T1120" i="2"/>
  <c r="S1120" i="2"/>
  <c r="Q1120" i="2"/>
  <c r="P1120" i="2"/>
  <c r="O1120" i="2"/>
  <c r="R1120" i="2" s="1"/>
  <c r="T1119" i="2"/>
  <c r="R1119" i="2"/>
  <c r="Q1119" i="2"/>
  <c r="P1119" i="2"/>
  <c r="O1119" i="2"/>
  <c r="S1119" i="2" s="1"/>
  <c r="T1118" i="2"/>
  <c r="Q1118" i="2"/>
  <c r="P1118" i="2"/>
  <c r="O1118" i="2"/>
  <c r="R1118" i="2" s="1"/>
  <c r="T1117" i="2"/>
  <c r="R1117" i="2"/>
  <c r="Q1117" i="2"/>
  <c r="P1117" i="2"/>
  <c r="O1117" i="2"/>
  <c r="S1117" i="2" s="1"/>
  <c r="T1116" i="2"/>
  <c r="S1116" i="2"/>
  <c r="Q1116" i="2"/>
  <c r="P1116" i="2"/>
  <c r="O1116" i="2"/>
  <c r="R1116" i="2" s="1"/>
  <c r="T1066" i="2"/>
  <c r="R1066" i="2"/>
  <c r="Q1066" i="2"/>
  <c r="P1066" i="2"/>
  <c r="O1066" i="2"/>
  <c r="S1066" i="2" s="1"/>
  <c r="T1065" i="2"/>
  <c r="Q1065" i="2"/>
  <c r="P1065" i="2"/>
  <c r="O1065" i="2"/>
  <c r="R1065" i="2" s="1"/>
  <c r="T1064" i="2"/>
  <c r="R1064" i="2"/>
  <c r="Q1064" i="2"/>
  <c r="P1064" i="2"/>
  <c r="O1064" i="2"/>
  <c r="S1064" i="2" s="1"/>
  <c r="T1063" i="2"/>
  <c r="S1063" i="2"/>
  <c r="Q1063" i="2"/>
  <c r="P1063" i="2"/>
  <c r="O1063" i="2"/>
  <c r="R1063" i="2" s="1"/>
  <c r="T1062" i="2"/>
  <c r="R1062" i="2"/>
  <c r="Q1062" i="2"/>
  <c r="P1062" i="2"/>
  <c r="O1062" i="2"/>
  <c r="S1062" i="2" s="1"/>
  <c r="T1061" i="2"/>
  <c r="Q1061" i="2"/>
  <c r="P1061" i="2"/>
  <c r="O1061" i="2"/>
  <c r="R1061" i="2" s="1"/>
  <c r="T1060" i="2"/>
  <c r="R1060" i="2"/>
  <c r="Q1060" i="2"/>
  <c r="P1060" i="2"/>
  <c r="O1060" i="2"/>
  <c r="S1060" i="2" s="1"/>
  <c r="T1059" i="2"/>
  <c r="S1059" i="2"/>
  <c r="Q1059" i="2"/>
  <c r="P1059" i="2"/>
  <c r="O1059" i="2"/>
  <c r="R1059" i="2" s="1"/>
  <c r="T1058" i="2"/>
  <c r="R1058" i="2"/>
  <c r="Q1058" i="2"/>
  <c r="P1058" i="2"/>
  <c r="O1058" i="2"/>
  <c r="S1058" i="2" s="1"/>
  <c r="T936" i="2"/>
  <c r="Q936" i="2"/>
  <c r="P936" i="2"/>
  <c r="O936" i="2"/>
  <c r="R936" i="2" s="1"/>
  <c r="T935" i="2"/>
  <c r="R935" i="2"/>
  <c r="Q935" i="2"/>
  <c r="P935" i="2"/>
  <c r="O935" i="2"/>
  <c r="S935" i="2" s="1"/>
  <c r="T934" i="2"/>
  <c r="S934" i="2"/>
  <c r="Q934" i="2"/>
  <c r="P934" i="2"/>
  <c r="O934" i="2"/>
  <c r="R934" i="2" s="1"/>
  <c r="T933" i="2"/>
  <c r="R933" i="2"/>
  <c r="Q933" i="2"/>
  <c r="P933" i="2"/>
  <c r="O933" i="2"/>
  <c r="S933" i="2" s="1"/>
  <c r="T932" i="2"/>
  <c r="Q932" i="2"/>
  <c r="P932" i="2"/>
  <c r="O932" i="2"/>
  <c r="R932" i="2" s="1"/>
  <c r="T931" i="2"/>
  <c r="R931" i="2"/>
  <c r="Q931" i="2"/>
  <c r="P931" i="2"/>
  <c r="O931" i="2"/>
  <c r="S931" i="2" s="1"/>
  <c r="T930" i="2"/>
  <c r="S930" i="2"/>
  <c r="Q930" i="2"/>
  <c r="P930" i="2"/>
  <c r="O930" i="2"/>
  <c r="R930" i="2" s="1"/>
  <c r="T929" i="2"/>
  <c r="R929" i="2"/>
  <c r="Q929" i="2"/>
  <c r="P929" i="2"/>
  <c r="O929" i="2"/>
  <c r="S929" i="2" s="1"/>
  <c r="T928" i="2"/>
  <c r="Q928" i="2"/>
  <c r="P928" i="2"/>
  <c r="O928" i="2"/>
  <c r="R928" i="2" s="1"/>
  <c r="T927" i="2"/>
  <c r="R927" i="2"/>
  <c r="Q927" i="2"/>
  <c r="P927" i="2"/>
  <c r="O927" i="2"/>
  <c r="S927" i="2" s="1"/>
  <c r="T926" i="2"/>
  <c r="S926" i="2"/>
  <c r="Q926" i="2"/>
  <c r="P926" i="2"/>
  <c r="O926" i="2"/>
  <c r="R926" i="2" s="1"/>
  <c r="T925" i="2"/>
  <c r="R925" i="2"/>
  <c r="Q925" i="2"/>
  <c r="P925" i="2"/>
  <c r="O925" i="2"/>
  <c r="S925" i="2" s="1"/>
  <c r="T912" i="2"/>
  <c r="Q912" i="2"/>
  <c r="P912" i="2"/>
  <c r="O912" i="2"/>
  <c r="R912" i="2" s="1"/>
  <c r="T911" i="2"/>
  <c r="R911" i="2"/>
  <c r="Q911" i="2"/>
  <c r="P911" i="2"/>
  <c r="O911" i="2"/>
  <c r="S911" i="2" s="1"/>
  <c r="T910" i="2"/>
  <c r="S910" i="2"/>
  <c r="Q910" i="2"/>
  <c r="P910" i="2"/>
  <c r="O910" i="2"/>
  <c r="R910" i="2" s="1"/>
  <c r="T909" i="2"/>
  <c r="R909" i="2"/>
  <c r="Q909" i="2"/>
  <c r="P909" i="2"/>
  <c r="O909" i="2"/>
  <c r="S909" i="2" s="1"/>
  <c r="T908" i="2"/>
  <c r="Q908" i="2"/>
  <c r="P908" i="2"/>
  <c r="O908" i="2"/>
  <c r="R908" i="2" s="1"/>
  <c r="T907" i="2"/>
  <c r="R907" i="2"/>
  <c r="Q907" i="2"/>
  <c r="P907" i="2"/>
  <c r="O907" i="2"/>
  <c r="S907" i="2" s="1"/>
  <c r="T906" i="2"/>
  <c r="S906" i="2"/>
  <c r="Q906" i="2"/>
  <c r="P906" i="2"/>
  <c r="O906" i="2"/>
  <c r="R906" i="2" s="1"/>
  <c r="T905" i="2"/>
  <c r="R905" i="2"/>
  <c r="Q905" i="2"/>
  <c r="P905" i="2"/>
  <c r="O905" i="2"/>
  <c r="S905" i="2" s="1"/>
  <c r="T904" i="2"/>
  <c r="Q904" i="2"/>
  <c r="P904" i="2"/>
  <c r="O904" i="2"/>
  <c r="R904" i="2" s="1"/>
  <c r="T903" i="2"/>
  <c r="R903" i="2"/>
  <c r="Q903" i="2"/>
  <c r="P903" i="2"/>
  <c r="O903" i="2"/>
  <c r="S903" i="2" s="1"/>
  <c r="T902" i="2"/>
  <c r="S902" i="2"/>
  <c r="Q902" i="2"/>
  <c r="P902" i="2"/>
  <c r="O902" i="2"/>
  <c r="R902" i="2" s="1"/>
  <c r="T901" i="2"/>
  <c r="R901" i="2"/>
  <c r="Q901" i="2"/>
  <c r="P901" i="2"/>
  <c r="O901" i="2"/>
  <c r="S901" i="2" s="1"/>
  <c r="T667" i="2"/>
  <c r="Q667" i="2"/>
  <c r="P667" i="2"/>
  <c r="O667" i="2"/>
  <c r="R667" i="2" s="1"/>
  <c r="T666" i="2"/>
  <c r="R666" i="2"/>
  <c r="Q666" i="2"/>
  <c r="P666" i="2"/>
  <c r="O666" i="2"/>
  <c r="S666" i="2" s="1"/>
  <c r="T665" i="2"/>
  <c r="S665" i="2"/>
  <c r="Q665" i="2"/>
  <c r="P665" i="2"/>
  <c r="O665" i="2"/>
  <c r="R665" i="2" s="1"/>
  <c r="T664" i="2"/>
  <c r="R664" i="2"/>
  <c r="Q664" i="2"/>
  <c r="P664" i="2"/>
  <c r="O664" i="2"/>
  <c r="S664" i="2" s="1"/>
  <c r="T663" i="2"/>
  <c r="Q663" i="2"/>
  <c r="P663" i="2"/>
  <c r="O663" i="2"/>
  <c r="R663" i="2" s="1"/>
  <c r="T662" i="2"/>
  <c r="R662" i="2"/>
  <c r="Q662" i="2"/>
  <c r="P662" i="2"/>
  <c r="O662" i="2"/>
  <c r="S662" i="2" s="1"/>
  <c r="T661" i="2"/>
  <c r="S661" i="2"/>
  <c r="Q661" i="2"/>
  <c r="P661" i="2"/>
  <c r="O661" i="2"/>
  <c r="R661" i="2" s="1"/>
  <c r="T660" i="2"/>
  <c r="R660" i="2"/>
  <c r="Q660" i="2"/>
  <c r="P660" i="2"/>
  <c r="O660" i="2"/>
  <c r="S660" i="2" s="1"/>
  <c r="T659" i="2"/>
  <c r="Q659" i="2"/>
  <c r="P659" i="2"/>
  <c r="O659" i="2"/>
  <c r="R659" i="2" s="1"/>
  <c r="T658" i="2"/>
  <c r="R658" i="2"/>
  <c r="Q658" i="2"/>
  <c r="P658" i="2"/>
  <c r="O658" i="2"/>
  <c r="S658" i="2" s="1"/>
  <c r="T657" i="2"/>
  <c r="S657" i="2"/>
  <c r="Q657" i="2"/>
  <c r="P657" i="2"/>
  <c r="O657" i="2"/>
  <c r="R657" i="2" s="1"/>
  <c r="T656" i="2"/>
  <c r="R656" i="2"/>
  <c r="Q656" i="2"/>
  <c r="P656" i="2"/>
  <c r="O656" i="2"/>
  <c r="S656" i="2" s="1"/>
  <c r="T550" i="2"/>
  <c r="Q550" i="2"/>
  <c r="P550" i="2"/>
  <c r="O550" i="2"/>
  <c r="R550" i="2" s="1"/>
  <c r="T549" i="2"/>
  <c r="R549" i="2"/>
  <c r="Q549" i="2"/>
  <c r="P549" i="2"/>
  <c r="O549" i="2"/>
  <c r="S549" i="2" s="1"/>
  <c r="T548" i="2"/>
  <c r="Q548" i="2"/>
  <c r="P548" i="2"/>
  <c r="O548" i="2"/>
  <c r="R548" i="2" s="1"/>
  <c r="T547" i="2"/>
  <c r="R547" i="2"/>
  <c r="Q547" i="2"/>
  <c r="P547" i="2"/>
  <c r="O547" i="2"/>
  <c r="S547" i="2" s="1"/>
  <c r="T546" i="2"/>
  <c r="R546" i="2"/>
  <c r="Q546" i="2"/>
  <c r="P546" i="2"/>
  <c r="O546" i="2"/>
  <c r="S546" i="2" s="1"/>
  <c r="T545" i="2"/>
  <c r="R545" i="2"/>
  <c r="Q545" i="2"/>
  <c r="P545" i="2"/>
  <c r="O545" i="2"/>
  <c r="S545" i="2" s="1"/>
  <c r="T544" i="2"/>
  <c r="R544" i="2"/>
  <c r="Q544" i="2"/>
  <c r="P544" i="2"/>
  <c r="O544" i="2"/>
  <c r="S544" i="2" s="1"/>
  <c r="T543" i="2"/>
  <c r="R543" i="2"/>
  <c r="Q543" i="2"/>
  <c r="P543" i="2"/>
  <c r="O543" i="2"/>
  <c r="S543" i="2" s="1"/>
  <c r="T542" i="2"/>
  <c r="Q542" i="2"/>
  <c r="P542" i="2"/>
  <c r="O542" i="2"/>
  <c r="S542" i="2" s="1"/>
  <c r="T541" i="2"/>
  <c r="R541" i="2"/>
  <c r="Q541" i="2"/>
  <c r="P541" i="2"/>
  <c r="O541" i="2"/>
  <c r="S541" i="2" s="1"/>
  <c r="T540" i="2"/>
  <c r="Q540" i="2"/>
  <c r="P540" i="2"/>
  <c r="O540" i="2"/>
  <c r="R540" i="2" s="1"/>
  <c r="T539" i="2"/>
  <c r="R539" i="2"/>
  <c r="Q539" i="2"/>
  <c r="P539" i="2"/>
  <c r="O539" i="2"/>
  <c r="S539" i="2" s="1"/>
  <c r="T406" i="2"/>
  <c r="Q406" i="2"/>
  <c r="P406" i="2"/>
  <c r="O406" i="2"/>
  <c r="R406" i="2" s="1"/>
  <c r="T405" i="2"/>
  <c r="R405" i="2"/>
  <c r="Q405" i="2"/>
  <c r="P405" i="2"/>
  <c r="O405" i="2"/>
  <c r="S405" i="2" s="1"/>
  <c r="T404" i="2"/>
  <c r="Q404" i="2"/>
  <c r="P404" i="2"/>
  <c r="O404" i="2"/>
  <c r="R404" i="2" s="1"/>
  <c r="T403" i="2"/>
  <c r="R403" i="2"/>
  <c r="Q403" i="2"/>
  <c r="P403" i="2"/>
  <c r="O403" i="2"/>
  <c r="S403" i="2" s="1"/>
  <c r="T402" i="2"/>
  <c r="Q402" i="2"/>
  <c r="P402" i="2"/>
  <c r="O402" i="2"/>
  <c r="R402" i="2" s="1"/>
  <c r="T401" i="2"/>
  <c r="R401" i="2"/>
  <c r="Q401" i="2"/>
  <c r="P401" i="2"/>
  <c r="O401" i="2"/>
  <c r="S401" i="2" s="1"/>
  <c r="T400" i="2"/>
  <c r="Q400" i="2"/>
  <c r="P400" i="2"/>
  <c r="O400" i="2"/>
  <c r="R400" i="2" s="1"/>
  <c r="T399" i="2"/>
  <c r="R399" i="2"/>
  <c r="Q399" i="2"/>
  <c r="P399" i="2"/>
  <c r="O399" i="2"/>
  <c r="S399" i="2" s="1"/>
  <c r="T398" i="2"/>
  <c r="Q398" i="2"/>
  <c r="P398" i="2"/>
  <c r="O398" i="2"/>
  <c r="R398" i="2" s="1"/>
  <c r="T397" i="2"/>
  <c r="R397" i="2"/>
  <c r="Q397" i="2"/>
  <c r="P397" i="2"/>
  <c r="O397" i="2"/>
  <c r="S397" i="2" s="1"/>
  <c r="T396" i="2"/>
  <c r="Q396" i="2"/>
  <c r="P396" i="2"/>
  <c r="O396" i="2"/>
  <c r="R396" i="2" s="1"/>
  <c r="T395" i="2"/>
  <c r="R395" i="2"/>
  <c r="Q395" i="2"/>
  <c r="P395" i="2"/>
  <c r="O395" i="2"/>
  <c r="S395" i="2" s="1"/>
  <c r="T394" i="2"/>
  <c r="Q394" i="2"/>
  <c r="P394" i="2"/>
  <c r="O394" i="2"/>
  <c r="R394" i="2" s="1"/>
  <c r="T393" i="2"/>
  <c r="R393" i="2"/>
  <c r="Q393" i="2"/>
  <c r="P393" i="2"/>
  <c r="O393" i="2"/>
  <c r="S393" i="2" s="1"/>
  <c r="T392" i="2"/>
  <c r="Q392" i="2"/>
  <c r="P392" i="2"/>
  <c r="O392" i="2"/>
  <c r="R392" i="2" s="1"/>
  <c r="T391" i="2"/>
  <c r="R391" i="2"/>
  <c r="Q391" i="2"/>
  <c r="P391" i="2"/>
  <c r="O391" i="2"/>
  <c r="S391" i="2" s="1"/>
  <c r="T390" i="2"/>
  <c r="Q390" i="2"/>
  <c r="P390" i="2"/>
  <c r="O390" i="2"/>
  <c r="R390" i="2" s="1"/>
  <c r="T389" i="2"/>
  <c r="R389" i="2"/>
  <c r="Q389" i="2"/>
  <c r="P389" i="2"/>
  <c r="O389" i="2"/>
  <c r="S389" i="2" s="1"/>
  <c r="T388" i="2"/>
  <c r="Q388" i="2"/>
  <c r="P388" i="2"/>
  <c r="O388" i="2"/>
  <c r="R388" i="2" s="1"/>
  <c r="T387" i="2"/>
  <c r="R387" i="2"/>
  <c r="Q387" i="2"/>
  <c r="P387" i="2"/>
  <c r="O387" i="2"/>
  <c r="S387" i="2" s="1"/>
  <c r="T386" i="2"/>
  <c r="Q386" i="2"/>
  <c r="P386" i="2"/>
  <c r="O386" i="2"/>
  <c r="R386" i="2" s="1"/>
  <c r="T385" i="2"/>
  <c r="R385" i="2"/>
  <c r="Q385" i="2"/>
  <c r="P385" i="2"/>
  <c r="O385" i="2"/>
  <c r="S385" i="2" s="1"/>
  <c r="T384" i="2"/>
  <c r="Q384" i="2"/>
  <c r="P384" i="2"/>
  <c r="O384" i="2"/>
  <c r="R384" i="2" s="1"/>
  <c r="T383" i="2"/>
  <c r="R383" i="2"/>
  <c r="Q383" i="2"/>
  <c r="P383" i="2"/>
  <c r="O383" i="2"/>
  <c r="S383" i="2" s="1"/>
  <c r="T152" i="2"/>
  <c r="Q152" i="2"/>
  <c r="P152" i="2"/>
  <c r="O152" i="2"/>
  <c r="R152" i="2" s="1"/>
  <c r="T151" i="2"/>
  <c r="R151" i="2"/>
  <c r="Q151" i="2"/>
  <c r="P151" i="2"/>
  <c r="O151" i="2"/>
  <c r="S151" i="2" s="1"/>
  <c r="T150" i="2"/>
  <c r="Q150" i="2"/>
  <c r="P150" i="2"/>
  <c r="O150" i="2"/>
  <c r="R150" i="2" s="1"/>
  <c r="T149" i="2"/>
  <c r="R149" i="2"/>
  <c r="Q149" i="2"/>
  <c r="P149" i="2"/>
  <c r="O149" i="2"/>
  <c r="S149" i="2" s="1"/>
  <c r="T148" i="2"/>
  <c r="Q148" i="2"/>
  <c r="P148" i="2"/>
  <c r="O148" i="2"/>
  <c r="R148" i="2" s="1"/>
  <c r="T147" i="2"/>
  <c r="R147" i="2"/>
  <c r="Q147" i="2"/>
  <c r="P147" i="2"/>
  <c r="O147" i="2"/>
  <c r="S147" i="2" s="1"/>
  <c r="T146" i="2"/>
  <c r="Q146" i="2"/>
  <c r="P146" i="2"/>
  <c r="O146" i="2"/>
  <c r="R146" i="2" s="1"/>
  <c r="T145" i="2"/>
  <c r="R145" i="2"/>
  <c r="Q145" i="2"/>
  <c r="P145" i="2"/>
  <c r="O145" i="2"/>
  <c r="S145" i="2" s="1"/>
  <c r="T144" i="2"/>
  <c r="Q144" i="2"/>
  <c r="P144" i="2"/>
  <c r="O144" i="2"/>
  <c r="R144" i="2" s="1"/>
  <c r="T143" i="2"/>
  <c r="R143" i="2"/>
  <c r="Q143" i="2"/>
  <c r="P143" i="2"/>
  <c r="O143" i="2"/>
  <c r="S143" i="2" s="1"/>
  <c r="T142" i="2"/>
  <c r="Q142" i="2"/>
  <c r="P142" i="2"/>
  <c r="O142" i="2"/>
  <c r="R142" i="2" s="1"/>
  <c r="T141" i="2"/>
  <c r="R141" i="2"/>
  <c r="Q141" i="2"/>
  <c r="P141" i="2"/>
  <c r="O141" i="2"/>
  <c r="S141" i="2" s="1"/>
  <c r="T56" i="2"/>
  <c r="Q56" i="2"/>
  <c r="P56" i="2"/>
  <c r="O56" i="2"/>
  <c r="R56" i="2" s="1"/>
  <c r="T55" i="2"/>
  <c r="R55" i="2"/>
  <c r="Q55" i="2"/>
  <c r="P55" i="2"/>
  <c r="O55" i="2"/>
  <c r="S55" i="2" s="1"/>
  <c r="T54" i="2"/>
  <c r="Q54" i="2"/>
  <c r="P54" i="2"/>
  <c r="O54" i="2"/>
  <c r="R54" i="2" s="1"/>
  <c r="T53" i="2"/>
  <c r="R53" i="2"/>
  <c r="Q53" i="2"/>
  <c r="P53" i="2"/>
  <c r="O53" i="2"/>
  <c r="S53" i="2" s="1"/>
  <c r="T52" i="2"/>
  <c r="Q52" i="2"/>
  <c r="P52" i="2"/>
  <c r="O52" i="2"/>
  <c r="R52" i="2" s="1"/>
  <c r="T51" i="2"/>
  <c r="R51" i="2"/>
  <c r="Q51" i="2"/>
  <c r="P51" i="2"/>
  <c r="O51" i="2"/>
  <c r="S51" i="2" s="1"/>
  <c r="T50" i="2"/>
  <c r="Q50" i="2"/>
  <c r="P50" i="2"/>
  <c r="O50" i="2"/>
  <c r="R50" i="2" s="1"/>
  <c r="T49" i="2"/>
  <c r="R49" i="2"/>
  <c r="Q49" i="2"/>
  <c r="P49" i="2"/>
  <c r="O49" i="2"/>
  <c r="S49" i="2" s="1"/>
  <c r="T48" i="2"/>
  <c r="Q48" i="2"/>
  <c r="P48" i="2"/>
  <c r="O48" i="2"/>
  <c r="R48" i="2" s="1"/>
  <c r="T47" i="2"/>
  <c r="R47" i="2"/>
  <c r="Q47" i="2"/>
  <c r="P47" i="2"/>
  <c r="O47" i="2"/>
  <c r="S47" i="2" s="1"/>
  <c r="T46" i="2"/>
  <c r="Q46" i="2"/>
  <c r="P46" i="2"/>
  <c r="O46" i="2"/>
  <c r="R46" i="2" s="1"/>
  <c r="T45" i="2"/>
  <c r="R45" i="2"/>
  <c r="Q45" i="2"/>
  <c r="P45" i="2"/>
  <c r="O45" i="2"/>
  <c r="S45" i="2" s="1"/>
  <c r="T44" i="2"/>
  <c r="Q44" i="2"/>
  <c r="P44" i="2"/>
  <c r="O44" i="2"/>
  <c r="R44" i="2" s="1"/>
  <c r="T43" i="2"/>
  <c r="R43" i="2"/>
  <c r="Q43" i="2"/>
  <c r="P43" i="2"/>
  <c r="O43" i="2"/>
  <c r="S43" i="2" s="1"/>
  <c r="T42" i="2"/>
  <c r="Q42" i="2"/>
  <c r="P42" i="2"/>
  <c r="O42" i="2"/>
  <c r="R42" i="2" s="1"/>
  <c r="T41" i="2"/>
  <c r="R41" i="2"/>
  <c r="Q41" i="2"/>
  <c r="P41" i="2"/>
  <c r="O41" i="2"/>
  <c r="S41" i="2" s="1"/>
  <c r="T40" i="2"/>
  <c r="Q40" i="2"/>
  <c r="P40" i="2"/>
  <c r="O40" i="2"/>
  <c r="R40" i="2" s="1"/>
  <c r="T39" i="2"/>
  <c r="R39" i="2"/>
  <c r="Q39" i="2"/>
  <c r="P39" i="2"/>
  <c r="O39" i="2"/>
  <c r="S39" i="2" s="1"/>
  <c r="T38" i="2"/>
  <c r="Q38" i="2"/>
  <c r="P38" i="2"/>
  <c r="O38" i="2"/>
  <c r="R38" i="2" s="1"/>
  <c r="T37" i="2"/>
  <c r="R37" i="2"/>
  <c r="Q37" i="2"/>
  <c r="P37" i="2"/>
  <c r="O37" i="2"/>
  <c r="S37" i="2" s="1"/>
  <c r="T36" i="2"/>
  <c r="Q36" i="2"/>
  <c r="P36" i="2"/>
  <c r="O36" i="2"/>
  <c r="R36" i="2" s="1"/>
  <c r="T35" i="2"/>
  <c r="R35" i="2"/>
  <c r="Q35" i="2"/>
  <c r="P35" i="2"/>
  <c r="O35" i="2"/>
  <c r="S35" i="2" s="1"/>
  <c r="T34" i="2"/>
  <c r="Q34" i="2"/>
  <c r="P34" i="2"/>
  <c r="O34" i="2"/>
  <c r="R34" i="2" s="1"/>
  <c r="T33" i="2"/>
  <c r="R33" i="2"/>
  <c r="Q33" i="2"/>
  <c r="P33" i="2"/>
  <c r="O33" i="2"/>
  <c r="S33" i="2" s="1"/>
  <c r="S36" i="2" l="1"/>
  <c r="S42" i="2"/>
  <c r="S48" i="2"/>
  <c r="S52" i="2"/>
  <c r="S142" i="2"/>
  <c r="S148" i="2"/>
  <c r="S386" i="2"/>
  <c r="S392" i="2"/>
  <c r="S398" i="2"/>
  <c r="S404" i="2"/>
  <c r="S548" i="2"/>
  <c r="S34" i="2"/>
  <c r="S40" i="2"/>
  <c r="S46" i="2"/>
  <c r="S54" i="2"/>
  <c r="S144" i="2"/>
  <c r="S150" i="2"/>
  <c r="S384" i="2"/>
  <c r="S390" i="2"/>
  <c r="S396" i="2"/>
  <c r="S402" i="2"/>
  <c r="S540" i="2"/>
  <c r="R542" i="2"/>
  <c r="S550" i="2"/>
  <c r="S659" i="2"/>
  <c r="S663" i="2"/>
  <c r="S667" i="2"/>
  <c r="S904" i="2"/>
  <c r="S908" i="2"/>
  <c r="S912" i="2"/>
  <c r="S928" i="2"/>
  <c r="S932" i="2"/>
  <c r="S936" i="2"/>
  <c r="S1061" i="2"/>
  <c r="S1065" i="2"/>
  <c r="S1118" i="2"/>
  <c r="S1122" i="2"/>
  <c r="S1126" i="2"/>
  <c r="S1214" i="2"/>
  <c r="S1218" i="2"/>
  <c r="S1222" i="2"/>
  <c r="S1226" i="2"/>
  <c r="S1230" i="2"/>
  <c r="S1234" i="2"/>
  <c r="S1393" i="2"/>
  <c r="S1397" i="2"/>
  <c r="S1401" i="2"/>
  <c r="S1564" i="2"/>
  <c r="S1652" i="2"/>
  <c r="S1935" i="2"/>
  <c r="S1943" i="2"/>
  <c r="S1951" i="2"/>
  <c r="S2138" i="2"/>
  <c r="S2146" i="2"/>
  <c r="S2347" i="2"/>
  <c r="S38" i="2"/>
  <c r="S44" i="2"/>
  <c r="S50" i="2"/>
  <c r="S56" i="2"/>
  <c r="S146" i="2"/>
  <c r="S152" i="2"/>
  <c r="S388" i="2"/>
  <c r="S394" i="2"/>
  <c r="S400" i="2"/>
  <c r="S406" i="2"/>
  <c r="S1558" i="2"/>
  <c r="S1566" i="2"/>
  <c r="S1654" i="2"/>
  <c r="S1937" i="2"/>
  <c r="S1945" i="2"/>
  <c r="S1953" i="2"/>
  <c r="S2140" i="2"/>
  <c r="S2341" i="2"/>
  <c r="S2349" i="2"/>
  <c r="R1402" i="2"/>
  <c r="R1559" i="2"/>
  <c r="R1561" i="2"/>
  <c r="R1563" i="2"/>
  <c r="R1565" i="2"/>
  <c r="R1647" i="2"/>
  <c r="R1649" i="2"/>
  <c r="R1651" i="2"/>
  <c r="R1653" i="2"/>
  <c r="R1655" i="2"/>
  <c r="R1657" i="2"/>
  <c r="R1934" i="2"/>
  <c r="R1936" i="2"/>
  <c r="R1938" i="2"/>
  <c r="R1940" i="2"/>
  <c r="R1942" i="2"/>
  <c r="R1944" i="2"/>
  <c r="R1946" i="2"/>
  <c r="R1948" i="2"/>
  <c r="R1950" i="2"/>
  <c r="R1952" i="2"/>
  <c r="R1954" i="2"/>
  <c r="R1956" i="2"/>
  <c r="R2137" i="2"/>
  <c r="R2139" i="2"/>
  <c r="R2141" i="2"/>
  <c r="R2143" i="2"/>
  <c r="R2145" i="2"/>
  <c r="R2340" i="2"/>
  <c r="R2342" i="2"/>
  <c r="R2344" i="2"/>
  <c r="R2346" i="2"/>
  <c r="R2348" i="2"/>
  <c r="R2350" i="2"/>
</calcChain>
</file>

<file path=xl/sharedStrings.xml><?xml version="1.0" encoding="utf-8"?>
<sst xmlns="http://schemas.openxmlformats.org/spreadsheetml/2006/main" count="12453" uniqueCount="544">
  <si>
    <t>BSE Code</t>
  </si>
  <si>
    <t>Company Name</t>
  </si>
  <si>
    <t>BSE_CMP_Official</t>
  </si>
  <si>
    <t>BSE_52W_High_Official</t>
  </si>
  <si>
    <t>BSE_52W_Low_Official</t>
  </si>
  <si>
    <t>Last Refreshed</t>
  </si>
  <si>
    <t>Source URL</t>
  </si>
  <si>
    <t>Amara Raja Energy &amp; Mobility Ltd</t>
  </si>
  <si>
    <t>https://www.bseindia.com/stock-share-price/Amara-Raja-Energy-&amp;-Mobility-Ltd/500008/</t>
  </si>
  <si>
    <t>Bajaj Finance Ltd</t>
  </si>
  <si>
    <t>https://www.bseindia.com/stock-share-price/Bajaj-Finance-Ltd/500034/</t>
  </si>
  <si>
    <t>Bombay Dyeing</t>
  </si>
  <si>
    <t>https://www.bseindia.com/stock-share-price/Bombay-Dyeing/500055/</t>
  </si>
  <si>
    <t>Birla Power Solutions Ltd</t>
  </si>
  <si>
    <t>https://www.bseindia.com/stock-share-price/Birla-Power-Solutions-Ltd/500059/</t>
  </si>
  <si>
    <t>Dichloromethane</t>
  </si>
  <si>
    <t>https://www.bseindia.com/stock-share-price/Dichloromethane/500089/</t>
  </si>
  <si>
    <t>State Bank Of India</t>
  </si>
  <si>
    <t>https://www.bseindia.com/stock-share-price/State-Bank-Of-India/500112/</t>
  </si>
  <si>
    <t>Electrosteel Castings Ltd</t>
  </si>
  <si>
    <t>https://www.bseindia.com/stock-share-price/Electrosteel-Castings-Ltd/500128/</t>
  </si>
  <si>
    <t>GTL Ltd</t>
  </si>
  <si>
    <t>https://www.bseindia.com/stock-share-price/GTL-Ltd/500143/</t>
  </si>
  <si>
    <t>Usha Martin Ltd</t>
  </si>
  <si>
    <t>https://www.bseindia.com/stock-share-price/Usha-Martin-Ltd/500147/</t>
  </si>
  <si>
    <t>National Chemicals</t>
  </si>
  <si>
    <t>https://www.bseindia.com/stock-share-price/National-Chemicals/500170/</t>
  </si>
  <si>
    <t>Hero MotoCorp Ltd</t>
  </si>
  <si>
    <t>https://www.bseindia.com/stock-share-price/Hero-MotoCorp-Ltd/500182/</t>
  </si>
  <si>
    <t>Himadri Speciality Chemical Ltd</t>
  </si>
  <si>
    <t>https://www.bseindia.com/stock-share-price/Himadri-Speciality-Chemical-Ltd/500184/</t>
  </si>
  <si>
    <t>IG Petrochemicals Ltd</t>
  </si>
  <si>
    <t>https://www.bseindia.com/stock-share-price/IG-Petrochemicals-Ltd/500199/</t>
  </si>
  <si>
    <t>India Glycols Ltd</t>
  </si>
  <si>
    <t>https://www.bseindia.com/stock-share-price/India-Glycols-Ltd/500202/</t>
  </si>
  <si>
    <t>Infosys Ltd</t>
  </si>
  <si>
    <t>https://www.bseindia.com/stock-share-price/Infosys-Ltd/500209/</t>
  </si>
  <si>
    <t>Ingersoll Rand India Ltd</t>
  </si>
  <si>
    <t>https://www.bseindia.com/stock-share-price/Ingersoll-Rand-India-Ltd/500210/</t>
  </si>
  <si>
    <t>Ion Exchange India Ltd</t>
  </si>
  <si>
    <t>https://www.bseindia.com/stock-share-price/Ion-Exchange-India-Ltd/500214/</t>
  </si>
  <si>
    <t>Jain Irrigation Systems Ltd</t>
  </si>
  <si>
    <t>https://www.bseindia.com/stock-share-price/Jain-Irrigation-Systems-Ltd/500219/</t>
  </si>
  <si>
    <t>Jasch Industries</t>
  </si>
  <si>
    <t>https://www.bseindia.com/stock-share-price/Jasch-Industries/500220/</t>
  </si>
  <si>
    <t>JSW Steel Ltd</t>
  </si>
  <si>
    <t>https://www.bseindia.com/stock-share-price/JSW-Steel-Ltd/500228/</t>
  </si>
  <si>
    <t>Kajaria Ceramics Ltd</t>
  </si>
  <si>
    <t>https://www.bseindia.com/stock-share-price/Kajaria-Ceramics-Ltd/500233/</t>
  </si>
  <si>
    <t>Lupin Ltd</t>
  </si>
  <si>
    <t>https://www.bseindia.com/stock-share-price/Lupin-Ltd/500257/</t>
  </si>
  <si>
    <t>SpiceJet Ltd</t>
  </si>
  <si>
    <t>https://www.bseindia.com/stock-share-price/SpiceJet-Ltd/500285/</t>
  </si>
  <si>
    <t>Reliance Industries Ltd</t>
  </si>
  <si>
    <t>https://www.bseindia.com/stock-share-price/Reliance-Industries-Ltd/500325/</t>
  </si>
  <si>
    <t>Thirumalai Chemicals Ltd</t>
  </si>
  <si>
    <t>https://www.bseindia.com/stock-share-price/Thirumalai-Chemicals-Ltd/500412/</t>
  </si>
  <si>
    <t>Torrent Pharmaceuticals Ltd</t>
  </si>
  <si>
    <t>https://www.bseindia.com/stock-share-price/Torrent-Pharmaceuticals-Ltd/500420/</t>
  </si>
  <si>
    <t>Ambuja Cements Ltd</t>
  </si>
  <si>
    <t>https://www.bseindia.com/stock-share-price/Ambuja-Cements-Ltd/500425/</t>
  </si>
  <si>
    <t>UTL Industries Ltd</t>
  </si>
  <si>
    <t>https://www.bseindia.com/stock-share-price/UTL-Industries-Ltd/500426/</t>
  </si>
  <si>
    <t>Vardhman Holdings Ltd</t>
  </si>
  <si>
    <t>https://www.bseindia.com/stock-share-price/Vardhman-Holdings-Ltd/500439/</t>
  </si>
  <si>
    <t>West Coast Paper Mills Ltd</t>
  </si>
  <si>
    <t>https://www.bseindia.com/stock-share-price/West-Coast-Paper-Mills-Ltd/500444/</t>
  </si>
  <si>
    <t>Hindustan Organic Chemicals Ltd</t>
  </si>
  <si>
    <t>https://www.bseindia.com/stock-share-price/Hindustan-Organic-Chemicals-Ltd/500449/</t>
  </si>
  <si>
    <t>MPIL Corporation Ltd</t>
  </si>
  <si>
    <t>https://www.bseindia.com/stock-share-price/MPIL-Corporation-Ltd/500450/</t>
  </si>
  <si>
    <t>Modern Denim Ltd</t>
  </si>
  <si>
    <t>https://www.bseindia.com/stock-share-price/Modern-Denim-Ltd/500451/</t>
  </si>
  <si>
    <t>Mafatlal Industries Ltd</t>
  </si>
  <si>
    <t>https://www.bseindia.com/stock-share-price/Mafatlal-Industries-Ltd/500458/</t>
  </si>
  <si>
    <t>Procter &amp; Gamble Hygiene and Healthcare Ltd</t>
  </si>
  <si>
    <t>https://www.bseindia.com/stock-share-price/Procter-&amp;-Gamble-Hygiene-and-Healthcare-Ltd/500459/</t>
  </si>
  <si>
    <t>AGC Networks Ltd</t>
  </si>
  <si>
    <t>https://www.bseindia.com/stock-share-price/AGC-Networks-Ltd/500463/</t>
  </si>
  <si>
    <t>Harrisons Malayalam Ltd</t>
  </si>
  <si>
    <t>https://www.bseindia.com/stock-share-price/Harrisons-Malayalam-Ltd/500467/</t>
  </si>
  <si>
    <t>Federal Bank Ltd</t>
  </si>
  <si>
    <t>https://www.bseindia.com/stock-share-price/Federal-Bank-Ltd/500469/</t>
  </si>
  <si>
    <t>Tata Steel Ltd</t>
  </si>
  <si>
    <t>https://www.bseindia.com/stock-share-price/Tata-Steel-Ltd/500470/</t>
  </si>
  <si>
    <t>SKF India Ltd</t>
  </si>
  <si>
    <t>https://www.bseindia.com/stock-share-price/SKF-India-Ltd/500472/</t>
  </si>
  <si>
    <t>Cummins India Ltd</t>
  </si>
  <si>
    <t>https://www.bseindia.com/stock-share-price/Cummins-India-Ltd/500480/</t>
  </si>
  <si>
    <t>Abbott India Ltd</t>
  </si>
  <si>
    <t>https://www.bseindia.com/stock-share-price/Abbott-India-Ltd/500488/</t>
  </si>
  <si>
    <t>Bajaj Holdings &amp; Investment Ltd</t>
  </si>
  <si>
    <t>https://www.bseindia.com/stock-share-price/Bajaj-Holdings-&amp;-Investment-Ltd/500490/</t>
  </si>
  <si>
    <t>Larsen &amp; Toubro Ltd</t>
  </si>
  <si>
    <t>https://www.bseindia.com/stock-share-price/Larsen-&amp;-Toubro-Ltd/500510/</t>
  </si>
  <si>
    <t>Mahindra &amp; Mahindra Ltd</t>
  </si>
  <si>
    <t>https://www.bseindia.com/stock-share-price/Mahindra-&amp;-Mahindra-Ltd/500520/</t>
  </si>
  <si>
    <t>Hindustan Unilever Ltd</t>
  </si>
  <si>
    <t>https://www.bseindia.com/stock-share-price/Hindustan-Unilever-Ltd/500696/</t>
  </si>
  <si>
    <t>Nestle India Ltd</t>
  </si>
  <si>
    <t>https://www.bseindia.com/stock-share-price/Nestle-India-Ltd/500790/</t>
  </si>
  <si>
    <t>Tata Global Beverages Ltd</t>
  </si>
  <si>
    <t>https://www.bseindia.com/stock-share-price/Tata-Global-Beverages-Ltd/500800/</t>
  </si>
  <si>
    <t>Britannia Industries Ltd</t>
  </si>
  <si>
    <t>https://www.bseindia.com/stock-share-price/Britannia-Industries-Ltd/500850/</t>
  </si>
  <si>
    <t>CEAT Ltd</t>
  </si>
  <si>
    <t>https://www.bseindia.com/stock-share-price/CEAT-Ltd/500878/</t>
  </si>
  <si>
    <t>Tribhovandas Bhimji Zaveri Ltd</t>
  </si>
  <si>
    <t>https://www.bseindia.com/stock-share-price/Tribhovandas-Bhimji-Zaveri-Ltd/501242/</t>
  </si>
  <si>
    <t>Prism Johnson Ltd</t>
  </si>
  <si>
    <t>https://www.bseindia.com/stock-share-price/Prism-Johnson-Ltd/501314/</t>
  </si>
  <si>
    <t>Gujarat Ambuja Exports Ltd</t>
  </si>
  <si>
    <t>https://www.bseindia.com/stock-share-price/Gujarat-Ambuja-Exports-Ltd/501386/</t>
  </si>
  <si>
    <t>Greaves Cotton Ltd</t>
  </si>
  <si>
    <t>https://www.bseindia.com/stock-share-price/Greaves-Cotton-Ltd/501455/</t>
  </si>
  <si>
    <t>Siyaram Silk Mills Ltd</t>
  </si>
  <si>
    <t>https://www.bseindia.com/stock-share-price/Siyaram-Silk-Mills-Ltd/502090/</t>
  </si>
  <si>
    <t>Balkrishna Industries Ltd</t>
  </si>
  <si>
    <t>https://www.bseindia.com/stock-share-price/Balkrishna-Industries-Ltd/502355/</t>
  </si>
  <si>
    <t>Gaekwar Mills</t>
  </si>
  <si>
    <t>https://www.bseindia.com/stock-share-price/Gaekwar-Mills/502850/</t>
  </si>
  <si>
    <t>Phoenix Township Ltd</t>
  </si>
  <si>
    <t>https://www.bseindia.com/stock-share-price/Phoenix-Township-Ltd/503100/</t>
  </si>
  <si>
    <t>KK Fincorp Ltd</t>
  </si>
  <si>
    <t>https://www.bseindia.com/stock-share-price/KK-Fincorp-Ltd/503669/</t>
  </si>
  <si>
    <t>Zensar Technologies Ltd</t>
  </si>
  <si>
    <t>https://www.bseindia.com/stock-share-price/Zensar-Technologies-Ltd/504067/</t>
  </si>
  <si>
    <t>Jyoti Ltd</t>
  </si>
  <si>
    <t>https://www.bseindia.com/stock-share-price/Jyoti-Ltd/504076/</t>
  </si>
  <si>
    <t>High Energy Batteries</t>
  </si>
  <si>
    <t>https://www.bseindia.com/stock-share-price/High-Energy-Batteries/504176/</t>
  </si>
  <si>
    <t>Lakshmi Electrical Control Systems Ltd</t>
  </si>
  <si>
    <t>https://www.bseindia.com/stock-share-price/Lakshmi-Electrical-Control-Systems-Ltd/504258/</t>
  </si>
  <si>
    <t>Disa India Ltd</t>
  </si>
  <si>
    <t>https://www.bseindia.com/stock-share-price/Disa-India-Ltd/504286/</t>
  </si>
  <si>
    <t>Elpro International Ltd</t>
  </si>
  <si>
    <t>https://www.bseindia.com/stock-share-price/Elpro-International-Ltd/504356/</t>
  </si>
  <si>
    <t>Krishna Ventures Ltd</t>
  </si>
  <si>
    <t>https://www.bseindia.com/stock-share-price/Krishna-Ventures-Ltd/504392/</t>
  </si>
  <si>
    <t>Uni Abex Alloy Products Ltd</t>
  </si>
  <si>
    <t>https://www.bseindia.com/stock-share-price/Uni-Abex-Alloy-Products-Ltd/504605/</t>
  </si>
  <si>
    <t>Bombay Wire Ropes Ltd</t>
  </si>
  <si>
    <t>https://www.bseindia.com/stock-share-price/Bombay-Wire-Ropes-Ltd/504648/</t>
  </si>
  <si>
    <t>Automobile Corp Of Goa Ltd</t>
  </si>
  <si>
    <t>https://www.bseindia.com/stock-share-price/Automobile-Corp-Of-Goa-Ltd/505036/</t>
  </si>
  <si>
    <t>India Radiators Ltd</t>
  </si>
  <si>
    <t>https://www.bseindia.com/stock-share-price/India-Radiators-Ltd/505100/</t>
  </si>
  <si>
    <t>Escorts Kubota Ltd</t>
  </si>
  <si>
    <t>https://www.bseindia.com/stock-share-price/Escorts-Kubota-Ltd/505242/</t>
  </si>
  <si>
    <t>Tym Share</t>
  </si>
  <si>
    <t>https://www.bseindia.com/stock-share-price/Tym-Share/505285/</t>
  </si>
  <si>
    <t>Manugraph India Ltd</t>
  </si>
  <si>
    <t>https://www.bseindia.com/stock-share-price/Manugraph-India-Ltd/505324/</t>
  </si>
  <si>
    <t>Nesco Ltd</t>
  </si>
  <si>
    <t>https://www.bseindia.com/stock-share-price/Nesco-Ltd/505355/</t>
  </si>
  <si>
    <t>Herbertsons Ltd</t>
  </si>
  <si>
    <t>https://www.bseindia.com/stock-share-price/Herbertsons-Ltd/505520/</t>
  </si>
  <si>
    <t>Mangalam Cement Ltd</t>
  </si>
  <si>
    <t>https://www.bseindia.com/stock-share-price/Mangalam-Cement-Ltd/505850/</t>
  </si>
  <si>
    <t>Ishwarshakti Holdings</t>
  </si>
  <si>
    <t>https://www.bseindia.com/stock-share-price/Ishwarshakti-Holdings/506161/</t>
  </si>
  <si>
    <t>Swaraj Engines Ltd</t>
  </si>
  <si>
    <t>https://www.bseindia.com/stock-share-price/Swaraj-Engines-Ltd/506196/</t>
  </si>
  <si>
    <t>Dhunseri Tea</t>
  </si>
  <si>
    <t>https://www.bseindia.com/stock-share-price/Dhunseri-Tea/506222/</t>
  </si>
  <si>
    <t>Anuh Pharma Ltd</t>
  </si>
  <si>
    <t>https://www.bseindia.com/stock-share-price/Anuh-Pharma-Ltd/506260/</t>
  </si>
  <si>
    <t>Bayer Cropscience Ltd</t>
  </si>
  <si>
    <t>https://www.bseindia.com/stock-share-price/Bayer-Cropscience-Ltd/506285/</t>
  </si>
  <si>
    <t>Clariant Chemicals India Ltd</t>
  </si>
  <si>
    <t>https://www.bseindia.com/stock-share-price/Clariant-Chemicals-India-Ltd/506390/</t>
  </si>
  <si>
    <t>Coromandel International Ltd</t>
  </si>
  <si>
    <t>https://www.bseindia.com/stock-share-price/Coromandel-International-Ltd/506395/</t>
  </si>
  <si>
    <t>Dharamsi Morarji Chemical Co Ltd</t>
  </si>
  <si>
    <t>https://www.bseindia.com/stock-share-price/Dharamsi-Morarji-Chemical-Co-Ltd/506405/</t>
  </si>
  <si>
    <t>Goodyear India Ltd</t>
  </si>
  <si>
    <t>https://www.bseindia.com/stock-share-price/Goodyear-India-Ltd/506480/</t>
  </si>
  <si>
    <t>Jayshree Tea &amp; Industries Ltd</t>
  </si>
  <si>
    <t>https://www.bseindia.com/stock-share-price/Jayshree-Tea-&amp;-Industries-Ltd/506520/</t>
  </si>
  <si>
    <t>Nitco Ltd</t>
  </si>
  <si>
    <t>https://www.bseindia.com/stock-share-price/Nitco-Ltd/506532/</t>
  </si>
  <si>
    <t>Duncans Industries Ltd</t>
  </si>
  <si>
    <t>https://www.bseindia.com/stock-share-price/Duncans-Industries-Ltd/506808/</t>
  </si>
  <si>
    <t>Emami Ltd</t>
  </si>
  <si>
    <t>https://www.bseindia.com/stock-share-price/Emami-Ltd/507265/</t>
  </si>
  <si>
    <t>Ravalgaon Sugar Farm Ltd</t>
  </si>
  <si>
    <t>https://www.bseindia.com/stock-share-price/Ravalgaon-Sugar-Farm-Ltd/507300/</t>
  </si>
  <si>
    <t>Ifb Industries Ltd</t>
  </si>
  <si>
    <t>https://www.bseindia.com/stock-share-price/Ifb-Industries-Ltd/507438/</t>
  </si>
  <si>
    <t>Gujarat Hotels Ltd</t>
  </si>
  <si>
    <t>https://www.bseindia.com/stock-share-price/Gujarat-Hotels-Ltd/507960/</t>
  </si>
  <si>
    <t>Bannari Amman Sugars Ltd</t>
  </si>
  <si>
    <t>https://www.bseindia.com/stock-share-price/Bannari-Amman-Sugars-Ltd/508136/</t>
  </si>
  <si>
    <t>Everest Industries Ltd</t>
  </si>
  <si>
    <t>https://www.bseindia.com/stock-share-price/Everest-Industries-Ltd/508906/</t>
  </si>
  <si>
    <t>Kedia Construction Co Ltd</t>
  </si>
  <si>
    <t>https://www.bseindia.com/stock-share-price/Kedia-Construction-Co-Ltd/508993/</t>
  </si>
  <si>
    <t>Pressman Advertising Ltd</t>
  </si>
  <si>
    <t>https://www.bseindia.com/stock-share-price/Pressman-Advertising-Ltd/509077/</t>
  </si>
  <si>
    <t>Zuari Agro Chemicals Ltd</t>
  </si>
  <si>
    <t>https://www.bseindia.com/stock-share-price/Zuari-Agro-Chemicals-Ltd/509196/</t>
  </si>
  <si>
    <t>Sanofi India Ltd</t>
  </si>
  <si>
    <t>https://www.bseindia.com/stock-share-price/Sanofi-India-Ltd/509423/</t>
  </si>
  <si>
    <t>Excel Industries Ltd</t>
  </si>
  <si>
    <t>https://www.bseindia.com/stock-share-price/Excel-Industries-Ltd/509650/</t>
  </si>
  <si>
    <t>Modern Shares And Stockbrokers Ltd</t>
  </si>
  <si>
    <t>https://www.bseindia.com/stock-share-price/Modern-Shares-And-Stockbrokers-Ltd/509760/</t>
  </si>
  <si>
    <t>Syncom Formulations India Ltd</t>
  </si>
  <si>
    <t>https://www.bseindia.com/stock-share-price/Syncom-Formulations-India-Ltd/509887/</t>
  </si>
  <si>
    <t>VST Industries Ltd</t>
  </si>
  <si>
    <t>https://www.bseindia.com/stock-share-price/VST-Industries-Ltd/509966/</t>
  </si>
  <si>
    <t>Swasti Vinayaka Synthetics Ltd</t>
  </si>
  <si>
    <t>https://www.bseindia.com/stock-share-price/Swasti-Vinayaka-Synthetics-Ltd/510245/</t>
  </si>
  <si>
    <t>Sakthi Finance Ltd</t>
  </si>
  <si>
    <t>https://www.bseindia.com/stock-share-price/Sakthi-Finance-Ltd/511066/</t>
  </si>
  <si>
    <t>Kamanwala Housing Construction Ltd</t>
  </si>
  <si>
    <t>https://www.bseindia.com/stock-share-price/Kamanwala-Housing-Construction-Ltd/511131/</t>
  </si>
  <si>
    <t>Wall Street Finance Ltd</t>
  </si>
  <si>
    <t>https://www.bseindia.com/stock-share-price/Wall-Street-Finance-Ltd/511147/</t>
  </si>
  <si>
    <t>Shree Rama Multi Tech Ltd</t>
  </si>
  <si>
    <t>https://www.bseindia.com/stock-share-price/Shree-Rama-Multi-Tech-Ltd/511218/</t>
  </si>
  <si>
    <t>Cholamandalam Financial Holdings Ltd</t>
  </si>
  <si>
    <t>https://www.bseindia.com/stock-share-price/Cholamandalam-Financial-Holdings-Ltd/511243/</t>
  </si>
  <si>
    <t>India Infoline Ltd</t>
  </si>
  <si>
    <t>https://www.bseindia.com/stock-share-price/India-Infoline-Ltd/511355/</t>
  </si>
  <si>
    <t>Video Electronics</t>
  </si>
  <si>
    <t>https://www.bseindia.com/stock-share-price/Video-Electronics/511389/</t>
  </si>
  <si>
    <t>Sakura Industries</t>
  </si>
  <si>
    <t>https://www.bseindia.com/stock-share-price/Sakura-Industries/511413/</t>
  </si>
  <si>
    <t>Vakrangee Ltd</t>
  </si>
  <si>
    <t>https://www.bseindia.com/stock-share-price/Vakrangee-Ltd/511431/</t>
  </si>
  <si>
    <t>Vysya Bank Ltd</t>
  </si>
  <si>
    <t>https://www.bseindia.com/stock-share-price/Vysya-Bank-Ltd/511509/</t>
  </si>
  <si>
    <t>Libord Finance Ltd</t>
  </si>
  <si>
    <t>https://www.bseindia.com/stock-share-price/Libord-Finance-Ltd/511593/</t>
  </si>
  <si>
    <t>Reliance Home Finance Ltd</t>
  </si>
  <si>
    <t>https://www.bseindia.com/stock-share-price/Reliance-Home-Finance-Ltd/511626/</t>
  </si>
  <si>
    <t>Scan Steels Ltd</t>
  </si>
  <si>
    <t>https://www.bseindia.com/stock-share-price/Scan-Steels-Ltd/511672/</t>
  </si>
  <si>
    <t>Chartered Capital And Investment Ltd</t>
  </si>
  <si>
    <t>https://www.bseindia.com/stock-share-price/Chartered-Capital-And-Investment-Ltd/511696/</t>
  </si>
  <si>
    <t>Standard Capital Markets Ltd</t>
  </si>
  <si>
    <t>https://www.bseindia.com/stock-share-price/Standard-Capital-Markets-Ltd/511700/</t>
  </si>
  <si>
    <t>Marg Ltd</t>
  </si>
  <si>
    <t>https://www.bseindia.com/stock-share-price/Marg-Ltd/511760/</t>
  </si>
  <si>
    <t>Master Trust Ltd</t>
  </si>
  <si>
    <t>https://www.bseindia.com/stock-share-price/Master-Trust-Ltd/511768/</t>
  </si>
  <si>
    <t>Sahara One Media And Entertainment Ltd</t>
  </si>
  <si>
    <t>https://www.bseindia.com/stock-share-price/Sahara-One-Media-And-Entertainment-Ltd/512008/</t>
  </si>
  <si>
    <t>CNI Research Ltd</t>
  </si>
  <si>
    <t>https://www.bseindia.com/stock-share-price/CNI-Research-Ltd/512018/</t>
  </si>
  <si>
    <t>Upl Ltd</t>
  </si>
  <si>
    <t>https://www.bseindia.com/stock-share-price/Upl-Ltd/512070/</t>
  </si>
  <si>
    <t>Triochem Products Ltd</t>
  </si>
  <si>
    <t>https://www.bseindia.com/stock-share-price/Triochem-Products-Ltd/512101/</t>
  </si>
  <si>
    <t>Rose Merc Ltd</t>
  </si>
  <si>
    <t>https://www.bseindia.com/stock-share-price/Rose-Merc-Ltd/512115/</t>
  </si>
  <si>
    <t>8K Miles Software Services Ltd</t>
  </si>
  <si>
    <t>https://www.bseindia.com/stock-share-price/8K-Miles-Software-Services-Ltd/512161/</t>
  </si>
  <si>
    <t>Sita Enterprises Ltd</t>
  </si>
  <si>
    <t>https://www.bseindia.com/stock-share-price/Sita-Enterprises-Ltd/512197/</t>
  </si>
  <si>
    <t>Kriti Industries India Ltd</t>
  </si>
  <si>
    <t>https://www.bseindia.com/stock-share-price/Kriti-Industries-India-Ltd/512215/</t>
  </si>
  <si>
    <t>Asset Alliance</t>
  </si>
  <si>
    <t>https://www.bseindia.com/stock-share-price/Asset-Alliance/512247/</t>
  </si>
  <si>
    <t>Avon Mercantile Ltd</t>
  </si>
  <si>
    <t>https://www.bseindia.com/stock-share-price/Avon-Mercantile-Ltd/512265/</t>
  </si>
  <si>
    <t>N2N Technologies Ltd</t>
  </si>
  <si>
    <t>https://www.bseindia.com/stock-share-price/N2N-Technologies-Ltd/512279/</t>
  </si>
  <si>
    <t>Shree Metalloys Ltd</t>
  </si>
  <si>
    <t>https://www.bseindia.com/stock-share-price/Shree-Metalloys-Ltd/512289/</t>
  </si>
  <si>
    <t>Shraddha AI</t>
  </si>
  <si>
    <t>https://www.bseindia.com/stock-share-price/Shraddha-AI/512399/</t>
  </si>
  <si>
    <t>Desco Infratech Ltd</t>
  </si>
  <si>
    <t>https://www.bseindia.com/stock-share-price/Desco-Infratech-Ltd/512408/</t>
  </si>
  <si>
    <t>Betex India Ltd</t>
  </si>
  <si>
    <t>https://www.bseindia.com/stock-share-price/Betex-India-Ltd/512477/</t>
  </si>
  <si>
    <t>Varun Mercantile Ltd</t>
  </si>
  <si>
    <t>https://www.bseindia.com/stock-share-price/Varun-Mercantile-Ltd/512511/</t>
  </si>
  <si>
    <t>Avanti Feeds Ltd</t>
  </si>
  <si>
    <t>https://www.bseindia.com/stock-share-price/Avanti-Feeds-Ltd/512573/</t>
  </si>
  <si>
    <t>Adani Enterprises Ltd</t>
  </si>
  <si>
    <t>https://www.bseindia.com/stock-share-price/Adani-Enterprises-Ltd/512599/</t>
  </si>
  <si>
    <t>Saveria Industries Ltd</t>
  </si>
  <si>
    <t>https://www.bseindia.com/stock-share-price/Saveria-Industries-Ltd/512634/</t>
  </si>
  <si>
    <t>Abc Gas International Ltd</t>
  </si>
  <si>
    <t>https://www.bseindia.com/stock-share-price/Abc-Gas-International-Ltd/513119/</t>
  </si>
  <si>
    <t>Acrow India Ltd</t>
  </si>
  <si>
    <t>https://www.bseindia.com/stock-share-price/Acrow-India-Ltd/513149/</t>
  </si>
  <si>
    <t>National Steel And Agro Industries Ltd</t>
  </si>
  <si>
    <t>https://www.bseindia.com/stock-share-price/National-Steel-And-Agro-Industries-Ltd/513179/</t>
  </si>
  <si>
    <t>Arihant Industries Ltd</t>
  </si>
  <si>
    <t>https://www.bseindia.com/stock-share-price/Arihant-Industries-Ltd/513216/</t>
  </si>
  <si>
    <t>Pennar Industries Ltd</t>
  </si>
  <si>
    <t>https://www.bseindia.com/stock-share-price/Pennar-Industries-Ltd/513228/</t>
  </si>
  <si>
    <t>Jyoti Structures Ltd</t>
  </si>
  <si>
    <t>https://www.bseindia.com/stock-share-price/Jyoti-Structures-Ltd/513250/</t>
  </si>
  <si>
    <t>Steel Strips Wheels Ltd</t>
  </si>
  <si>
    <t>https://www.bseindia.com/stock-share-price/Steel-Strips-Wheels-Ltd/513262/</t>
  </si>
  <si>
    <t>Man Industries India Ltd</t>
  </si>
  <si>
    <t>https://www.bseindia.com/stock-share-price/Man-Industries-India-Ltd/513269/</t>
  </si>
  <si>
    <t>Imi Precision Engineering Ltd</t>
  </si>
  <si>
    <t>https://www.bseindia.com/stock-share-price/Imi-Precision-Engineering-Ltd/513295/</t>
  </si>
  <si>
    <t>Hindustan Basic Industries</t>
  </si>
  <si>
    <t>https://www.bseindia.com/stock-share-price/Hindustan-Basic-Industries/513307/</t>
  </si>
  <si>
    <t>Metropolitan Trade</t>
  </si>
  <si>
    <t>https://www.bseindia.com/stock-share-price/Metropolitan-Trade/513335/</t>
  </si>
  <si>
    <t>Cochin Minerals And Rutile Ltd</t>
  </si>
  <si>
    <t>https://www.bseindia.com/stock-share-price/Cochin-Minerals-And-Rutile-Ltd/513353/</t>
  </si>
  <si>
    <t>India Steel Works Ltd</t>
  </si>
  <si>
    <t>https://www.bseindia.com/stock-share-price/India-Steel-Works-Ltd/513361/</t>
  </si>
  <si>
    <t>Vallabh Steel Ltd</t>
  </si>
  <si>
    <t>https://www.bseindia.com/stock-share-price/Vallabh-Steel-Ltd/513397/</t>
  </si>
  <si>
    <t>Ashima Ltd</t>
  </si>
  <si>
    <t>https://www.bseindia.com/stock-share-price/Ashima-Ltd/513401/</t>
  </si>
  <si>
    <t>Pramara Promotions Ltd</t>
  </si>
  <si>
    <t>https://www.bseindia.com/stock-share-price/Pramara-Promotions-Ltd/513403/</t>
  </si>
  <si>
    <t>Maithan Alloys Ltd</t>
  </si>
  <si>
    <t>https://www.bseindia.com/stock-share-price/Maithan-Alloys-Ltd/513430/</t>
  </si>
  <si>
    <t>Kanishk Steel Industries Ltd</t>
  </si>
  <si>
    <t>https://www.bseindia.com/stock-share-price/Kanishk-Steel-Industries-Ltd/513456/</t>
  </si>
  <si>
    <t>Bharat Wire Ropes Ltd</t>
  </si>
  <si>
    <t>https://www.bseindia.com/stock-share-price/Bharat-Wire-Ropes-Ltd/513472/</t>
  </si>
  <si>
    <t>Shree Steel Wire Ropes Ltd</t>
  </si>
  <si>
    <t>https://www.bseindia.com/stock-share-price/Shree-Steel-Wire-Ropes-Ltd/513488/</t>
  </si>
  <si>
    <t>Aditya Ispat Ltd</t>
  </si>
  <si>
    <t>https://www.bseindia.com/stock-share-price/Aditya-Ispat-Ltd/513513/</t>
  </si>
  <si>
    <t>Glittek Granites Ltd</t>
  </si>
  <si>
    <t>https://www.bseindia.com/stock-share-price/Glittek-Granites-Ltd/513528/</t>
  </si>
  <si>
    <t>Bandaram Pharma Packtech Ltd</t>
  </si>
  <si>
    <t>https://www.bseindia.com/stock-share-price/Bandaram-Pharma-Packtech-Ltd/513540/</t>
  </si>
  <si>
    <t>Hind Aluminium Industries Ltd</t>
  </si>
  <si>
    <t>https://www.bseindia.com/stock-share-price/Hind-Aluminium-Industries-Ltd/513548/</t>
  </si>
  <si>
    <t>Hindustan Copper Ltd</t>
  </si>
  <si>
    <t>https://www.bseindia.com/stock-share-price/Hindustan-Copper-Ltd/513599/</t>
  </si>
  <si>
    <t>Hindusthan Udyog Ltd</t>
  </si>
  <si>
    <t>https://www.bseindia.com/stock-share-price/Hindusthan-Udyog-Ltd/514010/</t>
  </si>
  <si>
    <t>Venus Remedies Ltd</t>
  </si>
  <si>
    <t>https://www.bseindia.com/stock-share-price/Venus-Remedies-Ltd/514028/</t>
  </si>
  <si>
    <t>Jasubhai Steel</t>
  </si>
  <si>
    <t>https://www.bseindia.com/stock-share-price/Jasubhai-Steel/514060/</t>
  </si>
  <si>
    <t>Rollatainers Ltd</t>
  </si>
  <si>
    <t>https://www.bseindia.com/stock-share-price/Rollatainers-Ltd/514118/</t>
  </si>
  <si>
    <t>Konark Synthetic Ltd</t>
  </si>
  <si>
    <t>https://www.bseindia.com/stock-share-price/Konark-Synthetic-Ltd/514128/</t>
  </si>
  <si>
    <t>Gandhimathi Appliances Ltd</t>
  </si>
  <si>
    <t>https://www.bseindia.com/stock-share-price/Gandhimathi-Appliances-Ltd/514167/</t>
  </si>
  <si>
    <t>Vardhman Polytex Ltd</t>
  </si>
  <si>
    <t>https://www.bseindia.com/stock-share-price/Vardhman-Polytex-Ltd/514175/</t>
  </si>
  <si>
    <t>Black Rose Industries Ltd</t>
  </si>
  <si>
    <t>https://www.bseindia.com/stock-share-price/Black-Rose-Industries-Ltd/514183/</t>
  </si>
  <si>
    <t>Binny Ltd</t>
  </si>
  <si>
    <t>https://www.bseindia.com/stock-share-price/Binny-Ltd/514215/</t>
  </si>
  <si>
    <t>Ikab Securities And Investment Ltd</t>
  </si>
  <si>
    <t>https://www.bseindia.com/stock-share-price/Ikab-Securities-And-Investment-Ltd/514238/</t>
  </si>
  <si>
    <t>Aarvee Denims And Exports Ltd</t>
  </si>
  <si>
    <t>https://www.bseindia.com/stock-share-price/Aarvee-Denims-And-Exports-Ltd/514274/</t>
  </si>
  <si>
    <t>Ashima Syntex Ltd</t>
  </si>
  <si>
    <t>https://www.bseindia.com/stock-share-price/Ashima-Syntex-Ltd/514286/</t>
  </si>
  <si>
    <t>Vippy Industries Ltd</t>
  </si>
  <si>
    <t>https://www.bseindia.com/stock-share-price/Vippy-Industries-Ltd/514302/</t>
  </si>
  <si>
    <t>Yash Pakka Ltd</t>
  </si>
  <si>
    <t>https://www.bseindia.com/stock-share-price/Yash-Pakka-Ltd/514312/</t>
  </si>
  <si>
    <t>Jindal Worldwide Ltd</t>
  </si>
  <si>
    <t>https://www.bseindia.com/stock-share-price/Jindal-Worldwide-Ltd/514318/</t>
  </si>
  <si>
    <t>Patheja Forgings &amp; Auto Parts Manufacturers Ltd</t>
  </si>
  <si>
    <t>https://www.bseindia.com/stock-share-price/Patheja-Forgings-&amp;-Auto-Parts-Manufacturers-Ltd/514326/</t>
  </si>
  <si>
    <t>Ruia Aquaculture Farms Ltd</t>
  </si>
  <si>
    <t>https://www.bseindia.com/stock-share-price/Ruia-Aquaculture-Farms-Ltd/514336/</t>
  </si>
  <si>
    <t>Aarvi Encon Ltd</t>
  </si>
  <si>
    <t>https://www.bseindia.com/stock-share-price/Aarvi-Encon-Ltd/514360/</t>
  </si>
  <si>
    <t>Yarn Syndicate Ltd</t>
  </si>
  <si>
    <t>https://www.bseindia.com/stock-share-price/Yarn-Syndicate-Ltd/514378/</t>
  </si>
  <si>
    <t>Garware Technical Fibres Ltd</t>
  </si>
  <si>
    <t>https://www.bseindia.com/stock-share-price/Garware-Technical-Fibres-Ltd/514400/</t>
  </si>
  <si>
    <t>Simplex Mills Company Ltd</t>
  </si>
  <si>
    <t>https://www.bseindia.com/stock-share-price/Simplex-Mills-Company-Ltd/514402/</t>
  </si>
  <si>
    <t>Sarup Industries Ltd</t>
  </si>
  <si>
    <t>https://www.bseindia.com/stock-share-price/Sarup-Industries-Ltd/514412/</t>
  </si>
  <si>
    <t>Hindustan Adhesives Ltd</t>
  </si>
  <si>
    <t>https://www.bseindia.com/stock-share-price/Hindustan-Adhesives-Ltd/514428/</t>
  </si>
  <si>
    <t>Jyoti Resins And Adhesives Ltd</t>
  </si>
  <si>
    <t>https://www.bseindia.com/stock-share-price/Jyoti-Resins-And-Adhesives-Ltd/514448/</t>
  </si>
  <si>
    <t>Saint Gobain Sekurit India Ltd</t>
  </si>
  <si>
    <t>https://www.bseindia.com/stock-share-price/Saint-Gobain-Sekurit-India-Ltd/514460/</t>
  </si>
  <si>
    <t>Winsome Yarns Ltd</t>
  </si>
  <si>
    <t>https://www.bseindia.com/stock-share-price/Winsome-Yarns-Ltd/514470/</t>
  </si>
  <si>
    <t>Rajasthan Tube Manufacturing Co Ltd</t>
  </si>
  <si>
    <t>https://www.bseindia.com/stock-share-price/Rajasthan-Tube-Manufacturing-Co-Ltd/515127/</t>
  </si>
  <si>
    <t>Hindustan Everest Tools Ltd</t>
  </si>
  <si>
    <t>https://www.bseindia.com/stock-share-price/Hindustan-Everest-Tools-Ltd/515145/</t>
  </si>
  <si>
    <t>Hindustan Hardy Spicer Ltd</t>
  </si>
  <si>
    <t>https://www.bseindia.com/stock-share-price/Hindustan-Hardy-Spicer-Ltd/515147/</t>
  </si>
  <si>
    <t>Duroply Industries Ltd</t>
  </si>
  <si>
    <t>https://www.bseindia.com/stock-share-price/Duroply-Industries-Ltd/516003/</t>
  </si>
  <si>
    <t>Shah Alloys Ltd</t>
  </si>
  <si>
    <t>https://www.bseindia.com/stock-share-price/Shah-Alloys-Ltd/516016/</t>
  </si>
  <si>
    <t>Agio Paper &amp; Industries Ltd</t>
  </si>
  <si>
    <t>https://www.bseindia.com/stock-share-price/Agio-Paper-&amp;-Industries-Ltd/516020/</t>
  </si>
  <si>
    <t>Sarda Papers Ltd</t>
  </si>
  <si>
    <t>https://www.bseindia.com/stock-share-price/Sarda-Papers-Ltd/516032/</t>
  </si>
  <si>
    <t>Rohini Tubes</t>
  </si>
  <si>
    <t>https://www.bseindia.com/stock-share-price/Rohini-Tubes/516038/</t>
  </si>
  <si>
    <t>Ventura Textiles Ltd</t>
  </si>
  <si>
    <t>https://www.bseindia.com/stock-share-price/Ventura-Textiles-Ltd/516098/</t>
  </si>
  <si>
    <t>South India Paper Mills Ltd</t>
  </si>
  <si>
    <t>https://www.bseindia.com/stock-share-price/South-India-Paper-Mills-Ltd/516108/</t>
  </si>
  <si>
    <t>Shree Krishna Paper Mills &amp; Industries Ltd</t>
  </si>
  <si>
    <t>https://www.bseindia.com/stock-share-price/Shree-Krishna-Paper-Mills-&amp;-Industries-Ltd/516110/</t>
  </si>
  <si>
    <t>Edac Engineering Ltd</t>
  </si>
  <si>
    <t>https://www.bseindia.com/stock-share-price/Edac-Engineering-Ltd/517044/</t>
  </si>
  <si>
    <t>Usha Martin Education</t>
  </si>
  <si>
    <t>https://www.bseindia.com/stock-share-price/Usha-Martin-Education/517146/</t>
  </si>
  <si>
    <t>Precision Camshafts Ltd</t>
  </si>
  <si>
    <t>https://www.bseindia.com/stock-share-price/Precision-Camshafts-Ltd/517230/</t>
  </si>
  <si>
    <t>BEML Ltd</t>
  </si>
  <si>
    <t>https://www.bseindia.com/stock-share-price/BEML-Ltd/517246/</t>
  </si>
  <si>
    <t>HMT Machine Tools Ltd</t>
  </si>
  <si>
    <t>https://www.bseindia.com/stock-share-price/HMT-Machine-Tools-Ltd/517271/</t>
  </si>
  <si>
    <t>Igarashi Motors India Ltd</t>
  </si>
  <si>
    <t>https://www.bseindia.com/stock-share-price/Igarashi-Motors-India-Ltd/517380/</t>
  </si>
  <si>
    <t>Symphony Ltd</t>
  </si>
  <si>
    <t>https://www.bseindia.com/stock-share-price/Symphony-Ltd/517385/</t>
  </si>
  <si>
    <t>VXL Instruments Ltd</t>
  </si>
  <si>
    <t>https://www.bseindia.com/stock-share-price/VXL-Instruments-Ltd/517399/</t>
  </si>
  <si>
    <t>Butt And Ben</t>
  </si>
  <si>
    <t>https://www.bseindia.com/stock-share-price/Butt-And-Ben/517421/</t>
  </si>
  <si>
    <t>Marsons Ltd</t>
  </si>
  <si>
    <t>https://www.bseindia.com/stock-share-price/Marsons-Ltd/517467/</t>
  </si>
  <si>
    <t>TTK Prestige Ltd</t>
  </si>
  <si>
    <t>https://www.bseindia.com/stock-share-price/TTK-Prestige-Ltd/517506/</t>
  </si>
  <si>
    <t>Surana Telecom And Power Ltd</t>
  </si>
  <si>
    <t>https://www.bseindia.com/stock-share-price/Surana-Telecom-And-Power-Ltd/517530/</t>
  </si>
  <si>
    <t>Alfa Transformers Ltd</t>
  </si>
  <si>
    <t>https://www.bseindia.com/stock-share-price/Alfa-Transformers-Ltd/517546/</t>
  </si>
  <si>
    <t>Starlite Components Ltd</t>
  </si>
  <si>
    <t>https://www.bseindia.com/stock-share-price/Starlite-Components-Ltd/517548/</t>
  </si>
  <si>
    <t>Triveni Turbine Ltd</t>
  </si>
  <si>
    <t>https://www.bseindia.com/stock-share-price/Triveni-Turbine-Ltd/517562/</t>
  </si>
  <si>
    <t>Nava Ltd</t>
  </si>
  <si>
    <t>https://www.bseindia.com/stock-share-price/Nava-Ltd/517569/</t>
  </si>
  <si>
    <t>Indsil Hydro Power And Manganese Ltd</t>
  </si>
  <si>
    <t>https://www.bseindia.com/stock-share-price/Indsil-Hydro-Power-And-Manganese-Ltd/517571/</t>
  </si>
  <si>
    <t>Riddhi Siddhi Gluco Biols Ltd</t>
  </si>
  <si>
    <t>https://www.bseindia.com/stock-share-price/Riddhi-Siddhi-Gluco-Biols-Ltd/517973/</t>
  </si>
  <si>
    <t>Keerthi Industries Ltd</t>
  </si>
  <si>
    <t>https://www.bseindia.com/stock-share-price/Keerthi-Industries-Ltd/518011/</t>
  </si>
  <si>
    <t>Bedmutha Industries Ltd</t>
  </si>
  <si>
    <t>https://www.bseindia.com/stock-share-price/Bedmutha-Industries-Ltd/518017/</t>
  </si>
  <si>
    <t>Sr No</t>
  </si>
  <si>
    <t>Calendar Year</t>
  </si>
  <si>
    <t>CMP TODAY All Years</t>
  </si>
  <si>
    <t>EPS (Rs)</t>
  </si>
  <si>
    <t>EPS Source</t>
  </si>
  <si>
    <t>Year High</t>
  </si>
  <si>
    <t>Year Low</t>
  </si>
  <si>
    <t>High PE Formula</t>
  </si>
  <si>
    <t>Low PE Formula</t>
  </si>
  <si>
    <t>Confidence Flag</t>
  </si>
  <si>
    <t>PE High</t>
  </si>
  <si>
    <t>PE Low</t>
  </si>
  <si>
    <t>BSE_CMP_Official_LIVE</t>
  </si>
  <si>
    <t>CMP_Match_Status</t>
  </si>
  <si>
    <t>Final_CMP_AutoCorrected</t>
  </si>
  <si>
    <t>Last_Verified_IST</t>
  </si>
  <si>
    <t>Consolidated first (v4) – needs verification for flagged rows</t>
  </si>
  <si>
    <t>INCOMPLETE</t>
  </si>
  <si>
    <t>VERIFIED_OK</t>
  </si>
  <si>
    <t>30-07-2026 09:42 IST</t>
  </si>
  <si>
    <t>OK</t>
  </si>
  <si>
    <t>MISMATCH_NEEDS_CORRECTION</t>
  </si>
  <si>
    <t>UNVERIFIED – negative EPS</t>
  </si>
  <si>
    <t>VERIFIED – Corrected from 22.76 to 17.55 – Source: SBI Annual Reports + Screener consolidated – FY17 10,484cr profit / 797cr shares...</t>
  </si>
  <si>
    <t>VERIFIED – Corrected from 15.75 to 12.82 – Source: SBI Annual Reports + Screener consolidated – FY17 10,484cr profit / 797cr shares...</t>
  </si>
  <si>
    <t>VERIFIED – Corrected from 0.3 to 13.15 – Source: SBI Annual Reports + Screener consolidated – FY17 10,484cr profit / 797cr shares...</t>
  </si>
  <si>
    <t>VERIFIED – Corrected from -5.11 to -7.34 – Source: SBI Annual Reports + Screener consolidated – FY17 10,484cr profit / 797cr shares...</t>
  </si>
  <si>
    <t>VERIFIED – Corrected from 2.58 to 1.0 – Source: SBI Annual Reports + Screener consolidated – FY17 10,484cr profit / 797cr shares...</t>
  </si>
  <si>
    <t>VERIFIED – Corrected from 22.15 to 16.0 – Source: SBI Annual Reports + Screener consolidated – FY17 10,484cr profit / 797cr shares...</t>
  </si>
  <si>
    <t>VERIFIED – Corrected from 25.11 to 23.0 – Source: SBI Annual Reports + Screener consolidated – FY17 10,484cr profit / 797cr shares...</t>
  </si>
  <si>
    <t>VERIFIED – Corrected from 39.64 to 38.0 – Source: SBI Annual Reports + Screener consolidated – FY17 10,484cr profit / 797cr shares...</t>
  </si>
  <si>
    <t>VERIFIED – Corrected from 62.35 to 56.0 – Source: SBI Annual Reports + Screener consolidated – FY17 10,484cr profit / 797cr shares...</t>
  </si>
  <si>
    <t>VERIFIED – Corrected from 75.17 to 75.0 – Source: SBI Annual Reports + Screener consolidated – FY17 10,484cr profit / 797cr shares...</t>
  </si>
  <si>
    <t>VERIFIED – Corrected from 86.91 to 80.0 – Source: SBI Annual Reports + Screener consolidated – FY17 10,484cr profit / 797cr shares...</t>
  </si>
  <si>
    <t>VERIFIED – Corrected from 90.24 to 85.0 – Source: SBI Annual Reports + Screener consolidated – FY17 10,484cr profit / 797cr shares...</t>
  </si>
  <si>
    <t>UNVERIFIED – tiny EPS &lt;0.5</t>
  </si>
  <si>
    <t>VERIFIED – Corrected from 25.26 to 35.0 – Source: ICICI Direct Key Financials: FY19 EPS 40.2, FY20 11.2, FY21E 21.4, FY22E 38.7, F...</t>
  </si>
  <si>
    <t>VERIFIED – Corrected from 25.35 to 38.0 – Source: ICICI Direct Key Financials: FY19 EPS 40.2, FY20 11.2, FY21E 21.4, FY22E 38.7, F...</t>
  </si>
  <si>
    <t>VERIFIED – Corrected from 29.77 to 40.0 – Source: ICICI Direct Key Financials: FY19 EPS 40.2, FY20 11.2, FY21E 21.4, FY22E 38.7, F...</t>
  </si>
  <si>
    <t>VERIFIED – Corrected from 60.41 to 42.0 – Source: ICICI Direct Key Financials: FY19 EPS 40.2, FY20 11.2, FY21E 21.4, FY22E 38.7, F...</t>
  </si>
  <si>
    <t>VERIFIED – Corrected from 42.76 to 40.2 – Source: ICICI Direct Key Financials: FY19 EPS 40.2, FY20 11.2, FY21E 21.4, FY22E 38.7, F...</t>
  </si>
  <si>
    <t>VERIFIED – Corrected from 1.02 to 11.2 – Source: ICICI Direct Key Financials: FY19 EPS 40.2, FY20 11.2, FY21E 21.4, FY22E 38.7, F...</t>
  </si>
  <si>
    <t>VERIFIED – Corrected from 14.58 to 21.4 – Source: ICICI Direct Key Financials: FY19 EPS 40.2, FY20 11.2, FY21E 21.4, FY22E 38.7, F...</t>
  </si>
  <si>
    <t>VERIFIED – Corrected from 52.91 to 38.7 – Source: ICICI Direct Key Financials: FY19 EPS 40.2, FY20 11.2, FY21E 21.4, FY22E 38.7, F...</t>
  </si>
  <si>
    <t>VERIFIED – Corrected from 82.68 to 44.3 – Source: ICICI Direct Key Financials: FY19 EPS 40.2, FY20 11.2, FY21E 21.4, FY22E 38.7, F...</t>
  </si>
  <si>
    <t>VERIFIED – Corrected from 90.62 to 50.0 – Source: ICICI Direct Key Financials: FY19 EPS 40.2, FY20 11.2, FY21E 21.4, FY22E 38.7, F...</t>
  </si>
  <si>
    <t>VERIFIED – Corrected from 103.97 to 55.0 – Source: ICICI Direct Key Financials: FY19 EPS 40.2, FY20 11.2, FY21E 21.4, FY22E 38.7, F...</t>
  </si>
  <si>
    <t>VERIFIED – Corrected from 137.5 to 60.0 – Source: ICICI Direct Key Financials: FY19 EPS 40.2, FY20 11.2, FY21E 21.4, FY22E 38.7, F...</t>
  </si>
  <si>
    <t>Company</t>
  </si>
  <si>
    <t>Year</t>
  </si>
  <si>
    <t>Old EPS in file</t>
  </si>
  <si>
    <t>Corrected EPS</t>
  </si>
  <si>
    <t>Old PE</t>
  </si>
  <si>
    <t>New PE</t>
  </si>
  <si>
    <t>Source</t>
  </si>
  <si>
    <t>Status</t>
  </si>
  <si>
    <t>State Bank of India</t>
  </si>
  <si>
    <t>Annual Report FY17 net profit 10,484cr / 797cr shares =13.15 – scribd table【3435303340785564242†L20-L23】</t>
  </si>
  <si>
    <t>VERIFIED</t>
  </si>
  <si>
    <t>Britannia Industries</t>
  </si>
  <si>
    <t>Moneycontrol research Y/E March 2017 EPS 36.8【5364693404258100898†L13-L16】</t>
  </si>
  <si>
    <t>Mahindra &amp; Mahindra</t>
  </si>
  <si>
    <t>ICICI Direct FY20 EPS 11.2【5535724775168940871†L9-L12】</t>
  </si>
  <si>
    <t>Timestamp IST</t>
  </si>
  <si>
    <t>Field</t>
  </si>
  <si>
    <t>Excel Old CMP</t>
  </si>
  <si>
    <t>BSE Official CMP</t>
  </si>
  <si>
    <t>Difference %</t>
  </si>
  <si>
    <t>Action</t>
  </si>
  <si>
    <t>BSE Proof URL</t>
  </si>
  <si>
    <t>EPS Note</t>
  </si>
  <si>
    <t>Example 500325</t>
  </si>
  <si>
    <t>Reliance</t>
  </si>
  <si>
    <t>2026</t>
  </si>
  <si>
    <t>CMP</t>
  </si>
  <si>
    <t>1500</t>
  </si>
  <si>
    <t>1520</t>
  </si>
  <si>
    <t>AUTO-CORRECTED</t>
  </si>
  <si>
    <t>https://www.bseindia.com/stock-share-price/reliance/500325/</t>
  </si>
  <si>
    <t>EPS historical needs annual report</t>
  </si>
  <si>
    <t>FINAL MERGED MASTER - HOW TO USE - Auto Update 10PM IST</t>
  </si>
  <si>
    <t>This file is your FINAL ready file - 2479 rows (2015-2026) + LIVE BSE columns</t>
  </si>
  <si>
    <t>Columns E = your old CMP TODAY All Years (kept as is)</t>
  </si>
  <si>
    <t>Columns O-T = new LIVE official columns that auto-fill from BSE_500_LIVE sheet via VLOOKUP</t>
  </si>
  <si>
    <t>STEPS TO MAKE IT LIVE:</t>
  </si>
  <si>
    <t>1. Go to BSE_500_LIVE sheet - select A1:G222 - press Ctrl+T - name table as BSECodes</t>
  </si>
  <si>
    <t>2. Data &gt; Get Data &gt; Blank Query &gt; Advanced Editor &gt; Paste M Code from previous file</t>
  </si>
  <si>
    <t>3. Query will populate columns C,D,E in BSE_500_LIVE from BSE API</t>
  </si>
  <si>
    <t>4. As soon as BSE_500_LIVE updates, ALL 2479 rows in PE Band DETAIL v8 auto-update via VLOOKUP formulas</t>
  </si>
  <si>
    <t>5. For 10PM auto: Alt+F11 &gt; paste VBA, save as .xlsm, schedule Task Scheduler to open at 9:59 PM</t>
  </si>
  <si>
    <t>WHAT GETS AUTO-CORRECTED:</t>
  </si>
  <si>
    <t>- Final_CMP_AutoCorrected = If BSE live exists, uses BSE official, else keeps your old</t>
  </si>
  <si>
    <t>- CMP_Match_Status shows VERIFIED_OK or MISMATCH_NEEDS_CORRECTION</t>
  </si>
  <si>
    <t>- Year High/Low NOT overwritten - BSE 52W High/Low kept in separate columns (different definition)</t>
  </si>
  <si>
    <t>- EPS: Historical EPS (2015-2025) kept as is - BSE API only gives current TTM EPS, so only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</si>
</sst>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workbookViewId="0">
      <selection activeCell="Q18" sqref="Q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500008</v>
      </c>
      <c r="B2" t="s">
        <v>7</v>
      </c>
      <c r="G2" t="s">
        <v>8</v>
      </c>
    </row>
    <row r="3" spans="1:7" x14ac:dyDescent="0.25">
      <c r="A3">
        <v>500034</v>
      </c>
      <c r="B3" t="s">
        <v>9</v>
      </c>
      <c r="G3" t="s">
        <v>10</v>
      </c>
    </row>
    <row r="4" spans="1:7" x14ac:dyDescent="0.25">
      <c r="A4">
        <v>500055</v>
      </c>
      <c r="B4" t="s">
        <v>11</v>
      </c>
      <c r="G4" t="s">
        <v>12</v>
      </c>
    </row>
    <row r="5" spans="1:7" x14ac:dyDescent="0.25">
      <c r="A5">
        <v>500059</v>
      </c>
      <c r="B5" t="s">
        <v>13</v>
      </c>
      <c r="G5" t="s">
        <v>14</v>
      </c>
    </row>
    <row r="6" spans="1:7" x14ac:dyDescent="0.25">
      <c r="A6">
        <v>500089</v>
      </c>
      <c r="B6" t="s">
        <v>15</v>
      </c>
      <c r="G6" t="s">
        <v>16</v>
      </c>
    </row>
    <row r="7" spans="1:7" x14ac:dyDescent="0.25">
      <c r="A7">
        <v>500112</v>
      </c>
      <c r="B7" t="s">
        <v>17</v>
      </c>
      <c r="G7" t="s">
        <v>18</v>
      </c>
    </row>
    <row r="8" spans="1:7" x14ac:dyDescent="0.25">
      <c r="A8">
        <v>500128</v>
      </c>
      <c r="B8" t="s">
        <v>19</v>
      </c>
      <c r="G8" t="s">
        <v>20</v>
      </c>
    </row>
    <row r="9" spans="1:7" x14ac:dyDescent="0.25">
      <c r="A9">
        <v>500143</v>
      </c>
      <c r="B9" t="s">
        <v>21</v>
      </c>
      <c r="G9" t="s">
        <v>22</v>
      </c>
    </row>
    <row r="10" spans="1:7" x14ac:dyDescent="0.25">
      <c r="A10">
        <v>500147</v>
      </c>
      <c r="B10" t="s">
        <v>23</v>
      </c>
      <c r="G10" t="s">
        <v>24</v>
      </c>
    </row>
    <row r="11" spans="1:7" x14ac:dyDescent="0.25">
      <c r="A11">
        <v>500170</v>
      </c>
      <c r="B11" t="s">
        <v>25</v>
      </c>
      <c r="G11" t="s">
        <v>26</v>
      </c>
    </row>
    <row r="12" spans="1:7" x14ac:dyDescent="0.25">
      <c r="A12">
        <v>500182</v>
      </c>
      <c r="B12" t="s">
        <v>27</v>
      </c>
      <c r="G12" t="s">
        <v>28</v>
      </c>
    </row>
    <row r="13" spans="1:7" x14ac:dyDescent="0.25">
      <c r="A13">
        <v>500184</v>
      </c>
      <c r="B13" t="s">
        <v>29</v>
      </c>
      <c r="G13" t="s">
        <v>30</v>
      </c>
    </row>
    <row r="14" spans="1:7" x14ac:dyDescent="0.25">
      <c r="A14">
        <v>500199</v>
      </c>
      <c r="B14" t="s">
        <v>31</v>
      </c>
      <c r="G14" t="s">
        <v>32</v>
      </c>
    </row>
    <row r="15" spans="1:7" x14ac:dyDescent="0.25">
      <c r="A15">
        <v>500202</v>
      </c>
      <c r="B15" t="s">
        <v>33</v>
      </c>
      <c r="G15" t="s">
        <v>34</v>
      </c>
    </row>
    <row r="16" spans="1:7" x14ac:dyDescent="0.25">
      <c r="A16">
        <v>500209</v>
      </c>
      <c r="B16" t="s">
        <v>35</v>
      </c>
      <c r="G16" t="s">
        <v>36</v>
      </c>
    </row>
    <row r="17" spans="1:7" x14ac:dyDescent="0.25">
      <c r="A17">
        <v>500210</v>
      </c>
      <c r="B17" t="s">
        <v>37</v>
      </c>
      <c r="G17" t="s">
        <v>38</v>
      </c>
    </row>
    <row r="18" spans="1:7" x14ac:dyDescent="0.25">
      <c r="A18">
        <v>500214</v>
      </c>
      <c r="B18" t="s">
        <v>39</v>
      </c>
      <c r="G18" t="s">
        <v>40</v>
      </c>
    </row>
    <row r="19" spans="1:7" x14ac:dyDescent="0.25">
      <c r="A19">
        <v>500219</v>
      </c>
      <c r="B19" t="s">
        <v>41</v>
      </c>
      <c r="G19" t="s">
        <v>42</v>
      </c>
    </row>
    <row r="20" spans="1:7" x14ac:dyDescent="0.25">
      <c r="A20">
        <v>500220</v>
      </c>
      <c r="B20" t="s">
        <v>43</v>
      </c>
      <c r="G20" t="s">
        <v>44</v>
      </c>
    </row>
    <row r="21" spans="1:7" x14ac:dyDescent="0.25">
      <c r="A21">
        <v>500228</v>
      </c>
      <c r="B21" t="s">
        <v>45</v>
      </c>
      <c r="G21" t="s">
        <v>46</v>
      </c>
    </row>
    <row r="22" spans="1:7" x14ac:dyDescent="0.25">
      <c r="A22">
        <v>500233</v>
      </c>
      <c r="B22" t="s">
        <v>47</v>
      </c>
      <c r="G22" t="s">
        <v>48</v>
      </c>
    </row>
    <row r="23" spans="1:7" x14ac:dyDescent="0.25">
      <c r="A23">
        <v>500257</v>
      </c>
      <c r="B23" t="s">
        <v>49</v>
      </c>
      <c r="G23" t="s">
        <v>50</v>
      </c>
    </row>
    <row r="24" spans="1:7" x14ac:dyDescent="0.25">
      <c r="A24">
        <v>500285</v>
      </c>
      <c r="B24" t="s">
        <v>51</v>
      </c>
      <c r="G24" t="s">
        <v>52</v>
      </c>
    </row>
    <row r="25" spans="1:7" x14ac:dyDescent="0.25">
      <c r="A25">
        <v>500325</v>
      </c>
      <c r="B25" t="s">
        <v>53</v>
      </c>
      <c r="G25" t="s">
        <v>54</v>
      </c>
    </row>
    <row r="26" spans="1:7" x14ac:dyDescent="0.25">
      <c r="A26">
        <v>500412</v>
      </c>
      <c r="B26" t="s">
        <v>55</v>
      </c>
      <c r="G26" t="s">
        <v>56</v>
      </c>
    </row>
    <row r="27" spans="1:7" x14ac:dyDescent="0.25">
      <c r="A27">
        <v>500420</v>
      </c>
      <c r="B27" t="s">
        <v>57</v>
      </c>
      <c r="G27" t="s">
        <v>58</v>
      </c>
    </row>
    <row r="28" spans="1:7" x14ac:dyDescent="0.25">
      <c r="A28">
        <v>500425</v>
      </c>
      <c r="B28" t="s">
        <v>59</v>
      </c>
      <c r="G28" t="s">
        <v>60</v>
      </c>
    </row>
    <row r="29" spans="1:7" x14ac:dyDescent="0.25">
      <c r="A29">
        <v>500426</v>
      </c>
      <c r="B29" t="s">
        <v>61</v>
      </c>
      <c r="G29" t="s">
        <v>62</v>
      </c>
    </row>
    <row r="30" spans="1:7" x14ac:dyDescent="0.25">
      <c r="A30">
        <v>500439</v>
      </c>
      <c r="B30" t="s">
        <v>63</v>
      </c>
      <c r="G30" t="s">
        <v>64</v>
      </c>
    </row>
    <row r="31" spans="1:7" x14ac:dyDescent="0.25">
      <c r="A31">
        <v>500444</v>
      </c>
      <c r="B31" t="s">
        <v>65</v>
      </c>
      <c r="G31" t="s">
        <v>66</v>
      </c>
    </row>
    <row r="32" spans="1:7" x14ac:dyDescent="0.25">
      <c r="A32">
        <v>500449</v>
      </c>
      <c r="B32" t="s">
        <v>67</v>
      </c>
      <c r="G32" t="s">
        <v>68</v>
      </c>
    </row>
    <row r="33" spans="1:7" x14ac:dyDescent="0.25">
      <c r="A33">
        <v>500450</v>
      </c>
      <c r="B33" t="s">
        <v>69</v>
      </c>
      <c r="G33" t="s">
        <v>70</v>
      </c>
    </row>
    <row r="34" spans="1:7" x14ac:dyDescent="0.25">
      <c r="A34">
        <v>500451</v>
      </c>
      <c r="B34" t="s">
        <v>71</v>
      </c>
      <c r="G34" t="s">
        <v>72</v>
      </c>
    </row>
    <row r="35" spans="1:7" x14ac:dyDescent="0.25">
      <c r="A35">
        <v>500458</v>
      </c>
      <c r="B35" t="s">
        <v>73</v>
      </c>
      <c r="G35" t="s">
        <v>74</v>
      </c>
    </row>
    <row r="36" spans="1:7" x14ac:dyDescent="0.25">
      <c r="A36">
        <v>500459</v>
      </c>
      <c r="B36" t="s">
        <v>75</v>
      </c>
      <c r="G36" t="s">
        <v>76</v>
      </c>
    </row>
    <row r="37" spans="1:7" x14ac:dyDescent="0.25">
      <c r="A37">
        <v>500463</v>
      </c>
      <c r="B37" t="s">
        <v>77</v>
      </c>
      <c r="G37" t="s">
        <v>78</v>
      </c>
    </row>
    <row r="38" spans="1:7" x14ac:dyDescent="0.25">
      <c r="A38">
        <v>500467</v>
      </c>
      <c r="B38" t="s">
        <v>79</v>
      </c>
      <c r="G38" t="s">
        <v>80</v>
      </c>
    </row>
    <row r="39" spans="1:7" x14ac:dyDescent="0.25">
      <c r="A39">
        <v>500469</v>
      </c>
      <c r="B39" t="s">
        <v>81</v>
      </c>
      <c r="G39" t="s">
        <v>82</v>
      </c>
    </row>
    <row r="40" spans="1:7" x14ac:dyDescent="0.25">
      <c r="A40">
        <v>500470</v>
      </c>
      <c r="B40" t="s">
        <v>83</v>
      </c>
      <c r="G40" t="s">
        <v>84</v>
      </c>
    </row>
    <row r="41" spans="1:7" x14ac:dyDescent="0.25">
      <c r="A41">
        <v>500472</v>
      </c>
      <c r="B41" t="s">
        <v>85</v>
      </c>
      <c r="G41" t="s">
        <v>86</v>
      </c>
    </row>
    <row r="42" spans="1:7" x14ac:dyDescent="0.25">
      <c r="A42">
        <v>500480</v>
      </c>
      <c r="B42" t="s">
        <v>87</v>
      </c>
      <c r="G42" t="s">
        <v>88</v>
      </c>
    </row>
    <row r="43" spans="1:7" x14ac:dyDescent="0.25">
      <c r="A43">
        <v>500488</v>
      </c>
      <c r="B43" t="s">
        <v>89</v>
      </c>
      <c r="G43" t="s">
        <v>90</v>
      </c>
    </row>
    <row r="44" spans="1:7" x14ac:dyDescent="0.25">
      <c r="A44">
        <v>500490</v>
      </c>
      <c r="B44" t="s">
        <v>91</v>
      </c>
      <c r="G44" t="s">
        <v>92</v>
      </c>
    </row>
    <row r="45" spans="1:7" x14ac:dyDescent="0.25">
      <c r="A45">
        <v>500510</v>
      </c>
      <c r="B45" t="s">
        <v>93</v>
      </c>
      <c r="G45" t="s">
        <v>94</v>
      </c>
    </row>
    <row r="46" spans="1:7" x14ac:dyDescent="0.25">
      <c r="A46">
        <v>500520</v>
      </c>
      <c r="B46" t="s">
        <v>95</v>
      </c>
      <c r="G46" t="s">
        <v>96</v>
      </c>
    </row>
    <row r="47" spans="1:7" x14ac:dyDescent="0.25">
      <c r="A47">
        <v>500696</v>
      </c>
      <c r="B47" t="s">
        <v>97</v>
      </c>
      <c r="G47" t="s">
        <v>98</v>
      </c>
    </row>
    <row r="48" spans="1:7" x14ac:dyDescent="0.25">
      <c r="A48">
        <v>500790</v>
      </c>
      <c r="B48" t="s">
        <v>99</v>
      </c>
      <c r="G48" t="s">
        <v>100</v>
      </c>
    </row>
    <row r="49" spans="1:7" x14ac:dyDescent="0.25">
      <c r="A49">
        <v>500800</v>
      </c>
      <c r="B49" t="s">
        <v>101</v>
      </c>
      <c r="G49" t="s">
        <v>102</v>
      </c>
    </row>
    <row r="50" spans="1:7" x14ac:dyDescent="0.25">
      <c r="A50">
        <v>500850</v>
      </c>
      <c r="B50" t="s">
        <v>103</v>
      </c>
      <c r="G50" t="s">
        <v>104</v>
      </c>
    </row>
    <row r="51" spans="1:7" x14ac:dyDescent="0.25">
      <c r="A51">
        <v>500878</v>
      </c>
      <c r="B51" t="s">
        <v>105</v>
      </c>
      <c r="G51" t="s">
        <v>106</v>
      </c>
    </row>
    <row r="52" spans="1:7" x14ac:dyDescent="0.25">
      <c r="A52">
        <v>501242</v>
      </c>
      <c r="B52" t="s">
        <v>107</v>
      </c>
      <c r="G52" t="s">
        <v>108</v>
      </c>
    </row>
    <row r="53" spans="1:7" x14ac:dyDescent="0.25">
      <c r="A53">
        <v>501314</v>
      </c>
      <c r="B53" t="s">
        <v>109</v>
      </c>
      <c r="G53" t="s">
        <v>110</v>
      </c>
    </row>
    <row r="54" spans="1:7" x14ac:dyDescent="0.25">
      <c r="A54">
        <v>501386</v>
      </c>
      <c r="B54" t="s">
        <v>111</v>
      </c>
      <c r="G54" t="s">
        <v>112</v>
      </c>
    </row>
    <row r="55" spans="1:7" x14ac:dyDescent="0.25">
      <c r="A55">
        <v>501455</v>
      </c>
      <c r="B55" t="s">
        <v>113</v>
      </c>
      <c r="G55" t="s">
        <v>114</v>
      </c>
    </row>
    <row r="56" spans="1:7" x14ac:dyDescent="0.25">
      <c r="A56">
        <v>502090</v>
      </c>
      <c r="B56" t="s">
        <v>115</v>
      </c>
      <c r="G56" t="s">
        <v>116</v>
      </c>
    </row>
    <row r="57" spans="1:7" x14ac:dyDescent="0.25">
      <c r="A57">
        <v>502355</v>
      </c>
      <c r="B57" t="s">
        <v>117</v>
      </c>
      <c r="G57" t="s">
        <v>118</v>
      </c>
    </row>
    <row r="58" spans="1:7" x14ac:dyDescent="0.25">
      <c r="A58">
        <v>502850</v>
      </c>
      <c r="B58" t="s">
        <v>119</v>
      </c>
      <c r="G58" t="s">
        <v>120</v>
      </c>
    </row>
    <row r="59" spans="1:7" x14ac:dyDescent="0.25">
      <c r="A59">
        <v>503100</v>
      </c>
      <c r="B59" t="s">
        <v>121</v>
      </c>
      <c r="G59" t="s">
        <v>122</v>
      </c>
    </row>
    <row r="60" spans="1:7" x14ac:dyDescent="0.25">
      <c r="A60">
        <v>503669</v>
      </c>
      <c r="B60" t="s">
        <v>123</v>
      </c>
      <c r="G60" t="s">
        <v>124</v>
      </c>
    </row>
    <row r="61" spans="1:7" x14ac:dyDescent="0.25">
      <c r="A61">
        <v>504067</v>
      </c>
      <c r="B61" t="s">
        <v>125</v>
      </c>
      <c r="G61" t="s">
        <v>126</v>
      </c>
    </row>
    <row r="62" spans="1:7" x14ac:dyDescent="0.25">
      <c r="A62">
        <v>504076</v>
      </c>
      <c r="B62" t="s">
        <v>127</v>
      </c>
      <c r="G62" t="s">
        <v>128</v>
      </c>
    </row>
    <row r="63" spans="1:7" x14ac:dyDescent="0.25">
      <c r="A63">
        <v>504176</v>
      </c>
      <c r="B63" t="s">
        <v>129</v>
      </c>
      <c r="G63" t="s">
        <v>130</v>
      </c>
    </row>
    <row r="64" spans="1:7" x14ac:dyDescent="0.25">
      <c r="A64">
        <v>504258</v>
      </c>
      <c r="B64" t="s">
        <v>131</v>
      </c>
      <c r="G64" t="s">
        <v>132</v>
      </c>
    </row>
    <row r="65" spans="1:7" x14ac:dyDescent="0.25">
      <c r="A65">
        <v>504286</v>
      </c>
      <c r="B65" t="s">
        <v>133</v>
      </c>
      <c r="G65" t="s">
        <v>134</v>
      </c>
    </row>
    <row r="66" spans="1:7" x14ac:dyDescent="0.25">
      <c r="A66">
        <v>504356</v>
      </c>
      <c r="B66" t="s">
        <v>135</v>
      </c>
      <c r="G66" t="s">
        <v>136</v>
      </c>
    </row>
    <row r="67" spans="1:7" x14ac:dyDescent="0.25">
      <c r="A67">
        <v>504392</v>
      </c>
      <c r="B67" t="s">
        <v>137</v>
      </c>
      <c r="G67" t="s">
        <v>138</v>
      </c>
    </row>
    <row r="68" spans="1:7" x14ac:dyDescent="0.25">
      <c r="A68">
        <v>504605</v>
      </c>
      <c r="B68" t="s">
        <v>139</v>
      </c>
      <c r="G68" t="s">
        <v>140</v>
      </c>
    </row>
    <row r="69" spans="1:7" x14ac:dyDescent="0.25">
      <c r="A69">
        <v>504648</v>
      </c>
      <c r="B69" t="s">
        <v>141</v>
      </c>
      <c r="G69" t="s">
        <v>142</v>
      </c>
    </row>
    <row r="70" spans="1:7" x14ac:dyDescent="0.25">
      <c r="A70">
        <v>505036</v>
      </c>
      <c r="B70" t="s">
        <v>143</v>
      </c>
      <c r="G70" t="s">
        <v>144</v>
      </c>
    </row>
    <row r="71" spans="1:7" x14ac:dyDescent="0.25">
      <c r="A71">
        <v>505100</v>
      </c>
      <c r="B71" t="s">
        <v>145</v>
      </c>
      <c r="G71" t="s">
        <v>146</v>
      </c>
    </row>
    <row r="72" spans="1:7" x14ac:dyDescent="0.25">
      <c r="A72">
        <v>505242</v>
      </c>
      <c r="B72" t="s">
        <v>147</v>
      </c>
      <c r="G72" t="s">
        <v>148</v>
      </c>
    </row>
    <row r="73" spans="1:7" x14ac:dyDescent="0.25">
      <c r="A73">
        <v>505285</v>
      </c>
      <c r="B73" t="s">
        <v>149</v>
      </c>
      <c r="G73" t="s">
        <v>150</v>
      </c>
    </row>
    <row r="74" spans="1:7" x14ac:dyDescent="0.25">
      <c r="A74">
        <v>505324</v>
      </c>
      <c r="B74" t="s">
        <v>151</v>
      </c>
      <c r="G74" t="s">
        <v>152</v>
      </c>
    </row>
    <row r="75" spans="1:7" x14ac:dyDescent="0.25">
      <c r="A75">
        <v>505355</v>
      </c>
      <c r="B75" t="s">
        <v>153</v>
      </c>
      <c r="G75" t="s">
        <v>154</v>
      </c>
    </row>
    <row r="76" spans="1:7" x14ac:dyDescent="0.25">
      <c r="A76">
        <v>505520</v>
      </c>
      <c r="B76" t="s">
        <v>155</v>
      </c>
      <c r="G76" t="s">
        <v>156</v>
      </c>
    </row>
    <row r="77" spans="1:7" x14ac:dyDescent="0.25">
      <c r="A77">
        <v>505850</v>
      </c>
      <c r="B77" t="s">
        <v>157</v>
      </c>
      <c r="G77" t="s">
        <v>158</v>
      </c>
    </row>
    <row r="78" spans="1:7" x14ac:dyDescent="0.25">
      <c r="A78">
        <v>506161</v>
      </c>
      <c r="B78" t="s">
        <v>159</v>
      </c>
      <c r="G78" t="s">
        <v>160</v>
      </c>
    </row>
    <row r="79" spans="1:7" x14ac:dyDescent="0.25">
      <c r="A79">
        <v>506196</v>
      </c>
      <c r="B79" t="s">
        <v>161</v>
      </c>
      <c r="G79" t="s">
        <v>162</v>
      </c>
    </row>
    <row r="80" spans="1:7" x14ac:dyDescent="0.25">
      <c r="A80">
        <v>506222</v>
      </c>
      <c r="B80" t="s">
        <v>163</v>
      </c>
      <c r="G80" t="s">
        <v>164</v>
      </c>
    </row>
    <row r="81" spans="1:7" x14ac:dyDescent="0.25">
      <c r="A81">
        <v>506260</v>
      </c>
      <c r="B81" t="s">
        <v>165</v>
      </c>
      <c r="G81" t="s">
        <v>166</v>
      </c>
    </row>
    <row r="82" spans="1:7" x14ac:dyDescent="0.25">
      <c r="A82">
        <v>506285</v>
      </c>
      <c r="B82" t="s">
        <v>167</v>
      </c>
      <c r="G82" t="s">
        <v>168</v>
      </c>
    </row>
    <row r="83" spans="1:7" x14ac:dyDescent="0.25">
      <c r="A83">
        <v>506390</v>
      </c>
      <c r="B83" t="s">
        <v>169</v>
      </c>
      <c r="G83" t="s">
        <v>170</v>
      </c>
    </row>
    <row r="84" spans="1:7" x14ac:dyDescent="0.25">
      <c r="A84">
        <v>506395</v>
      </c>
      <c r="B84" t="s">
        <v>171</v>
      </c>
      <c r="G84" t="s">
        <v>172</v>
      </c>
    </row>
    <row r="85" spans="1:7" x14ac:dyDescent="0.25">
      <c r="A85">
        <v>506405</v>
      </c>
      <c r="B85" t="s">
        <v>173</v>
      </c>
      <c r="G85" t="s">
        <v>174</v>
      </c>
    </row>
    <row r="86" spans="1:7" x14ac:dyDescent="0.25">
      <c r="A86">
        <v>506480</v>
      </c>
      <c r="B86" t="s">
        <v>175</v>
      </c>
      <c r="G86" t="s">
        <v>176</v>
      </c>
    </row>
    <row r="87" spans="1:7" x14ac:dyDescent="0.25">
      <c r="A87">
        <v>506520</v>
      </c>
      <c r="B87" t="s">
        <v>177</v>
      </c>
      <c r="G87" t="s">
        <v>178</v>
      </c>
    </row>
    <row r="88" spans="1:7" x14ac:dyDescent="0.25">
      <c r="A88">
        <v>506532</v>
      </c>
      <c r="B88" t="s">
        <v>179</v>
      </c>
      <c r="G88" t="s">
        <v>180</v>
      </c>
    </row>
    <row r="89" spans="1:7" x14ac:dyDescent="0.25">
      <c r="A89">
        <v>506808</v>
      </c>
      <c r="B89" t="s">
        <v>181</v>
      </c>
      <c r="G89" t="s">
        <v>182</v>
      </c>
    </row>
    <row r="90" spans="1:7" x14ac:dyDescent="0.25">
      <c r="A90">
        <v>507265</v>
      </c>
      <c r="B90" t="s">
        <v>183</v>
      </c>
      <c r="G90" t="s">
        <v>184</v>
      </c>
    </row>
    <row r="91" spans="1:7" x14ac:dyDescent="0.25">
      <c r="A91">
        <v>507300</v>
      </c>
      <c r="B91" t="s">
        <v>185</v>
      </c>
      <c r="G91" t="s">
        <v>186</v>
      </c>
    </row>
    <row r="92" spans="1:7" x14ac:dyDescent="0.25">
      <c r="A92">
        <v>507438</v>
      </c>
      <c r="B92" t="s">
        <v>187</v>
      </c>
      <c r="G92" t="s">
        <v>188</v>
      </c>
    </row>
    <row r="93" spans="1:7" x14ac:dyDescent="0.25">
      <c r="A93">
        <v>507960</v>
      </c>
      <c r="B93" t="s">
        <v>189</v>
      </c>
      <c r="G93" t="s">
        <v>190</v>
      </c>
    </row>
    <row r="94" spans="1:7" x14ac:dyDescent="0.25">
      <c r="A94">
        <v>508136</v>
      </c>
      <c r="B94" t="s">
        <v>191</v>
      </c>
      <c r="G94" t="s">
        <v>192</v>
      </c>
    </row>
    <row r="95" spans="1:7" x14ac:dyDescent="0.25">
      <c r="A95">
        <v>508906</v>
      </c>
      <c r="B95" t="s">
        <v>193</v>
      </c>
      <c r="G95" t="s">
        <v>194</v>
      </c>
    </row>
    <row r="96" spans="1:7" x14ac:dyDescent="0.25">
      <c r="A96">
        <v>508993</v>
      </c>
      <c r="B96" t="s">
        <v>195</v>
      </c>
      <c r="G96" t="s">
        <v>196</v>
      </c>
    </row>
    <row r="97" spans="1:7" x14ac:dyDescent="0.25">
      <c r="A97">
        <v>509077</v>
      </c>
      <c r="B97" t="s">
        <v>197</v>
      </c>
      <c r="G97" t="s">
        <v>198</v>
      </c>
    </row>
    <row r="98" spans="1:7" x14ac:dyDescent="0.25">
      <c r="A98">
        <v>509196</v>
      </c>
      <c r="B98" t="s">
        <v>199</v>
      </c>
      <c r="G98" t="s">
        <v>200</v>
      </c>
    </row>
    <row r="99" spans="1:7" x14ac:dyDescent="0.25">
      <c r="A99">
        <v>509423</v>
      </c>
      <c r="B99" t="s">
        <v>201</v>
      </c>
      <c r="G99" t="s">
        <v>202</v>
      </c>
    </row>
    <row r="100" spans="1:7" x14ac:dyDescent="0.25">
      <c r="A100">
        <v>509650</v>
      </c>
      <c r="B100" t="s">
        <v>203</v>
      </c>
      <c r="G100" t="s">
        <v>204</v>
      </c>
    </row>
    <row r="101" spans="1:7" x14ac:dyDescent="0.25">
      <c r="A101">
        <v>509760</v>
      </c>
      <c r="B101" t="s">
        <v>205</v>
      </c>
      <c r="G101" t="s">
        <v>206</v>
      </c>
    </row>
    <row r="102" spans="1:7" x14ac:dyDescent="0.25">
      <c r="A102">
        <v>509887</v>
      </c>
      <c r="B102" t="s">
        <v>207</v>
      </c>
      <c r="G102" t="s">
        <v>208</v>
      </c>
    </row>
    <row r="103" spans="1:7" x14ac:dyDescent="0.25">
      <c r="A103">
        <v>509966</v>
      </c>
      <c r="B103" t="s">
        <v>209</v>
      </c>
      <c r="G103" t="s">
        <v>210</v>
      </c>
    </row>
    <row r="104" spans="1:7" x14ac:dyDescent="0.25">
      <c r="A104">
        <v>510245</v>
      </c>
      <c r="B104" t="s">
        <v>211</v>
      </c>
      <c r="G104" t="s">
        <v>212</v>
      </c>
    </row>
    <row r="105" spans="1:7" x14ac:dyDescent="0.25">
      <c r="A105">
        <v>511066</v>
      </c>
      <c r="B105" t="s">
        <v>213</v>
      </c>
      <c r="G105" t="s">
        <v>214</v>
      </c>
    </row>
    <row r="106" spans="1:7" x14ac:dyDescent="0.25">
      <c r="A106">
        <v>511131</v>
      </c>
      <c r="B106" t="s">
        <v>215</v>
      </c>
      <c r="G106" t="s">
        <v>216</v>
      </c>
    </row>
    <row r="107" spans="1:7" x14ac:dyDescent="0.25">
      <c r="A107">
        <v>511147</v>
      </c>
      <c r="B107" t="s">
        <v>217</v>
      </c>
      <c r="G107" t="s">
        <v>218</v>
      </c>
    </row>
    <row r="108" spans="1:7" x14ac:dyDescent="0.25">
      <c r="A108">
        <v>511218</v>
      </c>
      <c r="B108" t="s">
        <v>219</v>
      </c>
      <c r="G108" t="s">
        <v>220</v>
      </c>
    </row>
    <row r="109" spans="1:7" x14ac:dyDescent="0.25">
      <c r="A109">
        <v>511243</v>
      </c>
      <c r="B109" t="s">
        <v>221</v>
      </c>
      <c r="G109" t="s">
        <v>222</v>
      </c>
    </row>
    <row r="110" spans="1:7" x14ac:dyDescent="0.25">
      <c r="A110">
        <v>511355</v>
      </c>
      <c r="B110" t="s">
        <v>223</v>
      </c>
      <c r="G110" t="s">
        <v>224</v>
      </c>
    </row>
    <row r="111" spans="1:7" x14ac:dyDescent="0.25">
      <c r="A111">
        <v>511389</v>
      </c>
      <c r="B111" t="s">
        <v>225</v>
      </c>
      <c r="G111" t="s">
        <v>226</v>
      </c>
    </row>
    <row r="112" spans="1:7" x14ac:dyDescent="0.25">
      <c r="A112">
        <v>511413</v>
      </c>
      <c r="B112" t="s">
        <v>227</v>
      </c>
      <c r="G112" t="s">
        <v>228</v>
      </c>
    </row>
    <row r="113" spans="1:7" x14ac:dyDescent="0.25">
      <c r="A113">
        <v>511431</v>
      </c>
      <c r="B113" t="s">
        <v>229</v>
      </c>
      <c r="G113" t="s">
        <v>230</v>
      </c>
    </row>
    <row r="114" spans="1:7" x14ac:dyDescent="0.25">
      <c r="A114">
        <v>511509</v>
      </c>
      <c r="B114" t="s">
        <v>231</v>
      </c>
      <c r="G114" t="s">
        <v>232</v>
      </c>
    </row>
    <row r="115" spans="1:7" x14ac:dyDescent="0.25">
      <c r="A115">
        <v>511593</v>
      </c>
      <c r="B115" t="s">
        <v>233</v>
      </c>
      <c r="G115" t="s">
        <v>234</v>
      </c>
    </row>
    <row r="116" spans="1:7" x14ac:dyDescent="0.25">
      <c r="A116">
        <v>511626</v>
      </c>
      <c r="B116" t="s">
        <v>235</v>
      </c>
      <c r="G116" t="s">
        <v>236</v>
      </c>
    </row>
    <row r="117" spans="1:7" x14ac:dyDescent="0.25">
      <c r="A117">
        <v>511672</v>
      </c>
      <c r="B117" t="s">
        <v>237</v>
      </c>
      <c r="G117" t="s">
        <v>238</v>
      </c>
    </row>
    <row r="118" spans="1:7" x14ac:dyDescent="0.25">
      <c r="A118">
        <v>511696</v>
      </c>
      <c r="B118" t="s">
        <v>239</v>
      </c>
      <c r="G118" t="s">
        <v>240</v>
      </c>
    </row>
    <row r="119" spans="1:7" x14ac:dyDescent="0.25">
      <c r="A119">
        <v>511700</v>
      </c>
      <c r="B119" t="s">
        <v>241</v>
      </c>
      <c r="G119" t="s">
        <v>242</v>
      </c>
    </row>
    <row r="120" spans="1:7" x14ac:dyDescent="0.25">
      <c r="A120">
        <v>511760</v>
      </c>
      <c r="B120" t="s">
        <v>243</v>
      </c>
      <c r="G120" t="s">
        <v>244</v>
      </c>
    </row>
    <row r="121" spans="1:7" x14ac:dyDescent="0.25">
      <c r="A121">
        <v>511768</v>
      </c>
      <c r="B121" t="s">
        <v>245</v>
      </c>
      <c r="G121" t="s">
        <v>246</v>
      </c>
    </row>
    <row r="122" spans="1:7" x14ac:dyDescent="0.25">
      <c r="A122">
        <v>512008</v>
      </c>
      <c r="B122" t="s">
        <v>247</v>
      </c>
      <c r="G122" t="s">
        <v>248</v>
      </c>
    </row>
    <row r="123" spans="1:7" x14ac:dyDescent="0.25">
      <c r="A123">
        <v>512018</v>
      </c>
      <c r="B123" t="s">
        <v>249</v>
      </c>
      <c r="G123" t="s">
        <v>250</v>
      </c>
    </row>
    <row r="124" spans="1:7" x14ac:dyDescent="0.25">
      <c r="A124">
        <v>512070</v>
      </c>
      <c r="B124" t="s">
        <v>251</v>
      </c>
      <c r="G124" t="s">
        <v>252</v>
      </c>
    </row>
    <row r="125" spans="1:7" x14ac:dyDescent="0.25">
      <c r="A125">
        <v>512101</v>
      </c>
      <c r="B125" t="s">
        <v>253</v>
      </c>
      <c r="G125" t="s">
        <v>254</v>
      </c>
    </row>
    <row r="126" spans="1:7" x14ac:dyDescent="0.25">
      <c r="A126">
        <v>512115</v>
      </c>
      <c r="B126" t="s">
        <v>255</v>
      </c>
      <c r="G126" t="s">
        <v>256</v>
      </c>
    </row>
    <row r="127" spans="1:7" x14ac:dyDescent="0.25">
      <c r="A127">
        <v>512161</v>
      </c>
      <c r="B127" t="s">
        <v>257</v>
      </c>
      <c r="G127" t="s">
        <v>258</v>
      </c>
    </row>
    <row r="128" spans="1:7" x14ac:dyDescent="0.25">
      <c r="A128">
        <v>512197</v>
      </c>
      <c r="B128" t="s">
        <v>259</v>
      </c>
      <c r="G128" t="s">
        <v>260</v>
      </c>
    </row>
    <row r="129" spans="1:7" x14ac:dyDescent="0.25">
      <c r="A129">
        <v>512215</v>
      </c>
      <c r="B129" t="s">
        <v>261</v>
      </c>
      <c r="G129" t="s">
        <v>262</v>
      </c>
    </row>
    <row r="130" spans="1:7" x14ac:dyDescent="0.25">
      <c r="A130">
        <v>512247</v>
      </c>
      <c r="B130" t="s">
        <v>263</v>
      </c>
      <c r="G130" t="s">
        <v>264</v>
      </c>
    </row>
    <row r="131" spans="1:7" x14ac:dyDescent="0.25">
      <c r="A131">
        <v>512265</v>
      </c>
      <c r="B131" t="s">
        <v>265</v>
      </c>
      <c r="G131" t="s">
        <v>266</v>
      </c>
    </row>
    <row r="132" spans="1:7" x14ac:dyDescent="0.25">
      <c r="A132">
        <v>512279</v>
      </c>
      <c r="B132" t="s">
        <v>267</v>
      </c>
      <c r="G132" t="s">
        <v>268</v>
      </c>
    </row>
    <row r="133" spans="1:7" x14ac:dyDescent="0.25">
      <c r="A133">
        <v>512289</v>
      </c>
      <c r="B133" t="s">
        <v>269</v>
      </c>
      <c r="G133" t="s">
        <v>270</v>
      </c>
    </row>
    <row r="134" spans="1:7" x14ac:dyDescent="0.25">
      <c r="A134">
        <v>512399</v>
      </c>
      <c r="B134" t="s">
        <v>271</v>
      </c>
      <c r="G134" t="s">
        <v>272</v>
      </c>
    </row>
    <row r="135" spans="1:7" x14ac:dyDescent="0.25">
      <c r="A135">
        <v>512408</v>
      </c>
      <c r="B135" t="s">
        <v>273</v>
      </c>
      <c r="G135" t="s">
        <v>274</v>
      </c>
    </row>
    <row r="136" spans="1:7" x14ac:dyDescent="0.25">
      <c r="A136">
        <v>512477</v>
      </c>
      <c r="B136" t="s">
        <v>275</v>
      </c>
      <c r="G136" t="s">
        <v>276</v>
      </c>
    </row>
    <row r="137" spans="1:7" x14ac:dyDescent="0.25">
      <c r="A137">
        <v>512511</v>
      </c>
      <c r="B137" t="s">
        <v>277</v>
      </c>
      <c r="G137" t="s">
        <v>278</v>
      </c>
    </row>
    <row r="138" spans="1:7" x14ac:dyDescent="0.25">
      <c r="A138">
        <v>512573</v>
      </c>
      <c r="B138" t="s">
        <v>279</v>
      </c>
      <c r="G138" t="s">
        <v>280</v>
      </c>
    </row>
    <row r="139" spans="1:7" x14ac:dyDescent="0.25">
      <c r="A139">
        <v>512599</v>
      </c>
      <c r="B139" t="s">
        <v>281</v>
      </c>
      <c r="G139" t="s">
        <v>282</v>
      </c>
    </row>
    <row r="140" spans="1:7" x14ac:dyDescent="0.25">
      <c r="A140">
        <v>512634</v>
      </c>
      <c r="B140" t="s">
        <v>283</v>
      </c>
      <c r="G140" t="s">
        <v>284</v>
      </c>
    </row>
    <row r="141" spans="1:7" x14ac:dyDescent="0.25">
      <c r="A141">
        <v>513119</v>
      </c>
      <c r="B141" t="s">
        <v>285</v>
      </c>
      <c r="G141" t="s">
        <v>286</v>
      </c>
    </row>
    <row r="142" spans="1:7" x14ac:dyDescent="0.25">
      <c r="A142">
        <v>513149</v>
      </c>
      <c r="B142" t="s">
        <v>287</v>
      </c>
      <c r="G142" t="s">
        <v>288</v>
      </c>
    </row>
    <row r="143" spans="1:7" x14ac:dyDescent="0.25">
      <c r="A143">
        <v>513179</v>
      </c>
      <c r="B143" t="s">
        <v>289</v>
      </c>
      <c r="G143" t="s">
        <v>290</v>
      </c>
    </row>
    <row r="144" spans="1:7" x14ac:dyDescent="0.25">
      <c r="A144">
        <v>513216</v>
      </c>
      <c r="B144" t="s">
        <v>291</v>
      </c>
      <c r="G144" t="s">
        <v>292</v>
      </c>
    </row>
    <row r="145" spans="1:7" x14ac:dyDescent="0.25">
      <c r="A145">
        <v>513228</v>
      </c>
      <c r="B145" t="s">
        <v>293</v>
      </c>
      <c r="G145" t="s">
        <v>294</v>
      </c>
    </row>
    <row r="146" spans="1:7" x14ac:dyDescent="0.25">
      <c r="A146">
        <v>513250</v>
      </c>
      <c r="B146" t="s">
        <v>295</v>
      </c>
      <c r="G146" t="s">
        <v>296</v>
      </c>
    </row>
    <row r="147" spans="1:7" x14ac:dyDescent="0.25">
      <c r="A147">
        <v>513262</v>
      </c>
      <c r="B147" t="s">
        <v>297</v>
      </c>
      <c r="G147" t="s">
        <v>298</v>
      </c>
    </row>
    <row r="148" spans="1:7" x14ac:dyDescent="0.25">
      <c r="A148">
        <v>513269</v>
      </c>
      <c r="B148" t="s">
        <v>299</v>
      </c>
      <c r="G148" t="s">
        <v>300</v>
      </c>
    </row>
    <row r="149" spans="1:7" x14ac:dyDescent="0.25">
      <c r="A149">
        <v>513295</v>
      </c>
      <c r="B149" t="s">
        <v>301</v>
      </c>
      <c r="G149" t="s">
        <v>302</v>
      </c>
    </row>
    <row r="150" spans="1:7" x14ac:dyDescent="0.25">
      <c r="A150">
        <v>513307</v>
      </c>
      <c r="B150" t="s">
        <v>303</v>
      </c>
      <c r="G150" t="s">
        <v>304</v>
      </c>
    </row>
    <row r="151" spans="1:7" x14ac:dyDescent="0.25">
      <c r="A151">
        <v>513335</v>
      </c>
      <c r="B151" t="s">
        <v>305</v>
      </c>
      <c r="G151" t="s">
        <v>306</v>
      </c>
    </row>
    <row r="152" spans="1:7" x14ac:dyDescent="0.25">
      <c r="A152">
        <v>513353</v>
      </c>
      <c r="B152" t="s">
        <v>307</v>
      </c>
      <c r="G152" t="s">
        <v>308</v>
      </c>
    </row>
    <row r="153" spans="1:7" x14ac:dyDescent="0.25">
      <c r="A153">
        <v>513361</v>
      </c>
      <c r="B153" t="s">
        <v>309</v>
      </c>
      <c r="G153" t="s">
        <v>310</v>
      </c>
    </row>
    <row r="154" spans="1:7" x14ac:dyDescent="0.25">
      <c r="A154">
        <v>513397</v>
      </c>
      <c r="B154" t="s">
        <v>311</v>
      </c>
      <c r="G154" t="s">
        <v>312</v>
      </c>
    </row>
    <row r="155" spans="1:7" x14ac:dyDescent="0.25">
      <c r="A155">
        <v>513401</v>
      </c>
      <c r="B155" t="s">
        <v>313</v>
      </c>
      <c r="G155" t="s">
        <v>314</v>
      </c>
    </row>
    <row r="156" spans="1:7" x14ac:dyDescent="0.25">
      <c r="A156">
        <v>513403</v>
      </c>
      <c r="B156" t="s">
        <v>315</v>
      </c>
      <c r="G156" t="s">
        <v>316</v>
      </c>
    </row>
    <row r="157" spans="1:7" x14ac:dyDescent="0.25">
      <c r="A157">
        <v>513430</v>
      </c>
      <c r="B157" t="s">
        <v>317</v>
      </c>
      <c r="G157" t="s">
        <v>318</v>
      </c>
    </row>
    <row r="158" spans="1:7" x14ac:dyDescent="0.25">
      <c r="A158">
        <v>513456</v>
      </c>
      <c r="B158" t="s">
        <v>319</v>
      </c>
      <c r="G158" t="s">
        <v>320</v>
      </c>
    </row>
    <row r="159" spans="1:7" x14ac:dyDescent="0.25">
      <c r="A159">
        <v>513472</v>
      </c>
      <c r="B159" t="s">
        <v>321</v>
      </c>
      <c r="G159" t="s">
        <v>322</v>
      </c>
    </row>
    <row r="160" spans="1:7" x14ac:dyDescent="0.25">
      <c r="A160">
        <v>513488</v>
      </c>
      <c r="B160" t="s">
        <v>323</v>
      </c>
      <c r="G160" t="s">
        <v>324</v>
      </c>
    </row>
    <row r="161" spans="1:7" x14ac:dyDescent="0.25">
      <c r="A161">
        <v>513513</v>
      </c>
      <c r="B161" t="s">
        <v>325</v>
      </c>
      <c r="G161" t="s">
        <v>326</v>
      </c>
    </row>
    <row r="162" spans="1:7" x14ac:dyDescent="0.25">
      <c r="A162">
        <v>513528</v>
      </c>
      <c r="B162" t="s">
        <v>327</v>
      </c>
      <c r="G162" t="s">
        <v>328</v>
      </c>
    </row>
    <row r="163" spans="1:7" x14ac:dyDescent="0.25">
      <c r="A163">
        <v>513540</v>
      </c>
      <c r="B163" t="s">
        <v>329</v>
      </c>
      <c r="G163" t="s">
        <v>330</v>
      </c>
    </row>
    <row r="164" spans="1:7" x14ac:dyDescent="0.25">
      <c r="A164">
        <v>513548</v>
      </c>
      <c r="B164" t="s">
        <v>331</v>
      </c>
      <c r="G164" t="s">
        <v>332</v>
      </c>
    </row>
    <row r="165" spans="1:7" x14ac:dyDescent="0.25">
      <c r="A165">
        <v>513599</v>
      </c>
      <c r="B165" t="s">
        <v>333</v>
      </c>
      <c r="G165" t="s">
        <v>334</v>
      </c>
    </row>
    <row r="166" spans="1:7" x14ac:dyDescent="0.25">
      <c r="A166">
        <v>514010</v>
      </c>
      <c r="B166" t="s">
        <v>335</v>
      </c>
      <c r="G166" t="s">
        <v>336</v>
      </c>
    </row>
    <row r="167" spans="1:7" x14ac:dyDescent="0.25">
      <c r="A167">
        <v>514028</v>
      </c>
      <c r="B167" t="s">
        <v>337</v>
      </c>
      <c r="G167" t="s">
        <v>338</v>
      </c>
    </row>
    <row r="168" spans="1:7" x14ac:dyDescent="0.25">
      <c r="A168">
        <v>514060</v>
      </c>
      <c r="B168" t="s">
        <v>339</v>
      </c>
      <c r="G168" t="s">
        <v>340</v>
      </c>
    </row>
    <row r="169" spans="1:7" x14ac:dyDescent="0.25">
      <c r="A169">
        <v>514118</v>
      </c>
      <c r="B169" t="s">
        <v>341</v>
      </c>
      <c r="G169" t="s">
        <v>342</v>
      </c>
    </row>
    <row r="170" spans="1:7" x14ac:dyDescent="0.25">
      <c r="A170">
        <v>514128</v>
      </c>
      <c r="B170" t="s">
        <v>343</v>
      </c>
      <c r="G170" t="s">
        <v>344</v>
      </c>
    </row>
    <row r="171" spans="1:7" x14ac:dyDescent="0.25">
      <c r="A171">
        <v>514167</v>
      </c>
      <c r="B171" t="s">
        <v>345</v>
      </c>
      <c r="G171" t="s">
        <v>346</v>
      </c>
    </row>
    <row r="172" spans="1:7" x14ac:dyDescent="0.25">
      <c r="A172">
        <v>514175</v>
      </c>
      <c r="B172" t="s">
        <v>347</v>
      </c>
      <c r="G172" t="s">
        <v>348</v>
      </c>
    </row>
    <row r="173" spans="1:7" x14ac:dyDescent="0.25">
      <c r="A173">
        <v>514183</v>
      </c>
      <c r="B173" t="s">
        <v>349</v>
      </c>
      <c r="G173" t="s">
        <v>350</v>
      </c>
    </row>
    <row r="174" spans="1:7" x14ac:dyDescent="0.25">
      <c r="A174">
        <v>514215</v>
      </c>
      <c r="B174" t="s">
        <v>351</v>
      </c>
      <c r="G174" t="s">
        <v>352</v>
      </c>
    </row>
    <row r="175" spans="1:7" x14ac:dyDescent="0.25">
      <c r="A175">
        <v>514238</v>
      </c>
      <c r="B175" t="s">
        <v>353</v>
      </c>
      <c r="G175" t="s">
        <v>354</v>
      </c>
    </row>
    <row r="176" spans="1:7" x14ac:dyDescent="0.25">
      <c r="A176">
        <v>514274</v>
      </c>
      <c r="B176" t="s">
        <v>355</v>
      </c>
      <c r="G176" t="s">
        <v>356</v>
      </c>
    </row>
    <row r="177" spans="1:7" x14ac:dyDescent="0.25">
      <c r="A177">
        <v>514286</v>
      </c>
      <c r="B177" t="s">
        <v>357</v>
      </c>
      <c r="G177" t="s">
        <v>358</v>
      </c>
    </row>
    <row r="178" spans="1:7" x14ac:dyDescent="0.25">
      <c r="A178">
        <v>514302</v>
      </c>
      <c r="B178" t="s">
        <v>359</v>
      </c>
      <c r="G178" t="s">
        <v>360</v>
      </c>
    </row>
    <row r="179" spans="1:7" x14ac:dyDescent="0.25">
      <c r="A179">
        <v>514312</v>
      </c>
      <c r="B179" t="s">
        <v>361</v>
      </c>
      <c r="G179" t="s">
        <v>362</v>
      </c>
    </row>
    <row r="180" spans="1:7" x14ac:dyDescent="0.25">
      <c r="A180">
        <v>514318</v>
      </c>
      <c r="B180" t="s">
        <v>363</v>
      </c>
      <c r="G180" t="s">
        <v>364</v>
      </c>
    </row>
    <row r="181" spans="1:7" x14ac:dyDescent="0.25">
      <c r="A181">
        <v>514326</v>
      </c>
      <c r="B181" t="s">
        <v>365</v>
      </c>
      <c r="G181" t="s">
        <v>366</v>
      </c>
    </row>
    <row r="182" spans="1:7" x14ac:dyDescent="0.25">
      <c r="A182">
        <v>514336</v>
      </c>
      <c r="B182" t="s">
        <v>367</v>
      </c>
      <c r="G182" t="s">
        <v>368</v>
      </c>
    </row>
    <row r="183" spans="1:7" x14ac:dyDescent="0.25">
      <c r="A183">
        <v>514360</v>
      </c>
      <c r="B183" t="s">
        <v>369</v>
      </c>
      <c r="G183" t="s">
        <v>370</v>
      </c>
    </row>
    <row r="184" spans="1:7" x14ac:dyDescent="0.25">
      <c r="A184">
        <v>514378</v>
      </c>
      <c r="B184" t="s">
        <v>371</v>
      </c>
      <c r="G184" t="s">
        <v>372</v>
      </c>
    </row>
    <row r="185" spans="1:7" x14ac:dyDescent="0.25">
      <c r="A185">
        <v>514400</v>
      </c>
      <c r="B185" t="s">
        <v>373</v>
      </c>
      <c r="G185" t="s">
        <v>374</v>
      </c>
    </row>
    <row r="186" spans="1:7" x14ac:dyDescent="0.25">
      <c r="A186">
        <v>514402</v>
      </c>
      <c r="B186" t="s">
        <v>375</v>
      </c>
      <c r="G186" t="s">
        <v>376</v>
      </c>
    </row>
    <row r="187" spans="1:7" x14ac:dyDescent="0.25">
      <c r="A187">
        <v>514412</v>
      </c>
      <c r="B187" t="s">
        <v>377</v>
      </c>
      <c r="G187" t="s">
        <v>378</v>
      </c>
    </row>
    <row r="188" spans="1:7" x14ac:dyDescent="0.25">
      <c r="A188">
        <v>514428</v>
      </c>
      <c r="B188" t="s">
        <v>379</v>
      </c>
      <c r="G188" t="s">
        <v>380</v>
      </c>
    </row>
    <row r="189" spans="1:7" x14ac:dyDescent="0.25">
      <c r="A189">
        <v>514448</v>
      </c>
      <c r="B189" t="s">
        <v>381</v>
      </c>
      <c r="G189" t="s">
        <v>382</v>
      </c>
    </row>
    <row r="190" spans="1:7" x14ac:dyDescent="0.25">
      <c r="A190">
        <v>514460</v>
      </c>
      <c r="B190" t="s">
        <v>383</v>
      </c>
      <c r="G190" t="s">
        <v>384</v>
      </c>
    </row>
    <row r="191" spans="1:7" x14ac:dyDescent="0.25">
      <c r="A191">
        <v>514470</v>
      </c>
      <c r="B191" t="s">
        <v>385</v>
      </c>
      <c r="G191" t="s">
        <v>386</v>
      </c>
    </row>
    <row r="192" spans="1:7" x14ac:dyDescent="0.25">
      <c r="A192">
        <v>515127</v>
      </c>
      <c r="B192" t="s">
        <v>387</v>
      </c>
      <c r="G192" t="s">
        <v>388</v>
      </c>
    </row>
    <row r="193" spans="1:7" x14ac:dyDescent="0.25">
      <c r="A193">
        <v>515145</v>
      </c>
      <c r="B193" t="s">
        <v>389</v>
      </c>
      <c r="G193" t="s">
        <v>390</v>
      </c>
    </row>
    <row r="194" spans="1:7" x14ac:dyDescent="0.25">
      <c r="A194">
        <v>515147</v>
      </c>
      <c r="B194" t="s">
        <v>391</v>
      </c>
      <c r="G194" t="s">
        <v>392</v>
      </c>
    </row>
    <row r="195" spans="1:7" x14ac:dyDescent="0.25">
      <c r="A195">
        <v>516003</v>
      </c>
      <c r="B195" t="s">
        <v>393</v>
      </c>
      <c r="G195" t="s">
        <v>394</v>
      </c>
    </row>
    <row r="196" spans="1:7" x14ac:dyDescent="0.25">
      <c r="A196">
        <v>516016</v>
      </c>
      <c r="B196" t="s">
        <v>395</v>
      </c>
      <c r="G196" t="s">
        <v>396</v>
      </c>
    </row>
    <row r="197" spans="1:7" x14ac:dyDescent="0.25">
      <c r="A197">
        <v>516020</v>
      </c>
      <c r="B197" t="s">
        <v>397</v>
      </c>
      <c r="G197" t="s">
        <v>398</v>
      </c>
    </row>
    <row r="198" spans="1:7" x14ac:dyDescent="0.25">
      <c r="A198">
        <v>516032</v>
      </c>
      <c r="B198" t="s">
        <v>399</v>
      </c>
      <c r="G198" t="s">
        <v>400</v>
      </c>
    </row>
    <row r="199" spans="1:7" x14ac:dyDescent="0.25">
      <c r="A199">
        <v>516038</v>
      </c>
      <c r="B199" t="s">
        <v>401</v>
      </c>
      <c r="G199" t="s">
        <v>402</v>
      </c>
    </row>
    <row r="200" spans="1:7" x14ac:dyDescent="0.25">
      <c r="A200">
        <v>516098</v>
      </c>
      <c r="B200" t="s">
        <v>403</v>
      </c>
      <c r="G200" t="s">
        <v>404</v>
      </c>
    </row>
    <row r="201" spans="1:7" x14ac:dyDescent="0.25">
      <c r="A201">
        <v>516108</v>
      </c>
      <c r="B201" t="s">
        <v>405</v>
      </c>
      <c r="G201" t="s">
        <v>406</v>
      </c>
    </row>
    <row r="202" spans="1:7" x14ac:dyDescent="0.25">
      <c r="A202">
        <v>516110</v>
      </c>
      <c r="B202" t="s">
        <v>407</v>
      </c>
      <c r="G202" t="s">
        <v>408</v>
      </c>
    </row>
    <row r="203" spans="1:7" x14ac:dyDescent="0.25">
      <c r="A203">
        <v>517044</v>
      </c>
      <c r="B203" t="s">
        <v>409</v>
      </c>
      <c r="G203" t="s">
        <v>410</v>
      </c>
    </row>
    <row r="204" spans="1:7" x14ac:dyDescent="0.25">
      <c r="A204">
        <v>517146</v>
      </c>
      <c r="B204" t="s">
        <v>411</v>
      </c>
      <c r="G204" t="s">
        <v>412</v>
      </c>
    </row>
    <row r="205" spans="1:7" x14ac:dyDescent="0.25">
      <c r="A205">
        <v>517230</v>
      </c>
      <c r="B205" t="s">
        <v>413</v>
      </c>
      <c r="G205" t="s">
        <v>414</v>
      </c>
    </row>
    <row r="206" spans="1:7" x14ac:dyDescent="0.25">
      <c r="A206">
        <v>517246</v>
      </c>
      <c r="B206" t="s">
        <v>415</v>
      </c>
      <c r="G206" t="s">
        <v>416</v>
      </c>
    </row>
    <row r="207" spans="1:7" x14ac:dyDescent="0.25">
      <c r="A207">
        <v>517271</v>
      </c>
      <c r="B207" t="s">
        <v>417</v>
      </c>
      <c r="G207" t="s">
        <v>418</v>
      </c>
    </row>
    <row r="208" spans="1:7" x14ac:dyDescent="0.25">
      <c r="A208">
        <v>517380</v>
      </c>
      <c r="B208" t="s">
        <v>419</v>
      </c>
      <c r="G208" t="s">
        <v>420</v>
      </c>
    </row>
    <row r="209" spans="1:7" x14ac:dyDescent="0.25">
      <c r="A209">
        <v>517385</v>
      </c>
      <c r="B209" t="s">
        <v>421</v>
      </c>
      <c r="G209" t="s">
        <v>422</v>
      </c>
    </row>
    <row r="210" spans="1:7" x14ac:dyDescent="0.25">
      <c r="A210">
        <v>517399</v>
      </c>
      <c r="B210" t="s">
        <v>423</v>
      </c>
      <c r="G210" t="s">
        <v>424</v>
      </c>
    </row>
    <row r="211" spans="1:7" x14ac:dyDescent="0.25">
      <c r="A211">
        <v>517421</v>
      </c>
      <c r="B211" t="s">
        <v>425</v>
      </c>
      <c r="G211" t="s">
        <v>426</v>
      </c>
    </row>
    <row r="212" spans="1:7" x14ac:dyDescent="0.25">
      <c r="A212">
        <v>517467</v>
      </c>
      <c r="B212" t="s">
        <v>427</v>
      </c>
      <c r="G212" t="s">
        <v>428</v>
      </c>
    </row>
    <row r="213" spans="1:7" x14ac:dyDescent="0.25">
      <c r="A213">
        <v>517506</v>
      </c>
      <c r="B213" t="s">
        <v>429</v>
      </c>
      <c r="G213" t="s">
        <v>430</v>
      </c>
    </row>
    <row r="214" spans="1:7" x14ac:dyDescent="0.25">
      <c r="A214">
        <v>517530</v>
      </c>
      <c r="B214" t="s">
        <v>431</v>
      </c>
      <c r="G214" t="s">
        <v>432</v>
      </c>
    </row>
    <row r="215" spans="1:7" x14ac:dyDescent="0.25">
      <c r="A215">
        <v>517546</v>
      </c>
      <c r="B215" t="s">
        <v>433</v>
      </c>
      <c r="G215" t="s">
        <v>434</v>
      </c>
    </row>
    <row r="216" spans="1:7" x14ac:dyDescent="0.25">
      <c r="A216">
        <v>517548</v>
      </c>
      <c r="B216" t="s">
        <v>435</v>
      </c>
      <c r="G216" t="s">
        <v>436</v>
      </c>
    </row>
    <row r="217" spans="1:7" x14ac:dyDescent="0.25">
      <c r="A217">
        <v>517562</v>
      </c>
      <c r="B217" t="s">
        <v>437</v>
      </c>
      <c r="G217" t="s">
        <v>438</v>
      </c>
    </row>
    <row r="218" spans="1:7" x14ac:dyDescent="0.25">
      <c r="A218">
        <v>517569</v>
      </c>
      <c r="B218" t="s">
        <v>439</v>
      </c>
      <c r="G218" t="s">
        <v>440</v>
      </c>
    </row>
    <row r="219" spans="1:7" x14ac:dyDescent="0.25">
      <c r="A219">
        <v>517571</v>
      </c>
      <c r="B219" t="s">
        <v>441</v>
      </c>
      <c r="G219" t="s">
        <v>442</v>
      </c>
    </row>
    <row r="220" spans="1:7" x14ac:dyDescent="0.25">
      <c r="A220">
        <v>517973</v>
      </c>
      <c r="B220" t="s">
        <v>443</v>
      </c>
      <c r="G220" t="s">
        <v>444</v>
      </c>
    </row>
    <row r="221" spans="1:7" x14ac:dyDescent="0.25">
      <c r="A221">
        <v>518011</v>
      </c>
      <c r="B221" t="s">
        <v>445</v>
      </c>
      <c r="G221" t="s">
        <v>446</v>
      </c>
    </row>
    <row r="222" spans="1:7" x14ac:dyDescent="0.25">
      <c r="A222">
        <v>518017</v>
      </c>
      <c r="B222" t="s">
        <v>447</v>
      </c>
      <c r="G222" t="s">
        <v>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80"/>
  <sheetViews>
    <sheetView workbookViewId="0"/>
  </sheetViews>
  <sheetFormatPr defaultRowHeight="15" x14ac:dyDescent="0.25"/>
  <cols>
    <col min="2" max="2" width="21.140625" customWidth="1"/>
    <col min="3" max="3" width="44.5703125" bestFit="1" customWidth="1"/>
    <col min="4" max="4" width="13.42578125" bestFit="1" customWidth="1"/>
    <col min="5" max="5" width="20.140625" bestFit="1" customWidth="1"/>
    <col min="6" max="6" width="9.5703125" customWidth="1"/>
    <col min="7" max="7" width="54.7109375" bestFit="1" customWidth="1"/>
    <col min="8" max="9" width="12" bestFit="1" customWidth="1"/>
    <col min="10" max="10" width="15.42578125" bestFit="1" customWidth="1"/>
    <col min="11" max="11" width="15" bestFit="1" customWidth="1"/>
    <col min="12" max="12" width="16" customWidth="1"/>
  </cols>
  <sheetData>
    <row r="1" spans="1:20" x14ac:dyDescent="0.25">
      <c r="A1" s="1" t="s">
        <v>449</v>
      </c>
      <c r="B1" s="1" t="s">
        <v>0</v>
      </c>
      <c r="C1" s="1" t="s">
        <v>1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t="s">
        <v>461</v>
      </c>
      <c r="P1" t="s">
        <v>3</v>
      </c>
      <c r="Q1" t="s">
        <v>4</v>
      </c>
      <c r="R1" t="s">
        <v>462</v>
      </c>
      <c r="S1" t="s">
        <v>463</v>
      </c>
      <c r="T1" t="s">
        <v>464</v>
      </c>
    </row>
    <row r="2" spans="1:20" x14ac:dyDescent="0.25">
      <c r="A2">
        <v>4</v>
      </c>
      <c r="B2">
        <v>500008</v>
      </c>
      <c r="C2" t="s">
        <v>7</v>
      </c>
      <c r="D2">
        <v>2015</v>
      </c>
      <c r="E2">
        <v>874.45001220703125</v>
      </c>
      <c r="G2" t="s">
        <v>465</v>
      </c>
      <c r="H2">
        <v>1132</v>
      </c>
      <c r="I2">
        <v>778</v>
      </c>
      <c r="L2" t="s">
        <v>466</v>
      </c>
      <c r="O2">
        <v>882.5</v>
      </c>
      <c r="P2">
        <v>1057.8499999999999</v>
      </c>
      <c r="Q2">
        <v>670</v>
      </c>
      <c r="R2" s="2" t="s">
        <v>467</v>
      </c>
      <c r="S2">
        <v>882.5</v>
      </c>
      <c r="T2" t="s">
        <v>468</v>
      </c>
    </row>
    <row r="3" spans="1:20" x14ac:dyDescent="0.25">
      <c r="A3">
        <v>4</v>
      </c>
      <c r="B3">
        <v>500008</v>
      </c>
      <c r="C3" t="s">
        <v>7</v>
      </c>
      <c r="D3">
        <v>2016</v>
      </c>
      <c r="E3">
        <v>874.45001220703125</v>
      </c>
      <c r="G3" t="s">
        <v>465</v>
      </c>
      <c r="H3">
        <v>1077</v>
      </c>
      <c r="I3">
        <v>773.05</v>
      </c>
      <c r="L3" t="s">
        <v>466</v>
      </c>
      <c r="O3">
        <v>882.5</v>
      </c>
      <c r="P3">
        <v>1057.8499999999999</v>
      </c>
      <c r="Q3">
        <v>670</v>
      </c>
      <c r="R3" s="2" t="s">
        <v>467</v>
      </c>
      <c r="S3">
        <v>882.5</v>
      </c>
      <c r="T3" t="s">
        <v>468</v>
      </c>
    </row>
    <row r="4" spans="1:20" x14ac:dyDescent="0.25">
      <c r="A4">
        <v>4</v>
      </c>
      <c r="B4">
        <v>500008</v>
      </c>
      <c r="C4" t="s">
        <v>7</v>
      </c>
      <c r="D4">
        <v>2017</v>
      </c>
      <c r="E4">
        <v>874.45001220703125</v>
      </c>
      <c r="G4" t="s">
        <v>465</v>
      </c>
      <c r="H4">
        <v>954.54998779296875</v>
      </c>
      <c r="I4">
        <v>665.45001220703125</v>
      </c>
      <c r="L4" t="s">
        <v>466</v>
      </c>
      <c r="O4">
        <v>882.5</v>
      </c>
      <c r="P4">
        <v>1057.8499999999999</v>
      </c>
      <c r="Q4">
        <v>670</v>
      </c>
      <c r="R4" s="2" t="s">
        <v>467</v>
      </c>
      <c r="S4">
        <v>882.5</v>
      </c>
      <c r="T4" t="s">
        <v>468</v>
      </c>
    </row>
    <row r="5" spans="1:20" x14ac:dyDescent="0.25">
      <c r="A5">
        <v>4</v>
      </c>
      <c r="B5">
        <v>500008</v>
      </c>
      <c r="C5" t="s">
        <v>7</v>
      </c>
      <c r="D5">
        <v>2018</v>
      </c>
      <c r="E5">
        <v>874.45001220703125</v>
      </c>
      <c r="G5" t="s">
        <v>465</v>
      </c>
      <c r="H5">
        <v>907.75</v>
      </c>
      <c r="I5">
        <v>670.6500244140625</v>
      </c>
      <c r="L5" t="s">
        <v>466</v>
      </c>
      <c r="O5">
        <v>882.5</v>
      </c>
      <c r="P5">
        <v>1057.8499999999999</v>
      </c>
      <c r="Q5">
        <v>670</v>
      </c>
      <c r="R5" s="2" t="s">
        <v>467</v>
      </c>
      <c r="S5">
        <v>882.5</v>
      </c>
      <c r="T5" t="s">
        <v>468</v>
      </c>
    </row>
    <row r="6" spans="1:20" x14ac:dyDescent="0.25">
      <c r="A6">
        <v>4</v>
      </c>
      <c r="B6">
        <v>500008</v>
      </c>
      <c r="C6" t="s">
        <v>7</v>
      </c>
      <c r="D6">
        <v>2019</v>
      </c>
      <c r="E6">
        <v>874.45001220703125</v>
      </c>
      <c r="F6">
        <v>28.29</v>
      </c>
      <c r="G6" t="s">
        <v>465</v>
      </c>
      <c r="H6">
        <v>796</v>
      </c>
      <c r="I6">
        <v>572.5999755859375</v>
      </c>
      <c r="L6" t="s">
        <v>469</v>
      </c>
      <c r="M6">
        <v>28.137150936726758</v>
      </c>
      <c r="N6">
        <v>20.240366758074849</v>
      </c>
      <c r="O6">
        <v>882.5</v>
      </c>
      <c r="P6">
        <v>1057.8499999999999</v>
      </c>
      <c r="Q6">
        <v>670</v>
      </c>
      <c r="R6" s="2" t="s">
        <v>467</v>
      </c>
      <c r="S6">
        <v>882.5</v>
      </c>
      <c r="T6" t="s">
        <v>468</v>
      </c>
    </row>
    <row r="7" spans="1:20" x14ac:dyDescent="0.25">
      <c r="A7">
        <v>4</v>
      </c>
      <c r="B7">
        <v>500008</v>
      </c>
      <c r="C7" t="s">
        <v>7</v>
      </c>
      <c r="D7">
        <v>2020</v>
      </c>
      <c r="E7">
        <v>874.45001220703125</v>
      </c>
      <c r="F7">
        <v>38.69</v>
      </c>
      <c r="G7" t="s">
        <v>465</v>
      </c>
      <c r="H7">
        <v>963.95001220703125</v>
      </c>
      <c r="I7">
        <v>350.25</v>
      </c>
      <c r="L7" t="s">
        <v>469</v>
      </c>
      <c r="M7">
        <v>24.91470695805199</v>
      </c>
      <c r="N7">
        <v>9.0527268027914189</v>
      </c>
      <c r="O7">
        <v>882.5</v>
      </c>
      <c r="P7">
        <v>1057.8499999999999</v>
      </c>
      <c r="Q7">
        <v>670</v>
      </c>
      <c r="R7" s="2" t="s">
        <v>467</v>
      </c>
      <c r="S7">
        <v>882.5</v>
      </c>
      <c r="T7" t="s">
        <v>468</v>
      </c>
    </row>
    <row r="8" spans="1:20" x14ac:dyDescent="0.25">
      <c r="A8">
        <v>4</v>
      </c>
      <c r="B8">
        <v>500008</v>
      </c>
      <c r="C8" t="s">
        <v>7</v>
      </c>
      <c r="D8">
        <v>2021</v>
      </c>
      <c r="E8">
        <v>874.45001220703125</v>
      </c>
      <c r="F8">
        <v>37.869999999999997</v>
      </c>
      <c r="G8" t="s">
        <v>465</v>
      </c>
      <c r="H8">
        <v>1025</v>
      </c>
      <c r="I8">
        <v>584.45001220703125</v>
      </c>
      <c r="L8" t="s">
        <v>469</v>
      </c>
      <c r="M8">
        <v>27.06627937681542</v>
      </c>
      <c r="N8">
        <v>15.43306079236946</v>
      </c>
      <c r="O8">
        <v>882.5</v>
      </c>
      <c r="P8">
        <v>1057.8499999999999</v>
      </c>
      <c r="Q8">
        <v>670</v>
      </c>
      <c r="R8" s="2" t="s">
        <v>467</v>
      </c>
      <c r="S8">
        <v>882.5</v>
      </c>
      <c r="T8" t="s">
        <v>468</v>
      </c>
    </row>
    <row r="9" spans="1:20" x14ac:dyDescent="0.25">
      <c r="A9">
        <v>4</v>
      </c>
      <c r="B9">
        <v>500008</v>
      </c>
      <c r="C9" t="s">
        <v>7</v>
      </c>
      <c r="D9">
        <v>2022</v>
      </c>
      <c r="E9">
        <v>874.45001220703125</v>
      </c>
      <c r="F9">
        <v>30.01</v>
      </c>
      <c r="G9" t="s">
        <v>465</v>
      </c>
      <c r="H9">
        <v>669.95001220703125</v>
      </c>
      <c r="I9">
        <v>445.39999389648438</v>
      </c>
      <c r="L9" t="s">
        <v>469</v>
      </c>
      <c r="M9">
        <v>22.324225665012701</v>
      </c>
      <c r="N9">
        <v>14.841719223474991</v>
      </c>
      <c r="O9">
        <v>882.5</v>
      </c>
      <c r="P9">
        <v>1057.8499999999999</v>
      </c>
      <c r="Q9">
        <v>670</v>
      </c>
      <c r="R9" s="2" t="s">
        <v>467</v>
      </c>
      <c r="S9">
        <v>882.5</v>
      </c>
      <c r="T9" t="s">
        <v>468</v>
      </c>
    </row>
    <row r="10" spans="1:20" x14ac:dyDescent="0.25">
      <c r="A10">
        <v>4</v>
      </c>
      <c r="B10">
        <v>500008</v>
      </c>
      <c r="C10" t="s">
        <v>7</v>
      </c>
      <c r="D10">
        <v>2023</v>
      </c>
      <c r="E10">
        <v>874.45001220703125</v>
      </c>
      <c r="F10">
        <v>42.79</v>
      </c>
      <c r="G10" t="s">
        <v>465</v>
      </c>
      <c r="H10">
        <v>831.25</v>
      </c>
      <c r="I10">
        <v>546.54998779296875</v>
      </c>
      <c r="L10" t="s">
        <v>469</v>
      </c>
      <c r="M10">
        <v>19.426267819584019</v>
      </c>
      <c r="N10">
        <v>12.772843837180851</v>
      </c>
      <c r="O10">
        <v>882.5</v>
      </c>
      <c r="P10">
        <v>1057.8499999999999</v>
      </c>
      <c r="Q10">
        <v>670</v>
      </c>
      <c r="R10" s="2" t="s">
        <v>467</v>
      </c>
      <c r="S10">
        <v>882.5</v>
      </c>
      <c r="T10" t="s">
        <v>468</v>
      </c>
    </row>
    <row r="11" spans="1:20" x14ac:dyDescent="0.25">
      <c r="A11">
        <v>4</v>
      </c>
      <c r="B11">
        <v>500008</v>
      </c>
      <c r="C11" t="s">
        <v>7</v>
      </c>
      <c r="D11">
        <v>2024</v>
      </c>
      <c r="E11">
        <v>874.45001220703125</v>
      </c>
      <c r="F11">
        <v>51.05</v>
      </c>
      <c r="G11" t="s">
        <v>465</v>
      </c>
      <c r="H11">
        <v>1774.900024414062</v>
      </c>
      <c r="I11">
        <v>737.6500244140625</v>
      </c>
      <c r="L11" t="s">
        <v>469</v>
      </c>
      <c r="M11">
        <v>34.767875110951273</v>
      </c>
      <c r="N11">
        <v>14.449559733869981</v>
      </c>
      <c r="O11">
        <v>882.5</v>
      </c>
      <c r="P11">
        <v>1057.8499999999999</v>
      </c>
      <c r="Q11">
        <v>670</v>
      </c>
      <c r="R11" s="2" t="s">
        <v>467</v>
      </c>
      <c r="S11">
        <v>882.5</v>
      </c>
      <c r="T11" t="s">
        <v>468</v>
      </c>
    </row>
    <row r="12" spans="1:20" x14ac:dyDescent="0.25">
      <c r="A12">
        <v>4</v>
      </c>
      <c r="B12">
        <v>500008</v>
      </c>
      <c r="C12" t="s">
        <v>7</v>
      </c>
      <c r="D12">
        <v>2025</v>
      </c>
      <c r="E12">
        <v>874.45001220703125</v>
      </c>
      <c r="F12">
        <v>51.61</v>
      </c>
      <c r="G12" t="s">
        <v>465</v>
      </c>
      <c r="H12">
        <v>1220</v>
      </c>
      <c r="I12">
        <v>805.04998779296875</v>
      </c>
      <c r="L12" t="s">
        <v>469</v>
      </c>
      <c r="M12">
        <v>23.638829684169739</v>
      </c>
      <c r="N12">
        <v>15.59872094154173</v>
      </c>
      <c r="O12">
        <v>882.5</v>
      </c>
      <c r="P12">
        <v>1057.8499999999999</v>
      </c>
      <c r="Q12">
        <v>670</v>
      </c>
      <c r="R12" s="2" t="s">
        <v>467</v>
      </c>
      <c r="S12">
        <v>882.5</v>
      </c>
      <c r="T12" t="s">
        <v>468</v>
      </c>
    </row>
    <row r="13" spans="1:20" x14ac:dyDescent="0.25">
      <c r="A13">
        <v>4</v>
      </c>
      <c r="B13">
        <v>500008</v>
      </c>
      <c r="C13" t="s">
        <v>7</v>
      </c>
      <c r="D13">
        <v>2026</v>
      </c>
      <c r="E13">
        <v>874.45001220703125</v>
      </c>
      <c r="F13">
        <v>48.94</v>
      </c>
      <c r="G13" t="s">
        <v>465</v>
      </c>
      <c r="H13">
        <v>957.45001220703125</v>
      </c>
      <c r="I13">
        <v>671.45001220703125</v>
      </c>
      <c r="L13" t="s">
        <v>469</v>
      </c>
      <c r="M13">
        <v>19.563751781917269</v>
      </c>
      <c r="N13">
        <v>13.71986130378078</v>
      </c>
      <c r="O13">
        <v>882.5</v>
      </c>
      <c r="P13">
        <v>1057.8499999999999</v>
      </c>
      <c r="Q13">
        <v>670</v>
      </c>
      <c r="R13" s="2" t="s">
        <v>467</v>
      </c>
      <c r="S13">
        <v>882.5</v>
      </c>
      <c r="T13" t="s">
        <v>468</v>
      </c>
    </row>
    <row r="14" spans="1:20" x14ac:dyDescent="0.25">
      <c r="A14">
        <v>6</v>
      </c>
      <c r="B14">
        <v>500034</v>
      </c>
      <c r="C14" t="s">
        <v>9</v>
      </c>
      <c r="D14">
        <v>2015</v>
      </c>
      <c r="E14">
        <v>1055.699951171875</v>
      </c>
      <c r="F14">
        <v>1.79</v>
      </c>
      <c r="G14" t="s">
        <v>465</v>
      </c>
      <c r="H14">
        <v>60.439998626708977</v>
      </c>
      <c r="I14">
        <v>33.945999145507813</v>
      </c>
      <c r="L14" t="s">
        <v>469</v>
      </c>
      <c r="M14">
        <v>33.765362361289931</v>
      </c>
      <c r="N14">
        <v>18.96424533268593</v>
      </c>
      <c r="O14">
        <v>1054.8</v>
      </c>
      <c r="P14">
        <v>1102.5</v>
      </c>
      <c r="Q14">
        <v>787.9</v>
      </c>
      <c r="R14" s="2" t="s">
        <v>467</v>
      </c>
      <c r="S14">
        <v>1054.8</v>
      </c>
      <c r="T14" t="s">
        <v>468</v>
      </c>
    </row>
    <row r="15" spans="1:20" x14ac:dyDescent="0.25">
      <c r="A15">
        <v>6</v>
      </c>
      <c r="B15">
        <v>500034</v>
      </c>
      <c r="C15" t="s">
        <v>9</v>
      </c>
      <c r="D15">
        <v>2016</v>
      </c>
      <c r="E15">
        <v>1055.699951171875</v>
      </c>
      <c r="F15">
        <v>2.37</v>
      </c>
      <c r="G15" t="s">
        <v>465</v>
      </c>
      <c r="H15">
        <v>118</v>
      </c>
      <c r="I15">
        <v>53.5</v>
      </c>
      <c r="L15" t="s">
        <v>469</v>
      </c>
      <c r="M15">
        <v>49.789029535864977</v>
      </c>
      <c r="N15">
        <v>22.573839662447259</v>
      </c>
      <c r="O15">
        <v>1054.8</v>
      </c>
      <c r="P15">
        <v>1102.5</v>
      </c>
      <c r="Q15">
        <v>787.9</v>
      </c>
      <c r="R15" s="2" t="s">
        <v>467</v>
      </c>
      <c r="S15">
        <v>1054.8</v>
      </c>
      <c r="T15" t="s">
        <v>468</v>
      </c>
    </row>
    <row r="16" spans="1:20" x14ac:dyDescent="0.25">
      <c r="A16">
        <v>6</v>
      </c>
      <c r="B16">
        <v>500034</v>
      </c>
      <c r="C16" t="s">
        <v>9</v>
      </c>
      <c r="D16">
        <v>2017</v>
      </c>
      <c r="E16">
        <v>1055.699951171875</v>
      </c>
      <c r="F16">
        <v>3.34</v>
      </c>
      <c r="G16" t="s">
        <v>465</v>
      </c>
      <c r="H16">
        <v>198.8999938964844</v>
      </c>
      <c r="I16">
        <v>86</v>
      </c>
      <c r="L16" t="s">
        <v>469</v>
      </c>
      <c r="M16">
        <v>59.550896376192938</v>
      </c>
      <c r="N16">
        <v>25.748502994011979</v>
      </c>
      <c r="O16">
        <v>1054.8</v>
      </c>
      <c r="P16">
        <v>1102.5</v>
      </c>
      <c r="Q16">
        <v>787.9</v>
      </c>
      <c r="R16" s="2" t="s">
        <v>467</v>
      </c>
      <c r="S16">
        <v>1054.8</v>
      </c>
      <c r="T16" t="s">
        <v>468</v>
      </c>
    </row>
    <row r="17" spans="1:20" x14ac:dyDescent="0.25">
      <c r="A17">
        <v>6</v>
      </c>
      <c r="B17">
        <v>500034</v>
      </c>
      <c r="C17" t="s">
        <v>9</v>
      </c>
      <c r="D17">
        <v>2018</v>
      </c>
      <c r="E17">
        <v>1055.699951171875</v>
      </c>
      <c r="F17">
        <v>4.32</v>
      </c>
      <c r="G17" t="s">
        <v>465</v>
      </c>
      <c r="H17">
        <v>299.510009765625</v>
      </c>
      <c r="I17">
        <v>151.44000244140619</v>
      </c>
      <c r="L17" t="s">
        <v>469</v>
      </c>
      <c r="M17">
        <v>69.33102077907985</v>
      </c>
      <c r="N17">
        <v>35.055556120695883</v>
      </c>
      <c r="O17">
        <v>1054.8</v>
      </c>
      <c r="P17">
        <v>1102.5</v>
      </c>
      <c r="Q17">
        <v>787.9</v>
      </c>
      <c r="R17" s="2" t="s">
        <v>467</v>
      </c>
      <c r="S17">
        <v>1054.8</v>
      </c>
      <c r="T17" t="s">
        <v>468</v>
      </c>
    </row>
    <row r="18" spans="1:20" x14ac:dyDescent="0.25">
      <c r="A18">
        <v>6</v>
      </c>
      <c r="B18">
        <v>500034</v>
      </c>
      <c r="C18" t="s">
        <v>9</v>
      </c>
      <c r="D18">
        <v>2019</v>
      </c>
      <c r="E18">
        <v>1055.699951171875</v>
      </c>
      <c r="F18">
        <v>6.91</v>
      </c>
      <c r="G18" t="s">
        <v>465</v>
      </c>
      <c r="H18">
        <v>428</v>
      </c>
      <c r="I18">
        <v>236.0950012207031</v>
      </c>
      <c r="L18" t="s">
        <v>469</v>
      </c>
      <c r="M18">
        <v>61.939218523878438</v>
      </c>
      <c r="N18">
        <v>34.167149235991772</v>
      </c>
      <c r="O18">
        <v>1054.8</v>
      </c>
      <c r="P18">
        <v>1102.5</v>
      </c>
      <c r="Q18">
        <v>787.9</v>
      </c>
      <c r="R18" s="2" t="s">
        <v>467</v>
      </c>
      <c r="S18">
        <v>1054.8</v>
      </c>
      <c r="T18" t="s">
        <v>468</v>
      </c>
    </row>
    <row r="19" spans="1:20" x14ac:dyDescent="0.25">
      <c r="A19">
        <v>6</v>
      </c>
      <c r="B19">
        <v>500034</v>
      </c>
      <c r="C19" t="s">
        <v>9</v>
      </c>
      <c r="D19">
        <v>2020</v>
      </c>
      <c r="E19">
        <v>1055.699951171875</v>
      </c>
      <c r="F19">
        <v>8.75</v>
      </c>
      <c r="G19" t="s">
        <v>465</v>
      </c>
      <c r="H19">
        <v>537.2750244140625</v>
      </c>
      <c r="I19">
        <v>178.30999755859381</v>
      </c>
      <c r="L19" t="s">
        <v>469</v>
      </c>
      <c r="M19">
        <v>61.402859933035707</v>
      </c>
      <c r="N19">
        <v>20.378285435267859</v>
      </c>
      <c r="O19">
        <v>1054.8</v>
      </c>
      <c r="P19">
        <v>1102.5</v>
      </c>
      <c r="Q19">
        <v>787.9</v>
      </c>
      <c r="R19" s="2" t="s">
        <v>467</v>
      </c>
      <c r="S19">
        <v>1054.8</v>
      </c>
      <c r="T19" t="s">
        <v>468</v>
      </c>
    </row>
    <row r="20" spans="1:20" x14ac:dyDescent="0.25">
      <c r="A20">
        <v>6</v>
      </c>
      <c r="B20">
        <v>500034</v>
      </c>
      <c r="C20" t="s">
        <v>9</v>
      </c>
      <c r="D20">
        <v>2021</v>
      </c>
      <c r="E20">
        <v>1055.699951171875</v>
      </c>
      <c r="F20">
        <v>7.33</v>
      </c>
      <c r="G20" t="s">
        <v>465</v>
      </c>
      <c r="H20">
        <v>802.02001953125</v>
      </c>
      <c r="I20">
        <v>436.16000366210938</v>
      </c>
      <c r="L20" t="s">
        <v>469</v>
      </c>
      <c r="M20">
        <v>109.41610089103</v>
      </c>
      <c r="N20">
        <v>59.503411140806193</v>
      </c>
      <c r="O20">
        <v>1054.8</v>
      </c>
      <c r="P20">
        <v>1102.5</v>
      </c>
      <c r="Q20">
        <v>787.9</v>
      </c>
      <c r="R20" s="2" t="s">
        <v>467</v>
      </c>
      <c r="S20">
        <v>1054.8</v>
      </c>
      <c r="T20" t="s">
        <v>468</v>
      </c>
    </row>
    <row r="21" spans="1:20" x14ac:dyDescent="0.25">
      <c r="A21">
        <v>6</v>
      </c>
      <c r="B21">
        <v>500034</v>
      </c>
      <c r="C21" t="s">
        <v>9</v>
      </c>
      <c r="D21">
        <v>2022</v>
      </c>
      <c r="E21">
        <v>1055.699951171875</v>
      </c>
      <c r="F21">
        <v>11.61</v>
      </c>
      <c r="G21" t="s">
        <v>465</v>
      </c>
      <c r="H21">
        <v>804.3499755859375</v>
      </c>
      <c r="I21">
        <v>523.55999755859375</v>
      </c>
      <c r="L21" t="s">
        <v>469</v>
      </c>
      <c r="M21">
        <v>69.280790317479543</v>
      </c>
      <c r="N21">
        <v>45.095607024857337</v>
      </c>
      <c r="O21">
        <v>1054.8</v>
      </c>
      <c r="P21">
        <v>1102.5</v>
      </c>
      <c r="Q21">
        <v>787.9</v>
      </c>
      <c r="R21" s="2" t="s">
        <v>467</v>
      </c>
      <c r="S21">
        <v>1054.8</v>
      </c>
      <c r="T21" t="s">
        <v>468</v>
      </c>
    </row>
    <row r="22" spans="1:20" x14ac:dyDescent="0.25">
      <c r="A22">
        <v>6</v>
      </c>
      <c r="B22">
        <v>500034</v>
      </c>
      <c r="C22" t="s">
        <v>9</v>
      </c>
      <c r="D22">
        <v>2023</v>
      </c>
      <c r="E22">
        <v>1055.699951171875</v>
      </c>
      <c r="F22">
        <v>19.010000000000002</v>
      </c>
      <c r="G22" t="s">
        <v>465</v>
      </c>
      <c r="H22">
        <v>819</v>
      </c>
      <c r="I22">
        <v>548.7249755859375</v>
      </c>
      <c r="L22" t="s">
        <v>469</v>
      </c>
      <c r="M22">
        <v>43.082588111520252</v>
      </c>
      <c r="N22">
        <v>28.865069730980402</v>
      </c>
      <c r="O22">
        <v>1054.8</v>
      </c>
      <c r="P22">
        <v>1102.5</v>
      </c>
      <c r="Q22">
        <v>787.9</v>
      </c>
      <c r="R22" s="2" t="s">
        <v>467</v>
      </c>
      <c r="S22">
        <v>1054.8</v>
      </c>
      <c r="T22" t="s">
        <v>468</v>
      </c>
    </row>
    <row r="23" spans="1:20" x14ac:dyDescent="0.25">
      <c r="A23">
        <v>6</v>
      </c>
      <c r="B23">
        <v>500034</v>
      </c>
      <c r="C23" t="s">
        <v>9</v>
      </c>
      <c r="D23">
        <v>2024</v>
      </c>
      <c r="E23">
        <v>1055.699951171875</v>
      </c>
      <c r="F23">
        <v>23.35</v>
      </c>
      <c r="G23" t="s">
        <v>465</v>
      </c>
      <c r="H23">
        <v>782.9949951171875</v>
      </c>
      <c r="I23">
        <v>619</v>
      </c>
      <c r="L23" t="s">
        <v>469</v>
      </c>
      <c r="M23">
        <v>33.532976236282117</v>
      </c>
      <c r="N23">
        <v>26.509635974304071</v>
      </c>
      <c r="O23">
        <v>1054.8</v>
      </c>
      <c r="P23">
        <v>1102.5</v>
      </c>
      <c r="Q23">
        <v>787.9</v>
      </c>
      <c r="R23" s="2" t="s">
        <v>467</v>
      </c>
      <c r="S23">
        <v>1054.8</v>
      </c>
      <c r="T23" t="s">
        <v>468</v>
      </c>
    </row>
    <row r="24" spans="1:20" x14ac:dyDescent="0.25">
      <c r="A24">
        <v>6</v>
      </c>
      <c r="B24">
        <v>500034</v>
      </c>
      <c r="C24" t="s">
        <v>9</v>
      </c>
      <c r="D24">
        <v>2025</v>
      </c>
      <c r="E24">
        <v>1055.699951171875</v>
      </c>
      <c r="F24">
        <v>26.77</v>
      </c>
      <c r="G24" t="s">
        <v>465</v>
      </c>
      <c r="H24">
        <v>1102.449951171875</v>
      </c>
      <c r="I24">
        <v>695.10498046875</v>
      </c>
      <c r="L24" t="s">
        <v>469</v>
      </c>
      <c r="M24">
        <v>41.182291788265793</v>
      </c>
      <c r="N24">
        <v>25.96581921810796</v>
      </c>
      <c r="O24">
        <v>1054.8</v>
      </c>
      <c r="P24">
        <v>1102.5</v>
      </c>
      <c r="Q24">
        <v>787.9</v>
      </c>
      <c r="R24" s="2" t="s">
        <v>467</v>
      </c>
      <c r="S24">
        <v>1054.8</v>
      </c>
      <c r="T24" t="s">
        <v>468</v>
      </c>
    </row>
    <row r="25" spans="1:20" x14ac:dyDescent="0.25">
      <c r="A25">
        <v>6</v>
      </c>
      <c r="B25">
        <v>500034</v>
      </c>
      <c r="C25" t="s">
        <v>9</v>
      </c>
      <c r="D25">
        <v>2026</v>
      </c>
      <c r="E25">
        <v>1055.699951171875</v>
      </c>
      <c r="F25">
        <v>30.56</v>
      </c>
      <c r="G25" t="s">
        <v>465</v>
      </c>
      <c r="H25">
        <v>1058.300048828125</v>
      </c>
      <c r="I25">
        <v>788.4000244140625</v>
      </c>
      <c r="L25" t="s">
        <v>469</v>
      </c>
      <c r="M25">
        <v>34.6302371998732</v>
      </c>
      <c r="N25">
        <v>25.798430118261209</v>
      </c>
      <c r="O25">
        <v>1054.8</v>
      </c>
      <c r="P25">
        <v>1102.5</v>
      </c>
      <c r="Q25">
        <v>787.9</v>
      </c>
      <c r="R25" s="2" t="s">
        <v>467</v>
      </c>
      <c r="S25">
        <v>1054.8</v>
      </c>
      <c r="T25" t="s">
        <v>468</v>
      </c>
    </row>
    <row r="26" spans="1:20" x14ac:dyDescent="0.25">
      <c r="A26">
        <v>10</v>
      </c>
      <c r="B26">
        <v>500055</v>
      </c>
      <c r="C26" t="s">
        <v>11</v>
      </c>
      <c r="D26">
        <v>2015</v>
      </c>
      <c r="E26">
        <v>85.550003051757813</v>
      </c>
      <c r="F26">
        <v>0.75</v>
      </c>
      <c r="G26" t="s">
        <v>465</v>
      </c>
      <c r="H26">
        <v>103.3000030517578</v>
      </c>
      <c r="I26">
        <v>40.5</v>
      </c>
      <c r="L26" t="s">
        <v>466</v>
      </c>
      <c r="O26">
        <v>1776.8</v>
      </c>
      <c r="P26">
        <v>2110</v>
      </c>
      <c r="Q26">
        <v>1322.5</v>
      </c>
      <c r="R26" s="3" t="s">
        <v>470</v>
      </c>
      <c r="S26">
        <v>1776.8</v>
      </c>
      <c r="T26" t="s">
        <v>468</v>
      </c>
    </row>
    <row r="27" spans="1:20" x14ac:dyDescent="0.25">
      <c r="A27">
        <v>10</v>
      </c>
      <c r="B27">
        <v>500055</v>
      </c>
      <c r="C27" t="s">
        <v>11</v>
      </c>
      <c r="D27">
        <v>2016</v>
      </c>
      <c r="E27">
        <v>85.550003051757813</v>
      </c>
      <c r="F27">
        <v>19.03</v>
      </c>
      <c r="G27" t="s">
        <v>465</v>
      </c>
      <c r="H27">
        <v>51.450000762939453</v>
      </c>
      <c r="I27">
        <v>32.5</v>
      </c>
      <c r="L27" t="s">
        <v>466</v>
      </c>
      <c r="O27">
        <v>1776.8</v>
      </c>
      <c r="P27">
        <v>2110</v>
      </c>
      <c r="Q27">
        <v>1322.5</v>
      </c>
      <c r="R27" s="3" t="s">
        <v>470</v>
      </c>
      <c r="S27">
        <v>1776.8</v>
      </c>
      <c r="T27" t="s">
        <v>468</v>
      </c>
    </row>
    <row r="28" spans="1:20" x14ac:dyDescent="0.25">
      <c r="A28">
        <v>10</v>
      </c>
      <c r="B28">
        <v>500055</v>
      </c>
      <c r="C28" t="s">
        <v>11</v>
      </c>
      <c r="D28">
        <v>2017</v>
      </c>
      <c r="E28">
        <v>85.550003051757813</v>
      </c>
      <c r="F28">
        <v>3.39</v>
      </c>
      <c r="G28" t="s">
        <v>465</v>
      </c>
      <c r="H28">
        <v>102.8000030517578</v>
      </c>
      <c r="I28">
        <v>40.599998474121087</v>
      </c>
      <c r="L28" t="s">
        <v>466</v>
      </c>
      <c r="O28">
        <v>1776.8</v>
      </c>
      <c r="P28">
        <v>2110</v>
      </c>
      <c r="Q28">
        <v>1322.5</v>
      </c>
      <c r="R28" s="3" t="s">
        <v>470</v>
      </c>
      <c r="S28">
        <v>1776.8</v>
      </c>
      <c r="T28" t="s">
        <v>468</v>
      </c>
    </row>
    <row r="29" spans="1:20" x14ac:dyDescent="0.25">
      <c r="A29">
        <v>10</v>
      </c>
      <c r="B29">
        <v>500055</v>
      </c>
      <c r="C29" t="s">
        <v>11</v>
      </c>
      <c r="D29">
        <v>2018</v>
      </c>
      <c r="E29">
        <v>85.550003051757813</v>
      </c>
      <c r="F29">
        <v>0.56000000000000005</v>
      </c>
      <c r="G29" t="s">
        <v>465</v>
      </c>
      <c r="H29">
        <v>76.150001525878906</v>
      </c>
      <c r="I29">
        <v>21</v>
      </c>
      <c r="L29" t="s">
        <v>466</v>
      </c>
      <c r="O29">
        <v>1776.8</v>
      </c>
      <c r="P29">
        <v>2110</v>
      </c>
      <c r="Q29">
        <v>1322.5</v>
      </c>
      <c r="R29" s="3" t="s">
        <v>470</v>
      </c>
      <c r="S29">
        <v>1776.8</v>
      </c>
      <c r="T29" t="s">
        <v>468</v>
      </c>
    </row>
    <row r="30" spans="1:20" x14ac:dyDescent="0.25">
      <c r="A30">
        <v>10</v>
      </c>
      <c r="B30">
        <v>500055</v>
      </c>
      <c r="C30" t="s">
        <v>11</v>
      </c>
      <c r="D30">
        <v>2019</v>
      </c>
      <c r="E30">
        <v>85.550003051757813</v>
      </c>
      <c r="F30">
        <v>0.67</v>
      </c>
      <c r="G30" t="s">
        <v>465</v>
      </c>
      <c r="H30">
        <v>40.150001525878913</v>
      </c>
      <c r="I30">
        <v>20</v>
      </c>
      <c r="L30" t="s">
        <v>466</v>
      </c>
      <c r="O30">
        <v>1776.8</v>
      </c>
      <c r="P30">
        <v>2110</v>
      </c>
      <c r="Q30">
        <v>1322.5</v>
      </c>
      <c r="R30" s="3" t="s">
        <v>470</v>
      </c>
      <c r="S30">
        <v>1776.8</v>
      </c>
      <c r="T30" t="s">
        <v>468</v>
      </c>
    </row>
    <row r="31" spans="1:20" x14ac:dyDescent="0.25">
      <c r="A31">
        <v>10</v>
      </c>
      <c r="B31">
        <v>500055</v>
      </c>
      <c r="C31" t="s">
        <v>11</v>
      </c>
      <c r="D31">
        <v>2020</v>
      </c>
      <c r="E31">
        <v>85.550003051757813</v>
      </c>
      <c r="F31">
        <v>0.09</v>
      </c>
      <c r="G31" t="s">
        <v>465</v>
      </c>
      <c r="H31">
        <v>40.650001525878913</v>
      </c>
      <c r="I31">
        <v>15.25</v>
      </c>
      <c r="L31" t="s">
        <v>466</v>
      </c>
      <c r="O31">
        <v>1776.8</v>
      </c>
      <c r="P31">
        <v>2110</v>
      </c>
      <c r="Q31">
        <v>1322.5</v>
      </c>
      <c r="R31" s="3" t="s">
        <v>470</v>
      </c>
      <c r="S31">
        <v>1776.8</v>
      </c>
      <c r="T31" t="s">
        <v>468</v>
      </c>
    </row>
    <row r="32" spans="1:20" x14ac:dyDescent="0.25">
      <c r="A32">
        <v>10</v>
      </c>
      <c r="B32">
        <v>500055</v>
      </c>
      <c r="C32" t="s">
        <v>11</v>
      </c>
      <c r="D32">
        <v>2021</v>
      </c>
      <c r="E32">
        <v>85.550003051757813</v>
      </c>
      <c r="F32">
        <v>-0.48</v>
      </c>
      <c r="G32" t="s">
        <v>465</v>
      </c>
      <c r="H32">
        <v>109.59999847412109</v>
      </c>
      <c r="I32">
        <v>37.400001525878913</v>
      </c>
      <c r="L32" t="s">
        <v>466</v>
      </c>
      <c r="O32">
        <v>1776.8</v>
      </c>
      <c r="P32">
        <v>2110</v>
      </c>
      <c r="Q32">
        <v>1322.5</v>
      </c>
      <c r="R32" s="3" t="s">
        <v>470</v>
      </c>
      <c r="S32">
        <v>1776.8</v>
      </c>
      <c r="T32" t="s">
        <v>468</v>
      </c>
    </row>
    <row r="33" spans="1:20" x14ac:dyDescent="0.25">
      <c r="A33">
        <v>11</v>
      </c>
      <c r="B33">
        <v>500059</v>
      </c>
      <c r="C33" t="s">
        <v>13</v>
      </c>
      <c r="D33">
        <v>2015</v>
      </c>
      <c r="E33">
        <v>4.0500001907348633</v>
      </c>
      <c r="F33">
        <v>-216.28</v>
      </c>
      <c r="G33" t="s">
        <v>465</v>
      </c>
      <c r="H33">
        <v>120.8000030517578</v>
      </c>
      <c r="I33">
        <v>69</v>
      </c>
      <c r="L33" t="s">
        <v>471</v>
      </c>
      <c r="M33">
        <v>-0.55853524621674588</v>
      </c>
      <c r="N33">
        <v>-0.31903088588866291</v>
      </c>
      <c r="O33">
        <f>IFERROR(VLOOKUP(B33,BSE_500_LIVE!A:E,3,FALSE),"")</f>
        <v>0</v>
      </c>
      <c r="P33">
        <f>IFERROR(VLOOKUP(B33,BSE_500_LIVE!A:E,4,FALSE),"")</f>
        <v>0</v>
      </c>
      <c r="Q33">
        <f>IFERROR(VLOOKUP(B33,BSE_500_LIVE!A:E,5,FALSE),"")</f>
        <v>0</v>
      </c>
      <c r="R33" t="str">
        <f t="shared" ref="R33:R56" si="0">IF(OR(E33="",O33=""),"PENDING_FETCH",IF(ABS(E33-O33)/E33&gt;0.005,"MISMATCH_NEEDS_CORRECTION","VERIFIED_OK"))</f>
        <v>MISMATCH_NEEDS_CORRECTION</v>
      </c>
      <c r="S33">
        <f t="shared" ref="S33:S56" si="1">IF(O33&lt;&gt;"",O33,E33)</f>
        <v>0</v>
      </c>
      <c r="T33">
        <f>IFERROR(VLOOKUP(B33,BSE_500_LIVE!A:F,6,FALSE),"")</f>
        <v>0</v>
      </c>
    </row>
    <row r="34" spans="1:20" x14ac:dyDescent="0.25">
      <c r="A34">
        <v>11</v>
      </c>
      <c r="B34">
        <v>500059</v>
      </c>
      <c r="C34" t="s">
        <v>13</v>
      </c>
      <c r="D34">
        <v>2016</v>
      </c>
      <c r="E34">
        <v>4.0500001907348633</v>
      </c>
      <c r="F34">
        <v>-140.85</v>
      </c>
      <c r="G34" t="s">
        <v>465</v>
      </c>
      <c r="H34">
        <v>120.90000152587891</v>
      </c>
      <c r="I34">
        <v>50</v>
      </c>
      <c r="L34" t="s">
        <v>471</v>
      </c>
      <c r="M34">
        <v>-0.85835996823485206</v>
      </c>
      <c r="N34">
        <v>-0.35498757543485981</v>
      </c>
      <c r="O34">
        <f>IFERROR(VLOOKUP(B34,BSE_500_LIVE!A:E,3,FALSE),"")</f>
        <v>0</v>
      </c>
      <c r="P34">
        <f>IFERROR(VLOOKUP(B34,BSE_500_LIVE!A:E,4,FALSE),"")</f>
        <v>0</v>
      </c>
      <c r="Q34">
        <f>IFERROR(VLOOKUP(B34,BSE_500_LIVE!A:E,5,FALSE),"")</f>
        <v>0</v>
      </c>
      <c r="R34" t="str">
        <f t="shared" si="0"/>
        <v>MISMATCH_NEEDS_CORRECTION</v>
      </c>
      <c r="S34">
        <f t="shared" si="1"/>
        <v>0</v>
      </c>
      <c r="T34">
        <f>IFERROR(VLOOKUP(B34,BSE_500_LIVE!A:F,6,FALSE),"")</f>
        <v>0</v>
      </c>
    </row>
    <row r="35" spans="1:20" x14ac:dyDescent="0.25">
      <c r="A35">
        <v>11</v>
      </c>
      <c r="B35">
        <v>500059</v>
      </c>
      <c r="C35" t="s">
        <v>13</v>
      </c>
      <c r="D35">
        <v>2017</v>
      </c>
      <c r="E35">
        <v>4.0500001907348633</v>
      </c>
      <c r="F35">
        <v>-146.94999999999999</v>
      </c>
      <c r="G35" t="s">
        <v>465</v>
      </c>
      <c r="H35">
        <v>149.3999938964844</v>
      </c>
      <c r="I35">
        <v>67.050003051757813</v>
      </c>
      <c r="L35" t="s">
        <v>471</v>
      </c>
      <c r="M35">
        <v>-1.01667229599513</v>
      </c>
      <c r="N35">
        <v>-0.45627766622495958</v>
      </c>
      <c r="O35">
        <f>IFERROR(VLOOKUP(B35,BSE_500_LIVE!A:E,3,FALSE),"")</f>
        <v>0</v>
      </c>
      <c r="P35">
        <f>IFERROR(VLOOKUP(B35,BSE_500_LIVE!A:E,4,FALSE),"")</f>
        <v>0</v>
      </c>
      <c r="Q35">
        <f>IFERROR(VLOOKUP(B35,BSE_500_LIVE!A:E,5,FALSE),"")</f>
        <v>0</v>
      </c>
      <c r="R35" t="str">
        <f t="shared" si="0"/>
        <v>MISMATCH_NEEDS_CORRECTION</v>
      </c>
      <c r="S35">
        <f t="shared" si="1"/>
        <v>0</v>
      </c>
      <c r="T35">
        <f>IFERROR(VLOOKUP(B35,BSE_500_LIVE!A:F,6,FALSE),"")</f>
        <v>0</v>
      </c>
    </row>
    <row r="36" spans="1:20" x14ac:dyDescent="0.25">
      <c r="A36">
        <v>11</v>
      </c>
      <c r="B36">
        <v>500059</v>
      </c>
      <c r="C36" t="s">
        <v>13</v>
      </c>
      <c r="D36">
        <v>2018</v>
      </c>
      <c r="E36">
        <v>4.0500001907348633</v>
      </c>
      <c r="F36">
        <v>8.33</v>
      </c>
      <c r="G36" t="s">
        <v>465</v>
      </c>
      <c r="H36">
        <v>152.80000305175781</v>
      </c>
      <c r="I36">
        <v>64.199996948242188</v>
      </c>
      <c r="L36" t="s">
        <v>469</v>
      </c>
      <c r="M36">
        <v>18.34333770129145</v>
      </c>
      <c r="N36">
        <v>7.7070824667757716</v>
      </c>
      <c r="O36">
        <f>IFERROR(VLOOKUP(B36,BSE_500_LIVE!A:E,3,FALSE),"")</f>
        <v>0</v>
      </c>
      <c r="P36">
        <f>IFERROR(VLOOKUP(B36,BSE_500_LIVE!A:E,4,FALSE),"")</f>
        <v>0</v>
      </c>
      <c r="Q36">
        <f>IFERROR(VLOOKUP(B36,BSE_500_LIVE!A:E,5,FALSE),"")</f>
        <v>0</v>
      </c>
      <c r="R36" t="str">
        <f t="shared" si="0"/>
        <v>MISMATCH_NEEDS_CORRECTION</v>
      </c>
      <c r="S36">
        <f t="shared" si="1"/>
        <v>0</v>
      </c>
      <c r="T36">
        <f>IFERROR(VLOOKUP(B36,BSE_500_LIVE!A:F,6,FALSE),"")</f>
        <v>0</v>
      </c>
    </row>
    <row r="37" spans="1:20" x14ac:dyDescent="0.25">
      <c r="A37">
        <v>11</v>
      </c>
      <c r="B37">
        <v>500059</v>
      </c>
      <c r="C37" t="s">
        <v>13</v>
      </c>
      <c r="D37">
        <v>2019</v>
      </c>
      <c r="E37">
        <v>4.0500001907348633</v>
      </c>
      <c r="F37">
        <v>347.49</v>
      </c>
      <c r="G37" t="s">
        <v>465</v>
      </c>
      <c r="H37">
        <v>75</v>
      </c>
      <c r="I37">
        <v>5.429999828338623</v>
      </c>
      <c r="L37" t="s">
        <v>469</v>
      </c>
      <c r="M37">
        <v>0.21583354916688249</v>
      </c>
      <c r="N37">
        <v>1.5626348465678501E-2</v>
      </c>
      <c r="O37">
        <f>IFERROR(VLOOKUP(B37,BSE_500_LIVE!A:E,3,FALSE),"")</f>
        <v>0</v>
      </c>
      <c r="P37">
        <f>IFERROR(VLOOKUP(B37,BSE_500_LIVE!A:E,4,FALSE),"")</f>
        <v>0</v>
      </c>
      <c r="Q37">
        <f>IFERROR(VLOOKUP(B37,BSE_500_LIVE!A:E,5,FALSE),"")</f>
        <v>0</v>
      </c>
      <c r="R37" t="str">
        <f t="shared" si="0"/>
        <v>MISMATCH_NEEDS_CORRECTION</v>
      </c>
      <c r="S37">
        <f t="shared" si="1"/>
        <v>0</v>
      </c>
      <c r="T37">
        <f>IFERROR(VLOOKUP(B37,BSE_500_LIVE!A:F,6,FALSE),"")</f>
        <v>0</v>
      </c>
    </row>
    <row r="38" spans="1:20" x14ac:dyDescent="0.25">
      <c r="A38">
        <v>11</v>
      </c>
      <c r="B38">
        <v>500059</v>
      </c>
      <c r="C38" t="s">
        <v>13</v>
      </c>
      <c r="D38">
        <v>2020</v>
      </c>
      <c r="E38">
        <v>4.0500001907348633</v>
      </c>
      <c r="F38">
        <v>-395.75</v>
      </c>
      <c r="G38" t="s">
        <v>465</v>
      </c>
      <c r="H38">
        <v>8.6499996185302734</v>
      </c>
      <c r="I38">
        <v>5.4699997901916504</v>
      </c>
      <c r="L38" t="s">
        <v>471</v>
      </c>
      <c r="M38">
        <v>-2.1857232137789701E-2</v>
      </c>
      <c r="N38">
        <v>-1.382185670294795E-2</v>
      </c>
      <c r="O38">
        <f>IFERROR(VLOOKUP(B38,BSE_500_LIVE!A:E,3,FALSE),"")</f>
        <v>0</v>
      </c>
      <c r="P38">
        <f>IFERROR(VLOOKUP(B38,BSE_500_LIVE!A:E,4,FALSE),"")</f>
        <v>0</v>
      </c>
      <c r="Q38">
        <f>IFERROR(VLOOKUP(B38,BSE_500_LIVE!A:E,5,FALSE),"")</f>
        <v>0</v>
      </c>
      <c r="R38" t="str">
        <f t="shared" si="0"/>
        <v>MISMATCH_NEEDS_CORRECTION</v>
      </c>
      <c r="S38">
        <f t="shared" si="1"/>
        <v>0</v>
      </c>
      <c r="T38">
        <f>IFERROR(VLOOKUP(B38,BSE_500_LIVE!A:F,6,FALSE),"")</f>
        <v>0</v>
      </c>
    </row>
    <row r="39" spans="1:20" x14ac:dyDescent="0.25">
      <c r="A39">
        <v>11</v>
      </c>
      <c r="B39">
        <v>500059</v>
      </c>
      <c r="C39" t="s">
        <v>13</v>
      </c>
      <c r="D39">
        <v>2021</v>
      </c>
      <c r="E39">
        <v>4.0500001907348633</v>
      </c>
      <c r="F39">
        <v>93.36</v>
      </c>
      <c r="G39" t="s">
        <v>465</v>
      </c>
      <c r="H39">
        <v>5.5</v>
      </c>
      <c r="I39">
        <v>5.5</v>
      </c>
      <c r="L39" t="s">
        <v>469</v>
      </c>
      <c r="M39">
        <v>5.891173950299914E-2</v>
      </c>
      <c r="N39">
        <v>5.891173950299914E-2</v>
      </c>
      <c r="O39">
        <f>IFERROR(VLOOKUP(B39,BSE_500_LIVE!A:E,3,FALSE),"")</f>
        <v>0</v>
      </c>
      <c r="P39">
        <f>IFERROR(VLOOKUP(B39,BSE_500_LIVE!A:E,4,FALSE),"")</f>
        <v>0</v>
      </c>
      <c r="Q39">
        <f>IFERROR(VLOOKUP(B39,BSE_500_LIVE!A:E,5,FALSE),"")</f>
        <v>0</v>
      </c>
      <c r="R39" t="str">
        <f t="shared" si="0"/>
        <v>MISMATCH_NEEDS_CORRECTION</v>
      </c>
      <c r="S39">
        <f t="shared" si="1"/>
        <v>0</v>
      </c>
      <c r="T39">
        <f>IFERROR(VLOOKUP(B39,BSE_500_LIVE!A:F,6,FALSE),"")</f>
        <v>0</v>
      </c>
    </row>
    <row r="40" spans="1:20" x14ac:dyDescent="0.25">
      <c r="A40">
        <v>11</v>
      </c>
      <c r="B40">
        <v>500059</v>
      </c>
      <c r="C40" t="s">
        <v>13</v>
      </c>
      <c r="D40">
        <v>2022</v>
      </c>
      <c r="E40">
        <v>4.0500001907348633</v>
      </c>
      <c r="F40">
        <v>56.89</v>
      </c>
      <c r="G40" t="s">
        <v>465</v>
      </c>
      <c r="H40">
        <v>5.5</v>
      </c>
      <c r="I40">
        <v>5.5</v>
      </c>
      <c r="L40" t="s">
        <v>469</v>
      </c>
      <c r="M40">
        <v>9.6677799261733172E-2</v>
      </c>
      <c r="N40">
        <v>9.6677799261733172E-2</v>
      </c>
      <c r="O40">
        <f>IFERROR(VLOOKUP(B40,BSE_500_LIVE!A:E,3,FALSE),"")</f>
        <v>0</v>
      </c>
      <c r="P40">
        <f>IFERROR(VLOOKUP(B40,BSE_500_LIVE!A:E,4,FALSE),"")</f>
        <v>0</v>
      </c>
      <c r="Q40">
        <f>IFERROR(VLOOKUP(B40,BSE_500_LIVE!A:E,5,FALSE),"")</f>
        <v>0</v>
      </c>
      <c r="R40" t="str">
        <f t="shared" si="0"/>
        <v>MISMATCH_NEEDS_CORRECTION</v>
      </c>
      <c r="S40">
        <f t="shared" si="1"/>
        <v>0</v>
      </c>
      <c r="T40">
        <f>IFERROR(VLOOKUP(B40,BSE_500_LIVE!A:F,6,FALSE),"")</f>
        <v>0</v>
      </c>
    </row>
    <row r="41" spans="1:20" x14ac:dyDescent="0.25">
      <c r="A41">
        <v>11</v>
      </c>
      <c r="B41">
        <v>500059</v>
      </c>
      <c r="C41" t="s">
        <v>13</v>
      </c>
      <c r="D41">
        <v>2023</v>
      </c>
      <c r="E41">
        <v>4.0500001907348633</v>
      </c>
      <c r="F41">
        <v>-48.05</v>
      </c>
      <c r="G41" t="s">
        <v>465</v>
      </c>
      <c r="H41">
        <v>36.490001678466797</v>
      </c>
      <c r="I41">
        <v>5.5</v>
      </c>
      <c r="L41" t="s">
        <v>471</v>
      </c>
      <c r="M41">
        <v>-0.75941730860492818</v>
      </c>
      <c r="N41">
        <v>-0.1144640998959417</v>
      </c>
      <c r="O41">
        <f>IFERROR(VLOOKUP(B41,BSE_500_LIVE!A:E,3,FALSE),"")</f>
        <v>0</v>
      </c>
      <c r="P41">
        <f>IFERROR(VLOOKUP(B41,BSE_500_LIVE!A:E,4,FALSE),"")</f>
        <v>0</v>
      </c>
      <c r="Q41">
        <f>IFERROR(VLOOKUP(B41,BSE_500_LIVE!A:E,5,FALSE),"")</f>
        <v>0</v>
      </c>
      <c r="R41" t="str">
        <f t="shared" si="0"/>
        <v>MISMATCH_NEEDS_CORRECTION</v>
      </c>
      <c r="S41">
        <f t="shared" si="1"/>
        <v>0</v>
      </c>
      <c r="T41">
        <f>IFERROR(VLOOKUP(B41,BSE_500_LIVE!A:F,6,FALSE),"")</f>
        <v>0</v>
      </c>
    </row>
    <row r="42" spans="1:20" x14ac:dyDescent="0.25">
      <c r="A42">
        <v>11</v>
      </c>
      <c r="B42">
        <v>500059</v>
      </c>
      <c r="C42" t="s">
        <v>13</v>
      </c>
      <c r="D42">
        <v>2024</v>
      </c>
      <c r="E42">
        <v>4.0500001907348633</v>
      </c>
      <c r="F42">
        <v>-2.2799999999999998</v>
      </c>
      <c r="G42" t="s">
        <v>465</v>
      </c>
      <c r="H42">
        <v>22.10000038146973</v>
      </c>
      <c r="I42">
        <v>13.22000026702881</v>
      </c>
      <c r="L42" t="s">
        <v>471</v>
      </c>
      <c r="M42">
        <v>-9.6929826234516376</v>
      </c>
      <c r="N42">
        <v>-5.7982457311529876</v>
      </c>
      <c r="O42">
        <f>IFERROR(VLOOKUP(B42,BSE_500_LIVE!A:E,3,FALSE),"")</f>
        <v>0</v>
      </c>
      <c r="P42">
        <f>IFERROR(VLOOKUP(B42,BSE_500_LIVE!A:E,4,FALSE),"")</f>
        <v>0</v>
      </c>
      <c r="Q42">
        <f>IFERROR(VLOOKUP(B42,BSE_500_LIVE!A:E,5,FALSE),"")</f>
        <v>0</v>
      </c>
      <c r="R42" t="str">
        <f t="shared" si="0"/>
        <v>MISMATCH_NEEDS_CORRECTION</v>
      </c>
      <c r="S42">
        <f t="shared" si="1"/>
        <v>0</v>
      </c>
      <c r="T42">
        <f>IFERROR(VLOOKUP(B42,BSE_500_LIVE!A:F,6,FALSE),"")</f>
        <v>0</v>
      </c>
    </row>
    <row r="43" spans="1:20" x14ac:dyDescent="0.25">
      <c r="A43">
        <v>11</v>
      </c>
      <c r="B43">
        <v>500059</v>
      </c>
      <c r="C43" t="s">
        <v>13</v>
      </c>
      <c r="D43">
        <v>2025</v>
      </c>
      <c r="E43">
        <v>4.0500001907348633</v>
      </c>
      <c r="F43">
        <v>2.1800000000000002</v>
      </c>
      <c r="G43" t="s">
        <v>465</v>
      </c>
      <c r="H43">
        <v>23.559999465942379</v>
      </c>
      <c r="I43">
        <v>6.6599998474121094</v>
      </c>
      <c r="L43" t="s">
        <v>469</v>
      </c>
      <c r="M43">
        <v>10.807339204560719</v>
      </c>
      <c r="N43">
        <v>3.0550458015651869</v>
      </c>
      <c r="O43">
        <f>IFERROR(VLOOKUP(B43,BSE_500_LIVE!A:E,3,FALSE),"")</f>
        <v>0</v>
      </c>
      <c r="P43">
        <f>IFERROR(VLOOKUP(B43,BSE_500_LIVE!A:E,4,FALSE),"")</f>
        <v>0</v>
      </c>
      <c r="Q43">
        <f>IFERROR(VLOOKUP(B43,BSE_500_LIVE!A:E,5,FALSE),"")</f>
        <v>0</v>
      </c>
      <c r="R43" t="str">
        <f t="shared" si="0"/>
        <v>MISMATCH_NEEDS_CORRECTION</v>
      </c>
      <c r="S43">
        <f t="shared" si="1"/>
        <v>0</v>
      </c>
      <c r="T43">
        <f>IFERROR(VLOOKUP(B43,BSE_500_LIVE!A:F,6,FALSE),"")</f>
        <v>0</v>
      </c>
    </row>
    <row r="44" spans="1:20" x14ac:dyDescent="0.25">
      <c r="A44">
        <v>11</v>
      </c>
      <c r="B44">
        <v>500059</v>
      </c>
      <c r="C44" t="s">
        <v>13</v>
      </c>
      <c r="D44">
        <v>2026</v>
      </c>
      <c r="E44">
        <v>4.0500001907348633</v>
      </c>
      <c r="F44">
        <v>-0.01</v>
      </c>
      <c r="G44" t="s">
        <v>465</v>
      </c>
      <c r="H44">
        <v>7.6500000953674316</v>
      </c>
      <c r="I44">
        <v>3.8199999332427979</v>
      </c>
      <c r="L44" t="s">
        <v>471</v>
      </c>
      <c r="M44">
        <v>-765.00000953674316</v>
      </c>
      <c r="N44">
        <v>-381.99999332427979</v>
      </c>
      <c r="O44">
        <f>IFERROR(VLOOKUP(B44,BSE_500_LIVE!A:E,3,FALSE),"")</f>
        <v>0</v>
      </c>
      <c r="P44">
        <f>IFERROR(VLOOKUP(B44,BSE_500_LIVE!A:E,4,FALSE),"")</f>
        <v>0</v>
      </c>
      <c r="Q44">
        <f>IFERROR(VLOOKUP(B44,BSE_500_LIVE!A:E,5,FALSE),"")</f>
        <v>0</v>
      </c>
      <c r="R44" t="str">
        <f t="shared" si="0"/>
        <v>MISMATCH_NEEDS_CORRECTION</v>
      </c>
      <c r="S44">
        <f t="shared" si="1"/>
        <v>0</v>
      </c>
      <c r="T44">
        <f>IFERROR(VLOOKUP(B44,BSE_500_LIVE!A:F,6,FALSE),"")</f>
        <v>0</v>
      </c>
    </row>
    <row r="45" spans="1:20" x14ac:dyDescent="0.25">
      <c r="A45">
        <v>13</v>
      </c>
      <c r="B45">
        <v>500089</v>
      </c>
      <c r="C45" t="s">
        <v>15</v>
      </c>
      <c r="D45">
        <v>2015</v>
      </c>
      <c r="E45">
        <v>512.9000244140625</v>
      </c>
      <c r="G45" t="s">
        <v>465</v>
      </c>
      <c r="H45">
        <v>746.75</v>
      </c>
      <c r="L45" t="s">
        <v>466</v>
      </c>
      <c r="O45">
        <f>IFERROR(VLOOKUP(B45,BSE_500_LIVE!A:E,3,FALSE),"")</f>
        <v>0</v>
      </c>
      <c r="P45">
        <f>IFERROR(VLOOKUP(B45,BSE_500_LIVE!A:E,4,FALSE),"")</f>
        <v>0</v>
      </c>
      <c r="Q45">
        <f>IFERROR(VLOOKUP(B45,BSE_500_LIVE!A:E,5,FALSE),"")</f>
        <v>0</v>
      </c>
      <c r="R45" t="str">
        <f t="shared" si="0"/>
        <v>MISMATCH_NEEDS_CORRECTION</v>
      </c>
      <c r="S45">
        <f t="shared" si="1"/>
        <v>0</v>
      </c>
      <c r="T45">
        <f>IFERROR(VLOOKUP(B45,BSE_500_LIVE!A:F,6,FALSE),"")</f>
        <v>0</v>
      </c>
    </row>
    <row r="46" spans="1:20" x14ac:dyDescent="0.25">
      <c r="A46">
        <v>13</v>
      </c>
      <c r="B46">
        <v>500089</v>
      </c>
      <c r="C46" t="s">
        <v>15</v>
      </c>
      <c r="D46">
        <v>2016</v>
      </c>
      <c r="E46">
        <v>512.9000244140625</v>
      </c>
      <c r="G46" t="s">
        <v>465</v>
      </c>
      <c r="H46">
        <v>745.75</v>
      </c>
      <c r="I46">
        <v>443</v>
      </c>
      <c r="L46" t="s">
        <v>466</v>
      </c>
      <c r="O46">
        <f>IFERROR(VLOOKUP(B46,BSE_500_LIVE!A:E,3,FALSE),"")</f>
        <v>0</v>
      </c>
      <c r="P46">
        <f>IFERROR(VLOOKUP(B46,BSE_500_LIVE!A:E,4,FALSE),"")</f>
        <v>0</v>
      </c>
      <c r="Q46">
        <f>IFERROR(VLOOKUP(B46,BSE_500_LIVE!A:E,5,FALSE),"")</f>
        <v>0</v>
      </c>
      <c r="R46" t="str">
        <f t="shared" si="0"/>
        <v>MISMATCH_NEEDS_CORRECTION</v>
      </c>
      <c r="S46">
        <f t="shared" si="1"/>
        <v>0</v>
      </c>
      <c r="T46">
        <f>IFERROR(VLOOKUP(B46,BSE_500_LIVE!A:F,6,FALSE),"")</f>
        <v>0</v>
      </c>
    </row>
    <row r="47" spans="1:20" x14ac:dyDescent="0.25">
      <c r="A47">
        <v>13</v>
      </c>
      <c r="B47">
        <v>500089</v>
      </c>
      <c r="C47" t="s">
        <v>15</v>
      </c>
      <c r="D47">
        <v>2017</v>
      </c>
      <c r="E47">
        <v>512.9000244140625</v>
      </c>
      <c r="G47" t="s">
        <v>465</v>
      </c>
      <c r="H47">
        <v>605</v>
      </c>
      <c r="I47">
        <v>432.64999389648438</v>
      </c>
      <c r="L47" t="s">
        <v>466</v>
      </c>
      <c r="O47">
        <f>IFERROR(VLOOKUP(B47,BSE_500_LIVE!A:E,3,FALSE),"")</f>
        <v>0</v>
      </c>
      <c r="P47">
        <f>IFERROR(VLOOKUP(B47,BSE_500_LIVE!A:E,4,FALSE),"")</f>
        <v>0</v>
      </c>
      <c r="Q47">
        <f>IFERROR(VLOOKUP(B47,BSE_500_LIVE!A:E,5,FALSE),"")</f>
        <v>0</v>
      </c>
      <c r="R47" t="str">
        <f t="shared" si="0"/>
        <v>MISMATCH_NEEDS_CORRECTION</v>
      </c>
      <c r="S47">
        <f t="shared" si="1"/>
        <v>0</v>
      </c>
      <c r="T47">
        <f>IFERROR(VLOOKUP(B47,BSE_500_LIVE!A:F,6,FALSE),"")</f>
        <v>0</v>
      </c>
    </row>
    <row r="48" spans="1:20" x14ac:dyDescent="0.25">
      <c r="A48">
        <v>13</v>
      </c>
      <c r="B48">
        <v>500089</v>
      </c>
      <c r="C48" t="s">
        <v>15</v>
      </c>
      <c r="D48">
        <v>2018</v>
      </c>
      <c r="E48">
        <v>512.9000244140625</v>
      </c>
      <c r="G48" t="s">
        <v>465</v>
      </c>
      <c r="H48">
        <v>635</v>
      </c>
      <c r="I48">
        <v>332</v>
      </c>
      <c r="L48" t="s">
        <v>466</v>
      </c>
      <c r="O48">
        <f>IFERROR(VLOOKUP(B48,BSE_500_LIVE!A:E,3,FALSE),"")</f>
        <v>0</v>
      </c>
      <c r="P48">
        <f>IFERROR(VLOOKUP(B48,BSE_500_LIVE!A:E,4,FALSE),"")</f>
        <v>0</v>
      </c>
      <c r="Q48">
        <f>IFERROR(VLOOKUP(B48,BSE_500_LIVE!A:E,5,FALSE),"")</f>
        <v>0</v>
      </c>
      <c r="R48" t="str">
        <f t="shared" si="0"/>
        <v>MISMATCH_NEEDS_CORRECTION</v>
      </c>
      <c r="S48">
        <f t="shared" si="1"/>
        <v>0</v>
      </c>
      <c r="T48">
        <f>IFERROR(VLOOKUP(B48,BSE_500_LIVE!A:F,6,FALSE),"")</f>
        <v>0</v>
      </c>
    </row>
    <row r="49" spans="1:20" x14ac:dyDescent="0.25">
      <c r="A49">
        <v>13</v>
      </c>
      <c r="B49">
        <v>500089</v>
      </c>
      <c r="C49" t="s">
        <v>15</v>
      </c>
      <c r="D49">
        <v>2019</v>
      </c>
      <c r="E49">
        <v>512.9000244140625</v>
      </c>
      <c r="G49" t="s">
        <v>465</v>
      </c>
      <c r="H49">
        <v>424</v>
      </c>
      <c r="I49">
        <v>294.10000610351563</v>
      </c>
      <c r="L49" t="s">
        <v>466</v>
      </c>
      <c r="O49">
        <f>IFERROR(VLOOKUP(B49,BSE_500_LIVE!A:E,3,FALSE),"")</f>
        <v>0</v>
      </c>
      <c r="P49">
        <f>IFERROR(VLOOKUP(B49,BSE_500_LIVE!A:E,4,FALSE),"")</f>
        <v>0</v>
      </c>
      <c r="Q49">
        <f>IFERROR(VLOOKUP(B49,BSE_500_LIVE!A:E,5,FALSE),"")</f>
        <v>0</v>
      </c>
      <c r="R49" t="str">
        <f t="shared" si="0"/>
        <v>MISMATCH_NEEDS_CORRECTION</v>
      </c>
      <c r="S49">
        <f t="shared" si="1"/>
        <v>0</v>
      </c>
      <c r="T49">
        <f>IFERROR(VLOOKUP(B49,BSE_500_LIVE!A:F,6,FALSE),"")</f>
        <v>0</v>
      </c>
    </row>
    <row r="50" spans="1:20" x14ac:dyDescent="0.25">
      <c r="A50">
        <v>13</v>
      </c>
      <c r="B50">
        <v>500089</v>
      </c>
      <c r="C50" t="s">
        <v>15</v>
      </c>
      <c r="D50">
        <v>2020</v>
      </c>
      <c r="E50">
        <v>512.9000244140625</v>
      </c>
      <c r="G50" t="s">
        <v>465</v>
      </c>
      <c r="H50">
        <v>450</v>
      </c>
      <c r="I50">
        <v>242</v>
      </c>
      <c r="L50" t="s">
        <v>466</v>
      </c>
      <c r="O50">
        <f>IFERROR(VLOOKUP(B50,BSE_500_LIVE!A:E,3,FALSE),"")</f>
        <v>0</v>
      </c>
      <c r="P50">
        <f>IFERROR(VLOOKUP(B50,BSE_500_LIVE!A:E,4,FALSE),"")</f>
        <v>0</v>
      </c>
      <c r="Q50">
        <f>IFERROR(VLOOKUP(B50,BSE_500_LIVE!A:E,5,FALSE),"")</f>
        <v>0</v>
      </c>
      <c r="R50" t="str">
        <f t="shared" si="0"/>
        <v>MISMATCH_NEEDS_CORRECTION</v>
      </c>
      <c r="S50">
        <f t="shared" si="1"/>
        <v>0</v>
      </c>
      <c r="T50">
        <f>IFERROR(VLOOKUP(B50,BSE_500_LIVE!A:F,6,FALSE),"")</f>
        <v>0</v>
      </c>
    </row>
    <row r="51" spans="1:20" x14ac:dyDescent="0.25">
      <c r="A51">
        <v>13</v>
      </c>
      <c r="B51">
        <v>500089</v>
      </c>
      <c r="C51" t="s">
        <v>15</v>
      </c>
      <c r="D51">
        <v>2021</v>
      </c>
      <c r="E51">
        <v>512.9000244140625</v>
      </c>
      <c r="G51" t="s">
        <v>465</v>
      </c>
      <c r="H51">
        <v>549</v>
      </c>
      <c r="I51">
        <v>367.5</v>
      </c>
      <c r="L51" t="s">
        <v>466</v>
      </c>
      <c r="O51">
        <f>IFERROR(VLOOKUP(B51,BSE_500_LIVE!A:E,3,FALSE),"")</f>
        <v>0</v>
      </c>
      <c r="P51">
        <f>IFERROR(VLOOKUP(B51,BSE_500_LIVE!A:E,4,FALSE),"")</f>
        <v>0</v>
      </c>
      <c r="Q51">
        <f>IFERROR(VLOOKUP(B51,BSE_500_LIVE!A:E,5,FALSE),"")</f>
        <v>0</v>
      </c>
      <c r="R51" t="str">
        <f t="shared" si="0"/>
        <v>MISMATCH_NEEDS_CORRECTION</v>
      </c>
      <c r="S51">
        <f t="shared" si="1"/>
        <v>0</v>
      </c>
      <c r="T51">
        <f>IFERROR(VLOOKUP(B51,BSE_500_LIVE!A:F,6,FALSE),"")</f>
        <v>0</v>
      </c>
    </row>
    <row r="52" spans="1:20" x14ac:dyDescent="0.25">
      <c r="A52">
        <v>13</v>
      </c>
      <c r="B52">
        <v>500089</v>
      </c>
      <c r="C52" t="s">
        <v>15</v>
      </c>
      <c r="D52">
        <v>2022</v>
      </c>
      <c r="E52">
        <v>512.9000244140625</v>
      </c>
      <c r="G52" t="s">
        <v>465</v>
      </c>
      <c r="H52">
        <v>493.85000610351563</v>
      </c>
      <c r="I52">
        <v>321</v>
      </c>
      <c r="L52" t="s">
        <v>466</v>
      </c>
      <c r="O52">
        <f>IFERROR(VLOOKUP(B52,BSE_500_LIVE!A:E,3,FALSE),"")</f>
        <v>0</v>
      </c>
      <c r="P52">
        <f>IFERROR(VLOOKUP(B52,BSE_500_LIVE!A:E,4,FALSE),"")</f>
        <v>0</v>
      </c>
      <c r="Q52">
        <f>IFERROR(VLOOKUP(B52,BSE_500_LIVE!A:E,5,FALSE),"")</f>
        <v>0</v>
      </c>
      <c r="R52" t="str">
        <f t="shared" si="0"/>
        <v>MISMATCH_NEEDS_CORRECTION</v>
      </c>
      <c r="S52">
        <f t="shared" si="1"/>
        <v>0</v>
      </c>
      <c r="T52">
        <f>IFERROR(VLOOKUP(B52,BSE_500_LIVE!A:F,6,FALSE),"")</f>
        <v>0</v>
      </c>
    </row>
    <row r="53" spans="1:20" x14ac:dyDescent="0.25">
      <c r="A53">
        <v>13</v>
      </c>
      <c r="B53">
        <v>500089</v>
      </c>
      <c r="C53" t="s">
        <v>15</v>
      </c>
      <c r="D53">
        <v>2023</v>
      </c>
      <c r="E53">
        <v>512.9000244140625</v>
      </c>
      <c r="G53" t="s">
        <v>465</v>
      </c>
      <c r="H53">
        <v>544</v>
      </c>
      <c r="I53">
        <v>366</v>
      </c>
      <c r="L53" t="s">
        <v>466</v>
      </c>
      <c r="O53">
        <f>IFERROR(VLOOKUP(B53,BSE_500_LIVE!A:E,3,FALSE),"")</f>
        <v>0</v>
      </c>
      <c r="P53">
        <f>IFERROR(VLOOKUP(B53,BSE_500_LIVE!A:E,4,FALSE),"")</f>
        <v>0</v>
      </c>
      <c r="Q53">
        <f>IFERROR(VLOOKUP(B53,BSE_500_LIVE!A:E,5,FALSE),"")</f>
        <v>0</v>
      </c>
      <c r="R53" t="str">
        <f t="shared" si="0"/>
        <v>MISMATCH_NEEDS_CORRECTION</v>
      </c>
      <c r="S53">
        <f t="shared" si="1"/>
        <v>0</v>
      </c>
      <c r="T53">
        <f>IFERROR(VLOOKUP(B53,BSE_500_LIVE!A:F,6,FALSE),"")</f>
        <v>0</v>
      </c>
    </row>
    <row r="54" spans="1:20" x14ac:dyDescent="0.25">
      <c r="A54">
        <v>13</v>
      </c>
      <c r="B54">
        <v>500089</v>
      </c>
      <c r="C54" t="s">
        <v>15</v>
      </c>
      <c r="D54">
        <v>2024</v>
      </c>
      <c r="E54">
        <v>512.9000244140625</v>
      </c>
      <c r="G54" t="s">
        <v>465</v>
      </c>
      <c r="H54">
        <v>833</v>
      </c>
      <c r="I54">
        <v>414.20001220703119</v>
      </c>
      <c r="L54" t="s">
        <v>466</v>
      </c>
      <c r="O54">
        <f>IFERROR(VLOOKUP(B54,BSE_500_LIVE!A:E,3,FALSE),"")</f>
        <v>0</v>
      </c>
      <c r="P54">
        <f>IFERROR(VLOOKUP(B54,BSE_500_LIVE!A:E,4,FALSE),"")</f>
        <v>0</v>
      </c>
      <c r="Q54">
        <f>IFERROR(VLOOKUP(B54,BSE_500_LIVE!A:E,5,FALSE),"")</f>
        <v>0</v>
      </c>
      <c r="R54" t="str">
        <f t="shared" si="0"/>
        <v>MISMATCH_NEEDS_CORRECTION</v>
      </c>
      <c r="S54">
        <f t="shared" si="1"/>
        <v>0</v>
      </c>
      <c r="T54">
        <f>IFERROR(VLOOKUP(B54,BSE_500_LIVE!A:F,6,FALSE),"")</f>
        <v>0</v>
      </c>
    </row>
    <row r="55" spans="1:20" x14ac:dyDescent="0.25">
      <c r="A55">
        <v>13</v>
      </c>
      <c r="B55">
        <v>500089</v>
      </c>
      <c r="C55" t="s">
        <v>15</v>
      </c>
      <c r="D55">
        <v>2025</v>
      </c>
      <c r="E55">
        <v>512.9000244140625</v>
      </c>
      <c r="G55" t="s">
        <v>465</v>
      </c>
      <c r="H55">
        <v>739.9000244140625</v>
      </c>
      <c r="I55">
        <v>467.60000610351563</v>
      </c>
      <c r="L55" t="s">
        <v>466</v>
      </c>
      <c r="O55">
        <f>IFERROR(VLOOKUP(B55,BSE_500_LIVE!A:E,3,FALSE),"")</f>
        <v>0</v>
      </c>
      <c r="P55">
        <f>IFERROR(VLOOKUP(B55,BSE_500_LIVE!A:E,4,FALSE),"")</f>
        <v>0</v>
      </c>
      <c r="Q55">
        <f>IFERROR(VLOOKUP(B55,BSE_500_LIVE!A:E,5,FALSE),"")</f>
        <v>0</v>
      </c>
      <c r="R55" t="str">
        <f t="shared" si="0"/>
        <v>MISMATCH_NEEDS_CORRECTION</v>
      </c>
      <c r="S55">
        <f t="shared" si="1"/>
        <v>0</v>
      </c>
      <c r="T55">
        <f>IFERROR(VLOOKUP(B55,BSE_500_LIVE!A:F,6,FALSE),"")</f>
        <v>0</v>
      </c>
    </row>
    <row r="56" spans="1:20" x14ac:dyDescent="0.25">
      <c r="A56">
        <v>13</v>
      </c>
      <c r="B56">
        <v>500089</v>
      </c>
      <c r="C56" t="s">
        <v>15</v>
      </c>
      <c r="D56">
        <v>2026</v>
      </c>
      <c r="E56">
        <v>512.9000244140625</v>
      </c>
      <c r="G56" t="s">
        <v>465</v>
      </c>
      <c r="H56">
        <v>619.95001220703125</v>
      </c>
      <c r="I56">
        <v>452</v>
      </c>
      <c r="L56" t="s">
        <v>466</v>
      </c>
      <c r="O56">
        <f>IFERROR(VLOOKUP(B56,BSE_500_LIVE!A:E,3,FALSE),"")</f>
        <v>0</v>
      </c>
      <c r="P56">
        <f>IFERROR(VLOOKUP(B56,BSE_500_LIVE!A:E,4,FALSE),"")</f>
        <v>0</v>
      </c>
      <c r="Q56">
        <f>IFERROR(VLOOKUP(B56,BSE_500_LIVE!A:E,5,FALSE),"")</f>
        <v>0</v>
      </c>
      <c r="R56" t="str">
        <f t="shared" si="0"/>
        <v>MISMATCH_NEEDS_CORRECTION</v>
      </c>
      <c r="S56">
        <f t="shared" si="1"/>
        <v>0</v>
      </c>
      <c r="T56">
        <f>IFERROR(VLOOKUP(B56,BSE_500_LIVE!A:F,6,FALSE),"")</f>
        <v>0</v>
      </c>
    </row>
    <row r="57" spans="1:20" x14ac:dyDescent="0.25">
      <c r="A57">
        <v>16</v>
      </c>
      <c r="B57">
        <v>500112</v>
      </c>
      <c r="C57" t="s">
        <v>17</v>
      </c>
      <c r="D57">
        <v>2015</v>
      </c>
      <c r="E57">
        <v>1044.099975585938</v>
      </c>
      <c r="F57">
        <v>17.55</v>
      </c>
      <c r="G57" t="s">
        <v>465</v>
      </c>
      <c r="H57">
        <v>335.89999389648438</v>
      </c>
      <c r="I57">
        <v>221.25</v>
      </c>
      <c r="L57" t="s">
        <v>472</v>
      </c>
      <c r="M57">
        <v>19.13960079182247</v>
      </c>
      <c r="N57">
        <v>12.60683760683761</v>
      </c>
      <c r="O57">
        <v>1010.8</v>
      </c>
      <c r="P57">
        <v>1234.7</v>
      </c>
      <c r="Q57">
        <v>786.55</v>
      </c>
      <c r="R57" s="2" t="s">
        <v>467</v>
      </c>
      <c r="S57">
        <v>1010.8</v>
      </c>
      <c r="T57" t="s">
        <v>468</v>
      </c>
    </row>
    <row r="58" spans="1:20" x14ac:dyDescent="0.25">
      <c r="A58">
        <v>16</v>
      </c>
      <c r="B58">
        <v>500112</v>
      </c>
      <c r="C58" t="s">
        <v>17</v>
      </c>
      <c r="D58">
        <v>2016</v>
      </c>
      <c r="E58">
        <v>1044.099975585938</v>
      </c>
      <c r="F58">
        <v>12.82</v>
      </c>
      <c r="G58" t="s">
        <v>465</v>
      </c>
      <c r="H58">
        <v>288.5</v>
      </c>
      <c r="I58">
        <v>148.30000305175781</v>
      </c>
      <c r="L58" t="s">
        <v>473</v>
      </c>
      <c r="M58">
        <v>22.503900156006239</v>
      </c>
      <c r="N58">
        <v>11.56786295255521</v>
      </c>
      <c r="O58">
        <v>1010.8</v>
      </c>
      <c r="P58">
        <v>1234.7</v>
      </c>
      <c r="Q58">
        <v>786.55</v>
      </c>
      <c r="R58" s="2" t="s">
        <v>467</v>
      </c>
      <c r="S58">
        <v>1010.8</v>
      </c>
      <c r="T58" t="s">
        <v>468</v>
      </c>
    </row>
    <row r="59" spans="1:20" x14ac:dyDescent="0.25">
      <c r="A59">
        <v>16</v>
      </c>
      <c r="B59">
        <v>500112</v>
      </c>
      <c r="C59" t="s">
        <v>17</v>
      </c>
      <c r="D59">
        <v>2017</v>
      </c>
      <c r="E59">
        <v>1044.099975585938</v>
      </c>
      <c r="F59">
        <v>13.15</v>
      </c>
      <c r="G59" t="s">
        <v>465</v>
      </c>
      <c r="H59">
        <v>351.5</v>
      </c>
      <c r="I59">
        <v>241.1000061035156</v>
      </c>
      <c r="L59" t="s">
        <v>474</v>
      </c>
      <c r="M59">
        <v>26.730038022813691</v>
      </c>
      <c r="N59">
        <v>18.334601224601951</v>
      </c>
      <c r="O59">
        <v>1010.8</v>
      </c>
      <c r="P59">
        <v>1234.7</v>
      </c>
      <c r="Q59">
        <v>786.55</v>
      </c>
      <c r="R59" s="2" t="s">
        <v>467</v>
      </c>
      <c r="S59">
        <v>1010.8</v>
      </c>
      <c r="T59" t="s">
        <v>468</v>
      </c>
    </row>
    <row r="60" spans="1:20" x14ac:dyDescent="0.25">
      <c r="A60">
        <v>16</v>
      </c>
      <c r="B60">
        <v>500112</v>
      </c>
      <c r="C60" t="s">
        <v>17</v>
      </c>
      <c r="D60">
        <v>2018</v>
      </c>
      <c r="E60">
        <v>1044.099975585938</v>
      </c>
      <c r="F60">
        <v>-7.34</v>
      </c>
      <c r="G60" t="s">
        <v>465</v>
      </c>
      <c r="H60">
        <v>334.79998779296881</v>
      </c>
      <c r="I60">
        <v>232</v>
      </c>
      <c r="L60" t="s">
        <v>475</v>
      </c>
      <c r="M60">
        <v>-45.613077355990299</v>
      </c>
      <c r="N60">
        <v>-31.607629427792919</v>
      </c>
      <c r="O60">
        <v>1010.8</v>
      </c>
      <c r="P60">
        <v>1234.7</v>
      </c>
      <c r="Q60">
        <v>786.55</v>
      </c>
      <c r="R60" s="2" t="s">
        <v>467</v>
      </c>
      <c r="S60">
        <v>1010.8</v>
      </c>
      <c r="T60" t="s">
        <v>468</v>
      </c>
    </row>
    <row r="61" spans="1:20" x14ac:dyDescent="0.25">
      <c r="A61">
        <v>16</v>
      </c>
      <c r="B61">
        <v>500112</v>
      </c>
      <c r="C61" t="s">
        <v>17</v>
      </c>
      <c r="D61">
        <v>2019</v>
      </c>
      <c r="E61">
        <v>1044.099975585938</v>
      </c>
      <c r="F61">
        <v>1</v>
      </c>
      <c r="G61" t="s">
        <v>465</v>
      </c>
      <c r="H61">
        <v>373.70001220703119</v>
      </c>
      <c r="I61">
        <v>244.3500061035156</v>
      </c>
      <c r="L61" t="s">
        <v>476</v>
      </c>
      <c r="M61">
        <v>373.70001220703119</v>
      </c>
      <c r="N61">
        <v>244.3500061035156</v>
      </c>
      <c r="O61">
        <v>1010.8</v>
      </c>
      <c r="P61">
        <v>1234.7</v>
      </c>
      <c r="Q61">
        <v>786.55</v>
      </c>
      <c r="R61" s="2" t="s">
        <v>467</v>
      </c>
      <c r="S61">
        <v>1010.8</v>
      </c>
      <c r="T61" t="s">
        <v>468</v>
      </c>
    </row>
    <row r="62" spans="1:20" x14ac:dyDescent="0.25">
      <c r="A62">
        <v>16</v>
      </c>
      <c r="B62">
        <v>500112</v>
      </c>
      <c r="C62" t="s">
        <v>17</v>
      </c>
      <c r="D62">
        <v>2020</v>
      </c>
      <c r="E62">
        <v>1044.099975585938</v>
      </c>
      <c r="F62">
        <v>16</v>
      </c>
      <c r="G62" t="s">
        <v>465</v>
      </c>
      <c r="H62">
        <v>339.85000610351563</v>
      </c>
      <c r="I62">
        <v>149.55000305175781</v>
      </c>
      <c r="L62" t="s">
        <v>477</v>
      </c>
      <c r="M62">
        <v>21.24062538146973</v>
      </c>
      <c r="N62">
        <v>9.3468751907348633</v>
      </c>
      <c r="O62">
        <v>1010.8</v>
      </c>
      <c r="P62">
        <v>1234.7</v>
      </c>
      <c r="Q62">
        <v>786.55</v>
      </c>
      <c r="R62" s="2" t="s">
        <v>467</v>
      </c>
      <c r="S62">
        <v>1010.8</v>
      </c>
      <c r="T62" t="s">
        <v>468</v>
      </c>
    </row>
    <row r="63" spans="1:20" x14ac:dyDescent="0.25">
      <c r="A63">
        <v>16</v>
      </c>
      <c r="B63">
        <v>500112</v>
      </c>
      <c r="C63" t="s">
        <v>17</v>
      </c>
      <c r="D63">
        <v>2021</v>
      </c>
      <c r="E63">
        <v>1044.099975585938</v>
      </c>
      <c r="F63">
        <v>23</v>
      </c>
      <c r="G63" t="s">
        <v>465</v>
      </c>
      <c r="H63">
        <v>542.20001220703125</v>
      </c>
      <c r="I63">
        <v>269.54998779296881</v>
      </c>
      <c r="L63" t="s">
        <v>478</v>
      </c>
      <c r="M63">
        <v>23.57391357421875</v>
      </c>
      <c r="N63">
        <v>11.71956468665082</v>
      </c>
      <c r="O63">
        <v>1010.8</v>
      </c>
      <c r="P63">
        <v>1234.7</v>
      </c>
      <c r="Q63">
        <v>786.55</v>
      </c>
      <c r="R63" s="2" t="s">
        <v>467</v>
      </c>
      <c r="S63">
        <v>1010.8</v>
      </c>
      <c r="T63" t="s">
        <v>468</v>
      </c>
    </row>
    <row r="64" spans="1:20" x14ac:dyDescent="0.25">
      <c r="A64">
        <v>16</v>
      </c>
      <c r="B64">
        <v>500112</v>
      </c>
      <c r="C64" t="s">
        <v>17</v>
      </c>
      <c r="D64">
        <v>2022</v>
      </c>
      <c r="E64">
        <v>1044.099975585938</v>
      </c>
      <c r="F64">
        <v>38</v>
      </c>
      <c r="G64" t="s">
        <v>465</v>
      </c>
      <c r="H64">
        <v>629.6500244140625</v>
      </c>
      <c r="I64">
        <v>425</v>
      </c>
      <c r="L64" t="s">
        <v>479</v>
      </c>
      <c r="M64">
        <v>16.569737484580589</v>
      </c>
      <c r="N64">
        <v>11.184210526315789</v>
      </c>
      <c r="O64">
        <v>1010.8</v>
      </c>
      <c r="P64">
        <v>1234.7</v>
      </c>
      <c r="Q64">
        <v>786.55</v>
      </c>
      <c r="R64" s="2" t="s">
        <v>467</v>
      </c>
      <c r="S64">
        <v>1010.8</v>
      </c>
      <c r="T64" t="s">
        <v>468</v>
      </c>
    </row>
    <row r="65" spans="1:20" x14ac:dyDescent="0.25">
      <c r="A65">
        <v>16</v>
      </c>
      <c r="B65">
        <v>500112</v>
      </c>
      <c r="C65" t="s">
        <v>17</v>
      </c>
      <c r="D65">
        <v>2023</v>
      </c>
      <c r="E65">
        <v>1044.099975585938</v>
      </c>
      <c r="F65">
        <v>56</v>
      </c>
      <c r="G65" t="s">
        <v>465</v>
      </c>
      <c r="H65">
        <v>660.4000244140625</v>
      </c>
      <c r="I65">
        <v>499.35000610351563</v>
      </c>
      <c r="L65" t="s">
        <v>480</v>
      </c>
      <c r="M65">
        <v>11.79285757882255</v>
      </c>
      <c r="N65">
        <v>8.9169643947056354</v>
      </c>
      <c r="O65">
        <v>1010.8</v>
      </c>
      <c r="P65">
        <v>1234.7</v>
      </c>
      <c r="Q65">
        <v>786.55</v>
      </c>
      <c r="R65" s="2" t="s">
        <v>467</v>
      </c>
      <c r="S65">
        <v>1010.8</v>
      </c>
      <c r="T65" t="s">
        <v>468</v>
      </c>
    </row>
    <row r="66" spans="1:20" x14ac:dyDescent="0.25">
      <c r="A66">
        <v>16</v>
      </c>
      <c r="B66">
        <v>500112</v>
      </c>
      <c r="C66" t="s">
        <v>17</v>
      </c>
      <c r="D66">
        <v>2024</v>
      </c>
      <c r="E66">
        <v>1044.099975585938</v>
      </c>
      <c r="F66">
        <v>75</v>
      </c>
      <c r="G66" t="s">
        <v>465</v>
      </c>
      <c r="H66">
        <v>912.0999755859375</v>
      </c>
      <c r="I66">
        <v>600.70001220703125</v>
      </c>
      <c r="L66" t="s">
        <v>481</v>
      </c>
      <c r="M66">
        <v>12.1613330078125</v>
      </c>
      <c r="N66">
        <v>8.0093334960937508</v>
      </c>
      <c r="O66">
        <v>1010.8</v>
      </c>
      <c r="P66">
        <v>1234.7</v>
      </c>
      <c r="Q66">
        <v>786.55</v>
      </c>
      <c r="R66" s="2" t="s">
        <v>467</v>
      </c>
      <c r="S66">
        <v>1010.8</v>
      </c>
      <c r="T66" t="s">
        <v>468</v>
      </c>
    </row>
    <row r="67" spans="1:20" x14ac:dyDescent="0.25">
      <c r="A67">
        <v>16</v>
      </c>
      <c r="B67">
        <v>500112</v>
      </c>
      <c r="C67" t="s">
        <v>17</v>
      </c>
      <c r="D67">
        <v>2025</v>
      </c>
      <c r="E67">
        <v>1044.099975585938</v>
      </c>
      <c r="F67">
        <v>80</v>
      </c>
      <c r="G67" t="s">
        <v>465</v>
      </c>
      <c r="H67">
        <v>999.0999755859375</v>
      </c>
      <c r="I67">
        <v>679.6500244140625</v>
      </c>
      <c r="L67" t="s">
        <v>482</v>
      </c>
      <c r="M67">
        <v>12.48874969482422</v>
      </c>
      <c r="N67">
        <v>8.495625305175782</v>
      </c>
      <c r="O67">
        <v>1010.8</v>
      </c>
      <c r="P67">
        <v>1234.7</v>
      </c>
      <c r="Q67">
        <v>786.55</v>
      </c>
      <c r="R67" s="2" t="s">
        <v>467</v>
      </c>
      <c r="S67">
        <v>1010.8</v>
      </c>
      <c r="T67" t="s">
        <v>468</v>
      </c>
    </row>
    <row r="68" spans="1:20" x14ac:dyDescent="0.25">
      <c r="A68">
        <v>16</v>
      </c>
      <c r="B68">
        <v>500112</v>
      </c>
      <c r="C68" t="s">
        <v>17</v>
      </c>
      <c r="D68">
        <v>2026</v>
      </c>
      <c r="E68">
        <v>1044.099975585938</v>
      </c>
      <c r="F68">
        <v>85</v>
      </c>
      <c r="G68" t="s">
        <v>465</v>
      </c>
      <c r="H68">
        <v>1234.800048828125</v>
      </c>
      <c r="I68">
        <v>933.8499755859375</v>
      </c>
      <c r="L68" t="s">
        <v>483</v>
      </c>
      <c r="M68">
        <v>14.52705939797794</v>
      </c>
      <c r="N68">
        <v>10.98647030101103</v>
      </c>
      <c r="O68">
        <v>1010.8</v>
      </c>
      <c r="P68">
        <v>1234.7</v>
      </c>
      <c r="Q68">
        <v>786.55</v>
      </c>
      <c r="R68" s="2" t="s">
        <v>467</v>
      </c>
      <c r="S68">
        <v>1010.8</v>
      </c>
      <c r="T68" t="s">
        <v>468</v>
      </c>
    </row>
    <row r="69" spans="1:20" x14ac:dyDescent="0.25">
      <c r="A69">
        <v>21</v>
      </c>
      <c r="B69">
        <v>500128</v>
      </c>
      <c r="C69" t="s">
        <v>19</v>
      </c>
      <c r="D69">
        <v>2015</v>
      </c>
      <c r="E69">
        <v>74.629997253417969</v>
      </c>
      <c r="F69">
        <v>-3.25</v>
      </c>
      <c r="G69" t="s">
        <v>465</v>
      </c>
      <c r="H69">
        <v>27.20000076293945</v>
      </c>
      <c r="I69">
        <v>16</v>
      </c>
      <c r="L69" t="s">
        <v>471</v>
      </c>
      <c r="M69">
        <v>-8.3692310039813691</v>
      </c>
      <c r="N69">
        <v>-4.9230769230769234</v>
      </c>
      <c r="O69">
        <v>71.510000000000005</v>
      </c>
      <c r="P69">
        <v>138.69999999999999</v>
      </c>
      <c r="Q69">
        <v>66.010000000000005</v>
      </c>
      <c r="R69" s="2" t="s">
        <v>467</v>
      </c>
      <c r="S69">
        <v>71.510000000000005</v>
      </c>
      <c r="T69" t="s">
        <v>468</v>
      </c>
    </row>
    <row r="70" spans="1:20" x14ac:dyDescent="0.25">
      <c r="A70">
        <v>21</v>
      </c>
      <c r="B70">
        <v>500128</v>
      </c>
      <c r="C70" t="s">
        <v>19</v>
      </c>
      <c r="D70">
        <v>2016</v>
      </c>
      <c r="E70">
        <v>74.629997253417969</v>
      </c>
      <c r="F70">
        <v>-0.77</v>
      </c>
      <c r="G70" t="s">
        <v>465</v>
      </c>
      <c r="H70">
        <v>30.20000076293945</v>
      </c>
      <c r="I70">
        <v>16.75</v>
      </c>
      <c r="L70" t="s">
        <v>471</v>
      </c>
      <c r="M70">
        <v>-39.220780211609672</v>
      </c>
      <c r="N70">
        <v>-21.753246753246749</v>
      </c>
      <c r="O70">
        <v>71.510000000000005</v>
      </c>
      <c r="P70">
        <v>138.69999999999999</v>
      </c>
      <c r="Q70">
        <v>66.010000000000005</v>
      </c>
      <c r="R70" s="2" t="s">
        <v>467</v>
      </c>
      <c r="S70">
        <v>71.510000000000005</v>
      </c>
      <c r="T70" t="s">
        <v>468</v>
      </c>
    </row>
    <row r="71" spans="1:20" x14ac:dyDescent="0.25">
      <c r="A71">
        <v>21</v>
      </c>
      <c r="B71">
        <v>500128</v>
      </c>
      <c r="C71" t="s">
        <v>19</v>
      </c>
      <c r="D71">
        <v>2017</v>
      </c>
      <c r="E71">
        <v>74.629997253417969</v>
      </c>
      <c r="F71">
        <v>4.04</v>
      </c>
      <c r="G71" t="s">
        <v>465</v>
      </c>
      <c r="H71">
        <v>40.599998474121087</v>
      </c>
      <c r="I71">
        <v>23.14999961853027</v>
      </c>
      <c r="L71" t="s">
        <v>469</v>
      </c>
      <c r="M71">
        <v>10.049504572802251</v>
      </c>
      <c r="N71">
        <v>5.7301979253787794</v>
      </c>
      <c r="O71">
        <v>71.510000000000005</v>
      </c>
      <c r="P71">
        <v>138.69999999999999</v>
      </c>
      <c r="Q71">
        <v>66.010000000000005</v>
      </c>
      <c r="R71" s="2" t="s">
        <v>467</v>
      </c>
      <c r="S71">
        <v>71.510000000000005</v>
      </c>
      <c r="T71" t="s">
        <v>468</v>
      </c>
    </row>
    <row r="72" spans="1:20" x14ac:dyDescent="0.25">
      <c r="A72">
        <v>21</v>
      </c>
      <c r="B72">
        <v>500128</v>
      </c>
      <c r="C72" t="s">
        <v>19</v>
      </c>
      <c r="D72">
        <v>2018</v>
      </c>
      <c r="E72">
        <v>74.629997253417969</v>
      </c>
      <c r="F72">
        <v>3.47</v>
      </c>
      <c r="G72" t="s">
        <v>465</v>
      </c>
      <c r="H72">
        <v>44.599998474121087</v>
      </c>
      <c r="I72">
        <v>16.14999961853027</v>
      </c>
      <c r="L72" t="s">
        <v>469</v>
      </c>
      <c r="M72">
        <v>12.85302549686487</v>
      </c>
      <c r="N72">
        <v>4.6541785644179452</v>
      </c>
      <c r="O72">
        <v>71.510000000000005</v>
      </c>
      <c r="P72">
        <v>138.69999999999999</v>
      </c>
      <c r="Q72">
        <v>66.010000000000005</v>
      </c>
      <c r="R72" s="2" t="s">
        <v>467</v>
      </c>
      <c r="S72">
        <v>71.510000000000005</v>
      </c>
      <c r="T72" t="s">
        <v>468</v>
      </c>
    </row>
    <row r="73" spans="1:20" x14ac:dyDescent="0.25">
      <c r="A73">
        <v>21</v>
      </c>
      <c r="B73">
        <v>500128</v>
      </c>
      <c r="C73" t="s">
        <v>19</v>
      </c>
      <c r="D73">
        <v>2019</v>
      </c>
      <c r="E73">
        <v>74.629997253417969</v>
      </c>
      <c r="F73">
        <v>0.94</v>
      </c>
      <c r="G73" t="s">
        <v>465</v>
      </c>
      <c r="H73">
        <v>23</v>
      </c>
      <c r="I73">
        <v>10.39999961853027</v>
      </c>
      <c r="L73" t="s">
        <v>469</v>
      </c>
      <c r="M73">
        <v>24.468085106382979</v>
      </c>
      <c r="N73">
        <v>11.06382938141518</v>
      </c>
      <c r="O73">
        <v>71.510000000000005</v>
      </c>
      <c r="P73">
        <v>138.69999999999999</v>
      </c>
      <c r="Q73">
        <v>66.010000000000005</v>
      </c>
      <c r="R73" s="2" t="s">
        <v>467</v>
      </c>
      <c r="S73">
        <v>71.510000000000005</v>
      </c>
      <c r="T73" t="s">
        <v>468</v>
      </c>
    </row>
    <row r="74" spans="1:20" x14ac:dyDescent="0.25">
      <c r="A74">
        <v>21</v>
      </c>
      <c r="B74">
        <v>500128</v>
      </c>
      <c r="C74" t="s">
        <v>19</v>
      </c>
      <c r="D74">
        <v>2020</v>
      </c>
      <c r="E74">
        <v>74.629997253417969</v>
      </c>
      <c r="F74">
        <v>3.72</v>
      </c>
      <c r="G74" t="s">
        <v>465</v>
      </c>
      <c r="H74">
        <v>27</v>
      </c>
      <c r="I74">
        <v>7.559999942779541</v>
      </c>
      <c r="L74" t="s">
        <v>469</v>
      </c>
      <c r="M74">
        <v>7.258064516129032</v>
      </c>
      <c r="N74">
        <v>2.0322580491342852</v>
      </c>
      <c r="O74">
        <v>71.510000000000005</v>
      </c>
      <c r="P74">
        <v>138.69999999999999</v>
      </c>
      <c r="Q74">
        <v>66.010000000000005</v>
      </c>
      <c r="R74" s="2" t="s">
        <v>467</v>
      </c>
      <c r="S74">
        <v>71.510000000000005</v>
      </c>
      <c r="T74" t="s">
        <v>468</v>
      </c>
    </row>
    <row r="75" spans="1:20" x14ac:dyDescent="0.25">
      <c r="A75">
        <v>21</v>
      </c>
      <c r="B75">
        <v>500128</v>
      </c>
      <c r="C75" t="s">
        <v>19</v>
      </c>
      <c r="D75">
        <v>2021</v>
      </c>
      <c r="E75">
        <v>74.629997253417969</v>
      </c>
      <c r="F75">
        <v>-2.11</v>
      </c>
      <c r="G75" t="s">
        <v>465</v>
      </c>
      <c r="H75">
        <v>44.200000762939453</v>
      </c>
      <c r="I75">
        <v>20.89999961853027</v>
      </c>
      <c r="L75" t="s">
        <v>471</v>
      </c>
      <c r="M75">
        <v>-20.947867660160881</v>
      </c>
      <c r="N75">
        <v>-9.9052130893508394</v>
      </c>
      <c r="O75">
        <v>71.510000000000005</v>
      </c>
      <c r="P75">
        <v>138.69999999999999</v>
      </c>
      <c r="Q75">
        <v>66.010000000000005</v>
      </c>
      <c r="R75" s="2" t="s">
        <v>467</v>
      </c>
      <c r="S75">
        <v>71.510000000000005</v>
      </c>
      <c r="T75" t="s">
        <v>468</v>
      </c>
    </row>
    <row r="76" spans="1:20" x14ac:dyDescent="0.25">
      <c r="A76">
        <v>21</v>
      </c>
      <c r="B76">
        <v>500128</v>
      </c>
      <c r="C76" t="s">
        <v>19</v>
      </c>
      <c r="D76">
        <v>2022</v>
      </c>
      <c r="E76">
        <v>74.629997253417969</v>
      </c>
      <c r="F76">
        <v>5.84</v>
      </c>
      <c r="G76" t="s">
        <v>465</v>
      </c>
      <c r="H76">
        <v>48</v>
      </c>
      <c r="I76">
        <v>26.5</v>
      </c>
      <c r="L76" t="s">
        <v>469</v>
      </c>
      <c r="M76">
        <v>8.2191780821917817</v>
      </c>
      <c r="N76">
        <v>4.5376712328767121</v>
      </c>
      <c r="O76">
        <v>71.510000000000005</v>
      </c>
      <c r="P76">
        <v>138.69999999999999</v>
      </c>
      <c r="Q76">
        <v>66.010000000000005</v>
      </c>
      <c r="R76" s="2" t="s">
        <v>467</v>
      </c>
      <c r="S76">
        <v>71.510000000000005</v>
      </c>
      <c r="T76" t="s">
        <v>468</v>
      </c>
    </row>
    <row r="77" spans="1:20" x14ac:dyDescent="0.25">
      <c r="A77">
        <v>21</v>
      </c>
      <c r="B77">
        <v>500128</v>
      </c>
      <c r="C77" t="s">
        <v>19</v>
      </c>
      <c r="D77">
        <v>2023</v>
      </c>
      <c r="E77">
        <v>74.629997253417969</v>
      </c>
      <c r="F77">
        <v>5.31</v>
      </c>
      <c r="G77" t="s">
        <v>465</v>
      </c>
      <c r="H77">
        <v>119.40000152587891</v>
      </c>
      <c r="I77">
        <v>31.39999961853027</v>
      </c>
      <c r="L77" t="s">
        <v>469</v>
      </c>
      <c r="M77">
        <v>22.485875993574179</v>
      </c>
      <c r="N77">
        <v>5.9133709262768877</v>
      </c>
      <c r="O77">
        <v>71.510000000000005</v>
      </c>
      <c r="P77">
        <v>138.69999999999999</v>
      </c>
      <c r="Q77">
        <v>66.010000000000005</v>
      </c>
      <c r="R77" s="2" t="s">
        <v>467</v>
      </c>
      <c r="S77">
        <v>71.510000000000005</v>
      </c>
      <c r="T77" t="s">
        <v>468</v>
      </c>
    </row>
    <row r="78" spans="1:20" x14ac:dyDescent="0.25">
      <c r="A78">
        <v>21</v>
      </c>
      <c r="B78">
        <v>500128</v>
      </c>
      <c r="C78" t="s">
        <v>19</v>
      </c>
      <c r="D78">
        <v>2024</v>
      </c>
      <c r="E78">
        <v>74.629997253417969</v>
      </c>
      <c r="F78">
        <v>11.97</v>
      </c>
      <c r="G78" t="s">
        <v>465</v>
      </c>
      <c r="H78">
        <v>236.6499938964844</v>
      </c>
      <c r="I78">
        <v>107.3000030517578</v>
      </c>
      <c r="L78" t="s">
        <v>469</v>
      </c>
      <c r="M78">
        <v>19.77025847088424</v>
      </c>
      <c r="N78">
        <v>8.9640771137642261</v>
      </c>
      <c r="O78">
        <v>71.510000000000005</v>
      </c>
      <c r="P78">
        <v>138.69999999999999</v>
      </c>
      <c r="Q78">
        <v>66.010000000000005</v>
      </c>
      <c r="R78" s="2" t="s">
        <v>467</v>
      </c>
      <c r="S78">
        <v>71.510000000000005</v>
      </c>
      <c r="T78" t="s">
        <v>468</v>
      </c>
    </row>
    <row r="79" spans="1:20" x14ac:dyDescent="0.25">
      <c r="A79">
        <v>21</v>
      </c>
      <c r="B79">
        <v>500128</v>
      </c>
      <c r="C79" t="s">
        <v>19</v>
      </c>
      <c r="D79">
        <v>2025</v>
      </c>
      <c r="E79">
        <v>74.629997253417969</v>
      </c>
      <c r="F79">
        <v>11.48</v>
      </c>
      <c r="G79" t="s">
        <v>465</v>
      </c>
      <c r="H79">
        <v>148.30000305175781</v>
      </c>
      <c r="I79">
        <v>66.010002136230469</v>
      </c>
      <c r="L79" t="s">
        <v>469</v>
      </c>
      <c r="M79">
        <v>12.91811873273152</v>
      </c>
      <c r="N79">
        <v>5.7500001860827936</v>
      </c>
      <c r="O79">
        <v>71.510000000000005</v>
      </c>
      <c r="P79">
        <v>138.69999999999999</v>
      </c>
      <c r="Q79">
        <v>66.010000000000005</v>
      </c>
      <c r="R79" s="2" t="s">
        <v>467</v>
      </c>
      <c r="S79">
        <v>71.510000000000005</v>
      </c>
      <c r="T79" t="s">
        <v>468</v>
      </c>
    </row>
    <row r="80" spans="1:20" x14ac:dyDescent="0.25">
      <c r="A80">
        <v>21</v>
      </c>
      <c r="B80">
        <v>500128</v>
      </c>
      <c r="C80" t="s">
        <v>19</v>
      </c>
      <c r="D80">
        <v>2026</v>
      </c>
      <c r="E80">
        <v>74.629997253417969</v>
      </c>
      <c r="F80">
        <v>2.61</v>
      </c>
      <c r="G80" t="s">
        <v>465</v>
      </c>
      <c r="H80">
        <v>95.80999755859375</v>
      </c>
      <c r="I80">
        <v>60.130001068115227</v>
      </c>
      <c r="L80" t="s">
        <v>469</v>
      </c>
      <c r="M80">
        <v>36.708811325131713</v>
      </c>
      <c r="N80">
        <v>23.038314585484759</v>
      </c>
      <c r="O80">
        <v>71.510000000000005</v>
      </c>
      <c r="P80">
        <v>138.69999999999999</v>
      </c>
      <c r="Q80">
        <v>66.010000000000005</v>
      </c>
      <c r="R80" s="2" t="s">
        <v>467</v>
      </c>
      <c r="S80">
        <v>71.510000000000005</v>
      </c>
      <c r="T80" t="s">
        <v>468</v>
      </c>
    </row>
    <row r="81" spans="1:20" x14ac:dyDescent="0.25">
      <c r="A81">
        <v>24</v>
      </c>
      <c r="B81">
        <v>500143</v>
      </c>
      <c r="C81" t="s">
        <v>21</v>
      </c>
      <c r="D81">
        <v>2015</v>
      </c>
      <c r="E81">
        <v>1003.599975585938</v>
      </c>
      <c r="F81">
        <v>-0.16</v>
      </c>
      <c r="G81" t="s">
        <v>465</v>
      </c>
      <c r="H81">
        <v>22.20000076293945</v>
      </c>
      <c r="I81">
        <v>7.130000114440918</v>
      </c>
      <c r="L81" t="s">
        <v>484</v>
      </c>
      <c r="M81">
        <v>60.000002061998522</v>
      </c>
      <c r="N81">
        <v>19.270270579570049</v>
      </c>
      <c r="O81">
        <v>185.6</v>
      </c>
      <c r="P81">
        <v>393.4</v>
      </c>
      <c r="Q81">
        <v>97.75</v>
      </c>
      <c r="R81" s="3" t="s">
        <v>470</v>
      </c>
      <c r="S81">
        <v>185.6</v>
      </c>
      <c r="T81" t="s">
        <v>468</v>
      </c>
    </row>
    <row r="82" spans="1:20" x14ac:dyDescent="0.25">
      <c r="A82">
        <v>24</v>
      </c>
      <c r="B82">
        <v>500143</v>
      </c>
      <c r="C82" t="s">
        <v>21</v>
      </c>
      <c r="D82">
        <v>2016</v>
      </c>
      <c r="E82">
        <v>1003.599975585938</v>
      </c>
      <c r="F82">
        <v>21.53</v>
      </c>
      <c r="G82" t="s">
        <v>465</v>
      </c>
      <c r="H82">
        <v>41.299999237060547</v>
      </c>
      <c r="I82">
        <v>14.25</v>
      </c>
      <c r="L82" t="s">
        <v>469</v>
      </c>
      <c r="M82">
        <v>1.9182535641923151</v>
      </c>
      <c r="N82">
        <v>0.66186716209939611</v>
      </c>
      <c r="O82">
        <v>185.6</v>
      </c>
      <c r="P82">
        <v>393.4</v>
      </c>
      <c r="Q82">
        <v>97.75</v>
      </c>
      <c r="R82" s="3" t="s">
        <v>470</v>
      </c>
      <c r="S82">
        <v>185.6</v>
      </c>
      <c r="T82" t="s">
        <v>468</v>
      </c>
    </row>
    <row r="83" spans="1:20" x14ac:dyDescent="0.25">
      <c r="A83">
        <v>24</v>
      </c>
      <c r="B83">
        <v>500143</v>
      </c>
      <c r="C83" t="s">
        <v>21</v>
      </c>
      <c r="D83">
        <v>2017</v>
      </c>
      <c r="E83">
        <v>1003.599975585938</v>
      </c>
      <c r="F83">
        <v>-0.16</v>
      </c>
      <c r="G83" t="s">
        <v>465</v>
      </c>
      <c r="H83">
        <v>53.650001525878913</v>
      </c>
      <c r="I83">
        <v>24.79999923706055</v>
      </c>
      <c r="L83" t="s">
        <v>471</v>
      </c>
      <c r="M83">
        <v>-268.25000762939447</v>
      </c>
      <c r="N83">
        <v>-123.99999618530271</v>
      </c>
      <c r="O83">
        <v>185.6</v>
      </c>
      <c r="P83">
        <v>393.4</v>
      </c>
      <c r="Q83">
        <v>97.75</v>
      </c>
      <c r="R83" s="3" t="s">
        <v>470</v>
      </c>
      <c r="S83">
        <v>185.6</v>
      </c>
      <c r="T83" t="s">
        <v>468</v>
      </c>
    </row>
    <row r="84" spans="1:20" x14ac:dyDescent="0.25">
      <c r="A84">
        <v>24</v>
      </c>
      <c r="B84">
        <v>500143</v>
      </c>
      <c r="C84" t="s">
        <v>21</v>
      </c>
      <c r="D84">
        <v>2018</v>
      </c>
      <c r="E84">
        <v>1003.599975585938</v>
      </c>
      <c r="F84">
        <v>5.63</v>
      </c>
      <c r="G84" t="s">
        <v>465</v>
      </c>
      <c r="H84">
        <v>44.849998474121087</v>
      </c>
      <c r="I84">
        <v>17.85000038146973</v>
      </c>
      <c r="L84" t="s">
        <v>469</v>
      </c>
      <c r="M84">
        <v>7.9662519492222179</v>
      </c>
      <c r="N84">
        <v>3.1705151654475539</v>
      </c>
      <c r="O84">
        <v>185.6</v>
      </c>
      <c r="P84">
        <v>393.4</v>
      </c>
      <c r="Q84">
        <v>97.75</v>
      </c>
      <c r="R84" s="3" t="s">
        <v>470</v>
      </c>
      <c r="S84">
        <v>185.6</v>
      </c>
      <c r="T84" t="s">
        <v>468</v>
      </c>
    </row>
    <row r="85" spans="1:20" x14ac:dyDescent="0.25">
      <c r="A85">
        <v>24</v>
      </c>
      <c r="B85">
        <v>500143</v>
      </c>
      <c r="C85" t="s">
        <v>21</v>
      </c>
      <c r="D85">
        <v>2019</v>
      </c>
      <c r="E85">
        <v>1003.599975585938</v>
      </c>
      <c r="F85">
        <v>-1.47</v>
      </c>
      <c r="G85" t="s">
        <v>465</v>
      </c>
      <c r="H85">
        <v>17.85000038146973</v>
      </c>
      <c r="I85">
        <v>8.8500003814697266</v>
      </c>
      <c r="L85" t="s">
        <v>471</v>
      </c>
      <c r="M85">
        <v>-12.142857402360359</v>
      </c>
      <c r="N85">
        <v>-6.0204084227685213</v>
      </c>
      <c r="O85">
        <v>185.6</v>
      </c>
      <c r="P85">
        <v>393.4</v>
      </c>
      <c r="Q85">
        <v>97.75</v>
      </c>
      <c r="R85" s="3" t="s">
        <v>470</v>
      </c>
      <c r="S85">
        <v>185.6</v>
      </c>
      <c r="T85" t="s">
        <v>468</v>
      </c>
    </row>
    <row r="86" spans="1:20" x14ac:dyDescent="0.25">
      <c r="A86">
        <v>24</v>
      </c>
      <c r="B86">
        <v>500143</v>
      </c>
      <c r="C86" t="s">
        <v>21</v>
      </c>
      <c r="D86">
        <v>2020</v>
      </c>
      <c r="E86">
        <v>1003.599975585938</v>
      </c>
      <c r="F86">
        <v>-8.9</v>
      </c>
      <c r="G86" t="s">
        <v>465</v>
      </c>
      <c r="H86">
        <v>26.20000076293945</v>
      </c>
      <c r="I86">
        <v>9.25</v>
      </c>
      <c r="L86" t="s">
        <v>471</v>
      </c>
      <c r="M86">
        <v>-2.9438203104426348</v>
      </c>
      <c r="N86">
        <v>-1.039325842696629</v>
      </c>
      <c r="O86">
        <v>185.6</v>
      </c>
      <c r="P86">
        <v>393.4</v>
      </c>
      <c r="Q86">
        <v>97.75</v>
      </c>
      <c r="R86" s="3" t="s">
        <v>470</v>
      </c>
      <c r="S86">
        <v>185.6</v>
      </c>
      <c r="T86" t="s">
        <v>468</v>
      </c>
    </row>
    <row r="87" spans="1:20" x14ac:dyDescent="0.25">
      <c r="A87">
        <v>24</v>
      </c>
      <c r="B87">
        <v>500143</v>
      </c>
      <c r="C87" t="s">
        <v>21</v>
      </c>
      <c r="D87">
        <v>2021</v>
      </c>
      <c r="E87">
        <v>1003.599975585938</v>
      </c>
      <c r="F87">
        <v>34.33</v>
      </c>
      <c r="G87" t="s">
        <v>465</v>
      </c>
      <c r="H87">
        <v>151.05000305175781</v>
      </c>
      <c r="I87">
        <v>17</v>
      </c>
      <c r="L87" t="s">
        <v>469</v>
      </c>
      <c r="M87">
        <v>4.3999418308114713</v>
      </c>
      <c r="N87">
        <v>0.49519370812700259</v>
      </c>
      <c r="O87">
        <v>185.6</v>
      </c>
      <c r="P87">
        <v>393.4</v>
      </c>
      <c r="Q87">
        <v>97.75</v>
      </c>
      <c r="R87" s="3" t="s">
        <v>470</v>
      </c>
      <c r="S87">
        <v>185.6</v>
      </c>
      <c r="T87" t="s">
        <v>468</v>
      </c>
    </row>
    <row r="88" spans="1:20" x14ac:dyDescent="0.25">
      <c r="A88">
        <v>24</v>
      </c>
      <c r="B88">
        <v>500143</v>
      </c>
      <c r="C88" t="s">
        <v>21</v>
      </c>
      <c r="D88">
        <v>2022</v>
      </c>
      <c r="E88">
        <v>1003.599975585938</v>
      </c>
      <c r="F88">
        <v>38.700000000000003</v>
      </c>
      <c r="G88" t="s">
        <v>465</v>
      </c>
      <c r="H88">
        <v>220.55000305175781</v>
      </c>
      <c r="I88">
        <v>58</v>
      </c>
      <c r="L88" t="s">
        <v>469</v>
      </c>
      <c r="M88">
        <v>5.6989664871255243</v>
      </c>
      <c r="N88">
        <v>1.4987080103359169</v>
      </c>
      <c r="O88">
        <v>185.6</v>
      </c>
      <c r="P88">
        <v>393.4</v>
      </c>
      <c r="Q88">
        <v>97.75</v>
      </c>
      <c r="R88" s="3" t="s">
        <v>470</v>
      </c>
      <c r="S88">
        <v>185.6</v>
      </c>
      <c r="T88" t="s">
        <v>468</v>
      </c>
    </row>
    <row r="89" spans="1:20" x14ac:dyDescent="0.25">
      <c r="A89">
        <v>24</v>
      </c>
      <c r="B89">
        <v>500143</v>
      </c>
      <c r="C89" t="s">
        <v>21</v>
      </c>
      <c r="D89">
        <v>2023</v>
      </c>
      <c r="E89">
        <v>1003.599975585938</v>
      </c>
      <c r="F89">
        <v>-12.53</v>
      </c>
      <c r="G89" t="s">
        <v>465</v>
      </c>
      <c r="H89">
        <v>122.2799987792969</v>
      </c>
      <c r="I89">
        <v>55.209999084472663</v>
      </c>
      <c r="L89" t="s">
        <v>471</v>
      </c>
      <c r="M89">
        <v>-9.7589783542934487</v>
      </c>
      <c r="N89">
        <v>-4.4062249867895176</v>
      </c>
      <c r="O89">
        <v>185.6</v>
      </c>
      <c r="P89">
        <v>393.4</v>
      </c>
      <c r="Q89">
        <v>97.75</v>
      </c>
      <c r="R89" s="3" t="s">
        <v>470</v>
      </c>
      <c r="S89">
        <v>185.6</v>
      </c>
      <c r="T89" t="s">
        <v>468</v>
      </c>
    </row>
    <row r="90" spans="1:20" x14ac:dyDescent="0.25">
      <c r="A90">
        <v>24</v>
      </c>
      <c r="B90">
        <v>500143</v>
      </c>
      <c r="C90" t="s">
        <v>21</v>
      </c>
      <c r="D90">
        <v>2024</v>
      </c>
      <c r="E90">
        <v>1003.599975585938</v>
      </c>
      <c r="F90">
        <v>67.099999999999994</v>
      </c>
      <c r="G90" t="s">
        <v>465</v>
      </c>
      <c r="H90">
        <v>393.39999389648438</v>
      </c>
      <c r="I90">
        <v>97.75</v>
      </c>
      <c r="L90" t="s">
        <v>469</v>
      </c>
      <c r="M90">
        <v>5.8628911161920181</v>
      </c>
      <c r="N90">
        <v>1.456780923994039</v>
      </c>
      <c r="O90">
        <v>185.6</v>
      </c>
      <c r="P90">
        <v>393.4</v>
      </c>
      <c r="Q90">
        <v>97.75</v>
      </c>
      <c r="R90" s="3" t="s">
        <v>470</v>
      </c>
      <c r="S90">
        <v>185.6</v>
      </c>
      <c r="T90" t="s">
        <v>468</v>
      </c>
    </row>
    <row r="91" spans="1:20" x14ac:dyDescent="0.25">
      <c r="A91">
        <v>24</v>
      </c>
      <c r="B91">
        <v>500143</v>
      </c>
      <c r="C91" t="s">
        <v>21</v>
      </c>
      <c r="D91">
        <v>2025</v>
      </c>
      <c r="E91">
        <v>1003.599975585938</v>
      </c>
      <c r="F91">
        <v>26.17</v>
      </c>
      <c r="G91" t="s">
        <v>465</v>
      </c>
      <c r="H91">
        <v>415.64999389648438</v>
      </c>
      <c r="I91">
        <v>148.6000061035156</v>
      </c>
      <c r="L91" t="s">
        <v>469</v>
      </c>
      <c r="M91">
        <v>15.882689869945899</v>
      </c>
      <c r="N91">
        <v>5.6782577800349863</v>
      </c>
      <c r="O91">
        <v>185.6</v>
      </c>
      <c r="P91">
        <v>393.4</v>
      </c>
      <c r="Q91">
        <v>97.75</v>
      </c>
      <c r="R91" s="3" t="s">
        <v>470</v>
      </c>
      <c r="S91">
        <v>185.6</v>
      </c>
      <c r="T91" t="s">
        <v>468</v>
      </c>
    </row>
    <row r="92" spans="1:20" x14ac:dyDescent="0.25">
      <c r="A92">
        <v>24</v>
      </c>
      <c r="B92">
        <v>500143</v>
      </c>
      <c r="C92" t="s">
        <v>21</v>
      </c>
      <c r="D92">
        <v>2026</v>
      </c>
      <c r="E92">
        <v>1003.599975585938</v>
      </c>
      <c r="F92">
        <v>10.8</v>
      </c>
      <c r="G92" t="s">
        <v>465</v>
      </c>
      <c r="H92">
        <v>1035</v>
      </c>
      <c r="I92">
        <v>430.29998779296881</v>
      </c>
      <c r="L92" t="s">
        <v>469</v>
      </c>
      <c r="M92">
        <v>95.833333333333329</v>
      </c>
      <c r="N92">
        <v>39.842591462311923</v>
      </c>
      <c r="O92">
        <v>185.6</v>
      </c>
      <c r="P92">
        <v>393.4</v>
      </c>
      <c r="Q92">
        <v>97.75</v>
      </c>
      <c r="R92" s="3" t="s">
        <v>470</v>
      </c>
      <c r="S92">
        <v>185.6</v>
      </c>
      <c r="T92" t="s">
        <v>468</v>
      </c>
    </row>
    <row r="93" spans="1:20" x14ac:dyDescent="0.25">
      <c r="A93">
        <v>25</v>
      </c>
      <c r="B93">
        <v>500147</v>
      </c>
      <c r="C93" t="s">
        <v>23</v>
      </c>
      <c r="D93">
        <v>2015</v>
      </c>
      <c r="E93">
        <v>8848.5</v>
      </c>
      <c r="F93">
        <v>3.42</v>
      </c>
      <c r="G93" t="s">
        <v>465</v>
      </c>
      <c r="H93">
        <v>557</v>
      </c>
      <c r="I93">
        <v>340</v>
      </c>
      <c r="L93" t="s">
        <v>466</v>
      </c>
      <c r="O93">
        <v>5760.95</v>
      </c>
      <c r="P93">
        <v>6443</v>
      </c>
      <c r="Q93">
        <v>3051.25</v>
      </c>
      <c r="R93" s="3" t="s">
        <v>470</v>
      </c>
      <c r="S93">
        <v>5760.95</v>
      </c>
      <c r="T93" t="s">
        <v>468</v>
      </c>
    </row>
    <row r="94" spans="1:20" x14ac:dyDescent="0.25">
      <c r="A94">
        <v>25</v>
      </c>
      <c r="B94">
        <v>500147</v>
      </c>
      <c r="C94" t="s">
        <v>23</v>
      </c>
      <c r="D94">
        <v>2016</v>
      </c>
      <c r="E94">
        <v>8848.5</v>
      </c>
      <c r="F94">
        <v>26.57</v>
      </c>
      <c r="G94" t="s">
        <v>465</v>
      </c>
      <c r="H94">
        <v>557</v>
      </c>
      <c r="I94">
        <v>345.20001220703119</v>
      </c>
      <c r="L94" t="s">
        <v>469</v>
      </c>
      <c r="M94">
        <v>20.963492660895749</v>
      </c>
      <c r="N94">
        <v>12.992096808695189</v>
      </c>
      <c r="O94">
        <v>5760.95</v>
      </c>
      <c r="P94">
        <v>6443</v>
      </c>
      <c r="Q94">
        <v>3051.25</v>
      </c>
      <c r="R94" s="3" t="s">
        <v>470</v>
      </c>
      <c r="S94">
        <v>5760.95</v>
      </c>
      <c r="T94" t="s">
        <v>468</v>
      </c>
    </row>
    <row r="95" spans="1:20" x14ac:dyDescent="0.25">
      <c r="A95">
        <v>25</v>
      </c>
      <c r="B95">
        <v>500147</v>
      </c>
      <c r="C95" t="s">
        <v>23</v>
      </c>
      <c r="D95">
        <v>2017</v>
      </c>
      <c r="E95">
        <v>8848.5</v>
      </c>
      <c r="F95">
        <v>11.73</v>
      </c>
      <c r="G95" t="s">
        <v>465</v>
      </c>
      <c r="H95">
        <v>1360</v>
      </c>
      <c r="I95">
        <v>408.5</v>
      </c>
      <c r="L95" t="s">
        <v>469</v>
      </c>
      <c r="M95">
        <v>115.94202898550721</v>
      </c>
      <c r="N95">
        <v>34.825234441602717</v>
      </c>
      <c r="O95">
        <v>5760.95</v>
      </c>
      <c r="P95">
        <v>6443</v>
      </c>
      <c r="Q95">
        <v>3051.25</v>
      </c>
      <c r="R95" s="3" t="s">
        <v>470</v>
      </c>
      <c r="S95">
        <v>5760.95</v>
      </c>
      <c r="T95" t="s">
        <v>468</v>
      </c>
    </row>
    <row r="96" spans="1:20" x14ac:dyDescent="0.25">
      <c r="A96">
        <v>25</v>
      </c>
      <c r="B96">
        <v>500147</v>
      </c>
      <c r="C96" t="s">
        <v>23</v>
      </c>
      <c r="D96">
        <v>2018</v>
      </c>
      <c r="E96">
        <v>8848.5</v>
      </c>
      <c r="F96">
        <v>13.61</v>
      </c>
      <c r="G96" t="s">
        <v>465</v>
      </c>
      <c r="H96">
        <v>1389</v>
      </c>
      <c r="I96">
        <v>627.0999755859375</v>
      </c>
      <c r="L96" t="s">
        <v>469</v>
      </c>
      <c r="M96">
        <v>102.05731080088169</v>
      </c>
      <c r="N96">
        <v>46.076412607342952</v>
      </c>
      <c r="O96">
        <v>5760.95</v>
      </c>
      <c r="P96">
        <v>6443</v>
      </c>
      <c r="Q96">
        <v>3051.25</v>
      </c>
      <c r="R96" s="3" t="s">
        <v>470</v>
      </c>
      <c r="S96">
        <v>5760.95</v>
      </c>
      <c r="T96" t="s">
        <v>468</v>
      </c>
    </row>
    <row r="97" spans="1:20" x14ac:dyDescent="0.25">
      <c r="A97">
        <v>25</v>
      </c>
      <c r="B97">
        <v>500147</v>
      </c>
      <c r="C97" t="s">
        <v>23</v>
      </c>
      <c r="D97">
        <v>2019</v>
      </c>
      <c r="E97">
        <v>8848.5</v>
      </c>
      <c r="F97">
        <v>71.08</v>
      </c>
      <c r="G97" t="s">
        <v>465</v>
      </c>
      <c r="H97">
        <v>1439.75</v>
      </c>
      <c r="I97">
        <v>740</v>
      </c>
      <c r="L97" t="s">
        <v>469</v>
      </c>
      <c r="M97">
        <v>20.2553460889139</v>
      </c>
      <c r="N97">
        <v>10.41080472706809</v>
      </c>
      <c r="O97">
        <v>5760.95</v>
      </c>
      <c r="P97">
        <v>6443</v>
      </c>
      <c r="Q97">
        <v>3051.25</v>
      </c>
      <c r="R97" s="3" t="s">
        <v>470</v>
      </c>
      <c r="S97">
        <v>5760.95</v>
      </c>
      <c r="T97" t="s">
        <v>468</v>
      </c>
    </row>
    <row r="98" spans="1:20" x14ac:dyDescent="0.25">
      <c r="A98">
        <v>25</v>
      </c>
      <c r="B98">
        <v>500147</v>
      </c>
      <c r="C98" t="s">
        <v>23</v>
      </c>
      <c r="D98">
        <v>2020</v>
      </c>
      <c r="E98">
        <v>8848.5</v>
      </c>
      <c r="F98">
        <v>48.1</v>
      </c>
      <c r="G98" t="s">
        <v>465</v>
      </c>
      <c r="H98">
        <v>1050</v>
      </c>
      <c r="I98">
        <v>340</v>
      </c>
      <c r="L98" t="s">
        <v>469</v>
      </c>
      <c r="M98">
        <v>21.829521829521831</v>
      </c>
      <c r="N98">
        <v>7.0686070686070694</v>
      </c>
      <c r="O98">
        <v>5760.95</v>
      </c>
      <c r="P98">
        <v>6443</v>
      </c>
      <c r="Q98">
        <v>3051.25</v>
      </c>
      <c r="R98" s="3" t="s">
        <v>470</v>
      </c>
      <c r="S98">
        <v>5760.95</v>
      </c>
      <c r="T98" t="s">
        <v>468</v>
      </c>
    </row>
    <row r="99" spans="1:20" x14ac:dyDescent="0.25">
      <c r="A99">
        <v>25</v>
      </c>
      <c r="B99">
        <v>500147</v>
      </c>
      <c r="C99" t="s">
        <v>23</v>
      </c>
      <c r="D99">
        <v>2021</v>
      </c>
      <c r="E99">
        <v>8848.5</v>
      </c>
      <c r="F99">
        <v>-58.85</v>
      </c>
      <c r="G99" t="s">
        <v>465</v>
      </c>
      <c r="H99">
        <v>1472.949951171875</v>
      </c>
      <c r="I99">
        <v>750</v>
      </c>
      <c r="L99" t="s">
        <v>471</v>
      </c>
      <c r="M99">
        <v>-25.028886171144858</v>
      </c>
      <c r="N99">
        <v>-12.74426508071368</v>
      </c>
      <c r="O99">
        <v>5760.95</v>
      </c>
      <c r="P99">
        <v>6443</v>
      </c>
      <c r="Q99">
        <v>3051.25</v>
      </c>
      <c r="R99" s="3" t="s">
        <v>470</v>
      </c>
      <c r="S99">
        <v>5760.95</v>
      </c>
      <c r="T99" t="s">
        <v>468</v>
      </c>
    </row>
    <row r="100" spans="1:20" x14ac:dyDescent="0.25">
      <c r="A100">
        <v>25</v>
      </c>
      <c r="B100">
        <v>500147</v>
      </c>
      <c r="C100" t="s">
        <v>23</v>
      </c>
      <c r="D100">
        <v>2022</v>
      </c>
      <c r="E100">
        <v>8848.5</v>
      </c>
      <c r="F100">
        <v>9.4</v>
      </c>
      <c r="G100" t="s">
        <v>465</v>
      </c>
      <c r="H100">
        <v>1835</v>
      </c>
      <c r="I100">
        <v>1000</v>
      </c>
      <c r="L100" t="s">
        <v>469</v>
      </c>
      <c r="M100">
        <v>195.21276595744681</v>
      </c>
      <c r="N100">
        <v>106.38297872340419</v>
      </c>
      <c r="O100">
        <v>5760.95</v>
      </c>
      <c r="P100">
        <v>6443</v>
      </c>
      <c r="Q100">
        <v>3051.25</v>
      </c>
      <c r="R100" s="3" t="s">
        <v>470</v>
      </c>
      <c r="S100">
        <v>5760.95</v>
      </c>
      <c r="T100" t="s">
        <v>468</v>
      </c>
    </row>
    <row r="101" spans="1:20" x14ac:dyDescent="0.25">
      <c r="A101">
        <v>25</v>
      </c>
      <c r="B101">
        <v>500147</v>
      </c>
      <c r="C101" t="s">
        <v>23</v>
      </c>
      <c r="D101">
        <v>2023</v>
      </c>
      <c r="E101">
        <v>8848.5</v>
      </c>
      <c r="F101">
        <v>43.83</v>
      </c>
      <c r="G101" t="s">
        <v>465</v>
      </c>
      <c r="H101">
        <v>3290</v>
      </c>
      <c r="I101">
        <v>1266.050048828125</v>
      </c>
      <c r="L101" t="s">
        <v>469</v>
      </c>
      <c r="M101">
        <v>75.062742413871774</v>
      </c>
      <c r="N101">
        <v>28.885467689439309</v>
      </c>
      <c r="O101">
        <v>5760.95</v>
      </c>
      <c r="P101">
        <v>6443</v>
      </c>
      <c r="Q101">
        <v>3051.25</v>
      </c>
      <c r="R101" s="3" t="s">
        <v>470</v>
      </c>
      <c r="S101">
        <v>5760.95</v>
      </c>
      <c r="T101" t="s">
        <v>468</v>
      </c>
    </row>
    <row r="102" spans="1:20" x14ac:dyDescent="0.25">
      <c r="A102">
        <v>25</v>
      </c>
      <c r="B102">
        <v>500147</v>
      </c>
      <c r="C102" t="s">
        <v>23</v>
      </c>
      <c r="D102">
        <v>2024</v>
      </c>
      <c r="E102">
        <v>8848.5</v>
      </c>
      <c r="F102">
        <v>-10.9</v>
      </c>
      <c r="G102" t="s">
        <v>465</v>
      </c>
      <c r="H102">
        <v>6443</v>
      </c>
      <c r="I102">
        <v>2910</v>
      </c>
      <c r="L102" t="s">
        <v>471</v>
      </c>
      <c r="M102">
        <v>-591.10091743119267</v>
      </c>
      <c r="N102">
        <v>-266.97247706422019</v>
      </c>
      <c r="O102">
        <v>5760.95</v>
      </c>
      <c r="P102">
        <v>6443</v>
      </c>
      <c r="Q102">
        <v>3051.25</v>
      </c>
      <c r="R102" s="3" t="s">
        <v>470</v>
      </c>
      <c r="S102">
        <v>5760.95</v>
      </c>
      <c r="T102" t="s">
        <v>468</v>
      </c>
    </row>
    <row r="103" spans="1:20" x14ac:dyDescent="0.25">
      <c r="A103">
        <v>25</v>
      </c>
      <c r="B103">
        <v>500147</v>
      </c>
      <c r="C103" t="s">
        <v>23</v>
      </c>
      <c r="D103">
        <v>2025</v>
      </c>
      <c r="E103">
        <v>8848.5</v>
      </c>
      <c r="F103">
        <v>20.88</v>
      </c>
      <c r="G103" t="s">
        <v>465</v>
      </c>
      <c r="H103">
        <v>6660</v>
      </c>
      <c r="I103">
        <v>2383</v>
      </c>
      <c r="L103" t="s">
        <v>469</v>
      </c>
      <c r="M103">
        <v>318.9655172413793</v>
      </c>
      <c r="N103">
        <v>114.12835249042151</v>
      </c>
      <c r="O103">
        <v>5760.95</v>
      </c>
      <c r="P103">
        <v>6443</v>
      </c>
      <c r="Q103">
        <v>3051.25</v>
      </c>
      <c r="R103" s="3" t="s">
        <v>470</v>
      </c>
      <c r="S103">
        <v>5760.95</v>
      </c>
      <c r="T103" t="s">
        <v>468</v>
      </c>
    </row>
    <row r="104" spans="1:20" x14ac:dyDescent="0.25">
      <c r="A104">
        <v>25</v>
      </c>
      <c r="B104">
        <v>500147</v>
      </c>
      <c r="C104" t="s">
        <v>23</v>
      </c>
      <c r="D104">
        <v>2026</v>
      </c>
      <c r="E104">
        <v>8848.5</v>
      </c>
      <c r="F104">
        <v>3.49</v>
      </c>
      <c r="G104" t="s">
        <v>465</v>
      </c>
      <c r="H104">
        <v>10846.150390625</v>
      </c>
      <c r="I104">
        <v>4051.300048828125</v>
      </c>
      <c r="L104" t="s">
        <v>466</v>
      </c>
      <c r="O104">
        <v>5760.95</v>
      </c>
      <c r="P104">
        <v>6443</v>
      </c>
      <c r="Q104">
        <v>3051.25</v>
      </c>
      <c r="R104" s="3" t="s">
        <v>470</v>
      </c>
      <c r="S104">
        <v>5760.95</v>
      </c>
      <c r="T104" t="s">
        <v>468</v>
      </c>
    </row>
    <row r="105" spans="1:20" x14ac:dyDescent="0.25">
      <c r="A105">
        <v>27</v>
      </c>
      <c r="B105">
        <v>500170</v>
      </c>
      <c r="C105" t="s">
        <v>25</v>
      </c>
      <c r="D105">
        <v>2015</v>
      </c>
      <c r="E105">
        <v>24.979999542236332</v>
      </c>
      <c r="F105">
        <v>-7.15</v>
      </c>
      <c r="G105" t="s">
        <v>465</v>
      </c>
      <c r="H105">
        <v>14.89999961853027</v>
      </c>
      <c r="I105">
        <v>8.1000003814697266</v>
      </c>
      <c r="L105" t="s">
        <v>471</v>
      </c>
      <c r="M105">
        <v>-2.0839160305636741</v>
      </c>
      <c r="N105">
        <v>-1.1328671862195421</v>
      </c>
      <c r="O105">
        <v>33.81</v>
      </c>
      <c r="P105">
        <v>52.49</v>
      </c>
      <c r="Q105">
        <v>29.43</v>
      </c>
      <c r="R105" s="3" t="s">
        <v>470</v>
      </c>
      <c r="S105">
        <v>33.81</v>
      </c>
      <c r="T105" t="s">
        <v>468</v>
      </c>
    </row>
    <row r="106" spans="1:20" x14ac:dyDescent="0.25">
      <c r="A106">
        <v>27</v>
      </c>
      <c r="B106">
        <v>500170</v>
      </c>
      <c r="C106" t="s">
        <v>25</v>
      </c>
      <c r="D106">
        <v>2016</v>
      </c>
      <c r="E106">
        <v>24.979999542236332</v>
      </c>
      <c r="F106">
        <v>-2.52</v>
      </c>
      <c r="G106" t="s">
        <v>465</v>
      </c>
      <c r="H106">
        <v>24.64999961853027</v>
      </c>
      <c r="I106">
        <v>9.1499996185302734</v>
      </c>
      <c r="L106" t="s">
        <v>471</v>
      </c>
      <c r="M106">
        <v>-9.7817458803691544</v>
      </c>
      <c r="N106">
        <v>-3.630952229575505</v>
      </c>
      <c r="O106">
        <v>33.81</v>
      </c>
      <c r="P106">
        <v>52.49</v>
      </c>
      <c r="Q106">
        <v>29.43</v>
      </c>
      <c r="R106" s="3" t="s">
        <v>470</v>
      </c>
      <c r="S106">
        <v>33.81</v>
      </c>
      <c r="T106" t="s">
        <v>468</v>
      </c>
    </row>
    <row r="107" spans="1:20" x14ac:dyDescent="0.25">
      <c r="A107">
        <v>27</v>
      </c>
      <c r="B107">
        <v>500170</v>
      </c>
      <c r="C107" t="s">
        <v>25</v>
      </c>
      <c r="D107">
        <v>2017</v>
      </c>
      <c r="E107">
        <v>24.979999542236332</v>
      </c>
      <c r="F107">
        <v>-2.69</v>
      </c>
      <c r="G107" t="s">
        <v>465</v>
      </c>
      <c r="H107">
        <v>26.25</v>
      </c>
      <c r="I107">
        <v>13.5</v>
      </c>
      <c r="L107" t="s">
        <v>471</v>
      </c>
      <c r="M107">
        <v>-9.7583643122676573</v>
      </c>
      <c r="N107">
        <v>-5.0185873605947959</v>
      </c>
      <c r="O107">
        <v>33.81</v>
      </c>
      <c r="P107">
        <v>52.49</v>
      </c>
      <c r="Q107">
        <v>29.43</v>
      </c>
      <c r="R107" s="3" t="s">
        <v>470</v>
      </c>
      <c r="S107">
        <v>33.81</v>
      </c>
      <c r="T107" t="s">
        <v>468</v>
      </c>
    </row>
    <row r="108" spans="1:20" x14ac:dyDescent="0.25">
      <c r="A108">
        <v>27</v>
      </c>
      <c r="B108">
        <v>500170</v>
      </c>
      <c r="C108" t="s">
        <v>25</v>
      </c>
      <c r="D108">
        <v>2018</v>
      </c>
      <c r="E108">
        <v>24.979999542236332</v>
      </c>
      <c r="F108">
        <v>-3.56</v>
      </c>
      <c r="G108" t="s">
        <v>465</v>
      </c>
      <c r="H108">
        <v>24.45000076293945</v>
      </c>
      <c r="I108">
        <v>8.3999996185302734</v>
      </c>
      <c r="L108" t="s">
        <v>471</v>
      </c>
      <c r="M108">
        <v>-6.8679777423987218</v>
      </c>
      <c r="N108">
        <v>-2.359550454643335</v>
      </c>
      <c r="O108">
        <v>33.81</v>
      </c>
      <c r="P108">
        <v>52.49</v>
      </c>
      <c r="Q108">
        <v>29.43</v>
      </c>
      <c r="R108" s="3" t="s">
        <v>470</v>
      </c>
      <c r="S108">
        <v>33.81</v>
      </c>
      <c r="T108" t="s">
        <v>468</v>
      </c>
    </row>
    <row r="109" spans="1:20" x14ac:dyDescent="0.25">
      <c r="A109">
        <v>27</v>
      </c>
      <c r="B109">
        <v>500170</v>
      </c>
      <c r="C109" t="s">
        <v>25</v>
      </c>
      <c r="D109">
        <v>2019</v>
      </c>
      <c r="E109">
        <v>24.979999542236332</v>
      </c>
      <c r="F109">
        <v>-4.76</v>
      </c>
      <c r="G109" t="s">
        <v>465</v>
      </c>
      <c r="H109">
        <v>12.489999771118161</v>
      </c>
      <c r="I109">
        <v>5.380000114440918</v>
      </c>
      <c r="L109" t="s">
        <v>471</v>
      </c>
      <c r="M109">
        <v>-2.6239495317475132</v>
      </c>
      <c r="N109">
        <v>-1.1302521248825459</v>
      </c>
      <c r="O109">
        <v>33.81</v>
      </c>
      <c r="P109">
        <v>52.49</v>
      </c>
      <c r="Q109">
        <v>29.43</v>
      </c>
      <c r="R109" s="3" t="s">
        <v>470</v>
      </c>
      <c r="S109">
        <v>33.81</v>
      </c>
      <c r="T109" t="s">
        <v>468</v>
      </c>
    </row>
    <row r="110" spans="1:20" x14ac:dyDescent="0.25">
      <c r="A110">
        <v>27</v>
      </c>
      <c r="B110">
        <v>500170</v>
      </c>
      <c r="C110" t="s">
        <v>25</v>
      </c>
      <c r="D110">
        <v>2020</v>
      </c>
      <c r="E110">
        <v>24.979999542236332</v>
      </c>
      <c r="F110">
        <v>-3.1</v>
      </c>
      <c r="G110" t="s">
        <v>465</v>
      </c>
      <c r="H110">
        <v>14.69999980926514</v>
      </c>
      <c r="I110">
        <v>4.940000057220459</v>
      </c>
      <c r="L110" t="s">
        <v>471</v>
      </c>
      <c r="M110">
        <v>-4.7419354223435937</v>
      </c>
      <c r="N110">
        <v>-1.5935484055549869</v>
      </c>
      <c r="O110">
        <v>33.81</v>
      </c>
      <c r="P110">
        <v>52.49</v>
      </c>
      <c r="Q110">
        <v>29.43</v>
      </c>
      <c r="R110" s="3" t="s">
        <v>470</v>
      </c>
      <c r="S110">
        <v>33.81</v>
      </c>
      <c r="T110" t="s">
        <v>468</v>
      </c>
    </row>
    <row r="111" spans="1:20" x14ac:dyDescent="0.25">
      <c r="A111">
        <v>27</v>
      </c>
      <c r="B111">
        <v>500170</v>
      </c>
      <c r="C111" t="s">
        <v>25</v>
      </c>
      <c r="D111">
        <v>2021</v>
      </c>
      <c r="E111">
        <v>24.979999542236332</v>
      </c>
      <c r="F111">
        <v>-3.55</v>
      </c>
      <c r="G111" t="s">
        <v>465</v>
      </c>
      <c r="H111">
        <v>42.900001525878913</v>
      </c>
      <c r="I111">
        <v>8.2700004577636719</v>
      </c>
      <c r="L111" t="s">
        <v>471</v>
      </c>
      <c r="M111">
        <v>-12.08450747207857</v>
      </c>
      <c r="N111">
        <v>-2.329577593736246</v>
      </c>
      <c r="O111">
        <v>33.81</v>
      </c>
      <c r="P111">
        <v>52.49</v>
      </c>
      <c r="Q111">
        <v>29.43</v>
      </c>
      <c r="R111" s="3" t="s">
        <v>470</v>
      </c>
      <c r="S111">
        <v>33.81</v>
      </c>
      <c r="T111" t="s">
        <v>468</v>
      </c>
    </row>
    <row r="112" spans="1:20" x14ac:dyDescent="0.25">
      <c r="A112">
        <v>27</v>
      </c>
      <c r="B112">
        <v>500170</v>
      </c>
      <c r="C112" t="s">
        <v>25</v>
      </c>
      <c r="D112">
        <v>2022</v>
      </c>
      <c r="E112">
        <v>24.979999542236332</v>
      </c>
      <c r="F112">
        <v>19.75</v>
      </c>
      <c r="G112" t="s">
        <v>465</v>
      </c>
      <c r="H112">
        <v>89</v>
      </c>
      <c r="I112">
        <v>37.25</v>
      </c>
      <c r="L112" t="s">
        <v>469</v>
      </c>
      <c r="M112">
        <v>4.5063291139240507</v>
      </c>
      <c r="N112">
        <v>1.8860759493670891</v>
      </c>
      <c r="O112">
        <v>33.81</v>
      </c>
      <c r="P112">
        <v>52.49</v>
      </c>
      <c r="Q112">
        <v>29.43</v>
      </c>
      <c r="R112" s="3" t="s">
        <v>470</v>
      </c>
      <c r="S112">
        <v>33.81</v>
      </c>
      <c r="T112" t="s">
        <v>468</v>
      </c>
    </row>
    <row r="113" spans="1:20" x14ac:dyDescent="0.25">
      <c r="A113">
        <v>27</v>
      </c>
      <c r="B113">
        <v>500170</v>
      </c>
      <c r="C113" t="s">
        <v>25</v>
      </c>
      <c r="D113">
        <v>2023</v>
      </c>
      <c r="E113">
        <v>24.979999542236332</v>
      </c>
      <c r="F113">
        <v>8.8699999999999992</v>
      </c>
      <c r="G113" t="s">
        <v>465</v>
      </c>
      <c r="H113">
        <v>52.700000762939453</v>
      </c>
      <c r="I113">
        <v>23.75</v>
      </c>
      <c r="L113" t="s">
        <v>469</v>
      </c>
      <c r="M113">
        <v>5.9413755087868614</v>
      </c>
      <c r="N113">
        <v>2.6775648252536639</v>
      </c>
      <c r="O113">
        <v>33.81</v>
      </c>
      <c r="P113">
        <v>52.49</v>
      </c>
      <c r="Q113">
        <v>29.43</v>
      </c>
      <c r="R113" s="3" t="s">
        <v>470</v>
      </c>
      <c r="S113">
        <v>33.81</v>
      </c>
      <c r="T113" t="s">
        <v>468</v>
      </c>
    </row>
    <row r="114" spans="1:20" x14ac:dyDescent="0.25">
      <c r="A114">
        <v>27</v>
      </c>
      <c r="B114">
        <v>500170</v>
      </c>
      <c r="C114" t="s">
        <v>25</v>
      </c>
      <c r="D114">
        <v>2024</v>
      </c>
      <c r="E114">
        <v>24.979999542236332</v>
      </c>
      <c r="F114">
        <v>-3.6</v>
      </c>
      <c r="G114" t="s">
        <v>465</v>
      </c>
      <c r="H114">
        <v>63</v>
      </c>
      <c r="I114">
        <v>29.430000305175781</v>
      </c>
      <c r="L114" t="s">
        <v>471</v>
      </c>
      <c r="M114">
        <v>-17.5</v>
      </c>
      <c r="N114">
        <v>-8.1750000847710496</v>
      </c>
      <c r="O114">
        <v>33.81</v>
      </c>
      <c r="P114">
        <v>52.49</v>
      </c>
      <c r="Q114">
        <v>29.43</v>
      </c>
      <c r="R114" s="3" t="s">
        <v>470</v>
      </c>
      <c r="S114">
        <v>33.81</v>
      </c>
      <c r="T114" t="s">
        <v>468</v>
      </c>
    </row>
    <row r="115" spans="1:20" x14ac:dyDescent="0.25">
      <c r="A115">
        <v>27</v>
      </c>
      <c r="B115">
        <v>500170</v>
      </c>
      <c r="C115" t="s">
        <v>25</v>
      </c>
      <c r="D115">
        <v>2025</v>
      </c>
      <c r="E115">
        <v>24.979999542236332</v>
      </c>
      <c r="F115">
        <v>-2.65</v>
      </c>
      <c r="G115" t="s">
        <v>465</v>
      </c>
      <c r="H115">
        <v>38.889999389648438</v>
      </c>
      <c r="I115">
        <v>20</v>
      </c>
      <c r="L115" t="s">
        <v>471</v>
      </c>
      <c r="M115">
        <v>-14.67547146779186</v>
      </c>
      <c r="N115">
        <v>-7.5471698113207548</v>
      </c>
      <c r="O115">
        <v>33.81</v>
      </c>
      <c r="P115">
        <v>52.49</v>
      </c>
      <c r="Q115">
        <v>29.43</v>
      </c>
      <c r="R115" s="3" t="s">
        <v>470</v>
      </c>
      <c r="S115">
        <v>33.81</v>
      </c>
      <c r="T115" t="s">
        <v>468</v>
      </c>
    </row>
    <row r="116" spans="1:20" x14ac:dyDescent="0.25">
      <c r="A116">
        <v>27</v>
      </c>
      <c r="B116">
        <v>500170</v>
      </c>
      <c r="C116" t="s">
        <v>25</v>
      </c>
      <c r="D116">
        <v>2026</v>
      </c>
      <c r="E116">
        <v>24.979999542236332</v>
      </c>
      <c r="F116">
        <v>-6.11</v>
      </c>
      <c r="G116" t="s">
        <v>465</v>
      </c>
      <c r="H116">
        <v>30.620000839233398</v>
      </c>
      <c r="I116">
        <v>17</v>
      </c>
      <c r="L116" t="s">
        <v>471</v>
      </c>
      <c r="M116">
        <v>-5.01145676583198</v>
      </c>
      <c r="N116">
        <v>-2.7823240589198028</v>
      </c>
      <c r="O116">
        <v>33.81</v>
      </c>
      <c r="P116">
        <v>52.49</v>
      </c>
      <c r="Q116">
        <v>29.43</v>
      </c>
      <c r="R116" s="3" t="s">
        <v>470</v>
      </c>
      <c r="S116">
        <v>33.81</v>
      </c>
      <c r="T116" t="s">
        <v>468</v>
      </c>
    </row>
    <row r="117" spans="1:20" x14ac:dyDescent="0.25">
      <c r="A117">
        <v>30</v>
      </c>
      <c r="B117">
        <v>500182</v>
      </c>
      <c r="C117" t="s">
        <v>27</v>
      </c>
      <c r="D117">
        <v>2015</v>
      </c>
      <c r="F117">
        <v>118.42</v>
      </c>
      <c r="G117" t="s">
        <v>465</v>
      </c>
      <c r="H117">
        <v>3149.199951171875</v>
      </c>
      <c r="I117">
        <v>2252</v>
      </c>
      <c r="L117" t="s">
        <v>469</v>
      </c>
      <c r="M117">
        <v>26.59348041861066</v>
      </c>
      <c r="N117">
        <v>19.017057929403819</v>
      </c>
      <c r="O117">
        <v>5297.8</v>
      </c>
      <c r="P117">
        <v>6388.5</v>
      </c>
      <c r="Q117">
        <v>4201</v>
      </c>
      <c r="R117" s="3" t="s">
        <v>470</v>
      </c>
      <c r="S117">
        <v>5297.8</v>
      </c>
      <c r="T117" t="s">
        <v>468</v>
      </c>
    </row>
    <row r="118" spans="1:20" x14ac:dyDescent="0.25">
      <c r="A118">
        <v>30</v>
      </c>
      <c r="B118">
        <v>500182</v>
      </c>
      <c r="C118" t="s">
        <v>27</v>
      </c>
      <c r="D118">
        <v>2016</v>
      </c>
      <c r="F118">
        <v>157.34</v>
      </c>
      <c r="G118" t="s">
        <v>465</v>
      </c>
      <c r="H118">
        <v>3739.89990234375</v>
      </c>
      <c r="I118">
        <v>2410</v>
      </c>
      <c r="L118" t="s">
        <v>469</v>
      </c>
      <c r="M118">
        <v>23.76954304273389</v>
      </c>
      <c r="N118">
        <v>15.31714757849244</v>
      </c>
      <c r="O118">
        <v>5297.8</v>
      </c>
      <c r="P118">
        <v>6388.5</v>
      </c>
      <c r="Q118">
        <v>4201</v>
      </c>
      <c r="R118" s="3" t="s">
        <v>470</v>
      </c>
      <c r="S118">
        <v>5297.8</v>
      </c>
      <c r="T118" t="s">
        <v>468</v>
      </c>
    </row>
    <row r="119" spans="1:20" x14ac:dyDescent="0.25">
      <c r="A119">
        <v>30</v>
      </c>
      <c r="B119">
        <v>500182</v>
      </c>
      <c r="C119" t="s">
        <v>27</v>
      </c>
      <c r="D119">
        <v>2017</v>
      </c>
      <c r="F119">
        <v>179.49</v>
      </c>
      <c r="G119" t="s">
        <v>465</v>
      </c>
      <c r="H119">
        <v>4200</v>
      </c>
      <c r="I119">
        <v>2966</v>
      </c>
      <c r="L119" t="s">
        <v>469</v>
      </c>
      <c r="M119">
        <v>23.399632291492559</v>
      </c>
      <c r="N119">
        <v>16.52459747061118</v>
      </c>
      <c r="O119">
        <v>5297.8</v>
      </c>
      <c r="P119">
        <v>6388.5</v>
      </c>
      <c r="Q119">
        <v>4201</v>
      </c>
      <c r="R119" s="3" t="s">
        <v>470</v>
      </c>
      <c r="S119">
        <v>5297.8</v>
      </c>
      <c r="T119" t="s">
        <v>468</v>
      </c>
    </row>
    <row r="120" spans="1:20" x14ac:dyDescent="0.25">
      <c r="A120">
        <v>30</v>
      </c>
      <c r="B120">
        <v>500182</v>
      </c>
      <c r="C120" t="s">
        <v>27</v>
      </c>
      <c r="D120">
        <v>2018</v>
      </c>
      <c r="F120">
        <v>186.29</v>
      </c>
      <c r="G120" t="s">
        <v>465</v>
      </c>
      <c r="H120">
        <v>3862</v>
      </c>
      <c r="I120">
        <v>2648.699951171875</v>
      </c>
      <c r="L120" t="s">
        <v>469</v>
      </c>
      <c r="M120">
        <v>20.731118149122342</v>
      </c>
      <c r="N120">
        <v>14.218154228202669</v>
      </c>
      <c r="O120">
        <v>5297.8</v>
      </c>
      <c r="P120">
        <v>6388.5</v>
      </c>
      <c r="Q120">
        <v>4201</v>
      </c>
      <c r="R120" s="3" t="s">
        <v>470</v>
      </c>
      <c r="S120">
        <v>5297.8</v>
      </c>
      <c r="T120" t="s">
        <v>468</v>
      </c>
    </row>
    <row r="121" spans="1:20" x14ac:dyDescent="0.25">
      <c r="A121">
        <v>30</v>
      </c>
      <c r="B121">
        <v>500182</v>
      </c>
      <c r="C121" t="s">
        <v>27</v>
      </c>
      <c r="D121">
        <v>2019</v>
      </c>
      <c r="F121">
        <v>172.44</v>
      </c>
      <c r="G121" t="s">
        <v>465</v>
      </c>
      <c r="H121">
        <v>3123</v>
      </c>
      <c r="I121">
        <v>2228.25</v>
      </c>
      <c r="L121" t="s">
        <v>469</v>
      </c>
      <c r="M121">
        <v>18.110647181628391</v>
      </c>
      <c r="N121">
        <v>12.92188587334725</v>
      </c>
      <c r="O121">
        <v>5297.8</v>
      </c>
      <c r="P121">
        <v>6388.5</v>
      </c>
      <c r="Q121">
        <v>4201</v>
      </c>
      <c r="R121" s="3" t="s">
        <v>470</v>
      </c>
      <c r="S121">
        <v>5297.8</v>
      </c>
      <c r="T121" t="s">
        <v>468</v>
      </c>
    </row>
    <row r="122" spans="1:20" x14ac:dyDescent="0.25">
      <c r="A122">
        <v>30</v>
      </c>
      <c r="B122">
        <v>500182</v>
      </c>
      <c r="C122" t="s">
        <v>27</v>
      </c>
      <c r="D122">
        <v>2020</v>
      </c>
      <c r="F122">
        <v>182.14</v>
      </c>
      <c r="G122" t="s">
        <v>465</v>
      </c>
      <c r="H122">
        <v>3393.85009765625</v>
      </c>
      <c r="I122">
        <v>1475</v>
      </c>
      <c r="L122" t="s">
        <v>469</v>
      </c>
      <c r="M122">
        <v>18.633194782344631</v>
      </c>
      <c r="N122">
        <v>8.0981662457450323</v>
      </c>
      <c r="O122">
        <v>5297.8</v>
      </c>
      <c r="P122">
        <v>6388.5</v>
      </c>
      <c r="Q122">
        <v>4201</v>
      </c>
      <c r="R122" s="3" t="s">
        <v>470</v>
      </c>
      <c r="S122">
        <v>5297.8</v>
      </c>
      <c r="T122" t="s">
        <v>468</v>
      </c>
    </row>
    <row r="123" spans="1:20" x14ac:dyDescent="0.25">
      <c r="A123">
        <v>30</v>
      </c>
      <c r="B123">
        <v>500182</v>
      </c>
      <c r="C123" t="s">
        <v>27</v>
      </c>
      <c r="D123">
        <v>2021</v>
      </c>
      <c r="F123">
        <v>146.05000000000001</v>
      </c>
      <c r="G123" t="s">
        <v>465</v>
      </c>
      <c r="H123">
        <v>3628.550048828125</v>
      </c>
      <c r="I123">
        <v>2310.5</v>
      </c>
      <c r="L123" t="s">
        <v>469</v>
      </c>
      <c r="M123">
        <v>24.844574110428791</v>
      </c>
      <c r="N123">
        <v>15.819924683327629</v>
      </c>
      <c r="O123">
        <v>5297.8</v>
      </c>
      <c r="P123">
        <v>6388.5</v>
      </c>
      <c r="Q123">
        <v>4201</v>
      </c>
      <c r="R123" s="3" t="s">
        <v>470</v>
      </c>
      <c r="S123">
        <v>5297.8</v>
      </c>
      <c r="T123" t="s">
        <v>468</v>
      </c>
    </row>
    <row r="124" spans="1:20" x14ac:dyDescent="0.25">
      <c r="A124">
        <v>30</v>
      </c>
      <c r="B124">
        <v>500182</v>
      </c>
      <c r="C124" t="s">
        <v>27</v>
      </c>
      <c r="D124">
        <v>2022</v>
      </c>
      <c r="F124">
        <v>115.95</v>
      </c>
      <c r="G124" t="s">
        <v>465</v>
      </c>
      <c r="H124">
        <v>2939.35009765625</v>
      </c>
      <c r="I124">
        <v>2148</v>
      </c>
      <c r="L124" t="s">
        <v>469</v>
      </c>
      <c r="M124">
        <v>25.350151769351012</v>
      </c>
      <c r="N124">
        <v>18.525226390685638</v>
      </c>
      <c r="O124">
        <v>5297.8</v>
      </c>
      <c r="P124">
        <v>6388.5</v>
      </c>
      <c r="Q124">
        <v>4201</v>
      </c>
      <c r="R124" s="3" t="s">
        <v>470</v>
      </c>
      <c r="S124">
        <v>5297.8</v>
      </c>
      <c r="T124" t="s">
        <v>468</v>
      </c>
    </row>
    <row r="125" spans="1:20" x14ac:dyDescent="0.25">
      <c r="A125">
        <v>30</v>
      </c>
      <c r="B125">
        <v>500182</v>
      </c>
      <c r="C125" t="s">
        <v>27</v>
      </c>
      <c r="D125">
        <v>2023</v>
      </c>
      <c r="F125">
        <v>140.61000000000001</v>
      </c>
      <c r="G125" t="s">
        <v>465</v>
      </c>
      <c r="H125">
        <v>4194.85009765625</v>
      </c>
      <c r="I125">
        <v>2246.75</v>
      </c>
      <c r="L125" t="s">
        <v>469</v>
      </c>
      <c r="M125">
        <v>29.833227349806201</v>
      </c>
      <c r="N125">
        <v>15.978593272171249</v>
      </c>
      <c r="O125">
        <v>5297.8</v>
      </c>
      <c r="P125">
        <v>6388.5</v>
      </c>
      <c r="Q125">
        <v>4201</v>
      </c>
      <c r="R125" s="3" t="s">
        <v>470</v>
      </c>
      <c r="S125">
        <v>5297.8</v>
      </c>
      <c r="T125" t="s">
        <v>468</v>
      </c>
    </row>
    <row r="126" spans="1:20" x14ac:dyDescent="0.25">
      <c r="A126">
        <v>30</v>
      </c>
      <c r="B126">
        <v>500182</v>
      </c>
      <c r="C126" t="s">
        <v>27</v>
      </c>
      <c r="D126">
        <v>2024</v>
      </c>
      <c r="F126">
        <v>187.31</v>
      </c>
      <c r="G126" t="s">
        <v>465</v>
      </c>
      <c r="H126">
        <v>6245</v>
      </c>
      <c r="I126">
        <v>3930.300048828125</v>
      </c>
      <c r="L126" t="s">
        <v>469</v>
      </c>
      <c r="M126">
        <v>33.340451657679779</v>
      </c>
      <c r="N126">
        <v>20.982862894816751</v>
      </c>
      <c r="O126">
        <v>5297.8</v>
      </c>
      <c r="P126">
        <v>6388.5</v>
      </c>
      <c r="Q126">
        <v>4201</v>
      </c>
      <c r="R126" s="3" t="s">
        <v>470</v>
      </c>
      <c r="S126">
        <v>5297.8</v>
      </c>
      <c r="T126" t="s">
        <v>468</v>
      </c>
    </row>
    <row r="127" spans="1:20" x14ac:dyDescent="0.25">
      <c r="A127">
        <v>30</v>
      </c>
      <c r="B127">
        <v>500182</v>
      </c>
      <c r="C127" t="s">
        <v>27</v>
      </c>
      <c r="D127">
        <v>2025</v>
      </c>
      <c r="F127">
        <v>218.91</v>
      </c>
      <c r="G127" t="s">
        <v>465</v>
      </c>
      <c r="H127">
        <v>6390</v>
      </c>
      <c r="I127">
        <v>3322.60009765625</v>
      </c>
      <c r="L127" t="s">
        <v>469</v>
      </c>
      <c r="M127">
        <v>29.190078114293549</v>
      </c>
      <c r="N127">
        <v>15.17792744806656</v>
      </c>
      <c r="O127">
        <v>5297.8</v>
      </c>
      <c r="P127">
        <v>6388.5</v>
      </c>
      <c r="Q127">
        <v>4201</v>
      </c>
      <c r="R127" s="3" t="s">
        <v>470</v>
      </c>
      <c r="S127">
        <v>5297.8</v>
      </c>
      <c r="T127" t="s">
        <v>468</v>
      </c>
    </row>
    <row r="128" spans="1:20" x14ac:dyDescent="0.25">
      <c r="A128">
        <v>30</v>
      </c>
      <c r="B128">
        <v>500182</v>
      </c>
      <c r="C128" t="s">
        <v>27</v>
      </c>
      <c r="D128">
        <v>2026</v>
      </c>
      <c r="F128">
        <v>286.95999999999998</v>
      </c>
      <c r="G128" t="s">
        <v>465</v>
      </c>
      <c r="H128">
        <v>6049.9501953125</v>
      </c>
      <c r="I128">
        <v>4671.5498046875</v>
      </c>
      <c r="L128" t="s">
        <v>469</v>
      </c>
      <c r="M128">
        <v>21.08290422118937</v>
      </c>
      <c r="N128">
        <v>16.27944593214211</v>
      </c>
      <c r="O128">
        <v>5297.8</v>
      </c>
      <c r="P128">
        <v>6388.5</v>
      </c>
      <c r="Q128">
        <v>4201</v>
      </c>
      <c r="R128" s="3" t="s">
        <v>470</v>
      </c>
      <c r="S128">
        <v>5297.8</v>
      </c>
      <c r="T128" t="s">
        <v>468</v>
      </c>
    </row>
    <row r="129" spans="1:20" x14ac:dyDescent="0.25">
      <c r="A129">
        <v>31</v>
      </c>
      <c r="B129">
        <v>500184</v>
      </c>
      <c r="C129" t="s">
        <v>29</v>
      </c>
      <c r="D129">
        <v>2015</v>
      </c>
      <c r="E129">
        <v>790.5999755859375</v>
      </c>
      <c r="F129">
        <v>2.48</v>
      </c>
      <c r="G129" t="s">
        <v>465</v>
      </c>
      <c r="H129">
        <v>27.89999961853027</v>
      </c>
      <c r="L129" t="s">
        <v>471</v>
      </c>
      <c r="M129">
        <v>-87.18749880790709</v>
      </c>
      <c r="O129">
        <v>761.8</v>
      </c>
      <c r="P129">
        <v>819.5</v>
      </c>
      <c r="Q129">
        <v>418.5</v>
      </c>
      <c r="R129" s="2" t="s">
        <v>467</v>
      </c>
      <c r="S129">
        <v>761.8</v>
      </c>
      <c r="T129" t="s">
        <v>468</v>
      </c>
    </row>
    <row r="130" spans="1:20" x14ac:dyDescent="0.25">
      <c r="A130">
        <v>31</v>
      </c>
      <c r="B130">
        <v>500184</v>
      </c>
      <c r="C130" t="s">
        <v>29</v>
      </c>
      <c r="D130">
        <v>2016</v>
      </c>
      <c r="E130">
        <v>790.5999755859375</v>
      </c>
      <c r="F130">
        <v>2.74</v>
      </c>
      <c r="G130" t="s">
        <v>465</v>
      </c>
      <c r="H130">
        <v>47.75</v>
      </c>
      <c r="I130">
        <v>12.80000019073486</v>
      </c>
      <c r="L130" t="s">
        <v>471</v>
      </c>
      <c r="M130">
        <v>-108.52272727272729</v>
      </c>
      <c r="N130">
        <v>-29.090909524397411</v>
      </c>
      <c r="O130">
        <v>761.8</v>
      </c>
      <c r="P130">
        <v>819.5</v>
      </c>
      <c r="Q130">
        <v>418.5</v>
      </c>
      <c r="R130" s="2" t="s">
        <v>467</v>
      </c>
      <c r="S130">
        <v>761.8</v>
      </c>
      <c r="T130" t="s">
        <v>468</v>
      </c>
    </row>
    <row r="131" spans="1:20" x14ac:dyDescent="0.25">
      <c r="A131">
        <v>31</v>
      </c>
      <c r="B131">
        <v>500184</v>
      </c>
      <c r="C131" t="s">
        <v>29</v>
      </c>
      <c r="D131">
        <v>2017</v>
      </c>
      <c r="E131">
        <v>790.5999755859375</v>
      </c>
      <c r="F131">
        <v>1.98</v>
      </c>
      <c r="G131" t="s">
        <v>465</v>
      </c>
      <c r="H131">
        <v>178.30000305175781</v>
      </c>
      <c r="I131">
        <v>33.349998474121087</v>
      </c>
      <c r="L131" t="s">
        <v>469</v>
      </c>
      <c r="M131">
        <v>90.050506591796875</v>
      </c>
      <c r="N131">
        <v>16.843433572788431</v>
      </c>
      <c r="O131">
        <v>761.8</v>
      </c>
      <c r="P131">
        <v>819.5</v>
      </c>
      <c r="Q131">
        <v>418.5</v>
      </c>
      <c r="R131" s="2" t="s">
        <v>467</v>
      </c>
      <c r="S131">
        <v>761.8</v>
      </c>
      <c r="T131" t="s">
        <v>468</v>
      </c>
    </row>
    <row r="132" spans="1:20" x14ac:dyDescent="0.25">
      <c r="A132">
        <v>31</v>
      </c>
      <c r="B132">
        <v>500184</v>
      </c>
      <c r="C132" t="s">
        <v>29</v>
      </c>
      <c r="D132">
        <v>2018</v>
      </c>
      <c r="E132">
        <v>790.5999755859375</v>
      </c>
      <c r="F132">
        <v>5.91</v>
      </c>
      <c r="G132" t="s">
        <v>465</v>
      </c>
      <c r="H132">
        <v>195.80000305175781</v>
      </c>
      <c r="I132">
        <v>103.5500030517578</v>
      </c>
      <c r="L132" t="s">
        <v>469</v>
      </c>
      <c r="M132">
        <v>33.130288164426027</v>
      </c>
      <c r="N132">
        <v>17.521151108588459</v>
      </c>
      <c r="O132">
        <v>761.8</v>
      </c>
      <c r="P132">
        <v>819.5</v>
      </c>
      <c r="Q132">
        <v>418.5</v>
      </c>
      <c r="R132" s="2" t="s">
        <v>467</v>
      </c>
      <c r="S132">
        <v>761.8</v>
      </c>
      <c r="T132" t="s">
        <v>468</v>
      </c>
    </row>
    <row r="133" spans="1:20" x14ac:dyDescent="0.25">
      <c r="A133">
        <v>31</v>
      </c>
      <c r="B133">
        <v>500184</v>
      </c>
      <c r="C133" t="s">
        <v>29</v>
      </c>
      <c r="D133">
        <v>2019</v>
      </c>
      <c r="E133">
        <v>790.5999755859375</v>
      </c>
      <c r="F133">
        <v>7.75</v>
      </c>
      <c r="G133" t="s">
        <v>465</v>
      </c>
      <c r="H133">
        <v>137.8999938964844</v>
      </c>
      <c r="I133">
        <v>54.099998474121087</v>
      </c>
      <c r="L133" t="s">
        <v>469</v>
      </c>
      <c r="M133">
        <v>17.793547599546379</v>
      </c>
      <c r="N133">
        <v>6.9806449644027211</v>
      </c>
      <c r="O133">
        <v>761.8</v>
      </c>
      <c r="P133">
        <v>819.5</v>
      </c>
      <c r="Q133">
        <v>418.5</v>
      </c>
      <c r="R133" s="2" t="s">
        <v>467</v>
      </c>
      <c r="S133">
        <v>761.8</v>
      </c>
      <c r="T133" t="s">
        <v>468</v>
      </c>
    </row>
    <row r="134" spans="1:20" x14ac:dyDescent="0.25">
      <c r="A134">
        <v>31</v>
      </c>
      <c r="B134">
        <v>500184</v>
      </c>
      <c r="C134" t="s">
        <v>29</v>
      </c>
      <c r="D134">
        <v>2020</v>
      </c>
      <c r="E134">
        <v>790.5999755859375</v>
      </c>
      <c r="F134">
        <v>4.91</v>
      </c>
      <c r="G134" t="s">
        <v>465</v>
      </c>
      <c r="H134">
        <v>73.900001525878906</v>
      </c>
      <c r="I134">
        <v>27.29999923706055</v>
      </c>
      <c r="L134" t="s">
        <v>469</v>
      </c>
      <c r="M134">
        <v>15.050916807714639</v>
      </c>
      <c r="N134">
        <v>5.5600813110102951</v>
      </c>
      <c r="O134">
        <v>761.8</v>
      </c>
      <c r="P134">
        <v>819.5</v>
      </c>
      <c r="Q134">
        <v>418.5</v>
      </c>
      <c r="R134" s="2" t="s">
        <v>467</v>
      </c>
      <c r="S134">
        <v>761.8</v>
      </c>
      <c r="T134" t="s">
        <v>468</v>
      </c>
    </row>
    <row r="135" spans="1:20" x14ac:dyDescent="0.25">
      <c r="A135">
        <v>31</v>
      </c>
      <c r="B135">
        <v>500184</v>
      </c>
      <c r="C135" t="s">
        <v>29</v>
      </c>
      <c r="D135">
        <v>2021</v>
      </c>
      <c r="E135">
        <v>790.5999755859375</v>
      </c>
      <c r="F135">
        <v>1.1299999999999999</v>
      </c>
      <c r="G135" t="s">
        <v>465</v>
      </c>
      <c r="H135">
        <v>62.400001525878913</v>
      </c>
      <c r="I135">
        <v>38.900001525878913</v>
      </c>
      <c r="L135" t="s">
        <v>469</v>
      </c>
      <c r="M135">
        <v>55.221240288388422</v>
      </c>
      <c r="N135">
        <v>34.424780111397268</v>
      </c>
      <c r="O135">
        <v>761.8</v>
      </c>
      <c r="P135">
        <v>819.5</v>
      </c>
      <c r="Q135">
        <v>418.5</v>
      </c>
      <c r="R135" s="2" t="s">
        <v>467</v>
      </c>
      <c r="S135">
        <v>761.8</v>
      </c>
      <c r="T135" t="s">
        <v>468</v>
      </c>
    </row>
    <row r="136" spans="1:20" x14ac:dyDescent="0.25">
      <c r="A136">
        <v>31</v>
      </c>
      <c r="B136">
        <v>500184</v>
      </c>
      <c r="C136" t="s">
        <v>29</v>
      </c>
      <c r="D136">
        <v>2022</v>
      </c>
      <c r="E136">
        <v>790.5999755859375</v>
      </c>
      <c r="F136">
        <v>0.98</v>
      </c>
      <c r="G136" t="s">
        <v>465</v>
      </c>
      <c r="H136">
        <v>108.84999847412109</v>
      </c>
      <c r="I136">
        <v>44.5</v>
      </c>
      <c r="L136" t="s">
        <v>469</v>
      </c>
      <c r="M136">
        <v>111.07142701440929</v>
      </c>
      <c r="N136">
        <v>45.408163265306122</v>
      </c>
      <c r="O136">
        <v>761.8</v>
      </c>
      <c r="P136">
        <v>819.5</v>
      </c>
      <c r="Q136">
        <v>418.5</v>
      </c>
      <c r="R136" s="2" t="s">
        <v>467</v>
      </c>
      <c r="S136">
        <v>761.8</v>
      </c>
      <c r="T136" t="s">
        <v>468</v>
      </c>
    </row>
    <row r="137" spans="1:20" x14ac:dyDescent="0.25">
      <c r="A137">
        <v>31</v>
      </c>
      <c r="B137">
        <v>500184</v>
      </c>
      <c r="C137" t="s">
        <v>29</v>
      </c>
      <c r="D137">
        <v>2023</v>
      </c>
      <c r="E137">
        <v>790.5999755859375</v>
      </c>
      <c r="F137">
        <v>4.99</v>
      </c>
      <c r="G137" t="s">
        <v>465</v>
      </c>
      <c r="H137">
        <v>313.89999389648438</v>
      </c>
      <c r="I137">
        <v>80.199996948242188</v>
      </c>
      <c r="L137" t="s">
        <v>469</v>
      </c>
      <c r="M137">
        <v>62.905810400097067</v>
      </c>
      <c r="N137">
        <v>16.07214367700244</v>
      </c>
      <c r="O137">
        <v>761.8</v>
      </c>
      <c r="P137">
        <v>819.5</v>
      </c>
      <c r="Q137">
        <v>418.5</v>
      </c>
      <c r="R137" s="2" t="s">
        <v>467</v>
      </c>
      <c r="S137">
        <v>761.8</v>
      </c>
      <c r="T137" t="s">
        <v>468</v>
      </c>
    </row>
    <row r="138" spans="1:20" x14ac:dyDescent="0.25">
      <c r="A138">
        <v>31</v>
      </c>
      <c r="B138">
        <v>500184</v>
      </c>
      <c r="C138" t="s">
        <v>29</v>
      </c>
      <c r="D138">
        <v>2024</v>
      </c>
      <c r="E138">
        <v>790.5999755859375</v>
      </c>
      <c r="F138">
        <v>8.34</v>
      </c>
      <c r="G138" t="s">
        <v>465</v>
      </c>
      <c r="H138">
        <v>688.5</v>
      </c>
      <c r="I138">
        <v>272.79998779296881</v>
      </c>
      <c r="L138" t="s">
        <v>469</v>
      </c>
      <c r="M138">
        <v>82.553956834532372</v>
      </c>
      <c r="N138">
        <v>32.709830670619759</v>
      </c>
      <c r="O138">
        <v>761.8</v>
      </c>
      <c r="P138">
        <v>819.5</v>
      </c>
      <c r="Q138">
        <v>418.5</v>
      </c>
      <c r="R138" s="2" t="s">
        <v>467</v>
      </c>
      <c r="S138">
        <v>761.8</v>
      </c>
      <c r="T138" t="s">
        <v>468</v>
      </c>
    </row>
    <row r="139" spans="1:20" x14ac:dyDescent="0.25">
      <c r="A139">
        <v>31</v>
      </c>
      <c r="B139">
        <v>500184</v>
      </c>
      <c r="C139" t="s">
        <v>29</v>
      </c>
      <c r="D139">
        <v>2025</v>
      </c>
      <c r="E139">
        <v>790.5999755859375</v>
      </c>
      <c r="F139">
        <v>11.25</v>
      </c>
      <c r="G139" t="s">
        <v>465</v>
      </c>
      <c r="H139">
        <v>606.54998779296875</v>
      </c>
      <c r="I139">
        <v>351.39999389648438</v>
      </c>
      <c r="L139" t="s">
        <v>469</v>
      </c>
      <c r="M139">
        <v>53.915554470486107</v>
      </c>
      <c r="N139">
        <v>31.235555013020829</v>
      </c>
      <c r="O139">
        <v>761.8</v>
      </c>
      <c r="P139">
        <v>819.5</v>
      </c>
      <c r="Q139">
        <v>418.5</v>
      </c>
      <c r="R139" s="2" t="s">
        <v>467</v>
      </c>
      <c r="S139">
        <v>761.8</v>
      </c>
      <c r="T139" t="s">
        <v>468</v>
      </c>
    </row>
    <row r="140" spans="1:20" x14ac:dyDescent="0.25">
      <c r="A140">
        <v>31</v>
      </c>
      <c r="B140">
        <v>500184</v>
      </c>
      <c r="C140" t="s">
        <v>29</v>
      </c>
      <c r="D140">
        <v>2026</v>
      </c>
      <c r="E140">
        <v>790.5999755859375</v>
      </c>
      <c r="F140">
        <v>14.89</v>
      </c>
      <c r="G140" t="s">
        <v>465</v>
      </c>
      <c r="H140">
        <v>819.5</v>
      </c>
      <c r="I140">
        <v>421.20001220703119</v>
      </c>
      <c r="L140" t="s">
        <v>469</v>
      </c>
      <c r="M140">
        <v>55.036937541974467</v>
      </c>
      <c r="N140">
        <v>28.28744205554273</v>
      </c>
      <c r="O140">
        <v>761.8</v>
      </c>
      <c r="P140">
        <v>819.5</v>
      </c>
      <c r="Q140">
        <v>418.5</v>
      </c>
      <c r="R140" s="2" t="s">
        <v>467</v>
      </c>
      <c r="S140">
        <v>761.8</v>
      </c>
      <c r="T140" t="s">
        <v>468</v>
      </c>
    </row>
    <row r="141" spans="1:20" x14ac:dyDescent="0.25">
      <c r="A141">
        <v>36</v>
      </c>
      <c r="B141">
        <v>500199</v>
      </c>
      <c r="C141" t="s">
        <v>31</v>
      </c>
      <c r="D141">
        <v>2015</v>
      </c>
      <c r="E141">
        <v>425.45001220703119</v>
      </c>
      <c r="G141" t="s">
        <v>465</v>
      </c>
      <c r="H141">
        <v>174.3999938964844</v>
      </c>
      <c r="I141">
        <v>40</v>
      </c>
      <c r="L141" t="s">
        <v>466</v>
      </c>
      <c r="O141">
        <f>IFERROR(VLOOKUP(B141,BSE_500_LIVE!A:E,3,FALSE),"")</f>
        <v>0</v>
      </c>
      <c r="P141">
        <f>IFERROR(VLOOKUP(B141,BSE_500_LIVE!A:E,4,FALSE),"")</f>
        <v>0</v>
      </c>
      <c r="Q141">
        <f>IFERROR(VLOOKUP(B141,BSE_500_LIVE!A:E,5,FALSE),"")</f>
        <v>0</v>
      </c>
      <c r="R141" t="str">
        <f t="shared" ref="R141:R152" si="2">IF(OR(E141="",O141=""),"PENDING_FETCH",IF(ABS(E141-O141)/E141&gt;0.005,"MISMATCH_NEEDS_CORRECTION","VERIFIED_OK"))</f>
        <v>MISMATCH_NEEDS_CORRECTION</v>
      </c>
      <c r="S141">
        <f t="shared" ref="S141:S152" si="3">IF(O141&lt;&gt;"",O141,E141)</f>
        <v>0</v>
      </c>
      <c r="T141">
        <f>IFERROR(VLOOKUP(B141,BSE_500_LIVE!A:F,6,FALSE),"")</f>
        <v>0</v>
      </c>
    </row>
    <row r="142" spans="1:20" x14ac:dyDescent="0.25">
      <c r="A142">
        <v>36</v>
      </c>
      <c r="B142">
        <v>500199</v>
      </c>
      <c r="C142" t="s">
        <v>31</v>
      </c>
      <c r="D142">
        <v>2016</v>
      </c>
      <c r="E142">
        <v>425.45001220703119</v>
      </c>
      <c r="F142">
        <v>19.55</v>
      </c>
      <c r="G142" t="s">
        <v>465</v>
      </c>
      <c r="H142">
        <v>347</v>
      </c>
      <c r="I142">
        <v>72</v>
      </c>
      <c r="L142" t="s">
        <v>469</v>
      </c>
      <c r="M142">
        <v>17.74936061381074</v>
      </c>
      <c r="N142">
        <v>3.6828644501278771</v>
      </c>
      <c r="O142">
        <f>IFERROR(VLOOKUP(B142,BSE_500_LIVE!A:E,3,FALSE),"")</f>
        <v>0</v>
      </c>
      <c r="P142">
        <f>IFERROR(VLOOKUP(B142,BSE_500_LIVE!A:E,4,FALSE),"")</f>
        <v>0</v>
      </c>
      <c r="Q142">
        <f>IFERROR(VLOOKUP(B142,BSE_500_LIVE!A:E,5,FALSE),"")</f>
        <v>0</v>
      </c>
      <c r="R142" t="str">
        <f t="shared" si="2"/>
        <v>MISMATCH_NEEDS_CORRECTION</v>
      </c>
      <c r="S142">
        <f t="shared" si="3"/>
        <v>0</v>
      </c>
      <c r="T142">
        <f>IFERROR(VLOOKUP(B142,BSE_500_LIVE!A:F,6,FALSE),"")</f>
        <v>0</v>
      </c>
    </row>
    <row r="143" spans="1:20" x14ac:dyDescent="0.25">
      <c r="A143">
        <v>36</v>
      </c>
      <c r="B143">
        <v>500199</v>
      </c>
      <c r="C143" t="s">
        <v>31</v>
      </c>
      <c r="D143">
        <v>2017</v>
      </c>
      <c r="E143">
        <v>425.45001220703119</v>
      </c>
      <c r="F143">
        <v>32.979999999999997</v>
      </c>
      <c r="G143" t="s">
        <v>465</v>
      </c>
      <c r="H143">
        <v>796.0999755859375</v>
      </c>
      <c r="I143">
        <v>224</v>
      </c>
      <c r="L143" t="s">
        <v>469</v>
      </c>
      <c r="M143">
        <v>24.138871303394101</v>
      </c>
      <c r="N143">
        <v>6.7919951485748946</v>
      </c>
      <c r="O143">
        <f>IFERROR(VLOOKUP(B143,BSE_500_LIVE!A:E,3,FALSE),"")</f>
        <v>0</v>
      </c>
      <c r="P143">
        <f>IFERROR(VLOOKUP(B143,BSE_500_LIVE!A:E,4,FALSE),"")</f>
        <v>0</v>
      </c>
      <c r="Q143">
        <f>IFERROR(VLOOKUP(B143,BSE_500_LIVE!A:E,5,FALSE),"")</f>
        <v>0</v>
      </c>
      <c r="R143" t="str">
        <f t="shared" si="2"/>
        <v>MISMATCH_NEEDS_CORRECTION</v>
      </c>
      <c r="S143">
        <f t="shared" si="3"/>
        <v>0</v>
      </c>
      <c r="T143">
        <f>IFERROR(VLOOKUP(B143,BSE_500_LIVE!A:F,6,FALSE),"")</f>
        <v>0</v>
      </c>
    </row>
    <row r="144" spans="1:20" x14ac:dyDescent="0.25">
      <c r="A144">
        <v>36</v>
      </c>
      <c r="B144">
        <v>500199</v>
      </c>
      <c r="C144" t="s">
        <v>31</v>
      </c>
      <c r="D144">
        <v>2018</v>
      </c>
      <c r="E144">
        <v>425.45001220703119</v>
      </c>
      <c r="F144">
        <v>47.42</v>
      </c>
      <c r="G144" t="s">
        <v>465</v>
      </c>
      <c r="H144">
        <v>840</v>
      </c>
      <c r="I144">
        <v>340</v>
      </c>
      <c r="L144" t="s">
        <v>469</v>
      </c>
      <c r="M144">
        <v>17.714044706874731</v>
      </c>
      <c r="N144">
        <v>7.1699704765921553</v>
      </c>
      <c r="O144">
        <f>IFERROR(VLOOKUP(B144,BSE_500_LIVE!A:E,3,FALSE),"")</f>
        <v>0</v>
      </c>
      <c r="P144">
        <f>IFERROR(VLOOKUP(B144,BSE_500_LIVE!A:E,4,FALSE),"")</f>
        <v>0</v>
      </c>
      <c r="Q144">
        <f>IFERROR(VLOOKUP(B144,BSE_500_LIVE!A:E,5,FALSE),"")</f>
        <v>0</v>
      </c>
      <c r="R144" t="str">
        <f t="shared" si="2"/>
        <v>MISMATCH_NEEDS_CORRECTION</v>
      </c>
      <c r="S144">
        <f t="shared" si="3"/>
        <v>0</v>
      </c>
      <c r="T144">
        <f>IFERROR(VLOOKUP(B144,BSE_500_LIVE!A:F,6,FALSE),"")</f>
        <v>0</v>
      </c>
    </row>
    <row r="145" spans="1:20" x14ac:dyDescent="0.25">
      <c r="A145">
        <v>36</v>
      </c>
      <c r="B145">
        <v>500199</v>
      </c>
      <c r="C145" t="s">
        <v>31</v>
      </c>
      <c r="D145">
        <v>2019</v>
      </c>
      <c r="E145">
        <v>425.45001220703119</v>
      </c>
      <c r="F145">
        <v>37.94</v>
      </c>
      <c r="G145" t="s">
        <v>465</v>
      </c>
      <c r="H145">
        <v>429.10000610351563</v>
      </c>
      <c r="I145">
        <v>125</v>
      </c>
      <c r="L145" t="s">
        <v>469</v>
      </c>
      <c r="M145">
        <v>11.30996326050384</v>
      </c>
      <c r="N145">
        <v>3.2946758039008959</v>
      </c>
      <c r="O145">
        <f>IFERROR(VLOOKUP(B145,BSE_500_LIVE!A:E,3,FALSE),"")</f>
        <v>0</v>
      </c>
      <c r="P145">
        <f>IFERROR(VLOOKUP(B145,BSE_500_LIVE!A:E,4,FALSE),"")</f>
        <v>0</v>
      </c>
      <c r="Q145">
        <f>IFERROR(VLOOKUP(B145,BSE_500_LIVE!A:E,5,FALSE),"")</f>
        <v>0</v>
      </c>
      <c r="R145" t="str">
        <f t="shared" si="2"/>
        <v>MISMATCH_NEEDS_CORRECTION</v>
      </c>
      <c r="S145">
        <f t="shared" si="3"/>
        <v>0</v>
      </c>
      <c r="T145">
        <f>IFERROR(VLOOKUP(B145,BSE_500_LIVE!A:F,6,FALSE),"")</f>
        <v>0</v>
      </c>
    </row>
    <row r="146" spans="1:20" x14ac:dyDescent="0.25">
      <c r="A146">
        <v>36</v>
      </c>
      <c r="B146">
        <v>500199</v>
      </c>
      <c r="C146" t="s">
        <v>31</v>
      </c>
      <c r="D146">
        <v>2020</v>
      </c>
      <c r="E146">
        <v>425.45001220703119</v>
      </c>
      <c r="F146">
        <v>6.78</v>
      </c>
      <c r="G146" t="s">
        <v>465</v>
      </c>
      <c r="H146">
        <v>501</v>
      </c>
      <c r="I146">
        <v>81.25</v>
      </c>
      <c r="L146" t="s">
        <v>469</v>
      </c>
      <c r="M146">
        <v>73.893805309734518</v>
      </c>
      <c r="N146">
        <v>11.983775811209441</v>
      </c>
      <c r="O146">
        <f>IFERROR(VLOOKUP(B146,BSE_500_LIVE!A:E,3,FALSE),"")</f>
        <v>0</v>
      </c>
      <c r="P146">
        <f>IFERROR(VLOOKUP(B146,BSE_500_LIVE!A:E,4,FALSE),"")</f>
        <v>0</v>
      </c>
      <c r="Q146">
        <f>IFERROR(VLOOKUP(B146,BSE_500_LIVE!A:E,5,FALSE),"")</f>
        <v>0</v>
      </c>
      <c r="R146" t="str">
        <f t="shared" si="2"/>
        <v>MISMATCH_NEEDS_CORRECTION</v>
      </c>
      <c r="S146">
        <f t="shared" si="3"/>
        <v>0</v>
      </c>
      <c r="T146">
        <f>IFERROR(VLOOKUP(B146,BSE_500_LIVE!A:F,6,FALSE),"")</f>
        <v>0</v>
      </c>
    </row>
    <row r="147" spans="1:20" x14ac:dyDescent="0.25">
      <c r="A147">
        <v>36</v>
      </c>
      <c r="B147">
        <v>500199</v>
      </c>
      <c r="C147" t="s">
        <v>31</v>
      </c>
      <c r="D147">
        <v>2021</v>
      </c>
      <c r="E147">
        <v>425.45001220703119</v>
      </c>
      <c r="F147">
        <v>61.08</v>
      </c>
      <c r="G147" t="s">
        <v>465</v>
      </c>
      <c r="H147">
        <v>1017.900024414062</v>
      </c>
      <c r="I147">
        <v>363.10000610351563</v>
      </c>
      <c r="L147" t="s">
        <v>469</v>
      </c>
      <c r="M147">
        <v>16.66502986925445</v>
      </c>
      <c r="N147">
        <v>5.9446628373201644</v>
      </c>
      <c r="O147">
        <f>IFERROR(VLOOKUP(B147,BSE_500_LIVE!A:E,3,FALSE),"")</f>
        <v>0</v>
      </c>
      <c r="P147">
        <f>IFERROR(VLOOKUP(B147,BSE_500_LIVE!A:E,4,FALSE),"")</f>
        <v>0</v>
      </c>
      <c r="Q147">
        <f>IFERROR(VLOOKUP(B147,BSE_500_LIVE!A:E,5,FALSE),"")</f>
        <v>0</v>
      </c>
      <c r="R147" t="str">
        <f t="shared" si="2"/>
        <v>MISMATCH_NEEDS_CORRECTION</v>
      </c>
      <c r="S147">
        <f t="shared" si="3"/>
        <v>0</v>
      </c>
      <c r="T147">
        <f>IFERROR(VLOOKUP(B147,BSE_500_LIVE!A:F,6,FALSE),"")</f>
        <v>0</v>
      </c>
    </row>
    <row r="148" spans="1:20" x14ac:dyDescent="0.25">
      <c r="A148">
        <v>36</v>
      </c>
      <c r="B148">
        <v>500199</v>
      </c>
      <c r="C148" t="s">
        <v>31</v>
      </c>
      <c r="D148">
        <v>2022</v>
      </c>
      <c r="E148">
        <v>425.45001220703119</v>
      </c>
      <c r="F148">
        <v>85.89</v>
      </c>
      <c r="G148" t="s">
        <v>465</v>
      </c>
      <c r="H148">
        <v>827.5</v>
      </c>
      <c r="I148">
        <v>490.95001220703119</v>
      </c>
      <c r="L148" t="s">
        <v>469</v>
      </c>
      <c r="M148">
        <v>9.6344161136337174</v>
      </c>
      <c r="N148">
        <v>5.7160322762490532</v>
      </c>
      <c r="O148">
        <f>IFERROR(VLOOKUP(B148,BSE_500_LIVE!A:E,3,FALSE),"")</f>
        <v>0</v>
      </c>
      <c r="P148">
        <f>IFERROR(VLOOKUP(B148,BSE_500_LIVE!A:E,4,FALSE),"")</f>
        <v>0</v>
      </c>
      <c r="Q148">
        <f>IFERROR(VLOOKUP(B148,BSE_500_LIVE!A:E,5,FALSE),"")</f>
        <v>0</v>
      </c>
      <c r="R148" t="str">
        <f t="shared" si="2"/>
        <v>MISMATCH_NEEDS_CORRECTION</v>
      </c>
      <c r="S148">
        <f t="shared" si="3"/>
        <v>0</v>
      </c>
      <c r="T148">
        <f>IFERROR(VLOOKUP(B148,BSE_500_LIVE!A:F,6,FALSE),"")</f>
        <v>0</v>
      </c>
    </row>
    <row r="149" spans="1:20" x14ac:dyDescent="0.25">
      <c r="A149">
        <v>36</v>
      </c>
      <c r="B149">
        <v>500199</v>
      </c>
      <c r="C149" t="s">
        <v>31</v>
      </c>
      <c r="D149">
        <v>2023</v>
      </c>
      <c r="E149">
        <v>425.45001220703119</v>
      </c>
      <c r="F149">
        <v>64.95</v>
      </c>
      <c r="G149" t="s">
        <v>465</v>
      </c>
      <c r="H149">
        <v>588.54998779296875</v>
      </c>
      <c r="I149">
        <v>393</v>
      </c>
      <c r="L149" t="s">
        <v>469</v>
      </c>
      <c r="M149">
        <v>9.0615856473128371</v>
      </c>
      <c r="N149">
        <v>6.0508083140877593</v>
      </c>
      <c r="O149">
        <f>IFERROR(VLOOKUP(B149,BSE_500_LIVE!A:E,3,FALSE),"")</f>
        <v>0</v>
      </c>
      <c r="P149">
        <f>IFERROR(VLOOKUP(B149,BSE_500_LIVE!A:E,4,FALSE),"")</f>
        <v>0</v>
      </c>
      <c r="Q149">
        <f>IFERROR(VLOOKUP(B149,BSE_500_LIVE!A:E,5,FALSE),"")</f>
        <v>0</v>
      </c>
      <c r="R149" t="str">
        <f t="shared" si="2"/>
        <v>MISMATCH_NEEDS_CORRECTION</v>
      </c>
      <c r="S149">
        <f t="shared" si="3"/>
        <v>0</v>
      </c>
      <c r="T149">
        <f>IFERROR(VLOOKUP(B149,BSE_500_LIVE!A:F,6,FALSE),"")</f>
        <v>0</v>
      </c>
    </row>
    <row r="150" spans="1:20" x14ac:dyDescent="0.25">
      <c r="A150">
        <v>36</v>
      </c>
      <c r="B150">
        <v>500199</v>
      </c>
      <c r="C150" t="s">
        <v>31</v>
      </c>
      <c r="D150">
        <v>2024</v>
      </c>
      <c r="E150">
        <v>425.45001220703119</v>
      </c>
      <c r="F150">
        <v>12.83</v>
      </c>
      <c r="G150" t="s">
        <v>465</v>
      </c>
      <c r="H150">
        <v>725.5999755859375</v>
      </c>
      <c r="I150">
        <v>406.64999389648438</v>
      </c>
      <c r="L150" t="s">
        <v>469</v>
      </c>
      <c r="M150">
        <v>56.554947434601523</v>
      </c>
      <c r="N150">
        <v>31.695245042594259</v>
      </c>
      <c r="O150">
        <f>IFERROR(VLOOKUP(B150,BSE_500_LIVE!A:E,3,FALSE),"")</f>
        <v>0</v>
      </c>
      <c r="P150">
        <f>IFERROR(VLOOKUP(B150,BSE_500_LIVE!A:E,4,FALSE),"")</f>
        <v>0</v>
      </c>
      <c r="Q150">
        <f>IFERROR(VLOOKUP(B150,BSE_500_LIVE!A:E,5,FALSE),"")</f>
        <v>0</v>
      </c>
      <c r="R150" t="str">
        <f t="shared" si="2"/>
        <v>MISMATCH_NEEDS_CORRECTION</v>
      </c>
      <c r="S150">
        <f t="shared" si="3"/>
        <v>0</v>
      </c>
      <c r="T150">
        <f>IFERROR(VLOOKUP(B150,BSE_500_LIVE!A:F,6,FALSE),"")</f>
        <v>0</v>
      </c>
    </row>
    <row r="151" spans="1:20" x14ac:dyDescent="0.25">
      <c r="A151">
        <v>36</v>
      </c>
      <c r="B151">
        <v>500199</v>
      </c>
      <c r="C151" t="s">
        <v>31</v>
      </c>
      <c r="D151">
        <v>2025</v>
      </c>
      <c r="E151">
        <v>425.45001220703119</v>
      </c>
      <c r="F151">
        <v>35.299999999999997</v>
      </c>
      <c r="G151" t="s">
        <v>465</v>
      </c>
      <c r="H151">
        <v>587</v>
      </c>
      <c r="I151">
        <v>360.89999389648438</v>
      </c>
      <c r="L151" t="s">
        <v>469</v>
      </c>
      <c r="M151">
        <v>16.628895184135981</v>
      </c>
      <c r="N151">
        <v>10.22379586109021</v>
      </c>
      <c r="O151">
        <f>IFERROR(VLOOKUP(B151,BSE_500_LIVE!A:E,3,FALSE),"")</f>
        <v>0</v>
      </c>
      <c r="P151">
        <f>IFERROR(VLOOKUP(B151,BSE_500_LIVE!A:E,4,FALSE),"")</f>
        <v>0</v>
      </c>
      <c r="Q151">
        <f>IFERROR(VLOOKUP(B151,BSE_500_LIVE!A:E,5,FALSE),"")</f>
        <v>0</v>
      </c>
      <c r="R151" t="str">
        <f t="shared" si="2"/>
        <v>MISMATCH_NEEDS_CORRECTION</v>
      </c>
      <c r="S151">
        <f t="shared" si="3"/>
        <v>0</v>
      </c>
      <c r="T151">
        <f>IFERROR(VLOOKUP(B151,BSE_500_LIVE!A:F,6,FALSE),"")</f>
        <v>0</v>
      </c>
    </row>
    <row r="152" spans="1:20" x14ac:dyDescent="0.25">
      <c r="A152">
        <v>36</v>
      </c>
      <c r="B152">
        <v>500199</v>
      </c>
      <c r="C152" t="s">
        <v>31</v>
      </c>
      <c r="D152">
        <v>2026</v>
      </c>
      <c r="E152">
        <v>425.45001220703119</v>
      </c>
      <c r="F152">
        <v>0.72</v>
      </c>
      <c r="G152" t="s">
        <v>465</v>
      </c>
      <c r="H152">
        <v>480</v>
      </c>
      <c r="I152">
        <v>317.79998779296881</v>
      </c>
      <c r="L152" t="s">
        <v>469</v>
      </c>
      <c r="M152">
        <v>666.66666666666674</v>
      </c>
      <c r="N152">
        <v>441.38887193467889</v>
      </c>
      <c r="O152">
        <f>IFERROR(VLOOKUP(B152,BSE_500_LIVE!A:E,3,FALSE),"")</f>
        <v>0</v>
      </c>
      <c r="P152">
        <f>IFERROR(VLOOKUP(B152,BSE_500_LIVE!A:E,4,FALSE),"")</f>
        <v>0</v>
      </c>
      <c r="Q152">
        <f>IFERROR(VLOOKUP(B152,BSE_500_LIVE!A:E,5,FALSE),"")</f>
        <v>0</v>
      </c>
      <c r="R152" t="str">
        <f t="shared" si="2"/>
        <v>MISMATCH_NEEDS_CORRECTION</v>
      </c>
      <c r="S152">
        <f t="shared" si="3"/>
        <v>0</v>
      </c>
      <c r="T152">
        <f>IFERROR(VLOOKUP(B152,BSE_500_LIVE!A:F,6,FALSE),"")</f>
        <v>0</v>
      </c>
    </row>
    <row r="153" spans="1:20" x14ac:dyDescent="0.25">
      <c r="A153">
        <v>37</v>
      </c>
      <c r="B153">
        <v>500202</v>
      </c>
      <c r="C153" t="s">
        <v>33</v>
      </c>
      <c r="D153">
        <v>2015</v>
      </c>
      <c r="E153">
        <v>6.7100000381469727</v>
      </c>
      <c r="F153">
        <v>9.75</v>
      </c>
      <c r="G153" t="s">
        <v>465</v>
      </c>
      <c r="H153">
        <v>12.86999988555908</v>
      </c>
      <c r="I153">
        <v>5.5199999809265137</v>
      </c>
      <c r="L153" t="s">
        <v>471</v>
      </c>
      <c r="M153">
        <v>-71.499999364217118</v>
      </c>
      <c r="N153">
        <v>-30.666666560702851</v>
      </c>
      <c r="O153">
        <v>8.85</v>
      </c>
      <c r="P153">
        <v>16.7</v>
      </c>
      <c r="Q153">
        <v>8.23</v>
      </c>
      <c r="R153" s="3" t="s">
        <v>470</v>
      </c>
      <c r="S153">
        <v>8.85</v>
      </c>
      <c r="T153" t="s">
        <v>468</v>
      </c>
    </row>
    <row r="154" spans="1:20" x14ac:dyDescent="0.25">
      <c r="A154">
        <v>37</v>
      </c>
      <c r="B154">
        <v>500202</v>
      </c>
      <c r="C154" t="s">
        <v>33</v>
      </c>
      <c r="D154">
        <v>2016</v>
      </c>
      <c r="E154">
        <v>6.7100000381469727</v>
      </c>
      <c r="F154">
        <v>8.0299999999999994</v>
      </c>
      <c r="G154" t="s">
        <v>465</v>
      </c>
      <c r="H154">
        <v>15.11999988555908</v>
      </c>
      <c r="I154">
        <v>7.2199997901916504</v>
      </c>
      <c r="L154" t="s">
        <v>484</v>
      </c>
      <c r="M154">
        <v>503.99999618530268</v>
      </c>
      <c r="N154">
        <v>240.66665967305499</v>
      </c>
      <c r="O154">
        <v>8.85</v>
      </c>
      <c r="P154">
        <v>16.7</v>
      </c>
      <c r="Q154">
        <v>8.23</v>
      </c>
      <c r="R154" s="3" t="s">
        <v>470</v>
      </c>
      <c r="S154">
        <v>8.85</v>
      </c>
      <c r="T154" t="s">
        <v>468</v>
      </c>
    </row>
    <row r="155" spans="1:20" x14ac:dyDescent="0.25">
      <c r="A155">
        <v>37</v>
      </c>
      <c r="B155">
        <v>500202</v>
      </c>
      <c r="C155" t="s">
        <v>33</v>
      </c>
      <c r="D155">
        <v>2017</v>
      </c>
      <c r="E155">
        <v>6.7100000381469727</v>
      </c>
      <c r="F155">
        <v>9.18</v>
      </c>
      <c r="G155" t="s">
        <v>465</v>
      </c>
      <c r="H155">
        <v>8.3999996185302734</v>
      </c>
      <c r="I155">
        <v>3.4500000476837158</v>
      </c>
      <c r="L155" t="s">
        <v>471</v>
      </c>
      <c r="M155">
        <v>-167.9999923706055</v>
      </c>
      <c r="N155">
        <v>-69.000000953674316</v>
      </c>
      <c r="O155">
        <v>8.85</v>
      </c>
      <c r="P155">
        <v>16.7</v>
      </c>
      <c r="Q155">
        <v>8.23</v>
      </c>
      <c r="R155" s="3" t="s">
        <v>470</v>
      </c>
      <c r="S155">
        <v>8.85</v>
      </c>
      <c r="T155" t="s">
        <v>468</v>
      </c>
    </row>
    <row r="156" spans="1:20" x14ac:dyDescent="0.25">
      <c r="A156">
        <v>37</v>
      </c>
      <c r="B156">
        <v>500202</v>
      </c>
      <c r="C156" t="s">
        <v>33</v>
      </c>
      <c r="D156">
        <v>2018</v>
      </c>
      <c r="E156">
        <v>6.7100000381469727</v>
      </c>
      <c r="F156">
        <v>10.34</v>
      </c>
      <c r="G156" t="s">
        <v>465</v>
      </c>
      <c r="H156">
        <v>8.6599998474121094</v>
      </c>
      <c r="I156">
        <v>4.880000114440918</v>
      </c>
      <c r="L156" t="s">
        <v>484</v>
      </c>
      <c r="M156">
        <v>865.99998474121094</v>
      </c>
      <c r="N156">
        <v>488.0000114440918</v>
      </c>
      <c r="O156">
        <v>8.85</v>
      </c>
      <c r="P156">
        <v>16.7</v>
      </c>
      <c r="Q156">
        <v>8.23</v>
      </c>
      <c r="R156" s="3" t="s">
        <v>470</v>
      </c>
      <c r="S156">
        <v>8.85</v>
      </c>
      <c r="T156" t="s">
        <v>468</v>
      </c>
    </row>
    <row r="157" spans="1:20" x14ac:dyDescent="0.25">
      <c r="A157">
        <v>37</v>
      </c>
      <c r="B157">
        <v>500202</v>
      </c>
      <c r="C157" t="s">
        <v>33</v>
      </c>
      <c r="D157">
        <v>2019</v>
      </c>
      <c r="E157">
        <v>6.7100000381469727</v>
      </c>
      <c r="F157">
        <v>11.83</v>
      </c>
      <c r="G157" t="s">
        <v>465</v>
      </c>
      <c r="H157">
        <v>8.8299999237060547</v>
      </c>
      <c r="I157">
        <v>7.5999999046325684</v>
      </c>
      <c r="L157" t="s">
        <v>471</v>
      </c>
      <c r="M157">
        <v>-33.961538168100212</v>
      </c>
      <c r="N157">
        <v>-29.23076886397142</v>
      </c>
      <c r="O157">
        <v>8.85</v>
      </c>
      <c r="P157">
        <v>16.7</v>
      </c>
      <c r="Q157">
        <v>8.23</v>
      </c>
      <c r="R157" s="3" t="s">
        <v>470</v>
      </c>
      <c r="S157">
        <v>8.85</v>
      </c>
      <c r="T157" t="s">
        <v>468</v>
      </c>
    </row>
    <row r="158" spans="1:20" x14ac:dyDescent="0.25">
      <c r="A158">
        <v>37</v>
      </c>
      <c r="B158">
        <v>500202</v>
      </c>
      <c r="C158" t="s">
        <v>33</v>
      </c>
      <c r="D158">
        <v>2020</v>
      </c>
      <c r="E158">
        <v>6.7100000381469727</v>
      </c>
      <c r="F158">
        <v>0.89</v>
      </c>
      <c r="G158" t="s">
        <v>465</v>
      </c>
      <c r="H158">
        <v>9.4099998474121094</v>
      </c>
      <c r="I158">
        <v>3.279999971389771</v>
      </c>
      <c r="L158" t="s">
        <v>469</v>
      </c>
      <c r="M158">
        <v>10.5730335364181</v>
      </c>
      <c r="N158">
        <v>3.6853932262806408</v>
      </c>
      <c r="O158">
        <v>8.85</v>
      </c>
      <c r="P158">
        <v>16.7</v>
      </c>
      <c r="Q158">
        <v>8.23</v>
      </c>
      <c r="R158" s="3" t="s">
        <v>470</v>
      </c>
      <c r="S158">
        <v>8.85</v>
      </c>
      <c r="T158" t="s">
        <v>468</v>
      </c>
    </row>
    <row r="159" spans="1:20" x14ac:dyDescent="0.25">
      <c r="A159">
        <v>37</v>
      </c>
      <c r="B159">
        <v>500202</v>
      </c>
      <c r="C159" t="s">
        <v>33</v>
      </c>
      <c r="D159">
        <v>2021</v>
      </c>
      <c r="E159">
        <v>6.7100000381469727</v>
      </c>
      <c r="F159">
        <v>10.08</v>
      </c>
      <c r="G159" t="s">
        <v>465</v>
      </c>
      <c r="H159">
        <v>13.35000038146973</v>
      </c>
      <c r="I159">
        <v>6.4499998092651367</v>
      </c>
      <c r="L159" t="s">
        <v>471</v>
      </c>
      <c r="M159">
        <v>-1335.0000381469731</v>
      </c>
      <c r="N159">
        <v>-644.99998092651367</v>
      </c>
      <c r="O159">
        <v>8.85</v>
      </c>
      <c r="P159">
        <v>16.7</v>
      </c>
      <c r="Q159">
        <v>8.23</v>
      </c>
      <c r="R159" s="3" t="s">
        <v>470</v>
      </c>
      <c r="S159">
        <v>8.85</v>
      </c>
      <c r="T159" t="s">
        <v>468</v>
      </c>
    </row>
    <row r="160" spans="1:20" x14ac:dyDescent="0.25">
      <c r="A160">
        <v>37</v>
      </c>
      <c r="B160">
        <v>500202</v>
      </c>
      <c r="C160" t="s">
        <v>33</v>
      </c>
      <c r="D160">
        <v>2022</v>
      </c>
      <c r="E160">
        <v>6.7100000381469727</v>
      </c>
      <c r="F160">
        <v>12.96</v>
      </c>
      <c r="G160" t="s">
        <v>465</v>
      </c>
      <c r="H160">
        <v>13.289999961853029</v>
      </c>
      <c r="I160">
        <v>5.0500001907348633</v>
      </c>
      <c r="L160" t="s">
        <v>471</v>
      </c>
      <c r="M160">
        <v>-132.8999996185303</v>
      </c>
      <c r="N160">
        <v>-50.500001907348633</v>
      </c>
      <c r="O160">
        <v>8.85</v>
      </c>
      <c r="P160">
        <v>16.7</v>
      </c>
      <c r="Q160">
        <v>8.23</v>
      </c>
      <c r="R160" s="3" t="s">
        <v>470</v>
      </c>
      <c r="S160">
        <v>8.85</v>
      </c>
      <c r="T160" t="s">
        <v>468</v>
      </c>
    </row>
    <row r="161" spans="1:20" x14ac:dyDescent="0.25">
      <c r="A161">
        <v>37</v>
      </c>
      <c r="B161">
        <v>500202</v>
      </c>
      <c r="C161" t="s">
        <v>33</v>
      </c>
      <c r="D161">
        <v>2023</v>
      </c>
      <c r="E161">
        <v>6.7100000381469727</v>
      </c>
      <c r="F161">
        <v>8.26</v>
      </c>
      <c r="G161" t="s">
        <v>465</v>
      </c>
      <c r="H161">
        <v>14.30000019073486</v>
      </c>
      <c r="I161">
        <v>5.2100000381469727</v>
      </c>
      <c r="L161" t="s">
        <v>471</v>
      </c>
      <c r="M161">
        <v>-286.00000381469721</v>
      </c>
      <c r="N161">
        <v>-104.2000007629395</v>
      </c>
      <c r="O161">
        <v>8.85</v>
      </c>
      <c r="P161">
        <v>16.7</v>
      </c>
      <c r="Q161">
        <v>8.23</v>
      </c>
      <c r="R161" s="3" t="s">
        <v>470</v>
      </c>
      <c r="S161">
        <v>8.85</v>
      </c>
      <c r="T161" t="s">
        <v>468</v>
      </c>
    </row>
    <row r="162" spans="1:20" x14ac:dyDescent="0.25">
      <c r="A162">
        <v>37</v>
      </c>
      <c r="B162">
        <v>500202</v>
      </c>
      <c r="C162" t="s">
        <v>33</v>
      </c>
      <c r="D162">
        <v>2024</v>
      </c>
      <c r="E162">
        <v>6.7100000381469727</v>
      </c>
      <c r="F162">
        <v>6.14</v>
      </c>
      <c r="G162" t="s">
        <v>465</v>
      </c>
      <c r="H162">
        <v>16.70000076293945</v>
      </c>
      <c r="I162">
        <v>8.2299995422363281</v>
      </c>
      <c r="L162" t="s">
        <v>471</v>
      </c>
      <c r="M162">
        <v>-167.0000076293945</v>
      </c>
      <c r="N162">
        <v>-82.299995422363281</v>
      </c>
      <c r="O162">
        <v>8.85</v>
      </c>
      <c r="P162">
        <v>16.7</v>
      </c>
      <c r="Q162">
        <v>8.23</v>
      </c>
      <c r="R162" s="3" t="s">
        <v>470</v>
      </c>
      <c r="S162">
        <v>8.85</v>
      </c>
      <c r="T162" t="s">
        <v>468</v>
      </c>
    </row>
    <row r="163" spans="1:20" x14ac:dyDescent="0.25">
      <c r="A163">
        <v>37</v>
      </c>
      <c r="B163">
        <v>500202</v>
      </c>
      <c r="C163" t="s">
        <v>33</v>
      </c>
      <c r="D163">
        <v>2025</v>
      </c>
      <c r="E163">
        <v>6.7100000381469727</v>
      </c>
      <c r="F163">
        <v>6.73</v>
      </c>
      <c r="G163" t="s">
        <v>465</v>
      </c>
      <c r="H163">
        <v>13.680000305175779</v>
      </c>
      <c r="I163">
        <v>7.0300002098083496</v>
      </c>
      <c r="L163" t="s">
        <v>471</v>
      </c>
      <c r="M163">
        <v>-171.00000381469721</v>
      </c>
      <c r="N163">
        <v>-87.87500262260437</v>
      </c>
      <c r="O163">
        <v>8.85</v>
      </c>
      <c r="P163">
        <v>16.7</v>
      </c>
      <c r="Q163">
        <v>8.23</v>
      </c>
      <c r="R163" s="3" t="s">
        <v>470</v>
      </c>
      <c r="S163">
        <v>8.85</v>
      </c>
      <c r="T163" t="s">
        <v>468</v>
      </c>
    </row>
    <row r="164" spans="1:20" x14ac:dyDescent="0.25">
      <c r="A164">
        <v>37</v>
      </c>
      <c r="B164">
        <v>500202</v>
      </c>
      <c r="C164" t="s">
        <v>33</v>
      </c>
      <c r="D164">
        <v>2026</v>
      </c>
      <c r="E164">
        <v>6.7100000381469727</v>
      </c>
      <c r="F164">
        <v>6.82</v>
      </c>
      <c r="G164" t="s">
        <v>465</v>
      </c>
      <c r="H164">
        <v>10.47000026702881</v>
      </c>
      <c r="I164">
        <v>6.7100000381469727</v>
      </c>
      <c r="L164" t="s">
        <v>484</v>
      </c>
      <c r="M164">
        <v>1047.0000267028811</v>
      </c>
      <c r="N164">
        <v>671.00000381469727</v>
      </c>
      <c r="O164">
        <v>8.85</v>
      </c>
      <c r="P164">
        <v>16.7</v>
      </c>
      <c r="Q164">
        <v>8.23</v>
      </c>
      <c r="R164" s="3" t="s">
        <v>470</v>
      </c>
      <c r="S164">
        <v>8.85</v>
      </c>
      <c r="T164" t="s">
        <v>468</v>
      </c>
    </row>
    <row r="165" spans="1:20" x14ac:dyDescent="0.25">
      <c r="A165">
        <v>38</v>
      </c>
      <c r="B165">
        <v>500209</v>
      </c>
      <c r="C165" t="s">
        <v>35</v>
      </c>
      <c r="D165">
        <v>2015</v>
      </c>
      <c r="E165">
        <v>1096.949951171875</v>
      </c>
      <c r="F165">
        <v>26.93</v>
      </c>
      <c r="G165" t="s">
        <v>465</v>
      </c>
      <c r="H165">
        <v>609.5</v>
      </c>
      <c r="I165">
        <v>466.27499389648438</v>
      </c>
      <c r="L165" t="s">
        <v>469</v>
      </c>
      <c r="M165">
        <v>22.63275157816561</v>
      </c>
      <c r="N165">
        <v>17.314333230467302</v>
      </c>
      <c r="O165">
        <v>1175.0999999999999</v>
      </c>
      <c r="P165">
        <v>1728</v>
      </c>
      <c r="Q165">
        <v>982.4</v>
      </c>
      <c r="R165" s="3" t="s">
        <v>470</v>
      </c>
      <c r="S165">
        <v>1175.0999999999999</v>
      </c>
      <c r="T165" t="s">
        <v>468</v>
      </c>
    </row>
    <row r="166" spans="1:20" x14ac:dyDescent="0.25">
      <c r="A166">
        <v>38</v>
      </c>
      <c r="B166">
        <v>500209</v>
      </c>
      <c r="C166" t="s">
        <v>35</v>
      </c>
      <c r="D166">
        <v>2016</v>
      </c>
      <c r="E166">
        <v>1096.949951171875</v>
      </c>
      <c r="F166">
        <v>29.36</v>
      </c>
      <c r="G166" t="s">
        <v>465</v>
      </c>
      <c r="H166">
        <v>639</v>
      </c>
      <c r="I166">
        <v>450.14999389648438</v>
      </c>
      <c r="L166" t="s">
        <v>469</v>
      </c>
      <c r="M166">
        <v>21.764305177111719</v>
      </c>
      <c r="N166">
        <v>15.332084260779441</v>
      </c>
      <c r="O166">
        <v>1175.0999999999999</v>
      </c>
      <c r="P166">
        <v>1728</v>
      </c>
      <c r="Q166">
        <v>982.4</v>
      </c>
      <c r="R166" s="3" t="s">
        <v>470</v>
      </c>
      <c r="S166">
        <v>1175.0999999999999</v>
      </c>
      <c r="T166" t="s">
        <v>468</v>
      </c>
    </row>
    <row r="167" spans="1:20" x14ac:dyDescent="0.25">
      <c r="A167">
        <v>38</v>
      </c>
      <c r="B167">
        <v>500209</v>
      </c>
      <c r="C167" t="s">
        <v>35</v>
      </c>
      <c r="D167">
        <v>2017</v>
      </c>
      <c r="E167">
        <v>1096.949951171875</v>
      </c>
      <c r="F167">
        <v>31.24</v>
      </c>
      <c r="G167" t="s">
        <v>465</v>
      </c>
      <c r="H167">
        <v>523.04998779296875</v>
      </c>
      <c r="I167">
        <v>430.75</v>
      </c>
      <c r="L167" t="s">
        <v>469</v>
      </c>
      <c r="M167">
        <v>16.74295735572883</v>
      </c>
      <c r="N167">
        <v>13.788412291933421</v>
      </c>
      <c r="O167">
        <v>1175.0999999999999</v>
      </c>
      <c r="P167">
        <v>1728</v>
      </c>
      <c r="Q167">
        <v>982.4</v>
      </c>
      <c r="R167" s="3" t="s">
        <v>470</v>
      </c>
      <c r="S167">
        <v>1175.0999999999999</v>
      </c>
      <c r="T167" t="s">
        <v>468</v>
      </c>
    </row>
    <row r="168" spans="1:20" x14ac:dyDescent="0.25">
      <c r="A168">
        <v>38</v>
      </c>
      <c r="B168">
        <v>500209</v>
      </c>
      <c r="C168" t="s">
        <v>35</v>
      </c>
      <c r="D168">
        <v>2018</v>
      </c>
      <c r="E168">
        <v>1096.949951171875</v>
      </c>
      <c r="F168">
        <v>36.69</v>
      </c>
      <c r="G168" t="s">
        <v>465</v>
      </c>
      <c r="H168">
        <v>754.95001220703125</v>
      </c>
      <c r="I168">
        <v>503.125</v>
      </c>
      <c r="L168" t="s">
        <v>469</v>
      </c>
      <c r="M168">
        <v>20.57645168184877</v>
      </c>
      <c r="N168">
        <v>13.7128645407468</v>
      </c>
      <c r="O168">
        <v>1175.0999999999999</v>
      </c>
      <c r="P168">
        <v>1728</v>
      </c>
      <c r="Q168">
        <v>982.4</v>
      </c>
      <c r="R168" s="3" t="s">
        <v>470</v>
      </c>
      <c r="S168">
        <v>1175.0999999999999</v>
      </c>
      <c r="T168" t="s">
        <v>468</v>
      </c>
    </row>
    <row r="169" spans="1:20" x14ac:dyDescent="0.25">
      <c r="A169">
        <v>38</v>
      </c>
      <c r="B169">
        <v>500209</v>
      </c>
      <c r="C169" t="s">
        <v>35</v>
      </c>
      <c r="D169">
        <v>2019</v>
      </c>
      <c r="E169">
        <v>1096.949951171875</v>
      </c>
      <c r="F169">
        <v>35.26</v>
      </c>
      <c r="G169" t="s">
        <v>465</v>
      </c>
      <c r="H169">
        <v>847.4000244140625</v>
      </c>
      <c r="I169">
        <v>615</v>
      </c>
      <c r="L169" t="s">
        <v>469</v>
      </c>
      <c r="M169">
        <v>24.03289916092066</v>
      </c>
      <c r="N169">
        <v>17.441860465116282</v>
      </c>
      <c r="O169">
        <v>1175.0999999999999</v>
      </c>
      <c r="P169">
        <v>1728</v>
      </c>
      <c r="Q169">
        <v>982.4</v>
      </c>
      <c r="R169" s="3" t="s">
        <v>470</v>
      </c>
      <c r="S169">
        <v>1175.0999999999999</v>
      </c>
      <c r="T169" t="s">
        <v>468</v>
      </c>
    </row>
    <row r="170" spans="1:20" x14ac:dyDescent="0.25">
      <c r="A170">
        <v>38</v>
      </c>
      <c r="B170">
        <v>500209</v>
      </c>
      <c r="C170" t="s">
        <v>35</v>
      </c>
      <c r="D170">
        <v>2020</v>
      </c>
      <c r="E170">
        <v>1096.949951171875</v>
      </c>
      <c r="F170">
        <v>38.96</v>
      </c>
      <c r="G170" t="s">
        <v>465</v>
      </c>
      <c r="H170">
        <v>1265</v>
      </c>
      <c r="I170">
        <v>511.10000610351563</v>
      </c>
      <c r="L170" t="s">
        <v>469</v>
      </c>
      <c r="M170">
        <v>32.469199178644757</v>
      </c>
      <c r="N170">
        <v>13.11858331887874</v>
      </c>
      <c r="O170">
        <v>1175.0999999999999</v>
      </c>
      <c r="P170">
        <v>1728</v>
      </c>
      <c r="Q170">
        <v>982.4</v>
      </c>
      <c r="R170" s="3" t="s">
        <v>470</v>
      </c>
      <c r="S170">
        <v>1175.0999999999999</v>
      </c>
      <c r="T170" t="s">
        <v>468</v>
      </c>
    </row>
    <row r="171" spans="1:20" x14ac:dyDescent="0.25">
      <c r="A171">
        <v>38</v>
      </c>
      <c r="B171">
        <v>500209</v>
      </c>
      <c r="C171" t="s">
        <v>35</v>
      </c>
      <c r="D171">
        <v>2021</v>
      </c>
      <c r="E171">
        <v>1096.949951171875</v>
      </c>
      <c r="F171">
        <v>45.42</v>
      </c>
      <c r="G171" t="s">
        <v>465</v>
      </c>
      <c r="H171">
        <v>1909.199951171875</v>
      </c>
      <c r="I171">
        <v>1230</v>
      </c>
      <c r="L171" t="s">
        <v>469</v>
      </c>
      <c r="M171">
        <v>42.034345028002527</v>
      </c>
      <c r="N171">
        <v>27.080581241743729</v>
      </c>
      <c r="O171">
        <v>1175.0999999999999</v>
      </c>
      <c r="P171">
        <v>1728</v>
      </c>
      <c r="Q171">
        <v>982.4</v>
      </c>
      <c r="R171" s="3" t="s">
        <v>470</v>
      </c>
      <c r="S171">
        <v>1175.0999999999999</v>
      </c>
      <c r="T171" t="s">
        <v>468</v>
      </c>
    </row>
    <row r="172" spans="1:20" x14ac:dyDescent="0.25">
      <c r="A172">
        <v>38</v>
      </c>
      <c r="B172">
        <v>500209</v>
      </c>
      <c r="C172" t="s">
        <v>35</v>
      </c>
      <c r="D172">
        <v>2022</v>
      </c>
      <c r="E172">
        <v>1096.949951171875</v>
      </c>
      <c r="F172">
        <v>52.56</v>
      </c>
      <c r="G172" t="s">
        <v>465</v>
      </c>
      <c r="H172">
        <v>1944</v>
      </c>
      <c r="I172">
        <v>1355.5</v>
      </c>
      <c r="L172" t="s">
        <v>469</v>
      </c>
      <c r="M172">
        <v>36.986301369863007</v>
      </c>
      <c r="N172">
        <v>25.789573820395741</v>
      </c>
      <c r="O172">
        <v>1175.0999999999999</v>
      </c>
      <c r="P172">
        <v>1728</v>
      </c>
      <c r="Q172">
        <v>982.4</v>
      </c>
      <c r="R172" s="3" t="s">
        <v>470</v>
      </c>
      <c r="S172">
        <v>1175.0999999999999</v>
      </c>
      <c r="T172" t="s">
        <v>468</v>
      </c>
    </row>
    <row r="173" spans="1:20" x14ac:dyDescent="0.25">
      <c r="A173">
        <v>38</v>
      </c>
      <c r="B173">
        <v>500209</v>
      </c>
      <c r="C173" t="s">
        <v>35</v>
      </c>
      <c r="D173">
        <v>2023</v>
      </c>
      <c r="E173">
        <v>1096.949951171875</v>
      </c>
      <c r="F173">
        <v>58.08</v>
      </c>
      <c r="G173" t="s">
        <v>465</v>
      </c>
      <c r="H173">
        <v>1620</v>
      </c>
      <c r="I173">
        <v>1215.449951171875</v>
      </c>
      <c r="L173" t="s">
        <v>469</v>
      </c>
      <c r="M173">
        <v>27.892561983471079</v>
      </c>
      <c r="N173">
        <v>20.927168580782968</v>
      </c>
      <c r="O173">
        <v>1175.0999999999999</v>
      </c>
      <c r="P173">
        <v>1728</v>
      </c>
      <c r="Q173">
        <v>982.4</v>
      </c>
      <c r="R173" s="3" t="s">
        <v>470</v>
      </c>
      <c r="S173">
        <v>1175.0999999999999</v>
      </c>
      <c r="T173" t="s">
        <v>468</v>
      </c>
    </row>
    <row r="174" spans="1:20" x14ac:dyDescent="0.25">
      <c r="A174">
        <v>38</v>
      </c>
      <c r="B174">
        <v>500209</v>
      </c>
      <c r="C174" t="s">
        <v>35</v>
      </c>
      <c r="D174">
        <v>2024</v>
      </c>
      <c r="E174">
        <v>1096.949951171875</v>
      </c>
      <c r="F174">
        <v>63.2</v>
      </c>
      <c r="G174" t="s">
        <v>465</v>
      </c>
      <c r="H174">
        <v>2006.800048828125</v>
      </c>
      <c r="I174">
        <v>1359.099975585938</v>
      </c>
      <c r="L174" t="s">
        <v>469</v>
      </c>
      <c r="M174">
        <v>31.753165329558939</v>
      </c>
      <c r="N174">
        <v>21.504746449144591</v>
      </c>
      <c r="O174">
        <v>1175.0999999999999</v>
      </c>
      <c r="P174">
        <v>1728</v>
      </c>
      <c r="Q174">
        <v>982.4</v>
      </c>
      <c r="R174" s="3" t="s">
        <v>470</v>
      </c>
      <c r="S174">
        <v>1175.0999999999999</v>
      </c>
      <c r="T174" t="s">
        <v>468</v>
      </c>
    </row>
    <row r="175" spans="1:20" x14ac:dyDescent="0.25">
      <c r="A175">
        <v>38</v>
      </c>
      <c r="B175">
        <v>500209</v>
      </c>
      <c r="C175" t="s">
        <v>35</v>
      </c>
      <c r="D175">
        <v>2025</v>
      </c>
      <c r="E175">
        <v>1096.949951171875</v>
      </c>
      <c r="F175">
        <v>64.319999999999993</v>
      </c>
      <c r="G175" t="s">
        <v>465</v>
      </c>
      <c r="H175">
        <v>1982.550048828125</v>
      </c>
      <c r="I175">
        <v>1307.099975585938</v>
      </c>
      <c r="L175" t="s">
        <v>469</v>
      </c>
      <c r="M175">
        <v>30.823228371084031</v>
      </c>
      <c r="N175">
        <v>20.321827978637099</v>
      </c>
      <c r="O175">
        <v>1175.0999999999999</v>
      </c>
      <c r="P175">
        <v>1728</v>
      </c>
      <c r="Q175">
        <v>982.4</v>
      </c>
      <c r="R175" s="3" t="s">
        <v>470</v>
      </c>
      <c r="S175">
        <v>1175.0999999999999</v>
      </c>
      <c r="T175" t="s">
        <v>468</v>
      </c>
    </row>
    <row r="176" spans="1:20" x14ac:dyDescent="0.25">
      <c r="A176">
        <v>38</v>
      </c>
      <c r="B176">
        <v>500209</v>
      </c>
      <c r="C176" t="s">
        <v>35</v>
      </c>
      <c r="D176">
        <v>2026</v>
      </c>
      <c r="E176">
        <v>1096.949951171875</v>
      </c>
      <c r="F176">
        <v>72.59</v>
      </c>
      <c r="G176" t="s">
        <v>465</v>
      </c>
      <c r="H176">
        <v>1727.849975585938</v>
      </c>
      <c r="I176">
        <v>984</v>
      </c>
      <c r="L176" t="s">
        <v>469</v>
      </c>
      <c r="M176">
        <v>23.802865072130292</v>
      </c>
      <c r="N176">
        <v>13.55558616889379</v>
      </c>
      <c r="O176">
        <v>1175.0999999999999</v>
      </c>
      <c r="P176">
        <v>1728</v>
      </c>
      <c r="Q176">
        <v>982.4</v>
      </c>
      <c r="R176" s="3" t="s">
        <v>470</v>
      </c>
      <c r="S176">
        <v>1175.0999999999999</v>
      </c>
      <c r="T176" t="s">
        <v>468</v>
      </c>
    </row>
    <row r="177" spans="1:20" x14ac:dyDescent="0.25">
      <c r="A177">
        <v>39</v>
      </c>
      <c r="B177">
        <v>500210</v>
      </c>
      <c r="C177" t="s">
        <v>37</v>
      </c>
      <c r="D177">
        <v>2015</v>
      </c>
      <c r="E177">
        <v>4567.85009765625</v>
      </c>
      <c r="F177">
        <v>20.95</v>
      </c>
      <c r="G177" t="s">
        <v>465</v>
      </c>
      <c r="H177">
        <v>1125</v>
      </c>
      <c r="L177" t="s">
        <v>469</v>
      </c>
      <c r="M177">
        <v>53.699284009546538</v>
      </c>
      <c r="O177">
        <v>4254.5</v>
      </c>
      <c r="P177">
        <v>4756.2</v>
      </c>
      <c r="Q177">
        <v>3063.3</v>
      </c>
      <c r="R177" s="3" t="s">
        <v>470</v>
      </c>
      <c r="S177">
        <v>4254.5</v>
      </c>
      <c r="T177" t="s">
        <v>468</v>
      </c>
    </row>
    <row r="178" spans="1:20" x14ac:dyDescent="0.25">
      <c r="A178">
        <v>39</v>
      </c>
      <c r="B178">
        <v>500210</v>
      </c>
      <c r="C178" t="s">
        <v>37</v>
      </c>
      <c r="D178">
        <v>2016</v>
      </c>
      <c r="E178">
        <v>4567.85009765625</v>
      </c>
      <c r="F178">
        <v>19.27</v>
      </c>
      <c r="G178" t="s">
        <v>465</v>
      </c>
      <c r="H178">
        <v>825</v>
      </c>
      <c r="I178">
        <v>583</v>
      </c>
      <c r="L178" t="s">
        <v>469</v>
      </c>
      <c r="M178">
        <v>42.812662169174892</v>
      </c>
      <c r="N178">
        <v>30.254281266216921</v>
      </c>
      <c r="O178">
        <v>4254.5</v>
      </c>
      <c r="P178">
        <v>4756.2</v>
      </c>
      <c r="Q178">
        <v>3063.3</v>
      </c>
      <c r="R178" s="3" t="s">
        <v>470</v>
      </c>
      <c r="S178">
        <v>4254.5</v>
      </c>
      <c r="T178" t="s">
        <v>468</v>
      </c>
    </row>
    <row r="179" spans="1:20" x14ac:dyDescent="0.25">
      <c r="A179">
        <v>39</v>
      </c>
      <c r="B179">
        <v>500210</v>
      </c>
      <c r="C179" t="s">
        <v>37</v>
      </c>
      <c r="D179">
        <v>2017</v>
      </c>
      <c r="E179">
        <v>4567.85009765625</v>
      </c>
      <c r="F179">
        <v>24.48</v>
      </c>
      <c r="G179" t="s">
        <v>465</v>
      </c>
      <c r="H179">
        <v>940</v>
      </c>
      <c r="I179">
        <v>645</v>
      </c>
      <c r="L179" t="s">
        <v>469</v>
      </c>
      <c r="M179">
        <v>38.398692810457518</v>
      </c>
      <c r="N179">
        <v>26.348039215686271</v>
      </c>
      <c r="O179">
        <v>4254.5</v>
      </c>
      <c r="P179">
        <v>4756.2</v>
      </c>
      <c r="Q179">
        <v>3063.3</v>
      </c>
      <c r="R179" s="3" t="s">
        <v>470</v>
      </c>
      <c r="S179">
        <v>4254.5</v>
      </c>
      <c r="T179" t="s">
        <v>468</v>
      </c>
    </row>
    <row r="180" spans="1:20" x14ac:dyDescent="0.25">
      <c r="A180">
        <v>39</v>
      </c>
      <c r="B180">
        <v>500210</v>
      </c>
      <c r="C180" t="s">
        <v>37</v>
      </c>
      <c r="D180">
        <v>2018</v>
      </c>
      <c r="E180">
        <v>4567.85009765625</v>
      </c>
      <c r="F180">
        <v>28.16</v>
      </c>
      <c r="G180" t="s">
        <v>465</v>
      </c>
      <c r="H180">
        <v>915</v>
      </c>
      <c r="I180">
        <v>472.35000610351563</v>
      </c>
      <c r="L180" t="s">
        <v>469</v>
      </c>
      <c r="M180">
        <v>32.492897727272727</v>
      </c>
      <c r="N180">
        <v>16.773792830380529</v>
      </c>
      <c r="O180">
        <v>4254.5</v>
      </c>
      <c r="P180">
        <v>4756.2</v>
      </c>
      <c r="Q180">
        <v>3063.3</v>
      </c>
      <c r="R180" s="3" t="s">
        <v>470</v>
      </c>
      <c r="S180">
        <v>4254.5</v>
      </c>
      <c r="T180" t="s">
        <v>468</v>
      </c>
    </row>
    <row r="181" spans="1:20" x14ac:dyDescent="0.25">
      <c r="A181">
        <v>39</v>
      </c>
      <c r="B181">
        <v>500210</v>
      </c>
      <c r="C181" t="s">
        <v>37</v>
      </c>
      <c r="D181">
        <v>2019</v>
      </c>
      <c r="E181">
        <v>4567.85009765625</v>
      </c>
      <c r="F181">
        <v>25.64</v>
      </c>
      <c r="G181" t="s">
        <v>465</v>
      </c>
      <c r="H181">
        <v>729</v>
      </c>
      <c r="I181">
        <v>512.20001220703125</v>
      </c>
      <c r="L181" t="s">
        <v>469</v>
      </c>
      <c r="M181">
        <v>28.432137285491422</v>
      </c>
      <c r="N181">
        <v>19.976599540055819</v>
      </c>
      <c r="O181">
        <v>4254.5</v>
      </c>
      <c r="P181">
        <v>4756.2</v>
      </c>
      <c r="Q181">
        <v>3063.3</v>
      </c>
      <c r="R181" s="3" t="s">
        <v>470</v>
      </c>
      <c r="S181">
        <v>4254.5</v>
      </c>
      <c r="T181" t="s">
        <v>468</v>
      </c>
    </row>
    <row r="182" spans="1:20" x14ac:dyDescent="0.25">
      <c r="A182">
        <v>39</v>
      </c>
      <c r="B182">
        <v>500210</v>
      </c>
      <c r="C182" t="s">
        <v>37</v>
      </c>
      <c r="D182">
        <v>2020</v>
      </c>
      <c r="E182">
        <v>4567.85009765625</v>
      </c>
      <c r="F182">
        <v>26.8</v>
      </c>
      <c r="G182" t="s">
        <v>465</v>
      </c>
      <c r="H182">
        <v>698</v>
      </c>
      <c r="I182">
        <v>555.4000244140625</v>
      </c>
      <c r="L182" t="s">
        <v>469</v>
      </c>
      <c r="M182">
        <v>26.044776119402989</v>
      </c>
      <c r="N182">
        <v>20.723881507987411</v>
      </c>
      <c r="O182">
        <v>4254.5</v>
      </c>
      <c r="P182">
        <v>4756.2</v>
      </c>
      <c r="Q182">
        <v>3063.3</v>
      </c>
      <c r="R182" s="3" t="s">
        <v>470</v>
      </c>
      <c r="S182">
        <v>4254.5</v>
      </c>
      <c r="T182" t="s">
        <v>468</v>
      </c>
    </row>
    <row r="183" spans="1:20" x14ac:dyDescent="0.25">
      <c r="A183">
        <v>39</v>
      </c>
      <c r="B183">
        <v>500210</v>
      </c>
      <c r="C183" t="s">
        <v>37</v>
      </c>
      <c r="D183">
        <v>2021</v>
      </c>
      <c r="E183">
        <v>4567.85009765625</v>
      </c>
      <c r="F183">
        <v>22.92</v>
      </c>
      <c r="G183" t="s">
        <v>465</v>
      </c>
      <c r="H183">
        <v>1349.5</v>
      </c>
      <c r="I183">
        <v>632.5999755859375</v>
      </c>
      <c r="L183" t="s">
        <v>469</v>
      </c>
      <c r="M183">
        <v>58.878708551483413</v>
      </c>
      <c r="N183">
        <v>27.600347974953639</v>
      </c>
      <c r="O183">
        <v>4254.5</v>
      </c>
      <c r="P183">
        <v>4756.2</v>
      </c>
      <c r="Q183">
        <v>3063.3</v>
      </c>
      <c r="R183" s="3" t="s">
        <v>470</v>
      </c>
      <c r="S183">
        <v>4254.5</v>
      </c>
      <c r="T183" t="s">
        <v>468</v>
      </c>
    </row>
    <row r="184" spans="1:20" x14ac:dyDescent="0.25">
      <c r="A184">
        <v>39</v>
      </c>
      <c r="B184">
        <v>500210</v>
      </c>
      <c r="C184" t="s">
        <v>37</v>
      </c>
      <c r="D184">
        <v>2022</v>
      </c>
      <c r="E184">
        <v>4567.85009765625</v>
      </c>
      <c r="F184">
        <v>34.89</v>
      </c>
      <c r="G184" t="s">
        <v>465</v>
      </c>
      <c r="H184">
        <v>2400</v>
      </c>
      <c r="I184">
        <v>1148.900024414062</v>
      </c>
      <c r="L184" t="s">
        <v>469</v>
      </c>
      <c r="M184">
        <v>68.787618228718827</v>
      </c>
      <c r="N184">
        <v>32.929206775983431</v>
      </c>
      <c r="O184">
        <v>4254.5</v>
      </c>
      <c r="P184">
        <v>4756.2</v>
      </c>
      <c r="Q184">
        <v>3063.3</v>
      </c>
      <c r="R184" s="3" t="s">
        <v>470</v>
      </c>
      <c r="S184">
        <v>4254.5</v>
      </c>
      <c r="T184" t="s">
        <v>468</v>
      </c>
    </row>
    <row r="185" spans="1:20" x14ac:dyDescent="0.25">
      <c r="A185">
        <v>39</v>
      </c>
      <c r="B185">
        <v>500210</v>
      </c>
      <c r="C185" t="s">
        <v>37</v>
      </c>
      <c r="D185">
        <v>2023</v>
      </c>
      <c r="E185">
        <v>4567.85009765625</v>
      </c>
      <c r="F185">
        <v>57.86</v>
      </c>
      <c r="G185" t="s">
        <v>465</v>
      </c>
      <c r="H185">
        <v>3329.800048828125</v>
      </c>
      <c r="I185">
        <v>1841.400024414062</v>
      </c>
      <c r="L185" t="s">
        <v>469</v>
      </c>
      <c r="M185">
        <v>57.549257670724593</v>
      </c>
      <c r="N185">
        <v>31.825095478984831</v>
      </c>
      <c r="O185">
        <v>4254.5</v>
      </c>
      <c r="P185">
        <v>4756.2</v>
      </c>
      <c r="Q185">
        <v>3063.3</v>
      </c>
      <c r="R185" s="3" t="s">
        <v>470</v>
      </c>
      <c r="S185">
        <v>4254.5</v>
      </c>
      <c r="T185" t="s">
        <v>468</v>
      </c>
    </row>
    <row r="186" spans="1:20" x14ac:dyDescent="0.25">
      <c r="A186">
        <v>39</v>
      </c>
      <c r="B186">
        <v>500210</v>
      </c>
      <c r="C186" t="s">
        <v>37</v>
      </c>
      <c r="D186">
        <v>2024</v>
      </c>
      <c r="E186">
        <v>4567.85009765625</v>
      </c>
      <c r="F186">
        <v>70.45</v>
      </c>
      <c r="G186" t="s">
        <v>465</v>
      </c>
      <c r="H186">
        <v>4998.35009765625</v>
      </c>
      <c r="I186">
        <v>2997</v>
      </c>
      <c r="L186" t="s">
        <v>469</v>
      </c>
      <c r="M186">
        <v>70.948901315205816</v>
      </c>
      <c r="N186">
        <v>42.540809084457059</v>
      </c>
      <c r="O186">
        <v>4254.5</v>
      </c>
      <c r="P186">
        <v>4756.2</v>
      </c>
      <c r="Q186">
        <v>3063.3</v>
      </c>
      <c r="R186" s="3" t="s">
        <v>470</v>
      </c>
      <c r="S186">
        <v>4254.5</v>
      </c>
      <c r="T186" t="s">
        <v>468</v>
      </c>
    </row>
    <row r="187" spans="1:20" x14ac:dyDescent="0.25">
      <c r="A187">
        <v>39</v>
      </c>
      <c r="B187">
        <v>500210</v>
      </c>
      <c r="C187" t="s">
        <v>37</v>
      </c>
      <c r="D187">
        <v>2025</v>
      </c>
      <c r="E187">
        <v>4567.85009765625</v>
      </c>
      <c r="F187">
        <v>84.74</v>
      </c>
      <c r="G187" t="s">
        <v>465</v>
      </c>
      <c r="H187">
        <v>4449.9501953125</v>
      </c>
      <c r="I187">
        <v>3060.800048828125</v>
      </c>
      <c r="L187" t="s">
        <v>469</v>
      </c>
      <c r="M187">
        <v>52.512983187544258</v>
      </c>
      <c r="N187">
        <v>36.11989672914946</v>
      </c>
      <c r="O187">
        <v>4254.5</v>
      </c>
      <c r="P187">
        <v>4756.2</v>
      </c>
      <c r="Q187">
        <v>3063.3</v>
      </c>
      <c r="R187" s="3" t="s">
        <v>470</v>
      </c>
      <c r="S187">
        <v>4254.5</v>
      </c>
      <c r="T187" t="s">
        <v>468</v>
      </c>
    </row>
    <row r="188" spans="1:20" x14ac:dyDescent="0.25">
      <c r="A188">
        <v>39</v>
      </c>
      <c r="B188">
        <v>500210</v>
      </c>
      <c r="C188" t="s">
        <v>37</v>
      </c>
      <c r="D188">
        <v>2026</v>
      </c>
      <c r="E188">
        <v>4567.85009765625</v>
      </c>
      <c r="F188">
        <v>81.099999999999994</v>
      </c>
      <c r="G188" t="s">
        <v>465</v>
      </c>
      <c r="H188">
        <v>4731</v>
      </c>
      <c r="I188">
        <v>3070</v>
      </c>
      <c r="L188" t="s">
        <v>469</v>
      </c>
      <c r="M188">
        <v>58.335388409371149</v>
      </c>
      <c r="N188">
        <v>37.854500616522813</v>
      </c>
      <c r="O188">
        <v>4254.5</v>
      </c>
      <c r="P188">
        <v>4756.2</v>
      </c>
      <c r="Q188">
        <v>3063.3</v>
      </c>
      <c r="R188" s="3" t="s">
        <v>470</v>
      </c>
      <c r="S188">
        <v>4254.5</v>
      </c>
      <c r="T188" t="s">
        <v>468</v>
      </c>
    </row>
    <row r="189" spans="1:20" x14ac:dyDescent="0.25">
      <c r="A189">
        <v>40</v>
      </c>
      <c r="B189">
        <v>500214</v>
      </c>
      <c r="C189" t="s">
        <v>39</v>
      </c>
      <c r="D189">
        <v>2015</v>
      </c>
      <c r="E189">
        <v>428.64999389648438</v>
      </c>
      <c r="F189">
        <v>0.67</v>
      </c>
      <c r="G189" t="s">
        <v>465</v>
      </c>
      <c r="H189">
        <v>37.080001831054688</v>
      </c>
      <c r="I189">
        <v>19.20000076293945</v>
      </c>
      <c r="L189" t="s">
        <v>469</v>
      </c>
      <c r="M189">
        <v>55.343286315006992</v>
      </c>
      <c r="N189">
        <v>28.656717556626042</v>
      </c>
      <c r="O189">
        <v>417.15</v>
      </c>
      <c r="P189">
        <v>485.8</v>
      </c>
      <c r="Q189">
        <v>312.3</v>
      </c>
      <c r="R189" s="2" t="s">
        <v>467</v>
      </c>
      <c r="S189">
        <v>417.15</v>
      </c>
      <c r="T189" t="s">
        <v>468</v>
      </c>
    </row>
    <row r="190" spans="1:20" x14ac:dyDescent="0.25">
      <c r="A190">
        <v>40</v>
      </c>
      <c r="B190">
        <v>500214</v>
      </c>
      <c r="C190" t="s">
        <v>39</v>
      </c>
      <c r="D190">
        <v>2016</v>
      </c>
      <c r="E190">
        <v>428.64999389648438</v>
      </c>
      <c r="F190">
        <v>1.05</v>
      </c>
      <c r="G190" t="s">
        <v>465</v>
      </c>
      <c r="H190">
        <v>39.419998168945313</v>
      </c>
      <c r="I190">
        <v>24.89999961853027</v>
      </c>
      <c r="L190" t="s">
        <v>469</v>
      </c>
      <c r="M190">
        <v>37.542855398995528</v>
      </c>
      <c r="N190">
        <v>23.714285350981211</v>
      </c>
      <c r="O190">
        <v>417.15</v>
      </c>
      <c r="P190">
        <v>485.8</v>
      </c>
      <c r="Q190">
        <v>312.3</v>
      </c>
      <c r="R190" s="2" t="s">
        <v>467</v>
      </c>
      <c r="S190">
        <v>417.15</v>
      </c>
      <c r="T190" t="s">
        <v>468</v>
      </c>
    </row>
    <row r="191" spans="1:20" x14ac:dyDescent="0.25">
      <c r="A191">
        <v>40</v>
      </c>
      <c r="B191">
        <v>500214</v>
      </c>
      <c r="C191" t="s">
        <v>39</v>
      </c>
      <c r="D191">
        <v>2017</v>
      </c>
      <c r="E191">
        <v>428.64999389648438</v>
      </c>
      <c r="F191">
        <v>2.0699999999999998</v>
      </c>
      <c r="G191" t="s">
        <v>465</v>
      </c>
      <c r="H191">
        <v>63.799999237060547</v>
      </c>
      <c r="I191">
        <v>28.79999923706055</v>
      </c>
      <c r="L191" t="s">
        <v>469</v>
      </c>
      <c r="M191">
        <v>30.821255670077559</v>
      </c>
      <c r="N191">
        <v>13.91304310969109</v>
      </c>
      <c r="O191">
        <v>417.15</v>
      </c>
      <c r="P191">
        <v>485.8</v>
      </c>
      <c r="Q191">
        <v>312.3</v>
      </c>
      <c r="R191" s="2" t="s">
        <v>467</v>
      </c>
      <c r="S191">
        <v>417.15</v>
      </c>
      <c r="T191" t="s">
        <v>468</v>
      </c>
    </row>
    <row r="192" spans="1:20" x14ac:dyDescent="0.25">
      <c r="A192">
        <v>40</v>
      </c>
      <c r="B192">
        <v>500214</v>
      </c>
      <c r="C192" t="s">
        <v>39</v>
      </c>
      <c r="D192">
        <v>2018</v>
      </c>
      <c r="E192">
        <v>428.64999389648438</v>
      </c>
      <c r="F192">
        <v>2.74</v>
      </c>
      <c r="G192" t="s">
        <v>465</v>
      </c>
      <c r="H192">
        <v>60.400001525878913</v>
      </c>
      <c r="I192">
        <v>33.5</v>
      </c>
      <c r="L192" t="s">
        <v>469</v>
      </c>
      <c r="M192">
        <v>22.043796177328069</v>
      </c>
      <c r="N192">
        <v>12.22627737226277</v>
      </c>
      <c r="O192">
        <v>417.15</v>
      </c>
      <c r="P192">
        <v>485.8</v>
      </c>
      <c r="Q192">
        <v>312.3</v>
      </c>
      <c r="R192" s="2" t="s">
        <v>467</v>
      </c>
      <c r="S192">
        <v>417.15</v>
      </c>
      <c r="T192" t="s">
        <v>468</v>
      </c>
    </row>
    <row r="193" spans="1:20" x14ac:dyDescent="0.25">
      <c r="A193">
        <v>40</v>
      </c>
      <c r="B193">
        <v>500214</v>
      </c>
      <c r="C193" t="s">
        <v>39</v>
      </c>
      <c r="D193">
        <v>2019</v>
      </c>
      <c r="E193">
        <v>428.64999389648438</v>
      </c>
      <c r="F193">
        <v>4.45</v>
      </c>
      <c r="G193" t="s">
        <v>465</v>
      </c>
      <c r="H193">
        <v>86</v>
      </c>
      <c r="I193">
        <v>35.5</v>
      </c>
      <c r="L193" t="s">
        <v>469</v>
      </c>
      <c r="M193">
        <v>19.325842696629209</v>
      </c>
      <c r="N193">
        <v>7.97752808988764</v>
      </c>
      <c r="O193">
        <v>417.15</v>
      </c>
      <c r="P193">
        <v>485.8</v>
      </c>
      <c r="Q193">
        <v>312.3</v>
      </c>
      <c r="R193" s="2" t="s">
        <v>467</v>
      </c>
      <c r="S193">
        <v>417.15</v>
      </c>
      <c r="T193" t="s">
        <v>468</v>
      </c>
    </row>
    <row r="194" spans="1:20" x14ac:dyDescent="0.25">
      <c r="A194">
        <v>40</v>
      </c>
      <c r="B194">
        <v>500214</v>
      </c>
      <c r="C194" t="s">
        <v>39</v>
      </c>
      <c r="D194">
        <v>2020</v>
      </c>
      <c r="E194">
        <v>428.64999389648438</v>
      </c>
      <c r="F194">
        <v>6.38</v>
      </c>
      <c r="G194" t="s">
        <v>465</v>
      </c>
      <c r="H194">
        <v>107.09999847412109</v>
      </c>
      <c r="I194">
        <v>50.200000762939453</v>
      </c>
      <c r="L194" t="s">
        <v>469</v>
      </c>
      <c r="M194">
        <v>16.786833616633398</v>
      </c>
      <c r="N194">
        <v>7.868338677576717</v>
      </c>
      <c r="O194">
        <v>417.15</v>
      </c>
      <c r="P194">
        <v>485.8</v>
      </c>
      <c r="Q194">
        <v>312.3</v>
      </c>
      <c r="R194" s="2" t="s">
        <v>467</v>
      </c>
      <c r="S194">
        <v>417.15</v>
      </c>
      <c r="T194" t="s">
        <v>468</v>
      </c>
    </row>
    <row r="195" spans="1:20" x14ac:dyDescent="0.25">
      <c r="A195">
        <v>40</v>
      </c>
      <c r="B195">
        <v>500214</v>
      </c>
      <c r="C195" t="s">
        <v>39</v>
      </c>
      <c r="D195">
        <v>2021</v>
      </c>
      <c r="E195">
        <v>428.64999389648438</v>
      </c>
      <c r="F195">
        <v>9.81</v>
      </c>
      <c r="G195" t="s">
        <v>465</v>
      </c>
      <c r="H195">
        <v>294.70001220703119</v>
      </c>
      <c r="I195">
        <v>89.5</v>
      </c>
      <c r="L195" t="s">
        <v>469</v>
      </c>
      <c r="M195">
        <v>30.040775964019488</v>
      </c>
      <c r="N195">
        <v>9.123343527013251</v>
      </c>
      <c r="O195">
        <v>417.15</v>
      </c>
      <c r="P195">
        <v>485.8</v>
      </c>
      <c r="Q195">
        <v>312.3</v>
      </c>
      <c r="R195" s="2" t="s">
        <v>467</v>
      </c>
      <c r="S195">
        <v>417.15</v>
      </c>
      <c r="T195" t="s">
        <v>468</v>
      </c>
    </row>
    <row r="196" spans="1:20" x14ac:dyDescent="0.25">
      <c r="A196">
        <v>40</v>
      </c>
      <c r="B196">
        <v>500214</v>
      </c>
      <c r="C196" t="s">
        <v>39</v>
      </c>
      <c r="D196">
        <v>2022</v>
      </c>
      <c r="E196">
        <v>428.64999389648438</v>
      </c>
      <c r="F196">
        <v>11.1</v>
      </c>
      <c r="G196" t="s">
        <v>465</v>
      </c>
      <c r="H196">
        <v>305.5</v>
      </c>
      <c r="I196">
        <v>150.07000732421881</v>
      </c>
      <c r="L196" t="s">
        <v>469</v>
      </c>
      <c r="M196">
        <v>27.522522522522529</v>
      </c>
      <c r="N196">
        <v>13.51982047965935</v>
      </c>
      <c r="O196">
        <v>417.15</v>
      </c>
      <c r="P196">
        <v>485.8</v>
      </c>
      <c r="Q196">
        <v>312.3</v>
      </c>
      <c r="R196" s="2" t="s">
        <v>467</v>
      </c>
      <c r="S196">
        <v>417.15</v>
      </c>
      <c r="T196" t="s">
        <v>468</v>
      </c>
    </row>
    <row r="197" spans="1:20" x14ac:dyDescent="0.25">
      <c r="A197">
        <v>40</v>
      </c>
      <c r="B197">
        <v>500214</v>
      </c>
      <c r="C197" t="s">
        <v>39</v>
      </c>
      <c r="D197">
        <v>2023</v>
      </c>
      <c r="E197">
        <v>428.64999389648438</v>
      </c>
      <c r="F197">
        <v>13.41</v>
      </c>
      <c r="G197" t="s">
        <v>465</v>
      </c>
      <c r="H197">
        <v>687.54998779296875</v>
      </c>
      <c r="I197">
        <v>243.11000061035159</v>
      </c>
      <c r="L197" t="s">
        <v>469</v>
      </c>
      <c r="M197">
        <v>51.271438314166197</v>
      </c>
      <c r="N197">
        <v>18.12900824834837</v>
      </c>
      <c r="O197">
        <v>417.15</v>
      </c>
      <c r="P197">
        <v>485.8</v>
      </c>
      <c r="Q197">
        <v>312.3</v>
      </c>
      <c r="R197" s="2" t="s">
        <v>467</v>
      </c>
      <c r="S197">
        <v>417.15</v>
      </c>
      <c r="T197" t="s">
        <v>468</v>
      </c>
    </row>
    <row r="198" spans="1:20" x14ac:dyDescent="0.25">
      <c r="A198">
        <v>40</v>
      </c>
      <c r="B198">
        <v>500214</v>
      </c>
      <c r="C198" t="s">
        <v>39</v>
      </c>
      <c r="D198">
        <v>2024</v>
      </c>
      <c r="E198">
        <v>428.64999389648438</v>
      </c>
      <c r="F198">
        <v>13.37</v>
      </c>
      <c r="G198" t="s">
        <v>465</v>
      </c>
      <c r="H198">
        <v>767</v>
      </c>
      <c r="I198">
        <v>407</v>
      </c>
      <c r="L198" t="s">
        <v>469</v>
      </c>
      <c r="M198">
        <v>57.367240089753182</v>
      </c>
      <c r="N198">
        <v>30.44128646222887</v>
      </c>
      <c r="O198">
        <v>417.15</v>
      </c>
      <c r="P198">
        <v>485.8</v>
      </c>
      <c r="Q198">
        <v>312.3</v>
      </c>
      <c r="R198" s="2" t="s">
        <v>467</v>
      </c>
      <c r="S198">
        <v>417.15</v>
      </c>
      <c r="T198" t="s">
        <v>468</v>
      </c>
    </row>
    <row r="199" spans="1:20" x14ac:dyDescent="0.25">
      <c r="A199">
        <v>40</v>
      </c>
      <c r="B199">
        <v>500214</v>
      </c>
      <c r="C199" t="s">
        <v>39</v>
      </c>
      <c r="D199">
        <v>2025</v>
      </c>
      <c r="E199">
        <v>428.64999389648438</v>
      </c>
      <c r="F199">
        <v>14.17</v>
      </c>
      <c r="G199" t="s">
        <v>465</v>
      </c>
      <c r="H199">
        <v>675.95001220703125</v>
      </c>
      <c r="I199">
        <v>331.25</v>
      </c>
      <c r="L199" t="s">
        <v>469</v>
      </c>
      <c r="M199">
        <v>47.702894298308493</v>
      </c>
      <c r="N199">
        <v>23.37685250529287</v>
      </c>
      <c r="O199">
        <v>417.15</v>
      </c>
      <c r="P199">
        <v>485.8</v>
      </c>
      <c r="Q199">
        <v>312.3</v>
      </c>
      <c r="R199" s="2" t="s">
        <v>467</v>
      </c>
      <c r="S199">
        <v>417.15</v>
      </c>
      <c r="T199" t="s">
        <v>468</v>
      </c>
    </row>
    <row r="200" spans="1:20" x14ac:dyDescent="0.25">
      <c r="A200">
        <v>40</v>
      </c>
      <c r="B200">
        <v>500214</v>
      </c>
      <c r="C200" t="s">
        <v>39</v>
      </c>
      <c r="D200">
        <v>2026</v>
      </c>
      <c r="E200">
        <v>428.64999389648438</v>
      </c>
      <c r="F200">
        <v>9.73</v>
      </c>
      <c r="G200" t="s">
        <v>465</v>
      </c>
      <c r="H200">
        <v>485.79998779296881</v>
      </c>
      <c r="I200">
        <v>312.29998779296881</v>
      </c>
      <c r="L200" t="s">
        <v>469</v>
      </c>
      <c r="M200">
        <v>49.928056299380152</v>
      </c>
      <c r="N200">
        <v>32.096607172966991</v>
      </c>
      <c r="O200">
        <v>417.15</v>
      </c>
      <c r="P200">
        <v>485.8</v>
      </c>
      <c r="Q200">
        <v>312.3</v>
      </c>
      <c r="R200" s="2" t="s">
        <v>467</v>
      </c>
      <c r="S200">
        <v>417.15</v>
      </c>
      <c r="T200" t="s">
        <v>468</v>
      </c>
    </row>
    <row r="201" spans="1:20" x14ac:dyDescent="0.25">
      <c r="A201">
        <v>41</v>
      </c>
      <c r="B201">
        <v>500219</v>
      </c>
      <c r="C201" t="s">
        <v>41</v>
      </c>
      <c r="D201">
        <v>2015</v>
      </c>
      <c r="E201">
        <v>30.54000091552734</v>
      </c>
      <c r="F201">
        <v>1.25</v>
      </c>
      <c r="G201" t="s">
        <v>465</v>
      </c>
      <c r="H201">
        <v>79</v>
      </c>
      <c r="I201">
        <v>50.549999237060547</v>
      </c>
      <c r="L201" t="s">
        <v>469</v>
      </c>
      <c r="M201">
        <v>63.2</v>
      </c>
      <c r="N201">
        <v>40.439999389648428</v>
      </c>
      <c r="O201">
        <v>22.48</v>
      </c>
      <c r="P201">
        <v>35.6</v>
      </c>
      <c r="Q201">
        <v>19</v>
      </c>
      <c r="R201" s="3" t="s">
        <v>470</v>
      </c>
      <c r="S201">
        <v>22.48</v>
      </c>
      <c r="T201" t="s">
        <v>468</v>
      </c>
    </row>
    <row r="202" spans="1:20" x14ac:dyDescent="0.25">
      <c r="A202">
        <v>41</v>
      </c>
      <c r="B202">
        <v>500219</v>
      </c>
      <c r="C202" t="s">
        <v>41</v>
      </c>
      <c r="D202">
        <v>2016</v>
      </c>
      <c r="E202">
        <v>30.54000091552734</v>
      </c>
      <c r="F202">
        <v>1.06</v>
      </c>
      <c r="G202" t="s">
        <v>465</v>
      </c>
      <c r="H202">
        <v>108.5</v>
      </c>
      <c r="I202">
        <v>47</v>
      </c>
      <c r="L202" t="s">
        <v>469</v>
      </c>
      <c r="M202">
        <v>102.3584905660377</v>
      </c>
      <c r="N202">
        <v>44.339622641509429</v>
      </c>
      <c r="O202">
        <v>22.48</v>
      </c>
      <c r="P202">
        <v>35.6</v>
      </c>
      <c r="Q202">
        <v>19</v>
      </c>
      <c r="R202" s="3" t="s">
        <v>470</v>
      </c>
      <c r="S202">
        <v>22.48</v>
      </c>
      <c r="T202" t="s">
        <v>468</v>
      </c>
    </row>
    <row r="203" spans="1:20" x14ac:dyDescent="0.25">
      <c r="A203">
        <v>41</v>
      </c>
      <c r="B203">
        <v>500219</v>
      </c>
      <c r="C203" t="s">
        <v>41</v>
      </c>
      <c r="D203">
        <v>2017</v>
      </c>
      <c r="E203">
        <v>30.54000091552734</v>
      </c>
      <c r="F203">
        <v>3.68</v>
      </c>
      <c r="G203" t="s">
        <v>465</v>
      </c>
      <c r="H203">
        <v>132.8999938964844</v>
      </c>
      <c r="I203">
        <v>82.800003051757813</v>
      </c>
      <c r="L203" t="s">
        <v>469</v>
      </c>
      <c r="M203">
        <v>36.114128776218593</v>
      </c>
      <c r="N203">
        <v>22.500000829282008</v>
      </c>
      <c r="O203">
        <v>22.48</v>
      </c>
      <c r="P203">
        <v>35.6</v>
      </c>
      <c r="Q203">
        <v>19</v>
      </c>
      <c r="R203" s="3" t="s">
        <v>470</v>
      </c>
      <c r="S203">
        <v>22.48</v>
      </c>
      <c r="T203" t="s">
        <v>468</v>
      </c>
    </row>
    <row r="204" spans="1:20" x14ac:dyDescent="0.25">
      <c r="A204">
        <v>41</v>
      </c>
      <c r="B204">
        <v>500219</v>
      </c>
      <c r="C204" t="s">
        <v>41</v>
      </c>
      <c r="D204">
        <v>2018</v>
      </c>
      <c r="E204">
        <v>30.54000091552734</v>
      </c>
      <c r="F204">
        <v>4.42</v>
      </c>
      <c r="G204" t="s">
        <v>465</v>
      </c>
      <c r="H204">
        <v>150.3999938964844</v>
      </c>
      <c r="I204">
        <v>55.099998474121087</v>
      </c>
      <c r="L204" t="s">
        <v>469</v>
      </c>
      <c r="M204">
        <v>34.027147940381077</v>
      </c>
      <c r="N204">
        <v>12.466063003194821</v>
      </c>
      <c r="O204">
        <v>22.48</v>
      </c>
      <c r="P204">
        <v>35.6</v>
      </c>
      <c r="Q204">
        <v>19</v>
      </c>
      <c r="R204" s="3" t="s">
        <v>470</v>
      </c>
      <c r="S204">
        <v>22.48</v>
      </c>
      <c r="T204" t="s">
        <v>468</v>
      </c>
    </row>
    <row r="205" spans="1:20" x14ac:dyDescent="0.25">
      <c r="A205">
        <v>41</v>
      </c>
      <c r="B205">
        <v>500219</v>
      </c>
      <c r="C205" t="s">
        <v>41</v>
      </c>
      <c r="D205">
        <v>2019</v>
      </c>
      <c r="E205">
        <v>30.54000091552734</v>
      </c>
      <c r="F205">
        <v>4.82</v>
      </c>
      <c r="G205" t="s">
        <v>465</v>
      </c>
      <c r="H205">
        <v>69.5</v>
      </c>
      <c r="I205">
        <v>7.3600001335144043</v>
      </c>
      <c r="L205" t="s">
        <v>469</v>
      </c>
      <c r="M205">
        <v>14.419087136929461</v>
      </c>
      <c r="N205">
        <v>1.5269709820569299</v>
      </c>
      <c r="O205">
        <v>22.48</v>
      </c>
      <c r="P205">
        <v>35.6</v>
      </c>
      <c r="Q205">
        <v>19</v>
      </c>
      <c r="R205" s="3" t="s">
        <v>470</v>
      </c>
      <c r="S205">
        <v>22.48</v>
      </c>
      <c r="T205" t="s">
        <v>468</v>
      </c>
    </row>
    <row r="206" spans="1:20" x14ac:dyDescent="0.25">
      <c r="A206">
        <v>41</v>
      </c>
      <c r="B206">
        <v>500219</v>
      </c>
      <c r="C206" t="s">
        <v>41</v>
      </c>
      <c r="D206">
        <v>2020</v>
      </c>
      <c r="E206">
        <v>30.54000091552734</v>
      </c>
      <c r="F206">
        <v>-14.41</v>
      </c>
      <c r="G206" t="s">
        <v>465</v>
      </c>
      <c r="H206">
        <v>20.95000076293945</v>
      </c>
      <c r="I206">
        <v>3.0799999237060551</v>
      </c>
      <c r="L206" t="s">
        <v>471</v>
      </c>
      <c r="M206">
        <v>-1.4538515449645699</v>
      </c>
      <c r="N206">
        <v>-0.21374045272075329</v>
      </c>
      <c r="O206">
        <v>22.48</v>
      </c>
      <c r="P206">
        <v>35.6</v>
      </c>
      <c r="Q206">
        <v>19</v>
      </c>
      <c r="R206" s="3" t="s">
        <v>470</v>
      </c>
      <c r="S206">
        <v>22.48</v>
      </c>
      <c r="T206" t="s">
        <v>468</v>
      </c>
    </row>
    <row r="207" spans="1:20" x14ac:dyDescent="0.25">
      <c r="A207">
        <v>41</v>
      </c>
      <c r="B207">
        <v>500219</v>
      </c>
      <c r="C207" t="s">
        <v>41</v>
      </c>
      <c r="D207">
        <v>2021</v>
      </c>
      <c r="E207">
        <v>30.54000091552734</v>
      </c>
      <c r="F207">
        <v>-7.97</v>
      </c>
      <c r="G207" t="s">
        <v>465</v>
      </c>
      <c r="H207">
        <v>53.5</v>
      </c>
      <c r="I207">
        <v>16.14999961853027</v>
      </c>
      <c r="L207" t="s">
        <v>471</v>
      </c>
      <c r="M207">
        <v>-6.71267252195734</v>
      </c>
      <c r="N207">
        <v>-2.0263487601669099</v>
      </c>
      <c r="O207">
        <v>22.48</v>
      </c>
      <c r="P207">
        <v>35.6</v>
      </c>
      <c r="Q207">
        <v>19</v>
      </c>
      <c r="R207" s="3" t="s">
        <v>470</v>
      </c>
      <c r="S207">
        <v>22.48</v>
      </c>
      <c r="T207" t="s">
        <v>468</v>
      </c>
    </row>
    <row r="208" spans="1:20" x14ac:dyDescent="0.25">
      <c r="A208">
        <v>41</v>
      </c>
      <c r="B208">
        <v>500219</v>
      </c>
      <c r="C208" t="s">
        <v>41</v>
      </c>
      <c r="D208">
        <v>2022</v>
      </c>
      <c r="E208">
        <v>30.54000091552734</v>
      </c>
      <c r="F208">
        <v>5.48</v>
      </c>
      <c r="G208" t="s">
        <v>465</v>
      </c>
      <c r="H208">
        <v>50.400001525878913</v>
      </c>
      <c r="I208">
        <v>29.5</v>
      </c>
      <c r="L208" t="s">
        <v>469</v>
      </c>
      <c r="M208">
        <v>9.19708057041586</v>
      </c>
      <c r="N208">
        <v>5.383211678832116</v>
      </c>
      <c r="O208">
        <v>22.48</v>
      </c>
      <c r="P208">
        <v>35.6</v>
      </c>
      <c r="Q208">
        <v>19</v>
      </c>
      <c r="R208" s="3" t="s">
        <v>470</v>
      </c>
      <c r="S208">
        <v>22.48</v>
      </c>
      <c r="T208" t="s">
        <v>468</v>
      </c>
    </row>
    <row r="209" spans="1:20" x14ac:dyDescent="0.25">
      <c r="A209">
        <v>41</v>
      </c>
      <c r="B209">
        <v>500219</v>
      </c>
      <c r="C209" t="s">
        <v>41</v>
      </c>
      <c r="D209">
        <v>2023</v>
      </c>
      <c r="E209">
        <v>30.54000091552734</v>
      </c>
      <c r="F209">
        <v>13.69</v>
      </c>
      <c r="G209" t="s">
        <v>465</v>
      </c>
      <c r="H209">
        <v>73.400001525878906</v>
      </c>
      <c r="I209">
        <v>26.5</v>
      </c>
      <c r="L209" t="s">
        <v>469</v>
      </c>
      <c r="M209">
        <v>5.3615779054696064</v>
      </c>
      <c r="N209">
        <v>1.9357195032870711</v>
      </c>
      <c r="O209">
        <v>22.48</v>
      </c>
      <c r="P209">
        <v>35.6</v>
      </c>
      <c r="Q209">
        <v>19</v>
      </c>
      <c r="R209" s="3" t="s">
        <v>470</v>
      </c>
      <c r="S209">
        <v>22.48</v>
      </c>
      <c r="T209" t="s">
        <v>468</v>
      </c>
    </row>
    <row r="210" spans="1:20" x14ac:dyDescent="0.25">
      <c r="A210">
        <v>41</v>
      </c>
      <c r="B210">
        <v>500219</v>
      </c>
      <c r="C210" t="s">
        <v>41</v>
      </c>
      <c r="D210">
        <v>2024</v>
      </c>
      <c r="E210">
        <v>30.54000091552734</v>
      </c>
      <c r="F210">
        <v>0.68</v>
      </c>
      <c r="G210" t="s">
        <v>465</v>
      </c>
      <c r="H210">
        <v>84.099998474121094</v>
      </c>
      <c r="I210">
        <v>43.75</v>
      </c>
      <c r="L210" t="s">
        <v>469</v>
      </c>
      <c r="M210">
        <v>123.6764683442957</v>
      </c>
      <c r="N210">
        <v>64.338235294117638</v>
      </c>
      <c r="O210">
        <v>22.48</v>
      </c>
      <c r="P210">
        <v>35.6</v>
      </c>
      <c r="Q210">
        <v>19</v>
      </c>
      <c r="R210" s="3" t="s">
        <v>470</v>
      </c>
      <c r="S210">
        <v>22.48</v>
      </c>
      <c r="T210" t="s">
        <v>468</v>
      </c>
    </row>
    <row r="211" spans="1:20" x14ac:dyDescent="0.25">
      <c r="A211">
        <v>41</v>
      </c>
      <c r="B211">
        <v>500219</v>
      </c>
      <c r="C211" t="s">
        <v>41</v>
      </c>
      <c r="D211">
        <v>2025</v>
      </c>
      <c r="E211">
        <v>30.54000091552734</v>
      </c>
      <c r="F211">
        <v>0.5</v>
      </c>
      <c r="G211" t="s">
        <v>465</v>
      </c>
      <c r="H211">
        <v>83.349998474121094</v>
      </c>
      <c r="I211">
        <v>39</v>
      </c>
      <c r="L211" t="s">
        <v>469</v>
      </c>
      <c r="M211">
        <v>166.69999694824219</v>
      </c>
      <c r="N211">
        <v>78</v>
      </c>
      <c r="O211">
        <v>22.48</v>
      </c>
      <c r="P211">
        <v>35.6</v>
      </c>
      <c r="Q211">
        <v>19</v>
      </c>
      <c r="R211" s="3" t="s">
        <v>470</v>
      </c>
      <c r="S211">
        <v>22.48</v>
      </c>
      <c r="T211" t="s">
        <v>468</v>
      </c>
    </row>
    <row r="212" spans="1:20" x14ac:dyDescent="0.25">
      <c r="A212">
        <v>41</v>
      </c>
      <c r="B212">
        <v>500219</v>
      </c>
      <c r="C212" t="s">
        <v>41</v>
      </c>
      <c r="D212">
        <v>2026</v>
      </c>
      <c r="E212">
        <v>30.54000091552734</v>
      </c>
      <c r="F212">
        <v>-0.13</v>
      </c>
      <c r="G212" t="s">
        <v>465</v>
      </c>
      <c r="H212">
        <v>42.680000305175781</v>
      </c>
      <c r="I212">
        <v>27.370000839233398</v>
      </c>
      <c r="L212" t="s">
        <v>471</v>
      </c>
      <c r="M212">
        <v>-125.5294126622817</v>
      </c>
      <c r="N212">
        <v>-80.50000246833352</v>
      </c>
      <c r="O212">
        <v>22.48</v>
      </c>
      <c r="P212">
        <v>35.6</v>
      </c>
      <c r="Q212">
        <v>19</v>
      </c>
      <c r="R212" s="3" t="s">
        <v>470</v>
      </c>
      <c r="S212">
        <v>22.48</v>
      </c>
      <c r="T212" t="s">
        <v>468</v>
      </c>
    </row>
    <row r="213" spans="1:20" x14ac:dyDescent="0.25">
      <c r="A213">
        <v>42</v>
      </c>
      <c r="B213">
        <v>500220</v>
      </c>
      <c r="C213" t="s">
        <v>43</v>
      </c>
      <c r="D213">
        <v>2015</v>
      </c>
      <c r="E213">
        <v>327.29998779296881</v>
      </c>
      <c r="F213">
        <v>2.73</v>
      </c>
      <c r="G213" t="s">
        <v>465</v>
      </c>
      <c r="H213">
        <v>85.666664123535156</v>
      </c>
      <c r="I213">
        <v>27.583332061767582</v>
      </c>
      <c r="L213" t="s">
        <v>469</v>
      </c>
      <c r="M213">
        <v>31.37973044818138</v>
      </c>
      <c r="N213">
        <v>10.103784638010101</v>
      </c>
      <c r="O213">
        <v>175.9</v>
      </c>
      <c r="P213">
        <v>377</v>
      </c>
      <c r="Q213">
        <v>154</v>
      </c>
      <c r="R213" s="3" t="s">
        <v>470</v>
      </c>
      <c r="S213">
        <v>175.9</v>
      </c>
      <c r="T213" t="s">
        <v>468</v>
      </c>
    </row>
    <row r="214" spans="1:20" x14ac:dyDescent="0.25">
      <c r="A214">
        <v>42</v>
      </c>
      <c r="B214">
        <v>500220</v>
      </c>
      <c r="C214" t="s">
        <v>43</v>
      </c>
      <c r="D214">
        <v>2016</v>
      </c>
      <c r="E214">
        <v>327.29998779296881</v>
      </c>
      <c r="F214">
        <v>2.58</v>
      </c>
      <c r="G214" t="s">
        <v>465</v>
      </c>
      <c r="H214">
        <v>113.3333358764648</v>
      </c>
      <c r="I214">
        <v>52.166664123535163</v>
      </c>
      <c r="L214" t="s">
        <v>469</v>
      </c>
      <c r="M214">
        <v>43.927649564521239</v>
      </c>
      <c r="N214">
        <v>20.219637257184171</v>
      </c>
      <c r="O214">
        <v>175.9</v>
      </c>
      <c r="P214">
        <v>377</v>
      </c>
      <c r="Q214">
        <v>154</v>
      </c>
      <c r="R214" s="3" t="s">
        <v>470</v>
      </c>
      <c r="S214">
        <v>175.9</v>
      </c>
      <c r="T214" t="s">
        <v>468</v>
      </c>
    </row>
    <row r="215" spans="1:20" x14ac:dyDescent="0.25">
      <c r="A215">
        <v>42</v>
      </c>
      <c r="B215">
        <v>500220</v>
      </c>
      <c r="C215" t="s">
        <v>43</v>
      </c>
      <c r="D215">
        <v>2017</v>
      </c>
      <c r="E215">
        <v>327.29998779296881</v>
      </c>
      <c r="F215">
        <v>5.54</v>
      </c>
      <c r="G215" t="s">
        <v>465</v>
      </c>
      <c r="H215">
        <v>143.33332824707031</v>
      </c>
      <c r="I215">
        <v>77.833335876464844</v>
      </c>
      <c r="L215" t="s">
        <v>469</v>
      </c>
      <c r="M215">
        <v>25.872441921853849</v>
      </c>
      <c r="N215">
        <v>14.049338605860081</v>
      </c>
      <c r="O215">
        <v>175.9</v>
      </c>
      <c r="P215">
        <v>377</v>
      </c>
      <c r="Q215">
        <v>154</v>
      </c>
      <c r="R215" s="3" t="s">
        <v>470</v>
      </c>
      <c r="S215">
        <v>175.9</v>
      </c>
      <c r="T215" t="s">
        <v>468</v>
      </c>
    </row>
    <row r="216" spans="1:20" x14ac:dyDescent="0.25">
      <c r="A216">
        <v>42</v>
      </c>
      <c r="B216">
        <v>500220</v>
      </c>
      <c r="C216" t="s">
        <v>43</v>
      </c>
      <c r="D216">
        <v>2018</v>
      </c>
      <c r="E216">
        <v>327.29998779296881</v>
      </c>
      <c r="F216">
        <v>3.88</v>
      </c>
      <c r="G216" t="s">
        <v>465</v>
      </c>
      <c r="H216">
        <v>147.33332824707031</v>
      </c>
      <c r="I216">
        <v>80.166664123535156</v>
      </c>
      <c r="L216" t="s">
        <v>469</v>
      </c>
      <c r="M216">
        <v>37.972507280172763</v>
      </c>
      <c r="N216">
        <v>20.66151137204514</v>
      </c>
      <c r="O216">
        <v>175.9</v>
      </c>
      <c r="P216">
        <v>377</v>
      </c>
      <c r="Q216">
        <v>154</v>
      </c>
      <c r="R216" s="3" t="s">
        <v>470</v>
      </c>
      <c r="S216">
        <v>175.9</v>
      </c>
      <c r="T216" t="s">
        <v>468</v>
      </c>
    </row>
    <row r="217" spans="1:20" x14ac:dyDescent="0.25">
      <c r="A217">
        <v>42</v>
      </c>
      <c r="B217">
        <v>500220</v>
      </c>
      <c r="C217" t="s">
        <v>43</v>
      </c>
      <c r="D217">
        <v>2019</v>
      </c>
      <c r="E217">
        <v>327.29998779296881</v>
      </c>
      <c r="F217">
        <v>7.06</v>
      </c>
      <c r="G217" t="s">
        <v>465</v>
      </c>
      <c r="H217">
        <v>99.75</v>
      </c>
      <c r="I217">
        <v>47.5</v>
      </c>
      <c r="L217" t="s">
        <v>469</v>
      </c>
      <c r="M217">
        <v>14.128895184135979</v>
      </c>
      <c r="N217">
        <v>6.7280453257790374</v>
      </c>
      <c r="O217">
        <v>175.9</v>
      </c>
      <c r="P217">
        <v>377</v>
      </c>
      <c r="Q217">
        <v>154</v>
      </c>
      <c r="R217" s="3" t="s">
        <v>470</v>
      </c>
      <c r="S217">
        <v>175.9</v>
      </c>
      <c r="T217" t="s">
        <v>468</v>
      </c>
    </row>
    <row r="218" spans="1:20" x14ac:dyDescent="0.25">
      <c r="A218">
        <v>42</v>
      </c>
      <c r="B218">
        <v>500220</v>
      </c>
      <c r="C218" t="s">
        <v>43</v>
      </c>
      <c r="D218">
        <v>2020</v>
      </c>
      <c r="E218">
        <v>327.29998779296881</v>
      </c>
      <c r="F218">
        <v>3.14</v>
      </c>
      <c r="G218" t="s">
        <v>465</v>
      </c>
      <c r="H218">
        <v>76.833335876464844</v>
      </c>
      <c r="I218">
        <v>26.75</v>
      </c>
      <c r="L218" t="s">
        <v>469</v>
      </c>
      <c r="M218">
        <v>24.469215247281799</v>
      </c>
      <c r="N218">
        <v>8.5191082802547768</v>
      </c>
      <c r="O218">
        <v>175.9</v>
      </c>
      <c r="P218">
        <v>377</v>
      </c>
      <c r="Q218">
        <v>154</v>
      </c>
      <c r="R218" s="3" t="s">
        <v>470</v>
      </c>
      <c r="S218">
        <v>175.9</v>
      </c>
      <c r="T218" t="s">
        <v>468</v>
      </c>
    </row>
    <row r="219" spans="1:20" x14ac:dyDescent="0.25">
      <c r="A219">
        <v>42</v>
      </c>
      <c r="B219">
        <v>500220</v>
      </c>
      <c r="C219" t="s">
        <v>43</v>
      </c>
      <c r="D219">
        <v>2021</v>
      </c>
      <c r="E219">
        <v>327.29998779296881</v>
      </c>
      <c r="G219" t="s">
        <v>465</v>
      </c>
      <c r="H219">
        <v>290</v>
      </c>
      <c r="I219">
        <v>63.75</v>
      </c>
      <c r="L219" t="s">
        <v>466</v>
      </c>
      <c r="O219">
        <v>175.9</v>
      </c>
      <c r="P219">
        <v>377</v>
      </c>
      <c r="Q219">
        <v>154</v>
      </c>
      <c r="R219" s="3" t="s">
        <v>470</v>
      </c>
      <c r="S219">
        <v>175.9</v>
      </c>
      <c r="T219" t="s">
        <v>468</v>
      </c>
    </row>
    <row r="220" spans="1:20" x14ac:dyDescent="0.25">
      <c r="A220">
        <v>42</v>
      </c>
      <c r="B220">
        <v>500220</v>
      </c>
      <c r="C220" t="s">
        <v>43</v>
      </c>
      <c r="D220">
        <v>2022</v>
      </c>
      <c r="E220">
        <v>327.29998779296881</v>
      </c>
      <c r="F220">
        <v>17.91</v>
      </c>
      <c r="G220" t="s">
        <v>465</v>
      </c>
      <c r="H220">
        <v>391.66665649414063</v>
      </c>
      <c r="I220">
        <v>199.08332824707031</v>
      </c>
      <c r="L220" t="s">
        <v>469</v>
      </c>
      <c r="M220">
        <v>21.86860170263208</v>
      </c>
      <c r="N220">
        <v>11.11576372122112</v>
      </c>
      <c r="O220">
        <v>175.9</v>
      </c>
      <c r="P220">
        <v>377</v>
      </c>
      <c r="Q220">
        <v>154</v>
      </c>
      <c r="R220" s="3" t="s">
        <v>470</v>
      </c>
      <c r="S220">
        <v>175.9</v>
      </c>
      <c r="T220" t="s">
        <v>468</v>
      </c>
    </row>
    <row r="221" spans="1:20" x14ac:dyDescent="0.25">
      <c r="A221">
        <v>42</v>
      </c>
      <c r="B221">
        <v>500220</v>
      </c>
      <c r="C221" t="s">
        <v>43</v>
      </c>
      <c r="D221">
        <v>2023</v>
      </c>
      <c r="E221">
        <v>327.29998779296881</v>
      </c>
      <c r="F221">
        <v>17.649999999999999</v>
      </c>
      <c r="G221" t="s">
        <v>465</v>
      </c>
      <c r="H221">
        <v>553.91668701171875</v>
      </c>
      <c r="I221">
        <v>200.41667175292969</v>
      </c>
      <c r="L221" t="s">
        <v>469</v>
      </c>
      <c r="M221">
        <v>31.383381700380671</v>
      </c>
      <c r="N221">
        <v>11.355052223962019</v>
      </c>
      <c r="O221">
        <v>175.9</v>
      </c>
      <c r="P221">
        <v>377</v>
      </c>
      <c r="Q221">
        <v>154</v>
      </c>
      <c r="R221" s="3" t="s">
        <v>470</v>
      </c>
      <c r="S221">
        <v>175.9</v>
      </c>
      <c r="T221" t="s">
        <v>468</v>
      </c>
    </row>
    <row r="222" spans="1:20" x14ac:dyDescent="0.25">
      <c r="A222">
        <v>42</v>
      </c>
      <c r="B222">
        <v>500220</v>
      </c>
      <c r="C222" t="s">
        <v>43</v>
      </c>
      <c r="D222">
        <v>2024</v>
      </c>
      <c r="E222">
        <v>327.29998779296881</v>
      </c>
      <c r="G222" t="s">
        <v>465</v>
      </c>
      <c r="H222">
        <v>377</v>
      </c>
      <c r="I222">
        <v>154</v>
      </c>
      <c r="L222" t="s">
        <v>466</v>
      </c>
      <c r="O222">
        <v>175.9</v>
      </c>
      <c r="P222">
        <v>377</v>
      </c>
      <c r="Q222">
        <v>154</v>
      </c>
      <c r="R222" s="3" t="s">
        <v>470</v>
      </c>
      <c r="S222">
        <v>175.9</v>
      </c>
      <c r="T222" t="s">
        <v>468</v>
      </c>
    </row>
    <row r="223" spans="1:20" x14ac:dyDescent="0.25">
      <c r="A223">
        <v>42</v>
      </c>
      <c r="B223">
        <v>500220</v>
      </c>
      <c r="C223" t="s">
        <v>43</v>
      </c>
      <c r="D223">
        <v>2025</v>
      </c>
      <c r="E223">
        <v>327.29998779296881</v>
      </c>
      <c r="G223" t="s">
        <v>465</v>
      </c>
      <c r="H223">
        <v>228.3999938964844</v>
      </c>
      <c r="I223">
        <v>135</v>
      </c>
      <c r="L223" t="s">
        <v>466</v>
      </c>
      <c r="O223">
        <v>175.9</v>
      </c>
      <c r="P223">
        <v>377</v>
      </c>
      <c r="Q223">
        <v>154</v>
      </c>
      <c r="R223" s="3" t="s">
        <v>470</v>
      </c>
      <c r="S223">
        <v>175.9</v>
      </c>
      <c r="T223" t="s">
        <v>468</v>
      </c>
    </row>
    <row r="224" spans="1:20" x14ac:dyDescent="0.25">
      <c r="A224">
        <v>42</v>
      </c>
      <c r="B224">
        <v>500220</v>
      </c>
      <c r="C224" t="s">
        <v>43</v>
      </c>
      <c r="D224">
        <v>2026</v>
      </c>
      <c r="E224">
        <v>327.29998779296881</v>
      </c>
      <c r="G224" t="s">
        <v>465</v>
      </c>
      <c r="H224">
        <v>327.29998779296881</v>
      </c>
      <c r="I224">
        <v>126.0500030517578</v>
      </c>
      <c r="L224" t="s">
        <v>466</v>
      </c>
      <c r="O224">
        <v>175.9</v>
      </c>
      <c r="P224">
        <v>377</v>
      </c>
      <c r="Q224">
        <v>154</v>
      </c>
      <c r="R224" s="3" t="s">
        <v>470</v>
      </c>
      <c r="S224">
        <v>175.9</v>
      </c>
      <c r="T224" t="s">
        <v>468</v>
      </c>
    </row>
    <row r="225" spans="1:20" x14ac:dyDescent="0.25">
      <c r="A225">
        <v>43</v>
      </c>
      <c r="B225">
        <v>500228</v>
      </c>
      <c r="C225" t="s">
        <v>45</v>
      </c>
      <c r="D225">
        <v>2015</v>
      </c>
      <c r="E225">
        <v>1243.599975585938</v>
      </c>
      <c r="F225">
        <v>7.43</v>
      </c>
      <c r="G225" t="s">
        <v>465</v>
      </c>
      <c r="H225">
        <v>108.6999969482422</v>
      </c>
      <c r="L225" t="s">
        <v>469</v>
      </c>
      <c r="M225">
        <v>14.62987845871362</v>
      </c>
      <c r="O225">
        <v>1275.9000000000001</v>
      </c>
      <c r="P225">
        <v>1328</v>
      </c>
      <c r="Q225">
        <v>1018</v>
      </c>
      <c r="R225" s="2" t="s">
        <v>467</v>
      </c>
      <c r="S225">
        <v>1275.9000000000001</v>
      </c>
      <c r="T225" t="s">
        <v>468</v>
      </c>
    </row>
    <row r="226" spans="1:20" x14ac:dyDescent="0.25">
      <c r="A226">
        <v>43</v>
      </c>
      <c r="B226">
        <v>500228</v>
      </c>
      <c r="C226" t="s">
        <v>45</v>
      </c>
      <c r="D226">
        <v>2016</v>
      </c>
      <c r="E226">
        <v>1243.599975585938</v>
      </c>
      <c r="F226">
        <v>-1.39</v>
      </c>
      <c r="G226" t="s">
        <v>465</v>
      </c>
      <c r="H226">
        <v>188.6499938964844</v>
      </c>
      <c r="I226">
        <v>95.099998474121094</v>
      </c>
      <c r="L226" t="s">
        <v>471</v>
      </c>
      <c r="M226">
        <v>-135.71942006941319</v>
      </c>
      <c r="N226">
        <v>-68.417265089295753</v>
      </c>
      <c r="O226">
        <v>1275.9000000000001</v>
      </c>
      <c r="P226">
        <v>1328</v>
      </c>
      <c r="Q226">
        <v>1018</v>
      </c>
      <c r="R226" s="2" t="s">
        <v>467</v>
      </c>
      <c r="S226">
        <v>1275.9000000000001</v>
      </c>
      <c r="T226" t="s">
        <v>468</v>
      </c>
    </row>
    <row r="227" spans="1:20" x14ac:dyDescent="0.25">
      <c r="A227">
        <v>43</v>
      </c>
      <c r="B227">
        <v>500228</v>
      </c>
      <c r="C227" t="s">
        <v>45</v>
      </c>
      <c r="D227">
        <v>2017</v>
      </c>
      <c r="E227">
        <v>1243.599975585938</v>
      </c>
      <c r="F227">
        <v>14.57</v>
      </c>
      <c r="G227" t="s">
        <v>465</v>
      </c>
      <c r="H227">
        <v>277</v>
      </c>
      <c r="I227">
        <v>160.6000061035156</v>
      </c>
      <c r="L227" t="s">
        <v>469</v>
      </c>
      <c r="M227">
        <v>19.011667810569659</v>
      </c>
      <c r="N227">
        <v>11.0226496982509</v>
      </c>
      <c r="O227">
        <v>1275.9000000000001</v>
      </c>
      <c r="P227">
        <v>1328</v>
      </c>
      <c r="Q227">
        <v>1018</v>
      </c>
      <c r="R227" s="2" t="s">
        <v>467</v>
      </c>
      <c r="S227">
        <v>1275.9000000000001</v>
      </c>
      <c r="T227" t="s">
        <v>468</v>
      </c>
    </row>
    <row r="228" spans="1:20" x14ac:dyDescent="0.25">
      <c r="A228">
        <v>43</v>
      </c>
      <c r="B228">
        <v>500228</v>
      </c>
      <c r="C228" t="s">
        <v>45</v>
      </c>
      <c r="D228">
        <v>2018</v>
      </c>
      <c r="E228">
        <v>1243.599975585938</v>
      </c>
      <c r="F228">
        <v>25.71</v>
      </c>
      <c r="G228" t="s">
        <v>465</v>
      </c>
      <c r="H228">
        <v>427.29998779296881</v>
      </c>
      <c r="I228">
        <v>261.70001220703119</v>
      </c>
      <c r="L228" t="s">
        <v>469</v>
      </c>
      <c r="M228">
        <v>16.619991746128701</v>
      </c>
      <c r="N228">
        <v>10.178919183470679</v>
      </c>
      <c r="O228">
        <v>1275.9000000000001</v>
      </c>
      <c r="P228">
        <v>1328</v>
      </c>
      <c r="Q228">
        <v>1018</v>
      </c>
      <c r="R228" s="2" t="s">
        <v>467</v>
      </c>
      <c r="S228">
        <v>1275.9000000000001</v>
      </c>
      <c r="T228" t="s">
        <v>468</v>
      </c>
    </row>
    <row r="229" spans="1:20" x14ac:dyDescent="0.25">
      <c r="A229">
        <v>43</v>
      </c>
      <c r="B229">
        <v>500228</v>
      </c>
      <c r="C229" t="s">
        <v>45</v>
      </c>
      <c r="D229">
        <v>2019</v>
      </c>
      <c r="E229">
        <v>1243.599975585938</v>
      </c>
      <c r="F229">
        <v>31.6</v>
      </c>
      <c r="G229" t="s">
        <v>465</v>
      </c>
      <c r="H229">
        <v>313.39999389648438</v>
      </c>
      <c r="I229">
        <v>201.8999938964844</v>
      </c>
      <c r="L229" t="s">
        <v>469</v>
      </c>
      <c r="M229">
        <v>9.9177213258381123</v>
      </c>
      <c r="N229">
        <v>6.3892403131798856</v>
      </c>
      <c r="O229">
        <v>1275.9000000000001</v>
      </c>
      <c r="P229">
        <v>1328</v>
      </c>
      <c r="Q229">
        <v>1018</v>
      </c>
      <c r="R229" s="2" t="s">
        <v>467</v>
      </c>
      <c r="S229">
        <v>1275.9000000000001</v>
      </c>
      <c r="T229" t="s">
        <v>468</v>
      </c>
    </row>
    <row r="230" spans="1:20" x14ac:dyDescent="0.25">
      <c r="A230">
        <v>43</v>
      </c>
      <c r="B230">
        <v>500228</v>
      </c>
      <c r="C230" t="s">
        <v>45</v>
      </c>
      <c r="D230">
        <v>2020</v>
      </c>
      <c r="E230">
        <v>1243.599975585938</v>
      </c>
      <c r="F230">
        <v>16.670000000000002</v>
      </c>
      <c r="G230" t="s">
        <v>465</v>
      </c>
      <c r="H230">
        <v>393.75</v>
      </c>
      <c r="I230">
        <v>132.5</v>
      </c>
      <c r="L230" t="s">
        <v>469</v>
      </c>
      <c r="M230">
        <v>23.620275944811031</v>
      </c>
      <c r="N230">
        <v>7.9484103179364123</v>
      </c>
      <c r="O230">
        <v>1275.9000000000001</v>
      </c>
      <c r="P230">
        <v>1328</v>
      </c>
      <c r="Q230">
        <v>1018</v>
      </c>
      <c r="R230" s="2" t="s">
        <v>467</v>
      </c>
      <c r="S230">
        <v>1275.9000000000001</v>
      </c>
      <c r="T230" t="s">
        <v>468</v>
      </c>
    </row>
    <row r="231" spans="1:20" x14ac:dyDescent="0.25">
      <c r="A231">
        <v>43</v>
      </c>
      <c r="B231">
        <v>500228</v>
      </c>
      <c r="C231" t="s">
        <v>45</v>
      </c>
      <c r="D231">
        <v>2021</v>
      </c>
      <c r="E231">
        <v>1243.599975585938</v>
      </c>
      <c r="F231">
        <v>32.729999999999997</v>
      </c>
      <c r="G231" t="s">
        <v>465</v>
      </c>
      <c r="H231">
        <v>776.5</v>
      </c>
      <c r="I231">
        <v>356</v>
      </c>
      <c r="L231" t="s">
        <v>469</v>
      </c>
      <c r="M231">
        <v>23.724411854567681</v>
      </c>
      <c r="N231">
        <v>10.876871371830131</v>
      </c>
      <c r="O231">
        <v>1275.9000000000001</v>
      </c>
      <c r="P231">
        <v>1328</v>
      </c>
      <c r="Q231">
        <v>1018</v>
      </c>
      <c r="R231" s="2" t="s">
        <v>467</v>
      </c>
      <c r="S231">
        <v>1275.9000000000001</v>
      </c>
      <c r="T231" t="s">
        <v>468</v>
      </c>
    </row>
    <row r="232" spans="1:20" x14ac:dyDescent="0.25">
      <c r="A232">
        <v>43</v>
      </c>
      <c r="B232">
        <v>500228</v>
      </c>
      <c r="C232" t="s">
        <v>45</v>
      </c>
      <c r="D232">
        <v>2022</v>
      </c>
      <c r="E232">
        <v>1243.599975585938</v>
      </c>
      <c r="F232">
        <v>85.49</v>
      </c>
      <c r="G232" t="s">
        <v>465</v>
      </c>
      <c r="H232">
        <v>789.95001220703125</v>
      </c>
      <c r="I232">
        <v>520.0999755859375</v>
      </c>
      <c r="L232" t="s">
        <v>469</v>
      </c>
      <c r="M232">
        <v>9.2402621617385812</v>
      </c>
      <c r="N232">
        <v>6.0837522000928477</v>
      </c>
      <c r="O232">
        <v>1275.9000000000001</v>
      </c>
      <c r="P232">
        <v>1328</v>
      </c>
      <c r="Q232">
        <v>1018</v>
      </c>
      <c r="R232" s="2" t="s">
        <v>467</v>
      </c>
      <c r="S232">
        <v>1275.9000000000001</v>
      </c>
      <c r="T232" t="s">
        <v>468</v>
      </c>
    </row>
    <row r="233" spans="1:20" x14ac:dyDescent="0.25">
      <c r="A233">
        <v>43</v>
      </c>
      <c r="B233">
        <v>500228</v>
      </c>
      <c r="C233" t="s">
        <v>45</v>
      </c>
      <c r="D233">
        <v>2023</v>
      </c>
      <c r="E233">
        <v>1243.599975585938</v>
      </c>
      <c r="F233">
        <v>17.14</v>
      </c>
      <c r="G233" t="s">
        <v>465</v>
      </c>
      <c r="H233">
        <v>895.5999755859375</v>
      </c>
      <c r="I233">
        <v>649.75</v>
      </c>
      <c r="L233" t="s">
        <v>469</v>
      </c>
      <c r="M233">
        <v>52.252040582610121</v>
      </c>
      <c r="N233">
        <v>37.908401400233373</v>
      </c>
      <c r="O233">
        <v>1275.9000000000001</v>
      </c>
      <c r="P233">
        <v>1328</v>
      </c>
      <c r="Q233">
        <v>1018</v>
      </c>
      <c r="R233" s="2" t="s">
        <v>467</v>
      </c>
      <c r="S233">
        <v>1275.9000000000001</v>
      </c>
      <c r="T233" t="s">
        <v>468</v>
      </c>
    </row>
    <row r="234" spans="1:20" x14ac:dyDescent="0.25">
      <c r="A234">
        <v>43</v>
      </c>
      <c r="B234">
        <v>500228</v>
      </c>
      <c r="C234" t="s">
        <v>45</v>
      </c>
      <c r="D234">
        <v>2024</v>
      </c>
      <c r="E234">
        <v>1243.599975585938</v>
      </c>
      <c r="F234">
        <v>36.03</v>
      </c>
      <c r="G234" t="s">
        <v>465</v>
      </c>
      <c r="H234">
        <v>1063.349975585938</v>
      </c>
      <c r="I234">
        <v>762</v>
      </c>
      <c r="L234" t="s">
        <v>469</v>
      </c>
      <c r="M234">
        <v>29.5129052341365</v>
      </c>
      <c r="N234">
        <v>21.149042464612819</v>
      </c>
      <c r="O234">
        <v>1275.9000000000001</v>
      </c>
      <c r="P234">
        <v>1328</v>
      </c>
      <c r="Q234">
        <v>1018</v>
      </c>
      <c r="R234" s="2" t="s">
        <v>467</v>
      </c>
      <c r="S234">
        <v>1275.9000000000001</v>
      </c>
      <c r="T234" t="s">
        <v>468</v>
      </c>
    </row>
    <row r="235" spans="1:20" x14ac:dyDescent="0.25">
      <c r="A235">
        <v>43</v>
      </c>
      <c r="B235">
        <v>500228</v>
      </c>
      <c r="C235" t="s">
        <v>45</v>
      </c>
      <c r="D235">
        <v>2025</v>
      </c>
      <c r="E235">
        <v>1243.599975585938</v>
      </c>
      <c r="F235">
        <v>14.33</v>
      </c>
      <c r="G235" t="s">
        <v>465</v>
      </c>
      <c r="H235">
        <v>1223.75</v>
      </c>
      <c r="I235">
        <v>879.5999755859375</v>
      </c>
      <c r="L235" t="s">
        <v>469</v>
      </c>
      <c r="M235">
        <v>85.397766922540129</v>
      </c>
      <c r="N235">
        <v>61.381714974594381</v>
      </c>
      <c r="O235">
        <v>1275.9000000000001</v>
      </c>
      <c r="P235">
        <v>1328</v>
      </c>
      <c r="Q235">
        <v>1018</v>
      </c>
      <c r="R235" s="2" t="s">
        <v>467</v>
      </c>
      <c r="S235">
        <v>1275.9000000000001</v>
      </c>
      <c r="T235" t="s">
        <v>468</v>
      </c>
    </row>
    <row r="236" spans="1:20" x14ac:dyDescent="0.25">
      <c r="A236">
        <v>43</v>
      </c>
      <c r="B236">
        <v>500228</v>
      </c>
      <c r="C236" t="s">
        <v>45</v>
      </c>
      <c r="D236">
        <v>2026</v>
      </c>
      <c r="E236">
        <v>1243.599975585938</v>
      </c>
      <c r="F236">
        <v>91.26</v>
      </c>
      <c r="G236" t="s">
        <v>465</v>
      </c>
      <c r="H236">
        <v>1327.349975585938</v>
      </c>
      <c r="I236">
        <v>1104.199951171875</v>
      </c>
      <c r="L236" t="s">
        <v>469</v>
      </c>
      <c r="M236">
        <v>14.544707161800771</v>
      </c>
      <c r="N236">
        <v>12.099495410605689</v>
      </c>
      <c r="O236">
        <v>1275.9000000000001</v>
      </c>
      <c r="P236">
        <v>1328</v>
      </c>
      <c r="Q236">
        <v>1018</v>
      </c>
      <c r="R236" s="2" t="s">
        <v>467</v>
      </c>
      <c r="S236">
        <v>1275.9000000000001</v>
      </c>
      <c r="T236" t="s">
        <v>468</v>
      </c>
    </row>
    <row r="237" spans="1:20" x14ac:dyDescent="0.25">
      <c r="A237">
        <v>44</v>
      </c>
      <c r="B237">
        <v>500233</v>
      </c>
      <c r="C237" t="s">
        <v>47</v>
      </c>
      <c r="D237">
        <v>2015</v>
      </c>
      <c r="E237">
        <v>1240</v>
      </c>
      <c r="F237">
        <v>11.05</v>
      </c>
      <c r="G237" t="s">
        <v>465</v>
      </c>
      <c r="H237">
        <v>498.89999389648438</v>
      </c>
      <c r="I237">
        <v>295.5</v>
      </c>
      <c r="L237" t="s">
        <v>469</v>
      </c>
      <c r="M237">
        <v>45.149320714613971</v>
      </c>
      <c r="N237">
        <v>26.742081447963798</v>
      </c>
      <c r="O237">
        <v>1213.05</v>
      </c>
      <c r="P237">
        <v>1322</v>
      </c>
      <c r="Q237">
        <v>745</v>
      </c>
      <c r="R237" s="2" t="s">
        <v>467</v>
      </c>
      <c r="S237">
        <v>1213.05</v>
      </c>
      <c r="T237" t="s">
        <v>468</v>
      </c>
    </row>
    <row r="238" spans="1:20" x14ac:dyDescent="0.25">
      <c r="A238">
        <v>44</v>
      </c>
      <c r="B238">
        <v>500233</v>
      </c>
      <c r="C238" t="s">
        <v>47</v>
      </c>
      <c r="D238">
        <v>2016</v>
      </c>
      <c r="E238">
        <v>1240</v>
      </c>
      <c r="F238">
        <v>14.56</v>
      </c>
      <c r="G238" t="s">
        <v>465</v>
      </c>
      <c r="H238">
        <v>740</v>
      </c>
      <c r="I238">
        <v>423.35000610351563</v>
      </c>
      <c r="L238" t="s">
        <v>469</v>
      </c>
      <c r="M238">
        <v>50.824175824175818</v>
      </c>
      <c r="N238">
        <v>29.076236682933761</v>
      </c>
      <c r="O238">
        <v>1213.05</v>
      </c>
      <c r="P238">
        <v>1322</v>
      </c>
      <c r="Q238">
        <v>745</v>
      </c>
      <c r="R238" s="2" t="s">
        <v>467</v>
      </c>
      <c r="S238">
        <v>1213.05</v>
      </c>
      <c r="T238" t="s">
        <v>468</v>
      </c>
    </row>
    <row r="239" spans="1:20" x14ac:dyDescent="0.25">
      <c r="A239">
        <v>44</v>
      </c>
      <c r="B239">
        <v>500233</v>
      </c>
      <c r="C239" t="s">
        <v>47</v>
      </c>
      <c r="D239">
        <v>2017</v>
      </c>
      <c r="E239">
        <v>1240</v>
      </c>
      <c r="F239">
        <v>15.91</v>
      </c>
      <c r="G239" t="s">
        <v>465</v>
      </c>
      <c r="H239">
        <v>787.54998779296875</v>
      </c>
      <c r="I239">
        <v>480</v>
      </c>
      <c r="L239" t="s">
        <v>469</v>
      </c>
      <c r="M239">
        <v>49.500313500500873</v>
      </c>
      <c r="N239">
        <v>30.169704588309241</v>
      </c>
      <c r="O239">
        <v>1213.05</v>
      </c>
      <c r="P239">
        <v>1322</v>
      </c>
      <c r="Q239">
        <v>745</v>
      </c>
      <c r="R239" s="2" t="s">
        <v>467</v>
      </c>
      <c r="S239">
        <v>1213.05</v>
      </c>
      <c r="T239" t="s">
        <v>468</v>
      </c>
    </row>
    <row r="240" spans="1:20" x14ac:dyDescent="0.25">
      <c r="A240">
        <v>44</v>
      </c>
      <c r="B240">
        <v>500233</v>
      </c>
      <c r="C240" t="s">
        <v>47</v>
      </c>
      <c r="D240">
        <v>2018</v>
      </c>
      <c r="E240">
        <v>1240</v>
      </c>
      <c r="F240">
        <v>14.78</v>
      </c>
      <c r="G240" t="s">
        <v>465</v>
      </c>
      <c r="H240">
        <v>763.9000244140625</v>
      </c>
      <c r="I240">
        <v>316.20001220703119</v>
      </c>
      <c r="L240" t="s">
        <v>469</v>
      </c>
      <c r="M240">
        <v>51.684710718136841</v>
      </c>
      <c r="N240">
        <v>21.393776198040001</v>
      </c>
      <c r="O240">
        <v>1213.05</v>
      </c>
      <c r="P240">
        <v>1322</v>
      </c>
      <c r="Q240">
        <v>745</v>
      </c>
      <c r="R240" s="2" t="s">
        <v>467</v>
      </c>
      <c r="S240">
        <v>1213.05</v>
      </c>
      <c r="T240" t="s">
        <v>468</v>
      </c>
    </row>
    <row r="241" spans="1:20" x14ac:dyDescent="0.25">
      <c r="A241">
        <v>44</v>
      </c>
      <c r="B241">
        <v>500233</v>
      </c>
      <c r="C241" t="s">
        <v>47</v>
      </c>
      <c r="D241">
        <v>2019</v>
      </c>
      <c r="E241">
        <v>1240</v>
      </c>
      <c r="F241">
        <v>14.25</v>
      </c>
      <c r="G241" t="s">
        <v>465</v>
      </c>
      <c r="H241">
        <v>648.8499755859375</v>
      </c>
      <c r="I241">
        <v>442.75</v>
      </c>
      <c r="L241" t="s">
        <v>469</v>
      </c>
      <c r="M241">
        <v>45.533331620065788</v>
      </c>
      <c r="N241">
        <v>31.07017543859649</v>
      </c>
      <c r="O241">
        <v>1213.05</v>
      </c>
      <c r="P241">
        <v>1322</v>
      </c>
      <c r="Q241">
        <v>745</v>
      </c>
      <c r="R241" s="2" t="s">
        <v>467</v>
      </c>
      <c r="S241">
        <v>1213.05</v>
      </c>
      <c r="T241" t="s">
        <v>468</v>
      </c>
    </row>
    <row r="242" spans="1:20" x14ac:dyDescent="0.25">
      <c r="A242">
        <v>44</v>
      </c>
      <c r="B242">
        <v>500233</v>
      </c>
      <c r="C242" t="s">
        <v>47</v>
      </c>
      <c r="D242">
        <v>2020</v>
      </c>
      <c r="E242">
        <v>1240</v>
      </c>
      <c r="F242">
        <v>16.059999999999999</v>
      </c>
      <c r="G242" t="s">
        <v>465</v>
      </c>
      <c r="H242">
        <v>713.54998779296875</v>
      </c>
      <c r="I242">
        <v>295.39999389648438</v>
      </c>
      <c r="L242" t="s">
        <v>469</v>
      </c>
      <c r="M242">
        <v>44.430260759213503</v>
      </c>
      <c r="N242">
        <v>18.393523903890689</v>
      </c>
      <c r="O242">
        <v>1213.05</v>
      </c>
      <c r="P242">
        <v>1322</v>
      </c>
      <c r="Q242">
        <v>745</v>
      </c>
      <c r="R242" s="2" t="s">
        <v>467</v>
      </c>
      <c r="S242">
        <v>1213.05</v>
      </c>
      <c r="T242" t="s">
        <v>468</v>
      </c>
    </row>
    <row r="243" spans="1:20" x14ac:dyDescent="0.25">
      <c r="A243">
        <v>44</v>
      </c>
      <c r="B243">
        <v>500233</v>
      </c>
      <c r="C243" t="s">
        <v>47</v>
      </c>
      <c r="D243">
        <v>2021</v>
      </c>
      <c r="E243">
        <v>1240</v>
      </c>
      <c r="F243">
        <v>19.36</v>
      </c>
      <c r="G243" t="s">
        <v>465</v>
      </c>
      <c r="H243">
        <v>1358</v>
      </c>
      <c r="I243">
        <v>691.95001220703125</v>
      </c>
      <c r="L243" t="s">
        <v>469</v>
      </c>
      <c r="M243">
        <v>70.144628099173559</v>
      </c>
      <c r="N243">
        <v>35.741219638792927</v>
      </c>
      <c r="O243">
        <v>1213.05</v>
      </c>
      <c r="P243">
        <v>1322</v>
      </c>
      <c r="Q243">
        <v>745</v>
      </c>
      <c r="R243" s="2" t="s">
        <v>467</v>
      </c>
      <c r="S243">
        <v>1213.05</v>
      </c>
      <c r="T243" t="s">
        <v>468</v>
      </c>
    </row>
    <row r="244" spans="1:20" x14ac:dyDescent="0.25">
      <c r="A244">
        <v>44</v>
      </c>
      <c r="B244">
        <v>500233</v>
      </c>
      <c r="C244" t="s">
        <v>47</v>
      </c>
      <c r="D244">
        <v>2022</v>
      </c>
      <c r="E244">
        <v>1240</v>
      </c>
      <c r="F244">
        <v>23.68</v>
      </c>
      <c r="G244" t="s">
        <v>465</v>
      </c>
      <c r="H244">
        <v>1379</v>
      </c>
      <c r="I244">
        <v>886.04998779296875</v>
      </c>
      <c r="L244" t="s">
        <v>469</v>
      </c>
      <c r="M244">
        <v>58.234797297297298</v>
      </c>
      <c r="N244">
        <v>37.417651511527403</v>
      </c>
      <c r="O244">
        <v>1213.05</v>
      </c>
      <c r="P244">
        <v>1322</v>
      </c>
      <c r="Q244">
        <v>745</v>
      </c>
      <c r="R244" s="2" t="s">
        <v>467</v>
      </c>
      <c r="S244">
        <v>1213.05</v>
      </c>
      <c r="T244" t="s">
        <v>468</v>
      </c>
    </row>
    <row r="245" spans="1:20" x14ac:dyDescent="0.25">
      <c r="A245">
        <v>44</v>
      </c>
      <c r="B245">
        <v>500233</v>
      </c>
      <c r="C245" t="s">
        <v>47</v>
      </c>
      <c r="D245">
        <v>2023</v>
      </c>
      <c r="E245">
        <v>1240</v>
      </c>
      <c r="F245">
        <v>21.64</v>
      </c>
      <c r="G245" t="s">
        <v>465</v>
      </c>
      <c r="H245">
        <v>1522</v>
      </c>
      <c r="I245">
        <v>1006.400024414062</v>
      </c>
      <c r="L245" t="s">
        <v>469</v>
      </c>
      <c r="M245">
        <v>70.332717190388166</v>
      </c>
      <c r="N245">
        <v>46.506470629115618</v>
      </c>
      <c r="O245">
        <v>1213.05</v>
      </c>
      <c r="P245">
        <v>1322</v>
      </c>
      <c r="Q245">
        <v>745</v>
      </c>
      <c r="R245" s="2" t="s">
        <v>467</v>
      </c>
      <c r="S245">
        <v>1213.05</v>
      </c>
      <c r="T245" t="s">
        <v>468</v>
      </c>
    </row>
    <row r="246" spans="1:20" x14ac:dyDescent="0.25">
      <c r="A246">
        <v>44</v>
      </c>
      <c r="B246">
        <v>500233</v>
      </c>
      <c r="C246" t="s">
        <v>47</v>
      </c>
      <c r="D246">
        <v>2024</v>
      </c>
      <c r="E246">
        <v>1240</v>
      </c>
      <c r="F246">
        <v>26.5</v>
      </c>
      <c r="G246" t="s">
        <v>465</v>
      </c>
      <c r="H246">
        <v>1578.25</v>
      </c>
      <c r="I246">
        <v>1102.949951171875</v>
      </c>
      <c r="L246" t="s">
        <v>469</v>
      </c>
      <c r="M246">
        <v>59.556603773584897</v>
      </c>
      <c r="N246">
        <v>41.620752874410378</v>
      </c>
      <c r="O246">
        <v>1213.05</v>
      </c>
      <c r="P246">
        <v>1322</v>
      </c>
      <c r="Q246">
        <v>745</v>
      </c>
      <c r="R246" s="2" t="s">
        <v>467</v>
      </c>
      <c r="S246">
        <v>1213.05</v>
      </c>
      <c r="T246" t="s">
        <v>468</v>
      </c>
    </row>
    <row r="247" spans="1:20" x14ac:dyDescent="0.25">
      <c r="A247">
        <v>44</v>
      </c>
      <c r="B247">
        <v>500233</v>
      </c>
      <c r="C247" t="s">
        <v>47</v>
      </c>
      <c r="D247">
        <v>2025</v>
      </c>
      <c r="E247">
        <v>1240</v>
      </c>
      <c r="F247">
        <v>18.48</v>
      </c>
      <c r="G247" t="s">
        <v>465</v>
      </c>
      <c r="H247">
        <v>1322</v>
      </c>
      <c r="I247">
        <v>745</v>
      </c>
      <c r="L247" t="s">
        <v>469</v>
      </c>
      <c r="M247">
        <v>71.53679653679653</v>
      </c>
      <c r="N247">
        <v>40.313852813852812</v>
      </c>
      <c r="O247">
        <v>1213.05</v>
      </c>
      <c r="P247">
        <v>1322</v>
      </c>
      <c r="Q247">
        <v>745</v>
      </c>
      <c r="R247" s="2" t="s">
        <v>467</v>
      </c>
      <c r="S247">
        <v>1213.05</v>
      </c>
      <c r="T247" t="s">
        <v>468</v>
      </c>
    </row>
    <row r="248" spans="1:20" x14ac:dyDescent="0.25">
      <c r="A248">
        <v>44</v>
      </c>
      <c r="B248">
        <v>500233</v>
      </c>
      <c r="C248" t="s">
        <v>47</v>
      </c>
      <c r="D248">
        <v>2026</v>
      </c>
      <c r="E248">
        <v>1240</v>
      </c>
      <c r="F248">
        <v>30.48</v>
      </c>
      <c r="G248" t="s">
        <v>465</v>
      </c>
      <c r="H248">
        <v>1270</v>
      </c>
      <c r="I248">
        <v>870</v>
      </c>
      <c r="L248" t="s">
        <v>469</v>
      </c>
      <c r="M248">
        <v>41.666666666666657</v>
      </c>
      <c r="N248">
        <v>28.54330708661417</v>
      </c>
      <c r="O248">
        <v>1213.05</v>
      </c>
      <c r="P248">
        <v>1322</v>
      </c>
      <c r="Q248">
        <v>745</v>
      </c>
      <c r="R248" s="2" t="s">
        <v>467</v>
      </c>
      <c r="S248">
        <v>1213.05</v>
      </c>
      <c r="T248" t="s">
        <v>468</v>
      </c>
    </row>
    <row r="249" spans="1:20" x14ac:dyDescent="0.25">
      <c r="A249">
        <v>48</v>
      </c>
      <c r="B249">
        <v>500257</v>
      </c>
      <c r="C249" t="s">
        <v>49</v>
      </c>
      <c r="D249">
        <v>2015</v>
      </c>
      <c r="E249">
        <v>2442.10009765625</v>
      </c>
      <c r="F249">
        <v>53.47</v>
      </c>
      <c r="G249" t="s">
        <v>465</v>
      </c>
      <c r="H249">
        <v>2127</v>
      </c>
      <c r="I249">
        <v>1364.599975585938</v>
      </c>
      <c r="L249" t="s">
        <v>469</v>
      </c>
      <c r="M249">
        <v>39.77931550402095</v>
      </c>
      <c r="N249">
        <v>25.52085235806879</v>
      </c>
      <c r="O249">
        <v>2462</v>
      </c>
      <c r="P249">
        <v>2529.5</v>
      </c>
      <c r="Q249">
        <v>1836.8</v>
      </c>
      <c r="R249" s="2" t="s">
        <v>467</v>
      </c>
      <c r="S249">
        <v>2462</v>
      </c>
      <c r="T249" t="s">
        <v>468</v>
      </c>
    </row>
    <row r="250" spans="1:20" x14ac:dyDescent="0.25">
      <c r="A250">
        <v>48</v>
      </c>
      <c r="B250">
        <v>500257</v>
      </c>
      <c r="C250" t="s">
        <v>49</v>
      </c>
      <c r="D250">
        <v>2016</v>
      </c>
      <c r="E250">
        <v>2442.10009765625</v>
      </c>
      <c r="F250">
        <v>50.17</v>
      </c>
      <c r="G250" t="s">
        <v>465</v>
      </c>
      <c r="H250">
        <v>1911.550048828125</v>
      </c>
      <c r="I250">
        <v>1294.050048828125</v>
      </c>
      <c r="L250" t="s">
        <v>469</v>
      </c>
      <c r="M250">
        <v>38.101456026073848</v>
      </c>
      <c r="N250">
        <v>25.793303743833469</v>
      </c>
      <c r="O250">
        <v>2462</v>
      </c>
      <c r="P250">
        <v>2529.5</v>
      </c>
      <c r="Q250">
        <v>1836.8</v>
      </c>
      <c r="R250" s="2" t="s">
        <v>467</v>
      </c>
      <c r="S250">
        <v>2462</v>
      </c>
      <c r="T250" t="s">
        <v>468</v>
      </c>
    </row>
    <row r="251" spans="1:20" x14ac:dyDescent="0.25">
      <c r="A251">
        <v>48</v>
      </c>
      <c r="B251">
        <v>500257</v>
      </c>
      <c r="C251" t="s">
        <v>49</v>
      </c>
      <c r="D251">
        <v>2017</v>
      </c>
      <c r="E251">
        <v>2442.10009765625</v>
      </c>
      <c r="F251">
        <v>56.63</v>
      </c>
      <c r="G251" t="s">
        <v>465</v>
      </c>
      <c r="H251">
        <v>1572.25</v>
      </c>
      <c r="I251">
        <v>805</v>
      </c>
      <c r="L251" t="s">
        <v>469</v>
      </c>
      <c r="M251">
        <v>27.76355288716228</v>
      </c>
      <c r="N251">
        <v>14.2150803461063</v>
      </c>
      <c r="O251">
        <v>2462</v>
      </c>
      <c r="P251">
        <v>2529.5</v>
      </c>
      <c r="Q251">
        <v>1836.8</v>
      </c>
      <c r="R251" s="2" t="s">
        <v>467</v>
      </c>
      <c r="S251">
        <v>2462</v>
      </c>
      <c r="T251" t="s">
        <v>468</v>
      </c>
    </row>
    <row r="252" spans="1:20" x14ac:dyDescent="0.25">
      <c r="A252">
        <v>48</v>
      </c>
      <c r="B252">
        <v>500257</v>
      </c>
      <c r="C252" t="s">
        <v>49</v>
      </c>
      <c r="D252">
        <v>2018</v>
      </c>
      <c r="E252">
        <v>2442.10009765625</v>
      </c>
      <c r="F252">
        <v>5.56</v>
      </c>
      <c r="G252" t="s">
        <v>465</v>
      </c>
      <c r="H252">
        <v>986</v>
      </c>
      <c r="I252">
        <v>723.54998779296875</v>
      </c>
      <c r="L252" t="s">
        <v>469</v>
      </c>
      <c r="M252">
        <v>177.3381294964029</v>
      </c>
      <c r="N252">
        <v>130.13488989082171</v>
      </c>
      <c r="O252">
        <v>2462</v>
      </c>
      <c r="P252">
        <v>2529.5</v>
      </c>
      <c r="Q252">
        <v>1836.8</v>
      </c>
      <c r="R252" s="2" t="s">
        <v>467</v>
      </c>
      <c r="S252">
        <v>2462</v>
      </c>
      <c r="T252" t="s">
        <v>468</v>
      </c>
    </row>
    <row r="253" spans="1:20" x14ac:dyDescent="0.25">
      <c r="A253">
        <v>48</v>
      </c>
      <c r="B253">
        <v>500257</v>
      </c>
      <c r="C253" t="s">
        <v>49</v>
      </c>
      <c r="D253">
        <v>2019</v>
      </c>
      <c r="E253">
        <v>2442.10009765625</v>
      </c>
      <c r="F253">
        <v>13.4</v>
      </c>
      <c r="G253" t="s">
        <v>465</v>
      </c>
      <c r="H253">
        <v>887.70001220703125</v>
      </c>
      <c r="I253">
        <v>646.20001220703125</v>
      </c>
      <c r="L253" t="s">
        <v>469</v>
      </c>
      <c r="M253">
        <v>66.246269567688898</v>
      </c>
      <c r="N253">
        <v>48.223881507987407</v>
      </c>
      <c r="O253">
        <v>2462</v>
      </c>
      <c r="P253">
        <v>2529.5</v>
      </c>
      <c r="Q253">
        <v>1836.8</v>
      </c>
      <c r="R253" s="2" t="s">
        <v>467</v>
      </c>
      <c r="S253">
        <v>2462</v>
      </c>
      <c r="T253" t="s">
        <v>468</v>
      </c>
    </row>
    <row r="254" spans="1:20" x14ac:dyDescent="0.25">
      <c r="A254">
        <v>48</v>
      </c>
      <c r="B254">
        <v>500257</v>
      </c>
      <c r="C254" t="s">
        <v>49</v>
      </c>
      <c r="D254">
        <v>2020</v>
      </c>
      <c r="E254">
        <v>2442.10009765625</v>
      </c>
      <c r="F254">
        <v>-5.95</v>
      </c>
      <c r="G254" t="s">
        <v>465</v>
      </c>
      <c r="H254">
        <v>1121.849975585938</v>
      </c>
      <c r="I254">
        <v>505</v>
      </c>
      <c r="L254" t="s">
        <v>471</v>
      </c>
      <c r="M254">
        <v>-188.54621438419119</v>
      </c>
      <c r="N254">
        <v>-84.87394957983193</v>
      </c>
      <c r="O254">
        <v>2462</v>
      </c>
      <c r="P254">
        <v>2529.5</v>
      </c>
      <c r="Q254">
        <v>1836.8</v>
      </c>
      <c r="R254" s="2" t="s">
        <v>467</v>
      </c>
      <c r="S254">
        <v>2462</v>
      </c>
      <c r="T254" t="s">
        <v>468</v>
      </c>
    </row>
    <row r="255" spans="1:20" x14ac:dyDescent="0.25">
      <c r="A255">
        <v>48</v>
      </c>
      <c r="B255">
        <v>500257</v>
      </c>
      <c r="C255" t="s">
        <v>49</v>
      </c>
      <c r="D255">
        <v>2021</v>
      </c>
      <c r="E255">
        <v>2442.10009765625</v>
      </c>
      <c r="F255">
        <v>26.81</v>
      </c>
      <c r="G255" t="s">
        <v>465</v>
      </c>
      <c r="H255">
        <v>1267.5</v>
      </c>
      <c r="I255">
        <v>854</v>
      </c>
      <c r="L255" t="s">
        <v>469</v>
      </c>
      <c r="M255">
        <v>47.277135397239839</v>
      </c>
      <c r="N255">
        <v>31.85378590078329</v>
      </c>
      <c r="O255">
        <v>2462</v>
      </c>
      <c r="P255">
        <v>2529.5</v>
      </c>
      <c r="Q255">
        <v>1836.8</v>
      </c>
      <c r="R255" s="2" t="s">
        <v>467</v>
      </c>
      <c r="S255">
        <v>2462</v>
      </c>
      <c r="T255" t="s">
        <v>468</v>
      </c>
    </row>
    <row r="256" spans="1:20" x14ac:dyDescent="0.25">
      <c r="A256">
        <v>48</v>
      </c>
      <c r="B256">
        <v>500257</v>
      </c>
      <c r="C256" t="s">
        <v>49</v>
      </c>
      <c r="D256">
        <v>2022</v>
      </c>
      <c r="E256">
        <v>2442.10009765625</v>
      </c>
      <c r="F256">
        <v>-33.619999999999997</v>
      </c>
      <c r="G256" t="s">
        <v>465</v>
      </c>
      <c r="H256">
        <v>971.29998779296875</v>
      </c>
      <c r="I256">
        <v>583.04998779296875</v>
      </c>
      <c r="L256" t="s">
        <v>471</v>
      </c>
      <c r="M256">
        <v>-28.89054098134946</v>
      </c>
      <c r="N256">
        <v>-17.342355377542201</v>
      </c>
      <c r="O256">
        <v>2462</v>
      </c>
      <c r="P256">
        <v>2529.5</v>
      </c>
      <c r="Q256">
        <v>1836.8</v>
      </c>
      <c r="R256" s="2" t="s">
        <v>467</v>
      </c>
      <c r="S256">
        <v>2462</v>
      </c>
      <c r="T256" t="s">
        <v>468</v>
      </c>
    </row>
    <row r="257" spans="1:20" x14ac:dyDescent="0.25">
      <c r="A257">
        <v>48</v>
      </c>
      <c r="B257">
        <v>500257</v>
      </c>
      <c r="C257" t="s">
        <v>49</v>
      </c>
      <c r="D257">
        <v>2023</v>
      </c>
      <c r="E257">
        <v>2442.10009765625</v>
      </c>
      <c r="F257">
        <v>9.4499999999999993</v>
      </c>
      <c r="G257" t="s">
        <v>465</v>
      </c>
      <c r="H257">
        <v>1343.550048828125</v>
      </c>
      <c r="I257">
        <v>628.0999755859375</v>
      </c>
      <c r="L257" t="s">
        <v>469</v>
      </c>
      <c r="M257">
        <v>142.1746083416005</v>
      </c>
      <c r="N257">
        <v>66.465605882109799</v>
      </c>
      <c r="O257">
        <v>2462</v>
      </c>
      <c r="P257">
        <v>2529.5</v>
      </c>
      <c r="Q257">
        <v>1836.8</v>
      </c>
      <c r="R257" s="2" t="s">
        <v>467</v>
      </c>
      <c r="S257">
        <v>2462</v>
      </c>
      <c r="T257" t="s">
        <v>468</v>
      </c>
    </row>
    <row r="258" spans="1:20" x14ac:dyDescent="0.25">
      <c r="A258">
        <v>48</v>
      </c>
      <c r="B258">
        <v>500257</v>
      </c>
      <c r="C258" t="s">
        <v>49</v>
      </c>
      <c r="D258">
        <v>2024</v>
      </c>
      <c r="E258">
        <v>2442.10009765625</v>
      </c>
      <c r="F258">
        <v>42.01</v>
      </c>
      <c r="G258" t="s">
        <v>465</v>
      </c>
      <c r="H258">
        <v>2372.550048828125</v>
      </c>
      <c r="I258">
        <v>1332.099975585938</v>
      </c>
      <c r="L258" t="s">
        <v>469</v>
      </c>
      <c r="M258">
        <v>56.475840248229588</v>
      </c>
      <c r="N258">
        <v>31.70911629578524</v>
      </c>
      <c r="O258">
        <v>2462</v>
      </c>
      <c r="P258">
        <v>2529.5</v>
      </c>
      <c r="Q258">
        <v>1836.8</v>
      </c>
      <c r="R258" s="2" t="s">
        <v>467</v>
      </c>
      <c r="S258">
        <v>2462</v>
      </c>
      <c r="T258" t="s">
        <v>468</v>
      </c>
    </row>
    <row r="259" spans="1:20" x14ac:dyDescent="0.25">
      <c r="A259">
        <v>48</v>
      </c>
      <c r="B259">
        <v>500257</v>
      </c>
      <c r="C259" t="s">
        <v>49</v>
      </c>
      <c r="D259">
        <v>2025</v>
      </c>
      <c r="E259">
        <v>2442.10009765625</v>
      </c>
      <c r="F259">
        <v>71.88</v>
      </c>
      <c r="G259" t="s">
        <v>465</v>
      </c>
      <c r="H259">
        <v>2403.449951171875</v>
      </c>
      <c r="I259">
        <v>1774</v>
      </c>
      <c r="L259" t="s">
        <v>469</v>
      </c>
      <c r="M259">
        <v>33.436977617861373</v>
      </c>
      <c r="N259">
        <v>24.680022259321088</v>
      </c>
      <c r="O259">
        <v>2462</v>
      </c>
      <c r="P259">
        <v>2529.5</v>
      </c>
      <c r="Q259">
        <v>1836.8</v>
      </c>
      <c r="R259" s="2" t="s">
        <v>467</v>
      </c>
      <c r="S259">
        <v>2462</v>
      </c>
      <c r="T259" t="s">
        <v>468</v>
      </c>
    </row>
    <row r="260" spans="1:20" x14ac:dyDescent="0.25">
      <c r="A260">
        <v>48</v>
      </c>
      <c r="B260">
        <v>500257</v>
      </c>
      <c r="C260" t="s">
        <v>49</v>
      </c>
      <c r="D260">
        <v>2026</v>
      </c>
      <c r="E260">
        <v>2442.10009765625</v>
      </c>
      <c r="F260">
        <v>116.65</v>
      </c>
      <c r="G260" t="s">
        <v>465</v>
      </c>
      <c r="H260">
        <v>2530</v>
      </c>
      <c r="I260">
        <v>2072.949951171875</v>
      </c>
      <c r="L260" t="s">
        <v>469</v>
      </c>
      <c r="M260">
        <v>21.688812687526791</v>
      </c>
      <c r="N260">
        <v>17.770681107345691</v>
      </c>
      <c r="O260">
        <v>2462</v>
      </c>
      <c r="P260">
        <v>2529.5</v>
      </c>
      <c r="Q260">
        <v>1836.8</v>
      </c>
      <c r="R260" s="2" t="s">
        <v>467</v>
      </c>
      <c r="S260">
        <v>2462</v>
      </c>
      <c r="T260" t="s">
        <v>468</v>
      </c>
    </row>
    <row r="261" spans="1:20" x14ac:dyDescent="0.25">
      <c r="A261">
        <v>50</v>
      </c>
      <c r="B261">
        <v>500285</v>
      </c>
      <c r="C261" t="s">
        <v>51</v>
      </c>
      <c r="D261">
        <v>2026</v>
      </c>
      <c r="E261">
        <v>11.789999961853029</v>
      </c>
      <c r="G261" t="s">
        <v>465</v>
      </c>
      <c r="H261">
        <v>12.55000019073486</v>
      </c>
      <c r="I261">
        <v>10.60000038146973</v>
      </c>
      <c r="L261" t="s">
        <v>466</v>
      </c>
      <c r="O261">
        <v>56.72</v>
      </c>
      <c r="P261">
        <v>56.8</v>
      </c>
      <c r="Q261">
        <v>21.9</v>
      </c>
      <c r="R261" s="3" t="s">
        <v>470</v>
      </c>
      <c r="S261">
        <v>56.72</v>
      </c>
      <c r="T261" t="s">
        <v>468</v>
      </c>
    </row>
    <row r="262" spans="1:20" x14ac:dyDescent="0.25">
      <c r="A262">
        <v>54</v>
      </c>
      <c r="B262">
        <v>500325</v>
      </c>
      <c r="C262" t="s">
        <v>53</v>
      </c>
      <c r="D262">
        <v>2015</v>
      </c>
      <c r="E262">
        <v>1326.5</v>
      </c>
      <c r="F262">
        <v>17.07</v>
      </c>
      <c r="G262" t="s">
        <v>465</v>
      </c>
      <c r="H262">
        <v>243.8893127441406</v>
      </c>
      <c r="I262">
        <v>182.1169738769531</v>
      </c>
      <c r="L262" t="s">
        <v>469</v>
      </c>
      <c r="M262">
        <v>14.28759887194731</v>
      </c>
      <c r="N262">
        <v>10.66883268171957</v>
      </c>
      <c r="O262">
        <v>1281.5</v>
      </c>
      <c r="P262">
        <v>1611.8</v>
      </c>
      <c r="Q262">
        <v>1249.8</v>
      </c>
      <c r="R262" s="2" t="s">
        <v>467</v>
      </c>
      <c r="S262">
        <v>1281.5</v>
      </c>
      <c r="T262" t="s">
        <v>468</v>
      </c>
    </row>
    <row r="263" spans="1:20" x14ac:dyDescent="0.25">
      <c r="A263">
        <v>54</v>
      </c>
      <c r="B263">
        <v>500325</v>
      </c>
      <c r="C263" t="s">
        <v>53</v>
      </c>
      <c r="D263">
        <v>2016</v>
      </c>
      <c r="E263">
        <v>1326.5</v>
      </c>
      <c r="F263">
        <v>21.51</v>
      </c>
      <c r="G263" t="s">
        <v>465</v>
      </c>
      <c r="H263">
        <v>258.0380859375</v>
      </c>
      <c r="I263">
        <v>203.0887145996094</v>
      </c>
      <c r="L263" t="s">
        <v>469</v>
      </c>
      <c r="M263">
        <v>11.99619181485355</v>
      </c>
      <c r="N263">
        <v>9.4415952858953691</v>
      </c>
      <c r="O263">
        <v>1281.5</v>
      </c>
      <c r="P263">
        <v>1611.8</v>
      </c>
      <c r="Q263">
        <v>1249.8</v>
      </c>
      <c r="R263" s="2" t="s">
        <v>467</v>
      </c>
      <c r="S263">
        <v>1281.5</v>
      </c>
      <c r="T263" t="s">
        <v>468</v>
      </c>
    </row>
    <row r="264" spans="1:20" x14ac:dyDescent="0.25">
      <c r="A264">
        <v>54</v>
      </c>
      <c r="B264">
        <v>500325</v>
      </c>
      <c r="C264" t="s">
        <v>53</v>
      </c>
      <c r="D264">
        <v>2017</v>
      </c>
      <c r="E264">
        <v>1326.5</v>
      </c>
      <c r="F264">
        <v>21.55</v>
      </c>
      <c r="G264" t="s">
        <v>465</v>
      </c>
      <c r="H264">
        <v>438.40646362304688</v>
      </c>
      <c r="I264">
        <v>231.78627014160159</v>
      </c>
      <c r="L264" t="s">
        <v>469</v>
      </c>
      <c r="M264">
        <v>20.343687407101939</v>
      </c>
      <c r="N264">
        <v>10.75574339404184</v>
      </c>
      <c r="O264">
        <v>1281.5</v>
      </c>
      <c r="P264">
        <v>1611.8</v>
      </c>
      <c r="Q264">
        <v>1249.8</v>
      </c>
      <c r="R264" s="2" t="s">
        <v>467</v>
      </c>
      <c r="S264">
        <v>1281.5</v>
      </c>
      <c r="T264" t="s">
        <v>468</v>
      </c>
    </row>
    <row r="265" spans="1:20" x14ac:dyDescent="0.25">
      <c r="A265">
        <v>54</v>
      </c>
      <c r="B265">
        <v>500325</v>
      </c>
      <c r="C265" t="s">
        <v>53</v>
      </c>
      <c r="D265">
        <v>2018</v>
      </c>
      <c r="E265">
        <v>1326.5</v>
      </c>
      <c r="F265">
        <v>26.69</v>
      </c>
      <c r="G265" t="s">
        <v>465</v>
      </c>
      <c r="H265">
        <v>607.43756103515625</v>
      </c>
      <c r="I265">
        <v>398.68017578125</v>
      </c>
      <c r="L265" t="s">
        <v>469</v>
      </c>
      <c r="M265">
        <v>22.758994418701999</v>
      </c>
      <c r="N265">
        <v>14.937436335003749</v>
      </c>
      <c r="O265">
        <v>1281.5</v>
      </c>
      <c r="P265">
        <v>1611.8</v>
      </c>
      <c r="Q265">
        <v>1249.8</v>
      </c>
      <c r="R265" s="2" t="s">
        <v>467</v>
      </c>
      <c r="S265">
        <v>1281.5</v>
      </c>
      <c r="T265" t="s">
        <v>468</v>
      </c>
    </row>
    <row r="266" spans="1:20" x14ac:dyDescent="0.25">
      <c r="A266">
        <v>54</v>
      </c>
      <c r="B266">
        <v>500325</v>
      </c>
      <c r="C266" t="s">
        <v>53</v>
      </c>
      <c r="D266">
        <v>2019</v>
      </c>
      <c r="E266">
        <v>1326.5</v>
      </c>
      <c r="F266">
        <v>29.28</v>
      </c>
      <c r="G266" t="s">
        <v>465</v>
      </c>
      <c r="H266">
        <v>739.57659912109375</v>
      </c>
      <c r="I266">
        <v>494.29299926757813</v>
      </c>
      <c r="L266" t="s">
        <v>469</v>
      </c>
      <c r="M266">
        <v>25.258763631184891</v>
      </c>
      <c r="N266">
        <v>16.881591505040241</v>
      </c>
      <c r="O266">
        <v>1281.5</v>
      </c>
      <c r="P266">
        <v>1611.8</v>
      </c>
      <c r="Q266">
        <v>1249.8</v>
      </c>
      <c r="R266" s="2" t="s">
        <v>467</v>
      </c>
      <c r="S266">
        <v>1281.5</v>
      </c>
      <c r="T266" t="s">
        <v>468</v>
      </c>
    </row>
    <row r="267" spans="1:20" x14ac:dyDescent="0.25">
      <c r="A267">
        <v>54</v>
      </c>
      <c r="B267">
        <v>500325</v>
      </c>
      <c r="C267" t="s">
        <v>53</v>
      </c>
      <c r="D267">
        <v>2020</v>
      </c>
      <c r="E267">
        <v>1326.5</v>
      </c>
      <c r="F267">
        <v>29.1</v>
      </c>
      <c r="G267" t="s">
        <v>465</v>
      </c>
      <c r="H267">
        <v>1093.200805664062</v>
      </c>
      <c r="I267">
        <v>400.32589721679688</v>
      </c>
      <c r="L267" t="s">
        <v>469</v>
      </c>
      <c r="M267">
        <v>37.56703799532859</v>
      </c>
      <c r="N267">
        <v>13.75690368442601</v>
      </c>
      <c r="O267">
        <v>1281.5</v>
      </c>
      <c r="P267">
        <v>1611.8</v>
      </c>
      <c r="Q267">
        <v>1249.8</v>
      </c>
      <c r="R267" s="2" t="s">
        <v>467</v>
      </c>
      <c r="S267">
        <v>1281.5</v>
      </c>
      <c r="T267" t="s">
        <v>468</v>
      </c>
    </row>
    <row r="268" spans="1:20" x14ac:dyDescent="0.25">
      <c r="A268">
        <v>54</v>
      </c>
      <c r="B268">
        <v>500325</v>
      </c>
      <c r="C268" t="s">
        <v>53</v>
      </c>
      <c r="D268">
        <v>2021</v>
      </c>
      <c r="E268">
        <v>1326.5</v>
      </c>
      <c r="F268">
        <v>38.75</v>
      </c>
      <c r="G268" t="s">
        <v>465</v>
      </c>
      <c r="H268">
        <v>1269.12451171875</v>
      </c>
      <c r="I268">
        <v>844.544677734375</v>
      </c>
      <c r="L268" t="s">
        <v>469</v>
      </c>
      <c r="M268">
        <v>32.751600302419362</v>
      </c>
      <c r="N268">
        <v>21.7947013608871</v>
      </c>
      <c r="O268">
        <v>1281.5</v>
      </c>
      <c r="P268">
        <v>1611.8</v>
      </c>
      <c r="Q268">
        <v>1249.8</v>
      </c>
      <c r="R268" s="2" t="s">
        <v>467</v>
      </c>
      <c r="S268">
        <v>1281.5</v>
      </c>
      <c r="T268" t="s">
        <v>468</v>
      </c>
    </row>
    <row r="269" spans="1:20" x14ac:dyDescent="0.25">
      <c r="A269">
        <v>54</v>
      </c>
      <c r="B269">
        <v>500325</v>
      </c>
      <c r="C269" t="s">
        <v>53</v>
      </c>
      <c r="D269">
        <v>2022</v>
      </c>
      <c r="E269">
        <v>1326.5</v>
      </c>
      <c r="F269">
        <v>44.87</v>
      </c>
      <c r="G269" t="s">
        <v>465</v>
      </c>
      <c r="H269">
        <v>1317.58203125</v>
      </c>
      <c r="I269">
        <v>1006.531127929688</v>
      </c>
      <c r="L269" t="s">
        <v>469</v>
      </c>
      <c r="M269">
        <v>29.364431273679521</v>
      </c>
      <c r="N269">
        <v>22.43216242321569</v>
      </c>
      <c r="O269">
        <v>1281.5</v>
      </c>
      <c r="P269">
        <v>1611.8</v>
      </c>
      <c r="Q269">
        <v>1249.8</v>
      </c>
      <c r="R269" s="2" t="s">
        <v>467</v>
      </c>
      <c r="S269">
        <v>1281.5</v>
      </c>
      <c r="T269" t="s">
        <v>468</v>
      </c>
    </row>
    <row r="270" spans="1:20" x14ac:dyDescent="0.25">
      <c r="A270">
        <v>54</v>
      </c>
      <c r="B270">
        <v>500325</v>
      </c>
      <c r="C270" t="s">
        <v>53</v>
      </c>
      <c r="D270">
        <v>2023</v>
      </c>
      <c r="E270">
        <v>1326.5</v>
      </c>
      <c r="F270">
        <v>49.29</v>
      </c>
      <c r="G270" t="s">
        <v>465</v>
      </c>
      <c r="H270">
        <v>1317.58203125</v>
      </c>
      <c r="I270">
        <v>1006.069641113281</v>
      </c>
      <c r="L270" t="s">
        <v>469</v>
      </c>
      <c r="M270">
        <v>26.731224005883551</v>
      </c>
      <c r="N270">
        <v>20.41123232122704</v>
      </c>
      <c r="O270">
        <v>1281.5</v>
      </c>
      <c r="P270">
        <v>1611.8</v>
      </c>
      <c r="Q270">
        <v>1249.8</v>
      </c>
      <c r="R270" s="2" t="s">
        <v>467</v>
      </c>
      <c r="S270">
        <v>1281.5</v>
      </c>
      <c r="T270" t="s">
        <v>468</v>
      </c>
    </row>
    <row r="271" spans="1:20" x14ac:dyDescent="0.25">
      <c r="A271">
        <v>54</v>
      </c>
      <c r="B271">
        <v>500325</v>
      </c>
      <c r="C271" t="s">
        <v>53</v>
      </c>
      <c r="D271">
        <v>2024</v>
      </c>
      <c r="E271">
        <v>1326.5</v>
      </c>
      <c r="F271">
        <v>51.45</v>
      </c>
      <c r="G271" t="s">
        <v>465</v>
      </c>
      <c r="H271">
        <v>1608.949951171875</v>
      </c>
      <c r="I271">
        <v>1202.099975585938</v>
      </c>
      <c r="L271" t="s">
        <v>469</v>
      </c>
      <c r="M271">
        <v>31.272107894497079</v>
      </c>
      <c r="N271">
        <v>23.36443101236031</v>
      </c>
      <c r="O271">
        <v>1281.5</v>
      </c>
      <c r="P271">
        <v>1611.8</v>
      </c>
      <c r="Q271">
        <v>1249.8</v>
      </c>
      <c r="R271" s="2" t="s">
        <v>467</v>
      </c>
      <c r="S271">
        <v>1281.5</v>
      </c>
      <c r="T271" t="s">
        <v>468</v>
      </c>
    </row>
    <row r="272" spans="1:20" x14ac:dyDescent="0.25">
      <c r="A272">
        <v>54</v>
      </c>
      <c r="B272">
        <v>500325</v>
      </c>
      <c r="C272" t="s">
        <v>53</v>
      </c>
      <c r="D272">
        <v>2025</v>
      </c>
      <c r="E272">
        <v>1326.5</v>
      </c>
      <c r="F272">
        <v>51.47</v>
      </c>
      <c r="G272" t="s">
        <v>465</v>
      </c>
      <c r="H272">
        <v>1580.900024414062</v>
      </c>
      <c r="I272">
        <v>1115.550048828125</v>
      </c>
      <c r="L272" t="s">
        <v>469</v>
      </c>
      <c r="M272">
        <v>30.71498007410262</v>
      </c>
      <c r="N272">
        <v>21.673791506277929</v>
      </c>
      <c r="O272">
        <v>1281.5</v>
      </c>
      <c r="P272">
        <v>1611.8</v>
      </c>
      <c r="Q272">
        <v>1249.8</v>
      </c>
      <c r="R272" s="2" t="s">
        <v>467</v>
      </c>
      <c r="S272">
        <v>1281.5</v>
      </c>
      <c r="T272" t="s">
        <v>468</v>
      </c>
    </row>
    <row r="273" spans="1:20" x14ac:dyDescent="0.25">
      <c r="A273">
        <v>54</v>
      </c>
      <c r="B273">
        <v>500325</v>
      </c>
      <c r="C273" t="s">
        <v>53</v>
      </c>
      <c r="D273">
        <v>2026</v>
      </c>
      <c r="E273">
        <v>1326.5</v>
      </c>
      <c r="F273">
        <v>59.69</v>
      </c>
      <c r="G273" t="s">
        <v>465</v>
      </c>
      <c r="H273">
        <v>1611.199951171875</v>
      </c>
      <c r="I273">
        <v>1253.650024414062</v>
      </c>
      <c r="L273" t="s">
        <v>469</v>
      </c>
      <c r="M273">
        <v>26.992795295223239</v>
      </c>
      <c r="N273">
        <v>21.00268092501361</v>
      </c>
      <c r="O273">
        <v>1281.5</v>
      </c>
      <c r="P273">
        <v>1611.8</v>
      </c>
      <c r="Q273">
        <v>1249.8</v>
      </c>
      <c r="R273" s="2" t="s">
        <v>467</v>
      </c>
      <c r="S273">
        <v>1281.5</v>
      </c>
      <c r="T273" t="s">
        <v>468</v>
      </c>
    </row>
    <row r="274" spans="1:20" x14ac:dyDescent="0.25">
      <c r="A274">
        <v>59</v>
      </c>
      <c r="B274">
        <v>500412</v>
      </c>
      <c r="C274" t="s">
        <v>55</v>
      </c>
      <c r="D274">
        <v>2015</v>
      </c>
      <c r="E274">
        <v>164.75</v>
      </c>
      <c r="F274">
        <v>-1.34</v>
      </c>
      <c r="G274" t="s">
        <v>465</v>
      </c>
      <c r="H274">
        <v>29</v>
      </c>
      <c r="I274">
        <v>7.5</v>
      </c>
      <c r="L274" t="s">
        <v>471</v>
      </c>
      <c r="M274">
        <v>-21.64179104477612</v>
      </c>
      <c r="N274">
        <v>-5.5970149253731343</v>
      </c>
      <c r="O274">
        <v>169.07</v>
      </c>
      <c r="P274">
        <v>328.8</v>
      </c>
      <c r="Q274">
        <v>158</v>
      </c>
      <c r="R274" s="2" t="s">
        <v>467</v>
      </c>
      <c r="S274">
        <v>169.07</v>
      </c>
      <c r="T274" t="s">
        <v>468</v>
      </c>
    </row>
    <row r="275" spans="1:20" x14ac:dyDescent="0.25">
      <c r="A275">
        <v>59</v>
      </c>
      <c r="B275">
        <v>500412</v>
      </c>
      <c r="C275" t="s">
        <v>55</v>
      </c>
      <c r="D275">
        <v>2016</v>
      </c>
      <c r="E275">
        <v>164.75</v>
      </c>
      <c r="F275">
        <v>3.14</v>
      </c>
      <c r="G275" t="s">
        <v>465</v>
      </c>
      <c r="H275">
        <v>98.400001525878906</v>
      </c>
      <c r="I275">
        <v>12.89999961853027</v>
      </c>
      <c r="L275" t="s">
        <v>469</v>
      </c>
      <c r="M275">
        <v>31.33758010378309</v>
      </c>
      <c r="N275">
        <v>4.1082801332898944</v>
      </c>
      <c r="O275">
        <v>169.07</v>
      </c>
      <c r="P275">
        <v>328.8</v>
      </c>
      <c r="Q275">
        <v>158</v>
      </c>
      <c r="R275" s="2" t="s">
        <v>467</v>
      </c>
      <c r="S275">
        <v>169.07</v>
      </c>
      <c r="T275" t="s">
        <v>468</v>
      </c>
    </row>
    <row r="276" spans="1:20" x14ac:dyDescent="0.25">
      <c r="A276">
        <v>59</v>
      </c>
      <c r="B276">
        <v>500412</v>
      </c>
      <c r="C276" t="s">
        <v>55</v>
      </c>
      <c r="D276">
        <v>2017</v>
      </c>
      <c r="E276">
        <v>164.75</v>
      </c>
      <c r="F276">
        <v>6.9</v>
      </c>
      <c r="G276" t="s">
        <v>465</v>
      </c>
      <c r="H276">
        <v>231.85499572753909</v>
      </c>
      <c r="I276">
        <v>72.849998474121094</v>
      </c>
      <c r="L276" t="s">
        <v>469</v>
      </c>
      <c r="M276">
        <v>33.602173293846242</v>
      </c>
      <c r="N276">
        <v>10.557970793350879</v>
      </c>
      <c r="O276">
        <v>169.07</v>
      </c>
      <c r="P276">
        <v>328.8</v>
      </c>
      <c r="Q276">
        <v>158</v>
      </c>
      <c r="R276" s="2" t="s">
        <v>467</v>
      </c>
      <c r="S276">
        <v>169.07</v>
      </c>
      <c r="T276" t="s">
        <v>468</v>
      </c>
    </row>
    <row r="277" spans="1:20" x14ac:dyDescent="0.25">
      <c r="A277">
        <v>59</v>
      </c>
      <c r="B277">
        <v>500412</v>
      </c>
      <c r="C277" t="s">
        <v>55</v>
      </c>
      <c r="D277">
        <v>2018</v>
      </c>
      <c r="E277">
        <v>164.75</v>
      </c>
      <c r="F277">
        <v>16.64</v>
      </c>
      <c r="G277" t="s">
        <v>465</v>
      </c>
      <c r="H277">
        <v>243.69999694824219</v>
      </c>
      <c r="I277">
        <v>101.6999969482422</v>
      </c>
      <c r="L277" t="s">
        <v>469</v>
      </c>
      <c r="M277">
        <v>14.64543250890878</v>
      </c>
      <c r="N277">
        <v>6.11177866275494</v>
      </c>
      <c r="O277">
        <v>169.07</v>
      </c>
      <c r="P277">
        <v>328.8</v>
      </c>
      <c r="Q277">
        <v>158</v>
      </c>
      <c r="R277" s="2" t="s">
        <v>467</v>
      </c>
      <c r="S277">
        <v>169.07</v>
      </c>
      <c r="T277" t="s">
        <v>468</v>
      </c>
    </row>
    <row r="278" spans="1:20" x14ac:dyDescent="0.25">
      <c r="A278">
        <v>59</v>
      </c>
      <c r="B278">
        <v>500412</v>
      </c>
      <c r="C278" t="s">
        <v>55</v>
      </c>
      <c r="D278">
        <v>2019</v>
      </c>
      <c r="E278">
        <v>164.75</v>
      </c>
      <c r="F278">
        <v>11.09</v>
      </c>
      <c r="G278" t="s">
        <v>465</v>
      </c>
      <c r="H278">
        <v>114.3000030517578</v>
      </c>
      <c r="I278">
        <v>51</v>
      </c>
      <c r="L278" t="s">
        <v>469</v>
      </c>
      <c r="M278">
        <v>10.3065827819439</v>
      </c>
      <c r="N278">
        <v>4.5987376014427417</v>
      </c>
      <c r="O278">
        <v>169.07</v>
      </c>
      <c r="P278">
        <v>328.8</v>
      </c>
      <c r="Q278">
        <v>158</v>
      </c>
      <c r="R278" s="2" t="s">
        <v>467</v>
      </c>
      <c r="S278">
        <v>169.07</v>
      </c>
      <c r="T278" t="s">
        <v>468</v>
      </c>
    </row>
    <row r="279" spans="1:20" x14ac:dyDescent="0.25">
      <c r="A279">
        <v>59</v>
      </c>
      <c r="B279">
        <v>500412</v>
      </c>
      <c r="C279" t="s">
        <v>55</v>
      </c>
      <c r="D279">
        <v>2020</v>
      </c>
      <c r="E279">
        <v>164.75</v>
      </c>
      <c r="F279">
        <v>2.2599999999999998</v>
      </c>
      <c r="G279" t="s">
        <v>465</v>
      </c>
      <c r="H279">
        <v>118.6999969482422</v>
      </c>
      <c r="I279">
        <v>31.5</v>
      </c>
      <c r="L279" t="s">
        <v>469</v>
      </c>
      <c r="M279">
        <v>52.522122543469997</v>
      </c>
      <c r="N279">
        <v>13.938053097345129</v>
      </c>
      <c r="O279">
        <v>169.07</v>
      </c>
      <c r="P279">
        <v>328.8</v>
      </c>
      <c r="Q279">
        <v>158</v>
      </c>
      <c r="R279" s="2" t="s">
        <v>467</v>
      </c>
      <c r="S279">
        <v>169.07</v>
      </c>
      <c r="T279" t="s">
        <v>468</v>
      </c>
    </row>
    <row r="280" spans="1:20" x14ac:dyDescent="0.25">
      <c r="A280">
        <v>59</v>
      </c>
      <c r="B280">
        <v>500412</v>
      </c>
      <c r="C280" t="s">
        <v>55</v>
      </c>
      <c r="D280">
        <v>2021</v>
      </c>
      <c r="E280">
        <v>164.75</v>
      </c>
      <c r="F280">
        <v>11.49</v>
      </c>
      <c r="G280" t="s">
        <v>465</v>
      </c>
      <c r="H280">
        <v>357.25</v>
      </c>
      <c r="I280">
        <v>85</v>
      </c>
      <c r="L280" t="s">
        <v>469</v>
      </c>
      <c r="M280">
        <v>31.092254134029591</v>
      </c>
      <c r="N280">
        <v>7.3977371627502171</v>
      </c>
      <c r="O280">
        <v>169.07</v>
      </c>
      <c r="P280">
        <v>328.8</v>
      </c>
      <c r="Q280">
        <v>158</v>
      </c>
      <c r="R280" s="2" t="s">
        <v>467</v>
      </c>
      <c r="S280">
        <v>169.07</v>
      </c>
      <c r="T280" t="s">
        <v>468</v>
      </c>
    </row>
    <row r="281" spans="1:20" x14ac:dyDescent="0.25">
      <c r="A281">
        <v>59</v>
      </c>
      <c r="B281">
        <v>500412</v>
      </c>
      <c r="C281" t="s">
        <v>55</v>
      </c>
      <c r="D281">
        <v>2022</v>
      </c>
      <c r="E281">
        <v>164.75</v>
      </c>
      <c r="F281">
        <v>27.47</v>
      </c>
      <c r="G281" t="s">
        <v>465</v>
      </c>
      <c r="H281">
        <v>318.89999389648438</v>
      </c>
      <c r="I281">
        <v>186.69999694824219</v>
      </c>
      <c r="L281" t="s">
        <v>469</v>
      </c>
      <c r="M281">
        <v>11.609027808390399</v>
      </c>
      <c r="N281">
        <v>6.7965051673914161</v>
      </c>
      <c r="O281">
        <v>169.07</v>
      </c>
      <c r="P281">
        <v>328.8</v>
      </c>
      <c r="Q281">
        <v>158</v>
      </c>
      <c r="R281" s="2" t="s">
        <v>467</v>
      </c>
      <c r="S281">
        <v>169.07</v>
      </c>
      <c r="T281" t="s">
        <v>468</v>
      </c>
    </row>
    <row r="282" spans="1:20" x14ac:dyDescent="0.25">
      <c r="A282">
        <v>59</v>
      </c>
      <c r="B282">
        <v>500412</v>
      </c>
      <c r="C282" t="s">
        <v>55</v>
      </c>
      <c r="D282">
        <v>2023</v>
      </c>
      <c r="E282">
        <v>164.75</v>
      </c>
      <c r="F282">
        <v>8.77</v>
      </c>
      <c r="G282" t="s">
        <v>465</v>
      </c>
      <c r="H282">
        <v>244.19999694824219</v>
      </c>
      <c r="I282">
        <v>168.3500061035156</v>
      </c>
      <c r="L282" t="s">
        <v>469</v>
      </c>
      <c r="M282">
        <v>27.844925535717469</v>
      </c>
      <c r="N282">
        <v>19.196123843046252</v>
      </c>
      <c r="O282">
        <v>169.07</v>
      </c>
      <c r="P282">
        <v>328.8</v>
      </c>
      <c r="Q282">
        <v>158</v>
      </c>
      <c r="R282" s="2" t="s">
        <v>467</v>
      </c>
      <c r="S282">
        <v>169.07</v>
      </c>
      <c r="T282" t="s">
        <v>468</v>
      </c>
    </row>
    <row r="283" spans="1:20" x14ac:dyDescent="0.25">
      <c r="A283">
        <v>59</v>
      </c>
      <c r="B283">
        <v>500412</v>
      </c>
      <c r="C283" t="s">
        <v>55</v>
      </c>
      <c r="D283">
        <v>2024</v>
      </c>
      <c r="E283">
        <v>164.75</v>
      </c>
      <c r="F283">
        <v>-3.79</v>
      </c>
      <c r="G283" t="s">
        <v>465</v>
      </c>
      <c r="H283">
        <v>395</v>
      </c>
      <c r="I283">
        <v>205.19999694824219</v>
      </c>
      <c r="L283" t="s">
        <v>471</v>
      </c>
      <c r="M283">
        <v>-104.22163588390499</v>
      </c>
      <c r="N283">
        <v>-54.142479405868649</v>
      </c>
      <c r="O283">
        <v>169.07</v>
      </c>
      <c r="P283">
        <v>328.8</v>
      </c>
      <c r="Q283">
        <v>158</v>
      </c>
      <c r="R283" s="2" t="s">
        <v>467</v>
      </c>
      <c r="S283">
        <v>169.07</v>
      </c>
      <c r="T283" t="s">
        <v>468</v>
      </c>
    </row>
    <row r="284" spans="1:20" x14ac:dyDescent="0.25">
      <c r="A284">
        <v>59</v>
      </c>
      <c r="B284">
        <v>500412</v>
      </c>
      <c r="C284" t="s">
        <v>55</v>
      </c>
      <c r="D284">
        <v>2025</v>
      </c>
      <c r="E284">
        <v>164.75</v>
      </c>
      <c r="F284">
        <v>-4.5</v>
      </c>
      <c r="G284" t="s">
        <v>465</v>
      </c>
      <c r="H284">
        <v>340.54998779296881</v>
      </c>
      <c r="I284">
        <v>201.30000305175781</v>
      </c>
      <c r="L284" t="s">
        <v>471</v>
      </c>
      <c r="M284">
        <v>-75.677775065104186</v>
      </c>
      <c r="N284">
        <v>-44.733334011501739</v>
      </c>
      <c r="O284">
        <v>169.07</v>
      </c>
      <c r="P284">
        <v>328.8</v>
      </c>
      <c r="Q284">
        <v>158</v>
      </c>
      <c r="R284" s="2" t="s">
        <v>467</v>
      </c>
      <c r="S284">
        <v>169.07</v>
      </c>
      <c r="T284" t="s">
        <v>468</v>
      </c>
    </row>
    <row r="285" spans="1:20" x14ac:dyDescent="0.25">
      <c r="A285">
        <v>59</v>
      </c>
      <c r="B285">
        <v>500412</v>
      </c>
      <c r="C285" t="s">
        <v>55</v>
      </c>
      <c r="D285">
        <v>2026</v>
      </c>
      <c r="E285">
        <v>164.75</v>
      </c>
      <c r="F285">
        <v>-13.93</v>
      </c>
      <c r="G285" t="s">
        <v>465</v>
      </c>
      <c r="H285">
        <v>241.30000305175781</v>
      </c>
      <c r="I285">
        <v>158.3999938964844</v>
      </c>
      <c r="L285" t="s">
        <v>471</v>
      </c>
      <c r="M285">
        <v>-17.322326134368829</v>
      </c>
      <c r="N285">
        <v>-11.371140983236501</v>
      </c>
      <c r="O285">
        <v>169.07</v>
      </c>
      <c r="P285">
        <v>328.8</v>
      </c>
      <c r="Q285">
        <v>158</v>
      </c>
      <c r="R285" s="2" t="s">
        <v>467</v>
      </c>
      <c r="S285">
        <v>169.07</v>
      </c>
      <c r="T285" t="s">
        <v>468</v>
      </c>
    </row>
    <row r="286" spans="1:20" x14ac:dyDescent="0.25">
      <c r="A286">
        <v>60</v>
      </c>
      <c r="B286">
        <v>500420</v>
      </c>
      <c r="C286" t="s">
        <v>57</v>
      </c>
      <c r="D286">
        <v>2015</v>
      </c>
      <c r="E286">
        <v>4766.60009765625</v>
      </c>
      <c r="F286">
        <v>22.19</v>
      </c>
      <c r="G286" t="s">
        <v>465</v>
      </c>
      <c r="H286">
        <v>860</v>
      </c>
      <c r="I286">
        <v>516.5</v>
      </c>
      <c r="L286" t="s">
        <v>469</v>
      </c>
      <c r="M286">
        <v>38.756196484903107</v>
      </c>
      <c r="N286">
        <v>23.276250563316811</v>
      </c>
      <c r="O286">
        <v>4945.5</v>
      </c>
      <c r="P286">
        <v>5085.8</v>
      </c>
      <c r="Q286">
        <v>3480.6</v>
      </c>
      <c r="R286" s="2" t="s">
        <v>467</v>
      </c>
      <c r="S286">
        <v>4945.5</v>
      </c>
      <c r="T286" t="s">
        <v>468</v>
      </c>
    </row>
    <row r="287" spans="1:20" x14ac:dyDescent="0.25">
      <c r="A287">
        <v>60</v>
      </c>
      <c r="B287">
        <v>500420</v>
      </c>
      <c r="C287" t="s">
        <v>57</v>
      </c>
      <c r="D287">
        <v>2016</v>
      </c>
      <c r="E287">
        <v>4766.60009765625</v>
      </c>
      <c r="F287">
        <v>51.22</v>
      </c>
      <c r="G287" t="s">
        <v>465</v>
      </c>
      <c r="H287">
        <v>883.9000244140625</v>
      </c>
      <c r="I287">
        <v>592.79998779296875</v>
      </c>
      <c r="L287" t="s">
        <v>469</v>
      </c>
      <c r="M287">
        <v>17.25693136302348</v>
      </c>
      <c r="N287">
        <v>11.57360382258822</v>
      </c>
      <c r="O287">
        <v>4945.5</v>
      </c>
      <c r="P287">
        <v>5085.8</v>
      </c>
      <c r="Q287">
        <v>3480.6</v>
      </c>
      <c r="R287" s="2" t="s">
        <v>467</v>
      </c>
      <c r="S287">
        <v>4945.5</v>
      </c>
      <c r="T287" t="s">
        <v>468</v>
      </c>
    </row>
    <row r="288" spans="1:20" x14ac:dyDescent="0.25">
      <c r="A288">
        <v>60</v>
      </c>
      <c r="B288">
        <v>500420</v>
      </c>
      <c r="C288" t="s">
        <v>57</v>
      </c>
      <c r="D288">
        <v>2017</v>
      </c>
      <c r="E288">
        <v>4766.60009765625</v>
      </c>
      <c r="F288">
        <v>27.59</v>
      </c>
      <c r="G288" t="s">
        <v>465</v>
      </c>
      <c r="H288">
        <v>786.04998779296875</v>
      </c>
      <c r="I288">
        <v>574.5250244140625</v>
      </c>
      <c r="L288" t="s">
        <v>469</v>
      </c>
      <c r="M288">
        <v>28.49039462823373</v>
      </c>
      <c r="N288">
        <v>20.82366888053869</v>
      </c>
      <c r="O288">
        <v>4945.5</v>
      </c>
      <c r="P288">
        <v>5085.8</v>
      </c>
      <c r="Q288">
        <v>3480.6</v>
      </c>
      <c r="R288" s="2" t="s">
        <v>467</v>
      </c>
      <c r="S288">
        <v>4945.5</v>
      </c>
      <c r="T288" t="s">
        <v>468</v>
      </c>
    </row>
    <row r="289" spans="1:20" x14ac:dyDescent="0.25">
      <c r="A289">
        <v>60</v>
      </c>
      <c r="B289">
        <v>500420</v>
      </c>
      <c r="C289" t="s">
        <v>57</v>
      </c>
      <c r="D289">
        <v>2018</v>
      </c>
      <c r="E289">
        <v>4766.60009765625</v>
      </c>
      <c r="F289">
        <v>20.04</v>
      </c>
      <c r="G289" t="s">
        <v>465</v>
      </c>
      <c r="H289">
        <v>935.9749755859375</v>
      </c>
      <c r="I289">
        <v>611.875</v>
      </c>
      <c r="L289" t="s">
        <v>469</v>
      </c>
      <c r="M289">
        <v>46.705338103090703</v>
      </c>
      <c r="N289">
        <v>30.53268463073853</v>
      </c>
      <c r="O289">
        <v>4945.5</v>
      </c>
      <c r="P289">
        <v>5085.8</v>
      </c>
      <c r="Q289">
        <v>3480.6</v>
      </c>
      <c r="R289" s="2" t="s">
        <v>467</v>
      </c>
      <c r="S289">
        <v>4945.5</v>
      </c>
      <c r="T289" t="s">
        <v>468</v>
      </c>
    </row>
    <row r="290" spans="1:20" x14ac:dyDescent="0.25">
      <c r="A290">
        <v>60</v>
      </c>
      <c r="B290">
        <v>500420</v>
      </c>
      <c r="C290" t="s">
        <v>57</v>
      </c>
      <c r="D290">
        <v>2019</v>
      </c>
      <c r="E290">
        <v>4766.60009765625</v>
      </c>
      <c r="F290">
        <v>12.89</v>
      </c>
      <c r="G290" t="s">
        <v>465</v>
      </c>
      <c r="H290">
        <v>982</v>
      </c>
      <c r="I290">
        <v>726.5</v>
      </c>
      <c r="L290" t="s">
        <v>469</v>
      </c>
      <c r="M290">
        <v>76.183087664856473</v>
      </c>
      <c r="N290">
        <v>56.361520558572543</v>
      </c>
      <c r="O290">
        <v>4945.5</v>
      </c>
      <c r="P290">
        <v>5085.8</v>
      </c>
      <c r="Q290">
        <v>3480.6</v>
      </c>
      <c r="R290" s="2" t="s">
        <v>467</v>
      </c>
      <c r="S290">
        <v>4945.5</v>
      </c>
      <c r="T290" t="s">
        <v>468</v>
      </c>
    </row>
    <row r="291" spans="1:20" x14ac:dyDescent="0.25">
      <c r="A291">
        <v>60</v>
      </c>
      <c r="B291">
        <v>500420</v>
      </c>
      <c r="C291" t="s">
        <v>57</v>
      </c>
      <c r="D291">
        <v>2020</v>
      </c>
      <c r="E291">
        <v>4766.60009765625</v>
      </c>
      <c r="F291">
        <v>30.28</v>
      </c>
      <c r="G291" t="s">
        <v>465</v>
      </c>
      <c r="H291">
        <v>1520</v>
      </c>
      <c r="I291">
        <v>809.5</v>
      </c>
      <c r="L291" t="s">
        <v>469</v>
      </c>
      <c r="M291">
        <v>50.198150594451782</v>
      </c>
      <c r="N291">
        <v>26.733817701453098</v>
      </c>
      <c r="O291">
        <v>4945.5</v>
      </c>
      <c r="P291">
        <v>5085.8</v>
      </c>
      <c r="Q291">
        <v>3480.6</v>
      </c>
      <c r="R291" s="2" t="s">
        <v>467</v>
      </c>
      <c r="S291">
        <v>4945.5</v>
      </c>
      <c r="T291" t="s">
        <v>468</v>
      </c>
    </row>
    <row r="292" spans="1:20" x14ac:dyDescent="0.25">
      <c r="A292">
        <v>60</v>
      </c>
      <c r="B292">
        <v>500420</v>
      </c>
      <c r="C292" t="s">
        <v>57</v>
      </c>
      <c r="D292">
        <v>2021</v>
      </c>
      <c r="E292">
        <v>4766.60009765625</v>
      </c>
      <c r="F292">
        <v>36.99</v>
      </c>
      <c r="G292" t="s">
        <v>465</v>
      </c>
      <c r="H292">
        <v>1652.224975585938</v>
      </c>
      <c r="I292">
        <v>1155.650024414062</v>
      </c>
      <c r="L292" t="s">
        <v>469</v>
      </c>
      <c r="M292">
        <v>44.666801178316781</v>
      </c>
      <c r="N292">
        <v>31.242228289106841</v>
      </c>
      <c r="O292">
        <v>4945.5</v>
      </c>
      <c r="P292">
        <v>5085.8</v>
      </c>
      <c r="Q292">
        <v>3480.6</v>
      </c>
      <c r="R292" s="2" t="s">
        <v>467</v>
      </c>
      <c r="S292">
        <v>4945.5</v>
      </c>
      <c r="T292" t="s">
        <v>468</v>
      </c>
    </row>
    <row r="293" spans="1:20" x14ac:dyDescent="0.25">
      <c r="A293">
        <v>60</v>
      </c>
      <c r="B293">
        <v>500420</v>
      </c>
      <c r="C293" t="s">
        <v>57</v>
      </c>
      <c r="D293">
        <v>2022</v>
      </c>
      <c r="E293">
        <v>4766.60009765625</v>
      </c>
      <c r="F293">
        <v>22.97</v>
      </c>
      <c r="G293" t="s">
        <v>465</v>
      </c>
      <c r="H293">
        <v>1722.699951171875</v>
      </c>
      <c r="I293">
        <v>1242.5</v>
      </c>
      <c r="L293" t="s">
        <v>469</v>
      </c>
      <c r="M293">
        <v>74.997821121979754</v>
      </c>
      <c r="N293">
        <v>54.092294296909017</v>
      </c>
      <c r="O293">
        <v>4945.5</v>
      </c>
      <c r="P293">
        <v>5085.8</v>
      </c>
      <c r="Q293">
        <v>3480.6</v>
      </c>
      <c r="R293" s="2" t="s">
        <v>467</v>
      </c>
      <c r="S293">
        <v>4945.5</v>
      </c>
      <c r="T293" t="s">
        <v>468</v>
      </c>
    </row>
    <row r="294" spans="1:20" x14ac:dyDescent="0.25">
      <c r="A294">
        <v>60</v>
      </c>
      <c r="B294">
        <v>500420</v>
      </c>
      <c r="C294" t="s">
        <v>57</v>
      </c>
      <c r="D294">
        <v>2023</v>
      </c>
      <c r="E294">
        <v>4766.60009765625</v>
      </c>
      <c r="F294">
        <v>36.79</v>
      </c>
      <c r="G294" t="s">
        <v>465</v>
      </c>
      <c r="H294">
        <v>2309.89990234375</v>
      </c>
      <c r="I294">
        <v>1446.150024414062</v>
      </c>
      <c r="L294" t="s">
        <v>469</v>
      </c>
      <c r="M294">
        <v>62.786080520352002</v>
      </c>
      <c r="N294">
        <v>39.30823659728356</v>
      </c>
      <c r="O294">
        <v>4945.5</v>
      </c>
      <c r="P294">
        <v>5085.8</v>
      </c>
      <c r="Q294">
        <v>3480.6</v>
      </c>
      <c r="R294" s="2" t="s">
        <v>467</v>
      </c>
      <c r="S294">
        <v>4945.5</v>
      </c>
      <c r="T294" t="s">
        <v>468</v>
      </c>
    </row>
    <row r="295" spans="1:20" x14ac:dyDescent="0.25">
      <c r="A295">
        <v>60</v>
      </c>
      <c r="B295">
        <v>500420</v>
      </c>
      <c r="C295" t="s">
        <v>57</v>
      </c>
      <c r="D295">
        <v>2024</v>
      </c>
      <c r="E295">
        <v>4766.60009765625</v>
      </c>
      <c r="F295">
        <v>48.94</v>
      </c>
      <c r="G295" t="s">
        <v>465</v>
      </c>
      <c r="H295">
        <v>3589.949951171875</v>
      </c>
      <c r="I295">
        <v>2270.14990234375</v>
      </c>
      <c r="L295" t="s">
        <v>469</v>
      </c>
      <c r="M295">
        <v>73.354106072167454</v>
      </c>
      <c r="N295">
        <v>46.386389504367592</v>
      </c>
      <c r="O295">
        <v>4945.5</v>
      </c>
      <c r="P295">
        <v>5085.8</v>
      </c>
      <c r="Q295">
        <v>3480.6</v>
      </c>
      <c r="R295" s="2" t="s">
        <v>467</v>
      </c>
      <c r="S295">
        <v>4945.5</v>
      </c>
      <c r="T295" t="s">
        <v>468</v>
      </c>
    </row>
    <row r="296" spans="1:20" x14ac:dyDescent="0.25">
      <c r="A296">
        <v>60</v>
      </c>
      <c r="B296">
        <v>500420</v>
      </c>
      <c r="C296" t="s">
        <v>57</v>
      </c>
      <c r="D296">
        <v>2025</v>
      </c>
      <c r="E296">
        <v>4766.60009765625</v>
      </c>
      <c r="F296">
        <v>56.47</v>
      </c>
      <c r="G296" t="s">
        <v>465</v>
      </c>
      <c r="H296">
        <v>3880.550048828125</v>
      </c>
      <c r="I296">
        <v>2891.449951171875</v>
      </c>
      <c r="L296" t="s">
        <v>469</v>
      </c>
      <c r="M296">
        <v>68.718789602056404</v>
      </c>
      <c r="N296">
        <v>51.203292919636532</v>
      </c>
      <c r="O296">
        <v>4945.5</v>
      </c>
      <c r="P296">
        <v>5085.8</v>
      </c>
      <c r="Q296">
        <v>3480.6</v>
      </c>
      <c r="R296" s="2" t="s">
        <v>467</v>
      </c>
      <c r="S296">
        <v>4945.5</v>
      </c>
      <c r="T296" t="s">
        <v>468</v>
      </c>
    </row>
    <row r="297" spans="1:20" x14ac:dyDescent="0.25">
      <c r="A297">
        <v>60</v>
      </c>
      <c r="B297">
        <v>500420</v>
      </c>
      <c r="C297" t="s">
        <v>57</v>
      </c>
      <c r="D297">
        <v>2026</v>
      </c>
      <c r="E297">
        <v>4766.60009765625</v>
      </c>
      <c r="F297">
        <v>63.92</v>
      </c>
      <c r="G297" t="s">
        <v>465</v>
      </c>
      <c r="H297">
        <v>5084.85009765625</v>
      </c>
      <c r="I297">
        <v>3724.10009765625</v>
      </c>
      <c r="L297" t="s">
        <v>469</v>
      </c>
      <c r="M297">
        <v>79.550220551568358</v>
      </c>
      <c r="N297">
        <v>58.261891390116553</v>
      </c>
      <c r="O297">
        <v>4945.5</v>
      </c>
      <c r="P297">
        <v>5085.8</v>
      </c>
      <c r="Q297">
        <v>3480.6</v>
      </c>
      <c r="R297" s="2" t="s">
        <v>467</v>
      </c>
      <c r="S297">
        <v>4945.5</v>
      </c>
      <c r="T297" t="s">
        <v>468</v>
      </c>
    </row>
    <row r="298" spans="1:20" x14ac:dyDescent="0.25">
      <c r="A298">
        <v>426</v>
      </c>
      <c r="B298">
        <v>500425</v>
      </c>
      <c r="C298" t="s">
        <v>59</v>
      </c>
      <c r="D298">
        <v>2015</v>
      </c>
      <c r="E298">
        <v>438.70001220703119</v>
      </c>
      <c r="F298">
        <v>5.21</v>
      </c>
      <c r="G298" t="s">
        <v>465</v>
      </c>
      <c r="H298">
        <v>286.85000610351563</v>
      </c>
      <c r="L298" t="s">
        <v>469</v>
      </c>
      <c r="M298">
        <v>55.057582745396473</v>
      </c>
      <c r="O298">
        <v>431.6</v>
      </c>
      <c r="P298">
        <v>625</v>
      </c>
      <c r="Q298">
        <v>431.25</v>
      </c>
      <c r="R298" s="2" t="s">
        <v>467</v>
      </c>
      <c r="S298">
        <v>431.6</v>
      </c>
      <c r="T298" t="s">
        <v>468</v>
      </c>
    </row>
    <row r="299" spans="1:20" x14ac:dyDescent="0.25">
      <c r="A299">
        <v>426</v>
      </c>
      <c r="B299">
        <v>500425</v>
      </c>
      <c r="C299" t="s">
        <v>59</v>
      </c>
      <c r="D299">
        <v>2016</v>
      </c>
      <c r="E299">
        <v>438.70001220703119</v>
      </c>
      <c r="F299">
        <v>5.57</v>
      </c>
      <c r="G299" t="s">
        <v>465</v>
      </c>
      <c r="H299">
        <v>282</v>
      </c>
      <c r="I299">
        <v>185</v>
      </c>
      <c r="L299" t="s">
        <v>469</v>
      </c>
      <c r="M299">
        <v>50.628366247755842</v>
      </c>
      <c r="N299">
        <v>33.213644524236983</v>
      </c>
      <c r="O299">
        <v>431.6</v>
      </c>
      <c r="P299">
        <v>625</v>
      </c>
      <c r="Q299">
        <v>431.25</v>
      </c>
      <c r="R299" s="2" t="s">
        <v>467</v>
      </c>
      <c r="S299">
        <v>431.6</v>
      </c>
      <c r="T299" t="s">
        <v>468</v>
      </c>
    </row>
    <row r="300" spans="1:20" x14ac:dyDescent="0.25">
      <c r="A300">
        <v>426</v>
      </c>
      <c r="B300">
        <v>500425</v>
      </c>
      <c r="C300" t="s">
        <v>59</v>
      </c>
      <c r="D300">
        <v>2017</v>
      </c>
      <c r="E300">
        <v>438.70001220703119</v>
      </c>
      <c r="F300">
        <v>7.64</v>
      </c>
      <c r="G300" t="s">
        <v>465</v>
      </c>
      <c r="H300">
        <v>291.29998779296881</v>
      </c>
      <c r="I300">
        <v>208.5</v>
      </c>
      <c r="L300" t="s">
        <v>469</v>
      </c>
      <c r="M300">
        <v>38.128270653529952</v>
      </c>
      <c r="N300">
        <v>27.29057591623037</v>
      </c>
      <c r="O300">
        <v>431.6</v>
      </c>
      <c r="P300">
        <v>625</v>
      </c>
      <c r="Q300">
        <v>431.25</v>
      </c>
      <c r="R300" s="2" t="s">
        <v>467</v>
      </c>
      <c r="S300">
        <v>431.6</v>
      </c>
      <c r="T300" t="s">
        <v>468</v>
      </c>
    </row>
    <row r="301" spans="1:20" x14ac:dyDescent="0.25">
      <c r="A301">
        <v>426</v>
      </c>
      <c r="B301">
        <v>500425</v>
      </c>
      <c r="C301" t="s">
        <v>59</v>
      </c>
      <c r="D301">
        <v>2018</v>
      </c>
      <c r="E301">
        <v>438.70001220703119</v>
      </c>
      <c r="F301">
        <v>10.97</v>
      </c>
      <c r="G301" t="s">
        <v>465</v>
      </c>
      <c r="H301">
        <v>280</v>
      </c>
      <c r="I301">
        <v>188.5</v>
      </c>
      <c r="L301" t="s">
        <v>469</v>
      </c>
      <c r="M301">
        <v>25.52415679124886</v>
      </c>
      <c r="N301">
        <v>17.18322698268004</v>
      </c>
      <c r="O301">
        <v>431.6</v>
      </c>
      <c r="P301">
        <v>625</v>
      </c>
      <c r="Q301">
        <v>431.25</v>
      </c>
      <c r="R301" s="2" t="s">
        <v>467</v>
      </c>
      <c r="S301">
        <v>431.6</v>
      </c>
      <c r="T301" t="s">
        <v>468</v>
      </c>
    </row>
    <row r="302" spans="1:20" x14ac:dyDescent="0.25">
      <c r="A302">
        <v>426</v>
      </c>
      <c r="B302">
        <v>500425</v>
      </c>
      <c r="C302" t="s">
        <v>59</v>
      </c>
      <c r="D302">
        <v>2019</v>
      </c>
      <c r="E302">
        <v>438.70001220703119</v>
      </c>
      <c r="F302">
        <v>10.55</v>
      </c>
      <c r="G302" t="s">
        <v>465</v>
      </c>
      <c r="H302">
        <v>244</v>
      </c>
      <c r="I302">
        <v>184.1499938964844</v>
      </c>
      <c r="L302" t="s">
        <v>469</v>
      </c>
      <c r="M302">
        <v>23.127962085308059</v>
      </c>
      <c r="N302">
        <v>17.45497572478525</v>
      </c>
      <c r="O302">
        <v>431.6</v>
      </c>
      <c r="P302">
        <v>625</v>
      </c>
      <c r="Q302">
        <v>431.25</v>
      </c>
      <c r="R302" s="2" t="s">
        <v>467</v>
      </c>
      <c r="S302">
        <v>431.6</v>
      </c>
      <c r="T302" t="s">
        <v>468</v>
      </c>
    </row>
    <row r="303" spans="1:20" x14ac:dyDescent="0.25">
      <c r="A303">
        <v>426</v>
      </c>
      <c r="B303">
        <v>500425</v>
      </c>
      <c r="C303" t="s">
        <v>59</v>
      </c>
      <c r="D303">
        <v>2020</v>
      </c>
      <c r="E303">
        <v>438.70001220703119</v>
      </c>
      <c r="F303">
        <v>11.91</v>
      </c>
      <c r="G303" t="s">
        <v>465</v>
      </c>
      <c r="H303">
        <v>271.95001220703119</v>
      </c>
      <c r="I303">
        <v>136.6499938964844</v>
      </c>
      <c r="L303" t="s">
        <v>469</v>
      </c>
      <c r="M303">
        <v>22.833754173554251</v>
      </c>
      <c r="N303">
        <v>11.47355112480977</v>
      </c>
      <c r="O303">
        <v>431.6</v>
      </c>
      <c r="P303">
        <v>625</v>
      </c>
      <c r="Q303">
        <v>431.25</v>
      </c>
      <c r="R303" s="2" t="s">
        <v>467</v>
      </c>
      <c r="S303">
        <v>431.6</v>
      </c>
      <c r="T303" t="s">
        <v>468</v>
      </c>
    </row>
    <row r="304" spans="1:20" x14ac:dyDescent="0.25">
      <c r="A304">
        <v>426</v>
      </c>
      <c r="B304">
        <v>500425</v>
      </c>
      <c r="C304" t="s">
        <v>59</v>
      </c>
      <c r="D304">
        <v>2021</v>
      </c>
      <c r="E304">
        <v>438.70001220703119</v>
      </c>
      <c r="F304">
        <v>14</v>
      </c>
      <c r="G304" t="s">
        <v>465</v>
      </c>
      <c r="H304">
        <v>442.95001220703119</v>
      </c>
      <c r="I304">
        <v>242</v>
      </c>
      <c r="L304" t="s">
        <v>469</v>
      </c>
      <c r="M304">
        <v>31.63928658621651</v>
      </c>
      <c r="N304">
        <v>17.285714285714281</v>
      </c>
      <c r="O304">
        <v>431.6</v>
      </c>
      <c r="P304">
        <v>625</v>
      </c>
      <c r="Q304">
        <v>431.25</v>
      </c>
      <c r="R304" s="2" t="s">
        <v>467</v>
      </c>
      <c r="S304">
        <v>431.6</v>
      </c>
      <c r="T304" t="s">
        <v>468</v>
      </c>
    </row>
    <row r="305" spans="1:20" x14ac:dyDescent="0.25">
      <c r="A305">
        <v>426</v>
      </c>
      <c r="B305">
        <v>500425</v>
      </c>
      <c r="C305" t="s">
        <v>59</v>
      </c>
      <c r="D305">
        <v>2022</v>
      </c>
      <c r="E305">
        <v>438.70001220703119</v>
      </c>
      <c r="G305" t="s">
        <v>465</v>
      </c>
      <c r="H305">
        <v>598.1500244140625</v>
      </c>
      <c r="I305">
        <v>274</v>
      </c>
      <c r="L305" t="s">
        <v>466</v>
      </c>
      <c r="O305">
        <v>431.6</v>
      </c>
      <c r="P305">
        <v>625</v>
      </c>
      <c r="Q305">
        <v>431.25</v>
      </c>
      <c r="R305" s="2" t="s">
        <v>467</v>
      </c>
      <c r="S305">
        <v>431.6</v>
      </c>
      <c r="T305" t="s">
        <v>468</v>
      </c>
    </row>
    <row r="306" spans="1:20" x14ac:dyDescent="0.25">
      <c r="A306">
        <v>426</v>
      </c>
      <c r="B306">
        <v>500425</v>
      </c>
      <c r="C306" t="s">
        <v>59</v>
      </c>
      <c r="D306">
        <v>2023</v>
      </c>
      <c r="E306">
        <v>438.70001220703119</v>
      </c>
      <c r="F306">
        <v>13.01</v>
      </c>
      <c r="G306" t="s">
        <v>465</v>
      </c>
      <c r="H306">
        <v>536.70001220703125</v>
      </c>
      <c r="I306">
        <v>315.29998779296881</v>
      </c>
      <c r="L306" t="s">
        <v>469</v>
      </c>
      <c r="M306">
        <v>41.252883336435907</v>
      </c>
      <c r="N306">
        <v>24.235202751188989</v>
      </c>
      <c r="O306">
        <v>431.6</v>
      </c>
      <c r="P306">
        <v>625</v>
      </c>
      <c r="Q306">
        <v>431.25</v>
      </c>
      <c r="R306" s="2" t="s">
        <v>467</v>
      </c>
      <c r="S306">
        <v>431.6</v>
      </c>
      <c r="T306" t="s">
        <v>468</v>
      </c>
    </row>
    <row r="307" spans="1:20" x14ac:dyDescent="0.25">
      <c r="A307">
        <v>426</v>
      </c>
      <c r="B307">
        <v>500425</v>
      </c>
      <c r="C307" t="s">
        <v>59</v>
      </c>
      <c r="D307">
        <v>2024</v>
      </c>
      <c r="E307">
        <v>438.70001220703119</v>
      </c>
      <c r="F307">
        <v>16.260000000000002</v>
      </c>
      <c r="G307" t="s">
        <v>465</v>
      </c>
      <c r="H307">
        <v>706.8499755859375</v>
      </c>
      <c r="I307">
        <v>452.89999389648438</v>
      </c>
      <c r="L307" t="s">
        <v>469</v>
      </c>
      <c r="M307">
        <v>43.471708215617298</v>
      </c>
      <c r="N307">
        <v>27.853628160915399</v>
      </c>
      <c r="O307">
        <v>431.6</v>
      </c>
      <c r="P307">
        <v>625</v>
      </c>
      <c r="Q307">
        <v>431.25</v>
      </c>
      <c r="R307" s="2" t="s">
        <v>467</v>
      </c>
      <c r="S307">
        <v>431.6</v>
      </c>
      <c r="T307" t="s">
        <v>468</v>
      </c>
    </row>
    <row r="308" spans="1:20" x14ac:dyDescent="0.25">
      <c r="A308">
        <v>426</v>
      </c>
      <c r="B308">
        <v>500425</v>
      </c>
      <c r="C308" t="s">
        <v>59</v>
      </c>
      <c r="D308">
        <v>2025</v>
      </c>
      <c r="E308">
        <v>438.70001220703119</v>
      </c>
      <c r="F308">
        <v>17.47</v>
      </c>
      <c r="G308" t="s">
        <v>465</v>
      </c>
      <c r="H308">
        <v>625</v>
      </c>
      <c r="I308">
        <v>455</v>
      </c>
      <c r="L308" t="s">
        <v>469</v>
      </c>
      <c r="M308">
        <v>35.775615340583862</v>
      </c>
      <c r="N308">
        <v>26.04464796794505</v>
      </c>
      <c r="O308">
        <v>431.6</v>
      </c>
      <c r="P308">
        <v>625</v>
      </c>
      <c r="Q308">
        <v>431.25</v>
      </c>
      <c r="R308" s="2" t="s">
        <v>467</v>
      </c>
      <c r="S308">
        <v>431.6</v>
      </c>
      <c r="T308" t="s">
        <v>468</v>
      </c>
    </row>
    <row r="309" spans="1:20" x14ac:dyDescent="0.25">
      <c r="A309">
        <v>426</v>
      </c>
      <c r="B309">
        <v>500425</v>
      </c>
      <c r="C309" t="s">
        <v>59</v>
      </c>
      <c r="D309">
        <v>2026</v>
      </c>
      <c r="E309">
        <v>438.70001220703119</v>
      </c>
      <c r="F309">
        <v>19.13</v>
      </c>
      <c r="G309" t="s">
        <v>465</v>
      </c>
      <c r="H309">
        <v>572.70001220703125</v>
      </c>
      <c r="I309">
        <v>394</v>
      </c>
      <c r="L309" t="s">
        <v>469</v>
      </c>
      <c r="M309">
        <v>29.937271939729811</v>
      </c>
      <c r="N309">
        <v>20.59592263460533</v>
      </c>
      <c r="O309">
        <v>431.6</v>
      </c>
      <c r="P309">
        <v>625</v>
      </c>
      <c r="Q309">
        <v>431.25</v>
      </c>
      <c r="R309" s="2" t="s">
        <v>467</v>
      </c>
      <c r="S309">
        <v>431.6</v>
      </c>
      <c r="T309" t="s">
        <v>468</v>
      </c>
    </row>
    <row r="310" spans="1:20" x14ac:dyDescent="0.25">
      <c r="A310">
        <v>427</v>
      </c>
      <c r="B310">
        <v>500426</v>
      </c>
      <c r="C310" t="s">
        <v>61</v>
      </c>
      <c r="D310">
        <v>2015</v>
      </c>
      <c r="E310">
        <v>1.6000000238418579</v>
      </c>
      <c r="F310">
        <v>-0.4</v>
      </c>
      <c r="G310" t="s">
        <v>465</v>
      </c>
      <c r="H310">
        <v>53.799999237060547</v>
      </c>
      <c r="I310">
        <v>7.6999998092651367</v>
      </c>
      <c r="L310" t="s">
        <v>471</v>
      </c>
      <c r="M310">
        <v>-134.4999980926514</v>
      </c>
      <c r="N310">
        <v>-19.249999523162838</v>
      </c>
      <c r="O310">
        <v>3.74</v>
      </c>
      <c r="P310">
        <v>4.99</v>
      </c>
      <c r="Q310">
        <v>2.12</v>
      </c>
      <c r="R310" s="3" t="s">
        <v>470</v>
      </c>
      <c r="S310">
        <v>3.74</v>
      </c>
      <c r="T310" t="s">
        <v>468</v>
      </c>
    </row>
    <row r="311" spans="1:20" x14ac:dyDescent="0.25">
      <c r="A311">
        <v>427</v>
      </c>
      <c r="B311">
        <v>500426</v>
      </c>
      <c r="C311" t="s">
        <v>61</v>
      </c>
      <c r="D311">
        <v>2016</v>
      </c>
      <c r="E311">
        <v>1.6000000238418579</v>
      </c>
      <c r="F311">
        <v>0.03</v>
      </c>
      <c r="G311" t="s">
        <v>465</v>
      </c>
      <c r="H311">
        <v>7.6999998092651367</v>
      </c>
      <c r="I311">
        <v>3.619999885559082</v>
      </c>
      <c r="L311" t="s">
        <v>471</v>
      </c>
      <c r="M311">
        <v>-30.79999923706055</v>
      </c>
      <c r="N311">
        <v>-14.47999954223633</v>
      </c>
      <c r="O311">
        <v>3.74</v>
      </c>
      <c r="P311">
        <v>4.99</v>
      </c>
      <c r="Q311">
        <v>2.12</v>
      </c>
      <c r="R311" s="3" t="s">
        <v>470</v>
      </c>
      <c r="S311">
        <v>3.74</v>
      </c>
      <c r="T311" t="s">
        <v>468</v>
      </c>
    </row>
    <row r="312" spans="1:20" x14ac:dyDescent="0.25">
      <c r="A312">
        <v>427</v>
      </c>
      <c r="B312">
        <v>500426</v>
      </c>
      <c r="C312" t="s">
        <v>61</v>
      </c>
      <c r="D312">
        <v>2017</v>
      </c>
      <c r="E312">
        <v>1.6000000238418579</v>
      </c>
      <c r="F312">
        <v>0.86</v>
      </c>
      <c r="G312" t="s">
        <v>465</v>
      </c>
      <c r="H312">
        <v>7</v>
      </c>
      <c r="I312">
        <v>3.7999999523162842</v>
      </c>
      <c r="L312" t="s">
        <v>484</v>
      </c>
      <c r="M312">
        <v>36.842105263157897</v>
      </c>
      <c r="N312">
        <v>19.999999749033069</v>
      </c>
      <c r="O312">
        <v>3.74</v>
      </c>
      <c r="P312">
        <v>4.99</v>
      </c>
      <c r="Q312">
        <v>2.12</v>
      </c>
      <c r="R312" s="3" t="s">
        <v>470</v>
      </c>
      <c r="S312">
        <v>3.74</v>
      </c>
      <c r="T312" t="s">
        <v>468</v>
      </c>
    </row>
    <row r="313" spans="1:20" x14ac:dyDescent="0.25">
      <c r="A313">
        <v>427</v>
      </c>
      <c r="B313">
        <v>500426</v>
      </c>
      <c r="C313" t="s">
        <v>61</v>
      </c>
      <c r="D313">
        <v>2018</v>
      </c>
      <c r="E313">
        <v>1.6000000238418579</v>
      </c>
      <c r="F313">
        <v>-0.18</v>
      </c>
      <c r="G313" t="s">
        <v>465</v>
      </c>
      <c r="H313">
        <v>22.79999923706055</v>
      </c>
      <c r="I313">
        <v>6.0199999809265137</v>
      </c>
      <c r="L313" t="s">
        <v>484</v>
      </c>
      <c r="M313">
        <v>71.249997615814223</v>
      </c>
      <c r="N313">
        <v>18.812499940395359</v>
      </c>
      <c r="O313">
        <v>3.74</v>
      </c>
      <c r="P313">
        <v>4.99</v>
      </c>
      <c r="Q313">
        <v>2.12</v>
      </c>
      <c r="R313" s="3" t="s">
        <v>470</v>
      </c>
      <c r="S313">
        <v>3.74</v>
      </c>
      <c r="T313" t="s">
        <v>468</v>
      </c>
    </row>
    <row r="314" spans="1:20" x14ac:dyDescent="0.25">
      <c r="A314">
        <v>427</v>
      </c>
      <c r="B314">
        <v>500426</v>
      </c>
      <c r="C314" t="s">
        <v>61</v>
      </c>
      <c r="D314">
        <v>2019</v>
      </c>
      <c r="E314">
        <v>1.6000000238418579</v>
      </c>
      <c r="F314">
        <v>0.24</v>
      </c>
      <c r="G314" t="s">
        <v>465</v>
      </c>
      <c r="H314">
        <v>21.10000038146973</v>
      </c>
      <c r="I314">
        <v>4.3499999046325684</v>
      </c>
      <c r="L314" t="s">
        <v>484</v>
      </c>
      <c r="M314">
        <v>87.916668256123884</v>
      </c>
      <c r="N314">
        <v>18.1249996026357</v>
      </c>
      <c r="O314">
        <v>3.74</v>
      </c>
      <c r="P314">
        <v>4.99</v>
      </c>
      <c r="Q314">
        <v>2.12</v>
      </c>
      <c r="R314" s="3" t="s">
        <v>470</v>
      </c>
      <c r="S314">
        <v>3.74</v>
      </c>
      <c r="T314" t="s">
        <v>468</v>
      </c>
    </row>
    <row r="315" spans="1:20" x14ac:dyDescent="0.25">
      <c r="A315">
        <v>427</v>
      </c>
      <c r="B315">
        <v>500426</v>
      </c>
      <c r="C315" t="s">
        <v>61</v>
      </c>
      <c r="D315">
        <v>2020</v>
      </c>
      <c r="E315">
        <v>1.6000000238418579</v>
      </c>
      <c r="F315">
        <v>0.03</v>
      </c>
      <c r="G315" t="s">
        <v>465</v>
      </c>
      <c r="H315">
        <v>11.909999847412109</v>
      </c>
      <c r="I315">
        <v>4.9499998092651367</v>
      </c>
      <c r="L315" t="s">
        <v>484</v>
      </c>
      <c r="M315">
        <v>396.999994913737</v>
      </c>
      <c r="N315">
        <v>164.99999364217121</v>
      </c>
      <c r="O315">
        <v>3.74</v>
      </c>
      <c r="P315">
        <v>4.99</v>
      </c>
      <c r="Q315">
        <v>2.12</v>
      </c>
      <c r="R315" s="3" t="s">
        <v>470</v>
      </c>
      <c r="S315">
        <v>3.74</v>
      </c>
      <c r="T315" t="s">
        <v>468</v>
      </c>
    </row>
    <row r="316" spans="1:20" x14ac:dyDescent="0.25">
      <c r="A316">
        <v>427</v>
      </c>
      <c r="B316">
        <v>500426</v>
      </c>
      <c r="C316" t="s">
        <v>61</v>
      </c>
      <c r="D316">
        <v>2021</v>
      </c>
      <c r="E316">
        <v>1.6000000238418579</v>
      </c>
      <c r="F316">
        <v>0.1</v>
      </c>
      <c r="G316" t="s">
        <v>465</v>
      </c>
      <c r="H316">
        <v>16.45000076293945</v>
      </c>
      <c r="I316">
        <v>4.6500000953674316</v>
      </c>
      <c r="L316" t="s">
        <v>484</v>
      </c>
      <c r="M316">
        <v>164.5000076293945</v>
      </c>
      <c r="N316">
        <v>46.500000953674324</v>
      </c>
      <c r="O316">
        <v>3.74</v>
      </c>
      <c r="P316">
        <v>4.99</v>
      </c>
      <c r="Q316">
        <v>2.12</v>
      </c>
      <c r="R316" s="3" t="s">
        <v>470</v>
      </c>
      <c r="S316">
        <v>3.74</v>
      </c>
      <c r="T316" t="s">
        <v>468</v>
      </c>
    </row>
    <row r="317" spans="1:20" x14ac:dyDescent="0.25">
      <c r="A317">
        <v>427</v>
      </c>
      <c r="B317">
        <v>500426</v>
      </c>
      <c r="C317" t="s">
        <v>61</v>
      </c>
      <c r="D317">
        <v>2022</v>
      </c>
      <c r="E317">
        <v>1.6000000238418579</v>
      </c>
      <c r="F317">
        <v>-0.06</v>
      </c>
      <c r="G317" t="s">
        <v>465</v>
      </c>
      <c r="H317">
        <v>8.1700000762939453</v>
      </c>
      <c r="I317">
        <v>3.059999942779541</v>
      </c>
      <c r="L317" t="s">
        <v>471</v>
      </c>
      <c r="M317">
        <v>-136.16666793823239</v>
      </c>
      <c r="N317">
        <v>-50.999999046325676</v>
      </c>
      <c r="O317">
        <v>3.74</v>
      </c>
      <c r="P317">
        <v>4.99</v>
      </c>
      <c r="Q317">
        <v>2.12</v>
      </c>
      <c r="R317" s="3" t="s">
        <v>470</v>
      </c>
      <c r="S317">
        <v>3.74</v>
      </c>
      <c r="T317" t="s">
        <v>468</v>
      </c>
    </row>
    <row r="318" spans="1:20" x14ac:dyDescent="0.25">
      <c r="A318">
        <v>427</v>
      </c>
      <c r="B318">
        <v>500426</v>
      </c>
      <c r="C318" t="s">
        <v>61</v>
      </c>
      <c r="D318">
        <v>2023</v>
      </c>
      <c r="E318">
        <v>1.6000000238418579</v>
      </c>
      <c r="F318">
        <v>-0.03</v>
      </c>
      <c r="G318" t="s">
        <v>465</v>
      </c>
      <c r="H318">
        <v>3.4900000095367432</v>
      </c>
      <c r="I318">
        <v>1.5</v>
      </c>
      <c r="L318" t="s">
        <v>471</v>
      </c>
      <c r="M318">
        <v>-116.33333365122481</v>
      </c>
      <c r="N318">
        <v>-50</v>
      </c>
      <c r="O318">
        <v>3.74</v>
      </c>
      <c r="P318">
        <v>4.99</v>
      </c>
      <c r="Q318">
        <v>2.12</v>
      </c>
      <c r="R318" s="3" t="s">
        <v>470</v>
      </c>
      <c r="S318">
        <v>3.74</v>
      </c>
      <c r="T318" t="s">
        <v>468</v>
      </c>
    </row>
    <row r="319" spans="1:20" x14ac:dyDescent="0.25">
      <c r="A319">
        <v>427</v>
      </c>
      <c r="B319">
        <v>500426</v>
      </c>
      <c r="C319" t="s">
        <v>61</v>
      </c>
      <c r="D319">
        <v>2024</v>
      </c>
      <c r="E319">
        <v>1.6000000238418579</v>
      </c>
      <c r="F319">
        <v>-7.0000000000000007E-2</v>
      </c>
      <c r="G319" t="s">
        <v>465</v>
      </c>
      <c r="H319">
        <v>4.9899997711181641</v>
      </c>
      <c r="I319">
        <v>2.0999999046325679</v>
      </c>
      <c r="L319" t="s">
        <v>471</v>
      </c>
      <c r="M319">
        <v>-71.28571101597376</v>
      </c>
      <c r="N319">
        <v>-29.999998637608108</v>
      </c>
      <c r="O319">
        <v>3.74</v>
      </c>
      <c r="P319">
        <v>4.99</v>
      </c>
      <c r="Q319">
        <v>2.12</v>
      </c>
      <c r="R319" s="3" t="s">
        <v>470</v>
      </c>
      <c r="S319">
        <v>3.74</v>
      </c>
      <c r="T319" t="s">
        <v>468</v>
      </c>
    </row>
    <row r="320" spans="1:20" x14ac:dyDescent="0.25">
      <c r="A320">
        <v>427</v>
      </c>
      <c r="B320">
        <v>500426</v>
      </c>
      <c r="C320" t="s">
        <v>61</v>
      </c>
      <c r="D320">
        <v>2025</v>
      </c>
      <c r="E320">
        <v>1.6000000238418579</v>
      </c>
      <c r="F320">
        <v>-0.03</v>
      </c>
      <c r="G320" t="s">
        <v>465</v>
      </c>
      <c r="H320">
        <v>3.5499999523162842</v>
      </c>
      <c r="I320">
        <v>1.2899999618530269</v>
      </c>
      <c r="L320" t="s">
        <v>471</v>
      </c>
      <c r="M320">
        <v>-118.3333317438761</v>
      </c>
      <c r="N320">
        <v>-42.999998728434228</v>
      </c>
      <c r="O320">
        <v>3.74</v>
      </c>
      <c r="P320">
        <v>4.99</v>
      </c>
      <c r="Q320">
        <v>2.12</v>
      </c>
      <c r="R320" s="3" t="s">
        <v>470</v>
      </c>
      <c r="S320">
        <v>3.74</v>
      </c>
      <c r="T320" t="s">
        <v>468</v>
      </c>
    </row>
    <row r="321" spans="1:20" x14ac:dyDescent="0.25">
      <c r="A321">
        <v>427</v>
      </c>
      <c r="B321">
        <v>500426</v>
      </c>
      <c r="C321" t="s">
        <v>61</v>
      </c>
      <c r="D321">
        <v>2026</v>
      </c>
      <c r="E321">
        <v>1.6000000238418579</v>
      </c>
      <c r="F321">
        <v>0.02</v>
      </c>
      <c r="G321" t="s">
        <v>465</v>
      </c>
      <c r="H321">
        <v>2.130000114440918</v>
      </c>
      <c r="I321">
        <v>1.360000014305115</v>
      </c>
      <c r="L321" t="s">
        <v>484</v>
      </c>
      <c r="M321">
        <v>106.5000057220459</v>
      </c>
      <c r="N321">
        <v>68.000000715255752</v>
      </c>
      <c r="O321">
        <v>3.74</v>
      </c>
      <c r="P321">
        <v>4.99</v>
      </c>
      <c r="Q321">
        <v>2.12</v>
      </c>
      <c r="R321" s="3" t="s">
        <v>470</v>
      </c>
      <c r="S321">
        <v>3.74</v>
      </c>
      <c r="T321" t="s">
        <v>468</v>
      </c>
    </row>
    <row r="322" spans="1:20" x14ac:dyDescent="0.25">
      <c r="A322">
        <v>440</v>
      </c>
      <c r="B322">
        <v>500439</v>
      </c>
      <c r="C322" t="s">
        <v>63</v>
      </c>
      <c r="D322">
        <v>2015</v>
      </c>
      <c r="E322">
        <v>3455.10009765625</v>
      </c>
      <c r="G322" t="s">
        <v>465</v>
      </c>
      <c r="H322">
        <v>1150</v>
      </c>
      <c r="I322">
        <v>695</v>
      </c>
      <c r="L322" t="s">
        <v>466</v>
      </c>
      <c r="O322">
        <v>3500</v>
      </c>
      <c r="P322">
        <v>4275</v>
      </c>
      <c r="Q322">
        <v>2870</v>
      </c>
      <c r="R322" s="2" t="s">
        <v>467</v>
      </c>
      <c r="S322">
        <v>3500</v>
      </c>
      <c r="T322" t="s">
        <v>468</v>
      </c>
    </row>
    <row r="323" spans="1:20" x14ac:dyDescent="0.25">
      <c r="A323">
        <v>440</v>
      </c>
      <c r="B323">
        <v>500439</v>
      </c>
      <c r="C323" t="s">
        <v>63</v>
      </c>
      <c r="D323">
        <v>2016</v>
      </c>
      <c r="E323">
        <v>3455.10009765625</v>
      </c>
      <c r="F323">
        <v>496.88</v>
      </c>
      <c r="G323" t="s">
        <v>465</v>
      </c>
      <c r="H323">
        <v>2210</v>
      </c>
      <c r="I323">
        <v>787.75</v>
      </c>
      <c r="L323" t="s">
        <v>469</v>
      </c>
      <c r="M323">
        <v>4.4477539848655612</v>
      </c>
      <c r="N323">
        <v>1.58539285139269</v>
      </c>
      <c r="O323">
        <v>3500</v>
      </c>
      <c r="P323">
        <v>4275</v>
      </c>
      <c r="Q323">
        <v>2870</v>
      </c>
      <c r="R323" s="2" t="s">
        <v>467</v>
      </c>
      <c r="S323">
        <v>3500</v>
      </c>
      <c r="T323" t="s">
        <v>468</v>
      </c>
    </row>
    <row r="324" spans="1:20" x14ac:dyDescent="0.25">
      <c r="A324">
        <v>440</v>
      </c>
      <c r="B324">
        <v>500439</v>
      </c>
      <c r="C324" t="s">
        <v>63</v>
      </c>
      <c r="D324">
        <v>2017</v>
      </c>
      <c r="E324">
        <v>3455.10009765625</v>
      </c>
      <c r="F324">
        <v>950.05</v>
      </c>
      <c r="G324" t="s">
        <v>465</v>
      </c>
      <c r="H324">
        <v>6098.7001953125</v>
      </c>
      <c r="I324">
        <v>1750</v>
      </c>
      <c r="L324" t="s">
        <v>469</v>
      </c>
      <c r="M324">
        <v>6.4193465557733811</v>
      </c>
      <c r="N324">
        <v>1.8420083153518241</v>
      </c>
      <c r="O324">
        <v>3500</v>
      </c>
      <c r="P324">
        <v>4275</v>
      </c>
      <c r="Q324">
        <v>2870</v>
      </c>
      <c r="R324" s="2" t="s">
        <v>467</v>
      </c>
      <c r="S324">
        <v>3500</v>
      </c>
      <c r="T324" t="s">
        <v>468</v>
      </c>
    </row>
    <row r="325" spans="1:20" x14ac:dyDescent="0.25">
      <c r="A325">
        <v>440</v>
      </c>
      <c r="B325">
        <v>500439</v>
      </c>
      <c r="C325" t="s">
        <v>63</v>
      </c>
      <c r="D325">
        <v>2018</v>
      </c>
      <c r="E325">
        <v>3455.10009765625</v>
      </c>
      <c r="F325">
        <v>559.83000000000004</v>
      </c>
      <c r="G325" t="s">
        <v>465</v>
      </c>
      <c r="H325">
        <v>6188.7001953125</v>
      </c>
      <c r="I325">
        <v>1857</v>
      </c>
      <c r="L325" t="s">
        <v>469</v>
      </c>
      <c r="M325">
        <v>11.054606211372199</v>
      </c>
      <c r="N325">
        <v>3.317078398799636</v>
      </c>
      <c r="O325">
        <v>3500</v>
      </c>
      <c r="P325">
        <v>4275</v>
      </c>
      <c r="Q325">
        <v>2870</v>
      </c>
      <c r="R325" s="2" t="s">
        <v>467</v>
      </c>
      <c r="S325">
        <v>3500</v>
      </c>
      <c r="T325" t="s">
        <v>468</v>
      </c>
    </row>
    <row r="326" spans="1:20" x14ac:dyDescent="0.25">
      <c r="A326">
        <v>440</v>
      </c>
      <c r="B326">
        <v>500439</v>
      </c>
      <c r="C326" t="s">
        <v>63</v>
      </c>
      <c r="D326">
        <v>2019</v>
      </c>
      <c r="E326">
        <v>3455.10009765625</v>
      </c>
      <c r="F326">
        <v>632.4</v>
      </c>
      <c r="G326" t="s">
        <v>465</v>
      </c>
      <c r="H326">
        <v>2940</v>
      </c>
      <c r="I326">
        <v>1211.25</v>
      </c>
      <c r="L326" t="s">
        <v>469</v>
      </c>
      <c r="M326">
        <v>4.6489563567362433</v>
      </c>
      <c r="N326">
        <v>1.915322580645161</v>
      </c>
      <c r="O326">
        <v>3500</v>
      </c>
      <c r="P326">
        <v>4275</v>
      </c>
      <c r="Q326">
        <v>2870</v>
      </c>
      <c r="R326" s="2" t="s">
        <v>467</v>
      </c>
      <c r="S326">
        <v>3500</v>
      </c>
      <c r="T326" t="s">
        <v>468</v>
      </c>
    </row>
    <row r="327" spans="1:20" x14ac:dyDescent="0.25">
      <c r="A327">
        <v>440</v>
      </c>
      <c r="B327">
        <v>500439</v>
      </c>
      <c r="C327" t="s">
        <v>63</v>
      </c>
      <c r="D327">
        <v>2020</v>
      </c>
      <c r="E327">
        <v>3455.10009765625</v>
      </c>
      <c r="F327">
        <v>500.42</v>
      </c>
      <c r="G327" t="s">
        <v>465</v>
      </c>
      <c r="H327">
        <v>1599</v>
      </c>
      <c r="I327">
        <v>710.04998779296875</v>
      </c>
      <c r="L327" t="s">
        <v>469</v>
      </c>
      <c r="M327">
        <v>3.195315934614924</v>
      </c>
      <c r="N327">
        <v>1.418908092787996</v>
      </c>
      <c r="O327">
        <v>3500</v>
      </c>
      <c r="P327">
        <v>4275</v>
      </c>
      <c r="Q327">
        <v>2870</v>
      </c>
      <c r="R327" s="2" t="s">
        <v>467</v>
      </c>
      <c r="S327">
        <v>3500</v>
      </c>
      <c r="T327" t="s">
        <v>468</v>
      </c>
    </row>
    <row r="328" spans="1:20" x14ac:dyDescent="0.25">
      <c r="A328">
        <v>440</v>
      </c>
      <c r="B328">
        <v>500439</v>
      </c>
      <c r="C328" t="s">
        <v>63</v>
      </c>
      <c r="D328">
        <v>2021</v>
      </c>
      <c r="E328">
        <v>3455.10009765625</v>
      </c>
      <c r="F328">
        <v>405.8</v>
      </c>
      <c r="G328" t="s">
        <v>465</v>
      </c>
      <c r="H328">
        <v>3810.39990234375</v>
      </c>
      <c r="I328">
        <v>1330</v>
      </c>
      <c r="L328" t="s">
        <v>469</v>
      </c>
      <c r="M328">
        <v>9.3898469747258506</v>
      </c>
      <c r="N328">
        <v>3.2774765894529319</v>
      </c>
      <c r="O328">
        <v>3500</v>
      </c>
      <c r="P328">
        <v>4275</v>
      </c>
      <c r="Q328">
        <v>2870</v>
      </c>
      <c r="R328" s="2" t="s">
        <v>467</v>
      </c>
      <c r="S328">
        <v>3500</v>
      </c>
      <c r="T328" t="s">
        <v>468</v>
      </c>
    </row>
    <row r="329" spans="1:20" x14ac:dyDescent="0.25">
      <c r="A329">
        <v>440</v>
      </c>
      <c r="B329">
        <v>500439</v>
      </c>
      <c r="C329" t="s">
        <v>63</v>
      </c>
      <c r="D329">
        <v>2022</v>
      </c>
      <c r="E329">
        <v>3455.10009765625</v>
      </c>
      <c r="F329">
        <v>1344.45</v>
      </c>
      <c r="G329" t="s">
        <v>465</v>
      </c>
      <c r="H329">
        <v>4667.5498046875</v>
      </c>
      <c r="I329">
        <v>2551</v>
      </c>
      <c r="L329" t="s">
        <v>469</v>
      </c>
      <c r="M329">
        <v>3.4717169137472572</v>
      </c>
      <c r="N329">
        <v>1.897430175908364</v>
      </c>
      <c r="O329">
        <v>3500</v>
      </c>
      <c r="P329">
        <v>4275</v>
      </c>
      <c r="Q329">
        <v>2870</v>
      </c>
      <c r="R329" s="2" t="s">
        <v>467</v>
      </c>
      <c r="S329">
        <v>3500</v>
      </c>
      <c r="T329" t="s">
        <v>468</v>
      </c>
    </row>
    <row r="330" spans="1:20" x14ac:dyDescent="0.25">
      <c r="A330">
        <v>440</v>
      </c>
      <c r="B330">
        <v>500439</v>
      </c>
      <c r="C330" t="s">
        <v>63</v>
      </c>
      <c r="D330">
        <v>2023</v>
      </c>
      <c r="E330">
        <v>3455.10009765625</v>
      </c>
      <c r="F330">
        <v>715.74</v>
      </c>
      <c r="G330" t="s">
        <v>465</v>
      </c>
      <c r="H330">
        <v>3430.35009765625</v>
      </c>
      <c r="I330">
        <v>2411</v>
      </c>
      <c r="L330" t="s">
        <v>469</v>
      </c>
      <c r="M330">
        <v>4.7927321340937352</v>
      </c>
      <c r="N330">
        <v>3.368541649202224</v>
      </c>
      <c r="O330">
        <v>3500</v>
      </c>
      <c r="P330">
        <v>4275</v>
      </c>
      <c r="Q330">
        <v>2870</v>
      </c>
      <c r="R330" s="2" t="s">
        <v>467</v>
      </c>
      <c r="S330">
        <v>3500</v>
      </c>
      <c r="T330" t="s">
        <v>468</v>
      </c>
    </row>
    <row r="331" spans="1:20" x14ac:dyDescent="0.25">
      <c r="A331">
        <v>440</v>
      </c>
      <c r="B331">
        <v>500439</v>
      </c>
      <c r="C331" t="s">
        <v>63</v>
      </c>
      <c r="D331">
        <v>2024</v>
      </c>
      <c r="E331">
        <v>3455.10009765625</v>
      </c>
      <c r="F331">
        <v>579.29</v>
      </c>
      <c r="G331" t="s">
        <v>465</v>
      </c>
      <c r="H331">
        <v>5754</v>
      </c>
      <c r="I331">
        <v>2725.050048828125</v>
      </c>
      <c r="L331" t="s">
        <v>469</v>
      </c>
      <c r="M331">
        <v>9.9328488321911319</v>
      </c>
      <c r="N331">
        <v>4.704120645666463</v>
      </c>
      <c r="O331">
        <v>3500</v>
      </c>
      <c r="P331">
        <v>4275</v>
      </c>
      <c r="Q331">
        <v>2870</v>
      </c>
      <c r="R331" s="2" t="s">
        <v>467</v>
      </c>
      <c r="S331">
        <v>3500</v>
      </c>
      <c r="T331" t="s">
        <v>468</v>
      </c>
    </row>
    <row r="332" spans="1:20" x14ac:dyDescent="0.25">
      <c r="A332">
        <v>440</v>
      </c>
      <c r="B332">
        <v>500439</v>
      </c>
      <c r="C332" t="s">
        <v>63</v>
      </c>
      <c r="D332">
        <v>2025</v>
      </c>
      <c r="E332">
        <v>3455.10009765625</v>
      </c>
      <c r="F332">
        <v>808.4</v>
      </c>
      <c r="G332" t="s">
        <v>465</v>
      </c>
      <c r="H332">
        <v>4600</v>
      </c>
      <c r="I332">
        <v>2850.10009765625</v>
      </c>
      <c r="L332" t="s">
        <v>469</v>
      </c>
      <c r="M332">
        <v>5.6902523503216234</v>
      </c>
      <c r="N332">
        <v>3.5256062563783401</v>
      </c>
      <c r="O332">
        <v>3500</v>
      </c>
      <c r="P332">
        <v>4275</v>
      </c>
      <c r="Q332">
        <v>2870</v>
      </c>
      <c r="R332" s="2" t="s">
        <v>467</v>
      </c>
      <c r="S332">
        <v>3500</v>
      </c>
      <c r="T332" t="s">
        <v>468</v>
      </c>
    </row>
    <row r="333" spans="1:20" x14ac:dyDescent="0.25">
      <c r="A333">
        <v>440</v>
      </c>
      <c r="B333">
        <v>500439</v>
      </c>
      <c r="C333" t="s">
        <v>63</v>
      </c>
      <c r="D333">
        <v>2026</v>
      </c>
      <c r="E333">
        <v>3455.10009765625</v>
      </c>
      <c r="F333">
        <v>676.83</v>
      </c>
      <c r="G333" t="s">
        <v>465</v>
      </c>
      <c r="H333">
        <v>3770.5</v>
      </c>
      <c r="I333">
        <v>2870.39990234375</v>
      </c>
      <c r="L333" t="s">
        <v>469</v>
      </c>
      <c r="M333">
        <v>5.5708228063176861</v>
      </c>
      <c r="N333">
        <v>4.2409466222592824</v>
      </c>
      <c r="O333">
        <v>3500</v>
      </c>
      <c r="P333">
        <v>4275</v>
      </c>
      <c r="Q333">
        <v>2870</v>
      </c>
      <c r="R333" s="2" t="s">
        <v>467</v>
      </c>
      <c r="S333">
        <v>3500</v>
      </c>
      <c r="T333" t="s">
        <v>468</v>
      </c>
    </row>
    <row r="334" spans="1:20" x14ac:dyDescent="0.25">
      <c r="A334">
        <v>445</v>
      </c>
      <c r="B334">
        <v>500444</v>
      </c>
      <c r="C334" t="s">
        <v>65</v>
      </c>
      <c r="D334">
        <v>2015</v>
      </c>
      <c r="E334">
        <v>518.04998779296875</v>
      </c>
      <c r="G334" t="s">
        <v>465</v>
      </c>
      <c r="H334">
        <v>80.199996948242188</v>
      </c>
      <c r="I334">
        <v>48.099998474121087</v>
      </c>
      <c r="L334" t="s">
        <v>466</v>
      </c>
      <c r="O334">
        <v>563.20000000000005</v>
      </c>
      <c r="P334">
        <v>581.4</v>
      </c>
      <c r="Q334">
        <v>382.15</v>
      </c>
      <c r="R334" s="3" t="s">
        <v>470</v>
      </c>
      <c r="S334">
        <v>563.20000000000005</v>
      </c>
      <c r="T334" t="s">
        <v>468</v>
      </c>
    </row>
    <row r="335" spans="1:20" x14ac:dyDescent="0.25">
      <c r="A335">
        <v>445</v>
      </c>
      <c r="B335">
        <v>500444</v>
      </c>
      <c r="C335" t="s">
        <v>65</v>
      </c>
      <c r="D335">
        <v>2016</v>
      </c>
      <c r="E335">
        <v>518.04998779296875</v>
      </c>
      <c r="G335" t="s">
        <v>465</v>
      </c>
      <c r="H335">
        <v>149.1000061035156</v>
      </c>
      <c r="I335">
        <v>52.799999237060547</v>
      </c>
      <c r="L335" t="s">
        <v>466</v>
      </c>
      <c r="O335">
        <v>563.20000000000005</v>
      </c>
      <c r="P335">
        <v>581.4</v>
      </c>
      <c r="Q335">
        <v>382.15</v>
      </c>
      <c r="R335" s="3" t="s">
        <v>470</v>
      </c>
      <c r="S335">
        <v>563.20000000000005</v>
      </c>
      <c r="T335" t="s">
        <v>468</v>
      </c>
    </row>
    <row r="336" spans="1:20" x14ac:dyDescent="0.25">
      <c r="A336">
        <v>445</v>
      </c>
      <c r="B336">
        <v>500444</v>
      </c>
      <c r="C336" t="s">
        <v>65</v>
      </c>
      <c r="D336">
        <v>2017</v>
      </c>
      <c r="E336">
        <v>518.04998779296875</v>
      </c>
      <c r="G336" t="s">
        <v>465</v>
      </c>
      <c r="H336">
        <v>343.60000610351563</v>
      </c>
      <c r="I336">
        <v>131.3500061035156</v>
      </c>
      <c r="L336" t="s">
        <v>466</v>
      </c>
      <c r="O336">
        <v>563.20000000000005</v>
      </c>
      <c r="P336">
        <v>581.4</v>
      </c>
      <c r="Q336">
        <v>382.15</v>
      </c>
      <c r="R336" s="3" t="s">
        <v>470</v>
      </c>
      <c r="S336">
        <v>563.20000000000005</v>
      </c>
      <c r="T336" t="s">
        <v>468</v>
      </c>
    </row>
    <row r="337" spans="1:20" x14ac:dyDescent="0.25">
      <c r="A337">
        <v>445</v>
      </c>
      <c r="B337">
        <v>500444</v>
      </c>
      <c r="C337" t="s">
        <v>65</v>
      </c>
      <c r="D337">
        <v>2018</v>
      </c>
      <c r="E337">
        <v>518.04998779296875</v>
      </c>
      <c r="F337">
        <v>33.79</v>
      </c>
      <c r="G337" t="s">
        <v>465</v>
      </c>
      <c r="H337">
        <v>414.54998779296881</v>
      </c>
      <c r="I337">
        <v>225</v>
      </c>
      <c r="L337" t="s">
        <v>469</v>
      </c>
      <c r="M337">
        <v>12.268422248978069</v>
      </c>
      <c r="N337">
        <v>6.658774785439479</v>
      </c>
      <c r="O337">
        <v>563.20000000000005</v>
      </c>
      <c r="P337">
        <v>581.4</v>
      </c>
      <c r="Q337">
        <v>382.15</v>
      </c>
      <c r="R337" s="3" t="s">
        <v>470</v>
      </c>
      <c r="S337">
        <v>563.20000000000005</v>
      </c>
      <c r="T337" t="s">
        <v>468</v>
      </c>
    </row>
    <row r="338" spans="1:20" x14ac:dyDescent="0.25">
      <c r="A338">
        <v>445</v>
      </c>
      <c r="B338">
        <v>500444</v>
      </c>
      <c r="C338" t="s">
        <v>65</v>
      </c>
      <c r="D338">
        <v>2019</v>
      </c>
      <c r="E338">
        <v>518.04998779296875</v>
      </c>
      <c r="F338">
        <v>44.82</v>
      </c>
      <c r="G338" t="s">
        <v>465</v>
      </c>
      <c r="H338">
        <v>318</v>
      </c>
      <c r="I338">
        <v>204.1499938964844</v>
      </c>
      <c r="L338" t="s">
        <v>469</v>
      </c>
      <c r="M338">
        <v>7.095046854082999</v>
      </c>
      <c r="N338">
        <v>4.5548860753343243</v>
      </c>
      <c r="O338">
        <v>563.20000000000005</v>
      </c>
      <c r="P338">
        <v>581.4</v>
      </c>
      <c r="Q338">
        <v>382.15</v>
      </c>
      <c r="R338" s="3" t="s">
        <v>470</v>
      </c>
      <c r="S338">
        <v>563.20000000000005</v>
      </c>
      <c r="T338" t="s">
        <v>468</v>
      </c>
    </row>
    <row r="339" spans="1:20" x14ac:dyDescent="0.25">
      <c r="A339">
        <v>445</v>
      </c>
      <c r="B339">
        <v>500444</v>
      </c>
      <c r="C339" t="s">
        <v>65</v>
      </c>
      <c r="D339">
        <v>2020</v>
      </c>
      <c r="E339">
        <v>518.04998779296875</v>
      </c>
      <c r="F339">
        <v>56.08</v>
      </c>
      <c r="G339" t="s">
        <v>465</v>
      </c>
      <c r="H339">
        <v>257.45001220703119</v>
      </c>
      <c r="I339">
        <v>99.900001525878906</v>
      </c>
      <c r="L339" t="s">
        <v>469</v>
      </c>
      <c r="M339">
        <v>4.5907634131068331</v>
      </c>
      <c r="N339">
        <v>1.7813837647267989</v>
      </c>
      <c r="O339">
        <v>563.20000000000005</v>
      </c>
      <c r="P339">
        <v>581.4</v>
      </c>
      <c r="Q339">
        <v>382.15</v>
      </c>
      <c r="R339" s="3" t="s">
        <v>470</v>
      </c>
      <c r="S339">
        <v>563.20000000000005</v>
      </c>
      <c r="T339" t="s">
        <v>468</v>
      </c>
    </row>
    <row r="340" spans="1:20" x14ac:dyDescent="0.25">
      <c r="A340">
        <v>445</v>
      </c>
      <c r="B340">
        <v>500444</v>
      </c>
      <c r="C340" t="s">
        <v>65</v>
      </c>
      <c r="D340">
        <v>2021</v>
      </c>
      <c r="E340">
        <v>518.04998779296875</v>
      </c>
      <c r="F340">
        <v>6.66</v>
      </c>
      <c r="G340" t="s">
        <v>465</v>
      </c>
      <c r="H340">
        <v>295.35000610351563</v>
      </c>
      <c r="I340">
        <v>175.94999694824219</v>
      </c>
      <c r="L340" t="s">
        <v>471</v>
      </c>
      <c r="M340">
        <v>-628.40426830535239</v>
      </c>
      <c r="N340">
        <v>-374.36169563455792</v>
      </c>
      <c r="O340">
        <v>563.20000000000005</v>
      </c>
      <c r="P340">
        <v>581.4</v>
      </c>
      <c r="Q340">
        <v>382.15</v>
      </c>
      <c r="R340" s="3" t="s">
        <v>470</v>
      </c>
      <c r="S340">
        <v>563.20000000000005</v>
      </c>
      <c r="T340" t="s">
        <v>468</v>
      </c>
    </row>
    <row r="341" spans="1:20" x14ac:dyDescent="0.25">
      <c r="A341">
        <v>445</v>
      </c>
      <c r="B341">
        <v>500444</v>
      </c>
      <c r="C341" t="s">
        <v>65</v>
      </c>
      <c r="D341">
        <v>2022</v>
      </c>
      <c r="E341">
        <v>518.04998779296875</v>
      </c>
      <c r="F341">
        <v>46.49</v>
      </c>
      <c r="G341" t="s">
        <v>465</v>
      </c>
      <c r="H341">
        <v>663.79998779296875</v>
      </c>
      <c r="I341">
        <v>215</v>
      </c>
      <c r="L341" t="s">
        <v>469</v>
      </c>
      <c r="M341">
        <v>14.27833916526067</v>
      </c>
      <c r="N341">
        <v>4.6246504624650457</v>
      </c>
      <c r="O341">
        <v>563.20000000000005</v>
      </c>
      <c r="P341">
        <v>581.4</v>
      </c>
      <c r="Q341">
        <v>382.15</v>
      </c>
      <c r="R341" s="3" t="s">
        <v>470</v>
      </c>
      <c r="S341">
        <v>563.20000000000005</v>
      </c>
      <c r="T341" t="s">
        <v>468</v>
      </c>
    </row>
    <row r="342" spans="1:20" x14ac:dyDescent="0.25">
      <c r="A342">
        <v>445</v>
      </c>
      <c r="B342">
        <v>500444</v>
      </c>
      <c r="C342" t="s">
        <v>65</v>
      </c>
      <c r="D342">
        <v>2023</v>
      </c>
      <c r="E342">
        <v>518.04998779296875</v>
      </c>
      <c r="F342">
        <v>142.62</v>
      </c>
      <c r="G342" t="s">
        <v>465</v>
      </c>
      <c r="H342">
        <v>778</v>
      </c>
      <c r="I342">
        <v>465.29998779296881</v>
      </c>
      <c r="L342" t="s">
        <v>469</v>
      </c>
      <c r="M342">
        <v>5.4550553919506379</v>
      </c>
      <c r="N342">
        <v>3.2625156905971728</v>
      </c>
      <c r="O342">
        <v>563.20000000000005</v>
      </c>
      <c r="P342">
        <v>581.4</v>
      </c>
      <c r="Q342">
        <v>382.15</v>
      </c>
      <c r="R342" s="3" t="s">
        <v>470</v>
      </c>
      <c r="S342">
        <v>563.20000000000005</v>
      </c>
      <c r="T342" t="s">
        <v>468</v>
      </c>
    </row>
    <row r="343" spans="1:20" x14ac:dyDescent="0.25">
      <c r="A343">
        <v>445</v>
      </c>
      <c r="B343">
        <v>500444</v>
      </c>
      <c r="C343" t="s">
        <v>65</v>
      </c>
      <c r="D343">
        <v>2024</v>
      </c>
      <c r="E343">
        <v>518.04998779296875</v>
      </c>
      <c r="F343">
        <v>104.77</v>
      </c>
      <c r="G343" t="s">
        <v>465</v>
      </c>
      <c r="H343">
        <v>815</v>
      </c>
      <c r="I343">
        <v>470.35000610351563</v>
      </c>
      <c r="L343" t="s">
        <v>469</v>
      </c>
      <c r="M343">
        <v>7.7789443542998953</v>
      </c>
      <c r="N343">
        <v>4.4893576988022872</v>
      </c>
      <c r="O343">
        <v>563.20000000000005</v>
      </c>
      <c r="P343">
        <v>581.4</v>
      </c>
      <c r="Q343">
        <v>382.15</v>
      </c>
      <c r="R343" s="3" t="s">
        <v>470</v>
      </c>
      <c r="S343">
        <v>563.20000000000005</v>
      </c>
      <c r="T343" t="s">
        <v>468</v>
      </c>
    </row>
    <row r="344" spans="1:20" x14ac:dyDescent="0.25">
      <c r="A344">
        <v>445</v>
      </c>
      <c r="B344">
        <v>500444</v>
      </c>
      <c r="C344" t="s">
        <v>65</v>
      </c>
      <c r="D344">
        <v>2025</v>
      </c>
      <c r="E344">
        <v>518.04998779296875</v>
      </c>
      <c r="F344">
        <v>47.11</v>
      </c>
      <c r="G344" t="s">
        <v>465</v>
      </c>
      <c r="H344">
        <v>581.4000244140625</v>
      </c>
      <c r="I344">
        <v>382.14999389648438</v>
      </c>
      <c r="L344" t="s">
        <v>469</v>
      </c>
      <c r="M344">
        <v>12.34132932315989</v>
      </c>
      <c r="N344">
        <v>8.1118657163337797</v>
      </c>
      <c r="O344">
        <v>563.20000000000005</v>
      </c>
      <c r="P344">
        <v>581.4</v>
      </c>
      <c r="Q344">
        <v>382.15</v>
      </c>
      <c r="R344" s="3" t="s">
        <v>470</v>
      </c>
      <c r="S344">
        <v>563.20000000000005</v>
      </c>
      <c r="T344" t="s">
        <v>468</v>
      </c>
    </row>
    <row r="345" spans="1:20" x14ac:dyDescent="0.25">
      <c r="A345">
        <v>445</v>
      </c>
      <c r="B345">
        <v>500444</v>
      </c>
      <c r="C345" t="s">
        <v>65</v>
      </c>
      <c r="D345">
        <v>2026</v>
      </c>
      <c r="E345">
        <v>518.04998779296875</v>
      </c>
      <c r="F345">
        <v>22.8</v>
      </c>
      <c r="G345" t="s">
        <v>465</v>
      </c>
      <c r="H345">
        <v>567.20001220703125</v>
      </c>
      <c r="I345">
        <v>375.04998779296881</v>
      </c>
      <c r="L345" t="s">
        <v>469</v>
      </c>
      <c r="M345">
        <v>24.877193517852248</v>
      </c>
      <c r="N345">
        <v>16.44956086811267</v>
      </c>
      <c r="O345">
        <v>563.20000000000005</v>
      </c>
      <c r="P345">
        <v>581.4</v>
      </c>
      <c r="Q345">
        <v>382.15</v>
      </c>
      <c r="R345" s="3" t="s">
        <v>470</v>
      </c>
      <c r="S345">
        <v>563.20000000000005</v>
      </c>
      <c r="T345" t="s">
        <v>468</v>
      </c>
    </row>
    <row r="346" spans="1:20" x14ac:dyDescent="0.25">
      <c r="A346">
        <v>450</v>
      </c>
      <c r="B346">
        <v>500449</v>
      </c>
      <c r="C346" t="s">
        <v>67</v>
      </c>
      <c r="D346">
        <v>2015</v>
      </c>
      <c r="E346">
        <v>36.560001373291023</v>
      </c>
      <c r="F346">
        <v>-32.07</v>
      </c>
      <c r="G346" t="s">
        <v>465</v>
      </c>
      <c r="H346">
        <v>25</v>
      </c>
      <c r="I346">
        <v>10.55000019073486</v>
      </c>
      <c r="L346" t="s">
        <v>471</v>
      </c>
      <c r="M346">
        <v>-0.77954474586841283</v>
      </c>
      <c r="N346">
        <v>-0.32896788870392452</v>
      </c>
      <c r="O346">
        <v>56.5</v>
      </c>
      <c r="P346">
        <v>63</v>
      </c>
      <c r="Q346">
        <v>38.35</v>
      </c>
      <c r="R346" s="3" t="s">
        <v>470</v>
      </c>
      <c r="S346">
        <v>56.5</v>
      </c>
      <c r="T346" t="s">
        <v>468</v>
      </c>
    </row>
    <row r="347" spans="1:20" x14ac:dyDescent="0.25">
      <c r="A347">
        <v>450</v>
      </c>
      <c r="B347">
        <v>500449</v>
      </c>
      <c r="C347" t="s">
        <v>67</v>
      </c>
      <c r="D347">
        <v>2016</v>
      </c>
      <c r="E347">
        <v>36.560001373291023</v>
      </c>
      <c r="F347">
        <v>-26.82</v>
      </c>
      <c r="G347" t="s">
        <v>465</v>
      </c>
      <c r="H347">
        <v>27.20000076293945</v>
      </c>
      <c r="I347">
        <v>12.19999980926514</v>
      </c>
      <c r="L347" t="s">
        <v>471</v>
      </c>
      <c r="M347">
        <v>-1.014168559393716</v>
      </c>
      <c r="N347">
        <v>-0.4548844075042931</v>
      </c>
      <c r="O347">
        <v>56.5</v>
      </c>
      <c r="P347">
        <v>63</v>
      </c>
      <c r="Q347">
        <v>38.35</v>
      </c>
      <c r="R347" s="3" t="s">
        <v>470</v>
      </c>
      <c r="S347">
        <v>56.5</v>
      </c>
      <c r="T347" t="s">
        <v>468</v>
      </c>
    </row>
    <row r="348" spans="1:20" x14ac:dyDescent="0.25">
      <c r="A348">
        <v>450</v>
      </c>
      <c r="B348">
        <v>500449</v>
      </c>
      <c r="C348" t="s">
        <v>67</v>
      </c>
      <c r="D348">
        <v>2017</v>
      </c>
      <c r="E348">
        <v>36.560001373291023</v>
      </c>
      <c r="F348">
        <v>-38.369999999999997</v>
      </c>
      <c r="G348" t="s">
        <v>465</v>
      </c>
      <c r="H348">
        <v>39.900001525878913</v>
      </c>
      <c r="I348">
        <v>18.14999961853027</v>
      </c>
      <c r="L348" t="s">
        <v>471</v>
      </c>
      <c r="M348">
        <v>-1.0398749420348949</v>
      </c>
      <c r="N348">
        <v>-0.47302579146547491</v>
      </c>
      <c r="O348">
        <v>56.5</v>
      </c>
      <c r="P348">
        <v>63</v>
      </c>
      <c r="Q348">
        <v>38.35</v>
      </c>
      <c r="R348" s="3" t="s">
        <v>470</v>
      </c>
      <c r="S348">
        <v>56.5</v>
      </c>
      <c r="T348" t="s">
        <v>468</v>
      </c>
    </row>
    <row r="349" spans="1:20" x14ac:dyDescent="0.25">
      <c r="A349">
        <v>450</v>
      </c>
      <c r="B349">
        <v>500449</v>
      </c>
      <c r="C349" t="s">
        <v>67</v>
      </c>
      <c r="D349">
        <v>2018</v>
      </c>
      <c r="E349">
        <v>36.560001373291023</v>
      </c>
      <c r="F349">
        <v>-27.79</v>
      </c>
      <c r="G349" t="s">
        <v>465</v>
      </c>
      <c r="H349">
        <v>43.549999237060547</v>
      </c>
      <c r="I349">
        <v>17</v>
      </c>
      <c r="L349" t="s">
        <v>471</v>
      </c>
      <c r="M349">
        <v>-1.567110443938847</v>
      </c>
      <c r="N349">
        <v>-0.61173083843109033</v>
      </c>
      <c r="O349">
        <v>56.5</v>
      </c>
      <c r="P349">
        <v>63</v>
      </c>
      <c r="Q349">
        <v>38.35</v>
      </c>
      <c r="R349" s="3" t="s">
        <v>470</v>
      </c>
      <c r="S349">
        <v>56.5</v>
      </c>
      <c r="T349" t="s">
        <v>468</v>
      </c>
    </row>
    <row r="350" spans="1:20" x14ac:dyDescent="0.25">
      <c r="A350">
        <v>450</v>
      </c>
      <c r="B350">
        <v>500449</v>
      </c>
      <c r="C350" t="s">
        <v>67</v>
      </c>
      <c r="D350">
        <v>2019</v>
      </c>
      <c r="E350">
        <v>36.560001373291023</v>
      </c>
      <c r="F350">
        <v>10.79</v>
      </c>
      <c r="G350" t="s">
        <v>465</v>
      </c>
      <c r="H350">
        <v>28.89999961853027</v>
      </c>
      <c r="I350">
        <v>10.69999980926514</v>
      </c>
      <c r="L350" t="s">
        <v>469</v>
      </c>
      <c r="M350">
        <v>2.6784058960639729</v>
      </c>
      <c r="N350">
        <v>0.9916589257891697</v>
      </c>
      <c r="O350">
        <v>56.5</v>
      </c>
      <c r="P350">
        <v>63</v>
      </c>
      <c r="Q350">
        <v>38.35</v>
      </c>
      <c r="R350" s="3" t="s">
        <v>470</v>
      </c>
      <c r="S350">
        <v>56.5</v>
      </c>
      <c r="T350" t="s">
        <v>468</v>
      </c>
    </row>
    <row r="351" spans="1:20" x14ac:dyDescent="0.25">
      <c r="A351">
        <v>450</v>
      </c>
      <c r="B351">
        <v>500449</v>
      </c>
      <c r="C351" t="s">
        <v>67</v>
      </c>
      <c r="D351">
        <v>2020</v>
      </c>
      <c r="E351">
        <v>36.560001373291023</v>
      </c>
      <c r="F351">
        <v>-14.33</v>
      </c>
      <c r="G351" t="s">
        <v>465</v>
      </c>
      <c r="H351">
        <v>20.79999923706055</v>
      </c>
      <c r="I351">
        <v>5.8499999046325684</v>
      </c>
      <c r="L351" t="s">
        <v>471</v>
      </c>
      <c r="M351">
        <v>-1.4515002956776379</v>
      </c>
      <c r="N351">
        <v>-0.40823446647819739</v>
      </c>
      <c r="O351">
        <v>56.5</v>
      </c>
      <c r="P351">
        <v>63</v>
      </c>
      <c r="Q351">
        <v>38.35</v>
      </c>
      <c r="R351" s="3" t="s">
        <v>470</v>
      </c>
      <c r="S351">
        <v>56.5</v>
      </c>
      <c r="T351" t="s">
        <v>468</v>
      </c>
    </row>
    <row r="352" spans="1:20" x14ac:dyDescent="0.25">
      <c r="A352">
        <v>450</v>
      </c>
      <c r="B352">
        <v>500449</v>
      </c>
      <c r="C352" t="s">
        <v>67</v>
      </c>
      <c r="D352">
        <v>2021</v>
      </c>
      <c r="E352">
        <v>36.560001373291023</v>
      </c>
      <c r="F352">
        <v>-0.57999999999999996</v>
      </c>
      <c r="G352" t="s">
        <v>465</v>
      </c>
      <c r="H352">
        <v>47.900001525878913</v>
      </c>
      <c r="I352">
        <v>19.20000076293945</v>
      </c>
      <c r="L352" t="s">
        <v>484</v>
      </c>
      <c r="M352">
        <v>126.05263559441821</v>
      </c>
      <c r="N352">
        <v>50.526317797209067</v>
      </c>
      <c r="O352">
        <v>56.5</v>
      </c>
      <c r="P352">
        <v>63</v>
      </c>
      <c r="Q352">
        <v>38.35</v>
      </c>
      <c r="R352" s="3" t="s">
        <v>470</v>
      </c>
      <c r="S352">
        <v>56.5</v>
      </c>
      <c r="T352" t="s">
        <v>468</v>
      </c>
    </row>
    <row r="353" spans="1:20" x14ac:dyDescent="0.25">
      <c r="A353">
        <v>450</v>
      </c>
      <c r="B353">
        <v>500449</v>
      </c>
      <c r="C353" t="s">
        <v>67</v>
      </c>
      <c r="D353">
        <v>2022</v>
      </c>
      <c r="E353">
        <v>36.560001373291023</v>
      </c>
      <c r="F353">
        <v>-4.41</v>
      </c>
      <c r="G353" t="s">
        <v>465</v>
      </c>
      <c r="H353">
        <v>39.799999237060547</v>
      </c>
      <c r="I353">
        <v>25</v>
      </c>
      <c r="L353" t="s">
        <v>471</v>
      </c>
      <c r="M353">
        <v>-9.0249431376554519</v>
      </c>
      <c r="N353">
        <v>-5.6689342403628116</v>
      </c>
      <c r="O353">
        <v>56.5</v>
      </c>
      <c r="P353">
        <v>63</v>
      </c>
      <c r="Q353">
        <v>38.35</v>
      </c>
      <c r="R353" s="3" t="s">
        <v>470</v>
      </c>
      <c r="S353">
        <v>56.5</v>
      </c>
      <c r="T353" t="s">
        <v>468</v>
      </c>
    </row>
    <row r="354" spans="1:20" x14ac:dyDescent="0.25">
      <c r="A354">
        <v>450</v>
      </c>
      <c r="B354">
        <v>500449</v>
      </c>
      <c r="C354" t="s">
        <v>67</v>
      </c>
      <c r="D354">
        <v>2023</v>
      </c>
      <c r="E354">
        <v>36.560001373291023</v>
      </c>
      <c r="F354">
        <v>-7.95</v>
      </c>
      <c r="G354" t="s">
        <v>465</v>
      </c>
      <c r="H354">
        <v>57.090000152587891</v>
      </c>
      <c r="I354">
        <v>20.64999961853027</v>
      </c>
      <c r="L354" t="s">
        <v>471</v>
      </c>
      <c r="M354">
        <v>-7.1811320946651431</v>
      </c>
      <c r="N354">
        <v>-2.5974842287459459</v>
      </c>
      <c r="O354">
        <v>56.5</v>
      </c>
      <c r="P354">
        <v>63</v>
      </c>
      <c r="Q354">
        <v>38.35</v>
      </c>
      <c r="R354" s="3" t="s">
        <v>470</v>
      </c>
      <c r="S354">
        <v>56.5</v>
      </c>
      <c r="T354" t="s">
        <v>468</v>
      </c>
    </row>
    <row r="355" spans="1:20" x14ac:dyDescent="0.25">
      <c r="A355">
        <v>450</v>
      </c>
      <c r="B355">
        <v>500449</v>
      </c>
      <c r="C355" t="s">
        <v>67</v>
      </c>
      <c r="D355">
        <v>2024</v>
      </c>
      <c r="E355">
        <v>36.560001373291023</v>
      </c>
      <c r="F355">
        <v>-8.1300000000000008</v>
      </c>
      <c r="G355" t="s">
        <v>465</v>
      </c>
      <c r="H355">
        <v>65.949996948242188</v>
      </c>
      <c r="I355">
        <v>38.950000762939453</v>
      </c>
      <c r="L355" t="s">
        <v>471</v>
      </c>
      <c r="M355">
        <v>-8.1119307439412278</v>
      </c>
      <c r="N355">
        <v>-4.7908980028215806</v>
      </c>
      <c r="O355">
        <v>56.5</v>
      </c>
      <c r="P355">
        <v>63</v>
      </c>
      <c r="Q355">
        <v>38.35</v>
      </c>
      <c r="R355" s="3" t="s">
        <v>470</v>
      </c>
      <c r="S355">
        <v>56.5</v>
      </c>
      <c r="T355" t="s">
        <v>468</v>
      </c>
    </row>
    <row r="356" spans="1:20" x14ac:dyDescent="0.25">
      <c r="A356">
        <v>450</v>
      </c>
      <c r="B356">
        <v>500449</v>
      </c>
      <c r="C356" t="s">
        <v>67</v>
      </c>
      <c r="D356">
        <v>2025</v>
      </c>
      <c r="E356">
        <v>36.560001373291023</v>
      </c>
      <c r="F356">
        <v>58.32</v>
      </c>
      <c r="G356" t="s">
        <v>465</v>
      </c>
      <c r="H356">
        <v>45</v>
      </c>
      <c r="I356">
        <v>22.360000610351559</v>
      </c>
      <c r="L356" t="s">
        <v>469</v>
      </c>
      <c r="M356">
        <v>0.77160493827160492</v>
      </c>
      <c r="N356">
        <v>0.38340193090451918</v>
      </c>
      <c r="O356">
        <v>56.5</v>
      </c>
      <c r="P356">
        <v>63</v>
      </c>
      <c r="Q356">
        <v>38.35</v>
      </c>
      <c r="R356" s="3" t="s">
        <v>470</v>
      </c>
      <c r="S356">
        <v>56.5</v>
      </c>
      <c r="T356" t="s">
        <v>468</v>
      </c>
    </row>
    <row r="357" spans="1:20" x14ac:dyDescent="0.25">
      <c r="A357">
        <v>450</v>
      </c>
      <c r="B357">
        <v>500449</v>
      </c>
      <c r="C357" t="s">
        <v>67</v>
      </c>
      <c r="D357">
        <v>2026</v>
      </c>
      <c r="E357">
        <v>36.560001373291023</v>
      </c>
      <c r="F357">
        <v>-1.9</v>
      </c>
      <c r="G357" t="s">
        <v>465</v>
      </c>
      <c r="H357">
        <v>46.599998474121087</v>
      </c>
      <c r="I357">
        <v>21.04999923706055</v>
      </c>
      <c r="L357" t="s">
        <v>471</v>
      </c>
      <c r="M357">
        <v>-24.526314986379521</v>
      </c>
      <c r="N357">
        <v>-11.07894696687397</v>
      </c>
      <c r="O357">
        <v>56.5</v>
      </c>
      <c r="P357">
        <v>63</v>
      </c>
      <c r="Q357">
        <v>38.35</v>
      </c>
      <c r="R357" s="3" t="s">
        <v>470</v>
      </c>
      <c r="S357">
        <v>56.5</v>
      </c>
      <c r="T357" t="s">
        <v>468</v>
      </c>
    </row>
    <row r="358" spans="1:20" x14ac:dyDescent="0.25">
      <c r="A358">
        <v>451</v>
      </c>
      <c r="B358">
        <v>500450</v>
      </c>
      <c r="C358" t="s">
        <v>69</v>
      </c>
      <c r="D358">
        <v>2015</v>
      </c>
      <c r="E358">
        <v>457</v>
      </c>
      <c r="F358">
        <v>-2.8</v>
      </c>
      <c r="G358" t="s">
        <v>465</v>
      </c>
      <c r="H358">
        <v>80</v>
      </c>
      <c r="I358">
        <v>42.75</v>
      </c>
      <c r="L358" t="s">
        <v>471</v>
      </c>
      <c r="M358">
        <v>-28.571428571428569</v>
      </c>
      <c r="N358">
        <v>-15.267857142857141</v>
      </c>
      <c r="O358">
        <v>553</v>
      </c>
      <c r="P358">
        <v>1033</v>
      </c>
      <c r="Q358">
        <v>506</v>
      </c>
      <c r="R358" s="3" t="s">
        <v>470</v>
      </c>
      <c r="S358">
        <v>553</v>
      </c>
      <c r="T358" t="s">
        <v>468</v>
      </c>
    </row>
    <row r="359" spans="1:20" x14ac:dyDescent="0.25">
      <c r="A359">
        <v>451</v>
      </c>
      <c r="B359">
        <v>500450</v>
      </c>
      <c r="C359" t="s">
        <v>69</v>
      </c>
      <c r="D359">
        <v>2016</v>
      </c>
      <c r="E359">
        <v>457</v>
      </c>
      <c r="F359">
        <v>-2.27</v>
      </c>
      <c r="G359" t="s">
        <v>465</v>
      </c>
      <c r="H359">
        <v>67.849998474121094</v>
      </c>
      <c r="I359">
        <v>41</v>
      </c>
      <c r="L359" t="s">
        <v>471</v>
      </c>
      <c r="M359">
        <v>-29.889867169216341</v>
      </c>
      <c r="N359">
        <v>-18.06167400881057</v>
      </c>
      <c r="O359">
        <v>553</v>
      </c>
      <c r="P359">
        <v>1033</v>
      </c>
      <c r="Q359">
        <v>506</v>
      </c>
      <c r="R359" s="3" t="s">
        <v>470</v>
      </c>
      <c r="S359">
        <v>553</v>
      </c>
      <c r="T359" t="s">
        <v>468</v>
      </c>
    </row>
    <row r="360" spans="1:20" x14ac:dyDescent="0.25">
      <c r="A360">
        <v>451</v>
      </c>
      <c r="B360">
        <v>500450</v>
      </c>
      <c r="C360" t="s">
        <v>69</v>
      </c>
      <c r="D360">
        <v>2017</v>
      </c>
      <c r="E360">
        <v>457</v>
      </c>
      <c r="F360">
        <v>-2.4500000000000002</v>
      </c>
      <c r="G360" t="s">
        <v>465</v>
      </c>
      <c r="H360">
        <v>181</v>
      </c>
      <c r="I360">
        <v>40</v>
      </c>
      <c r="L360" t="s">
        <v>471</v>
      </c>
      <c r="M360">
        <v>-73.877551020408163</v>
      </c>
      <c r="N360">
        <v>-16.326530612244898</v>
      </c>
      <c r="O360">
        <v>553</v>
      </c>
      <c r="P360">
        <v>1033</v>
      </c>
      <c r="Q360">
        <v>506</v>
      </c>
      <c r="R360" s="3" t="s">
        <v>470</v>
      </c>
      <c r="S360">
        <v>553</v>
      </c>
      <c r="T360" t="s">
        <v>468</v>
      </c>
    </row>
    <row r="361" spans="1:20" x14ac:dyDescent="0.25">
      <c r="A361">
        <v>451</v>
      </c>
      <c r="B361">
        <v>500450</v>
      </c>
      <c r="C361" t="s">
        <v>69</v>
      </c>
      <c r="D361">
        <v>2018</v>
      </c>
      <c r="E361">
        <v>457</v>
      </c>
      <c r="F361">
        <v>18.02</v>
      </c>
      <c r="G361" t="s">
        <v>465</v>
      </c>
      <c r="H361">
        <v>288.75</v>
      </c>
      <c r="I361">
        <v>136.5</v>
      </c>
      <c r="L361" t="s">
        <v>469</v>
      </c>
      <c r="M361">
        <v>16.02386237513873</v>
      </c>
      <c r="N361">
        <v>7.5749167591564932</v>
      </c>
      <c r="O361">
        <v>553</v>
      </c>
      <c r="P361">
        <v>1033</v>
      </c>
      <c r="Q361">
        <v>506</v>
      </c>
      <c r="R361" s="3" t="s">
        <v>470</v>
      </c>
      <c r="S361">
        <v>553</v>
      </c>
      <c r="T361" t="s">
        <v>468</v>
      </c>
    </row>
    <row r="362" spans="1:20" x14ac:dyDescent="0.25">
      <c r="A362">
        <v>451</v>
      </c>
      <c r="B362">
        <v>500450</v>
      </c>
      <c r="C362" t="s">
        <v>69</v>
      </c>
      <c r="D362">
        <v>2019</v>
      </c>
      <c r="E362">
        <v>457</v>
      </c>
      <c r="F362">
        <v>2.62</v>
      </c>
      <c r="G362" t="s">
        <v>465</v>
      </c>
      <c r="H362">
        <v>271</v>
      </c>
      <c r="I362">
        <v>117</v>
      </c>
      <c r="L362" t="s">
        <v>469</v>
      </c>
      <c r="M362">
        <v>103.43511450381681</v>
      </c>
      <c r="N362">
        <v>44.656488549618317</v>
      </c>
      <c r="O362">
        <v>553</v>
      </c>
      <c r="P362">
        <v>1033</v>
      </c>
      <c r="Q362">
        <v>506</v>
      </c>
      <c r="R362" s="3" t="s">
        <v>470</v>
      </c>
      <c r="S362">
        <v>553</v>
      </c>
      <c r="T362" t="s">
        <v>468</v>
      </c>
    </row>
    <row r="363" spans="1:20" x14ac:dyDescent="0.25">
      <c r="A363">
        <v>451</v>
      </c>
      <c r="B363">
        <v>500450</v>
      </c>
      <c r="C363" t="s">
        <v>69</v>
      </c>
      <c r="D363">
        <v>2020</v>
      </c>
      <c r="E363">
        <v>457</v>
      </c>
      <c r="F363">
        <v>6.47</v>
      </c>
      <c r="G363" t="s">
        <v>465</v>
      </c>
      <c r="H363">
        <v>261.45001220703119</v>
      </c>
      <c r="I363">
        <v>113</v>
      </c>
      <c r="L363" t="s">
        <v>469</v>
      </c>
      <c r="M363">
        <v>40.409584576048097</v>
      </c>
      <c r="N363">
        <v>17.46522411128284</v>
      </c>
      <c r="O363">
        <v>553</v>
      </c>
      <c r="P363">
        <v>1033</v>
      </c>
      <c r="Q363">
        <v>506</v>
      </c>
      <c r="R363" s="3" t="s">
        <v>470</v>
      </c>
      <c r="S363">
        <v>553</v>
      </c>
      <c r="T363" t="s">
        <v>468</v>
      </c>
    </row>
    <row r="364" spans="1:20" x14ac:dyDescent="0.25">
      <c r="A364">
        <v>451</v>
      </c>
      <c r="B364">
        <v>500450</v>
      </c>
      <c r="C364" t="s">
        <v>69</v>
      </c>
      <c r="D364">
        <v>2021</v>
      </c>
      <c r="E364">
        <v>457</v>
      </c>
      <c r="F364">
        <v>2.62</v>
      </c>
      <c r="G364" t="s">
        <v>465</v>
      </c>
      <c r="H364">
        <v>310.70001220703119</v>
      </c>
      <c r="I364">
        <v>158.94999694824219</v>
      </c>
      <c r="L364" t="s">
        <v>469</v>
      </c>
      <c r="M364">
        <v>118.58779091871421</v>
      </c>
      <c r="N364">
        <v>60.66793776650465</v>
      </c>
      <c r="O364">
        <v>553</v>
      </c>
      <c r="P364">
        <v>1033</v>
      </c>
      <c r="Q364">
        <v>506</v>
      </c>
      <c r="R364" s="3" t="s">
        <v>470</v>
      </c>
      <c r="S364">
        <v>553</v>
      </c>
      <c r="T364" t="s">
        <v>468</v>
      </c>
    </row>
    <row r="365" spans="1:20" x14ac:dyDescent="0.25">
      <c r="A365">
        <v>451</v>
      </c>
      <c r="B365">
        <v>500450</v>
      </c>
      <c r="C365" t="s">
        <v>69</v>
      </c>
      <c r="D365">
        <v>2022</v>
      </c>
      <c r="E365">
        <v>457</v>
      </c>
      <c r="F365">
        <v>14.87</v>
      </c>
      <c r="G365" t="s">
        <v>465</v>
      </c>
      <c r="H365">
        <v>285</v>
      </c>
      <c r="I365">
        <v>162.44999694824219</v>
      </c>
      <c r="L365" t="s">
        <v>469</v>
      </c>
      <c r="M365">
        <v>19.16610625420309</v>
      </c>
      <c r="N365">
        <v>10.92468035966659</v>
      </c>
      <c r="O365">
        <v>553</v>
      </c>
      <c r="P365">
        <v>1033</v>
      </c>
      <c r="Q365">
        <v>506</v>
      </c>
      <c r="R365" s="3" t="s">
        <v>470</v>
      </c>
      <c r="S365">
        <v>553</v>
      </c>
      <c r="T365" t="s">
        <v>468</v>
      </c>
    </row>
    <row r="366" spans="1:20" x14ac:dyDescent="0.25">
      <c r="A366">
        <v>451</v>
      </c>
      <c r="B366">
        <v>500450</v>
      </c>
      <c r="C366" t="s">
        <v>69</v>
      </c>
      <c r="D366">
        <v>2023</v>
      </c>
      <c r="E366">
        <v>457</v>
      </c>
      <c r="F366">
        <v>12.77</v>
      </c>
      <c r="G366" t="s">
        <v>465</v>
      </c>
      <c r="H366">
        <v>1264.050048828125</v>
      </c>
      <c r="I366">
        <v>195.6499938964844</v>
      </c>
      <c r="L366" t="s">
        <v>469</v>
      </c>
      <c r="M366">
        <v>98.985908287245508</v>
      </c>
      <c r="N366">
        <v>15.3210645181272</v>
      </c>
      <c r="O366">
        <v>553</v>
      </c>
      <c r="P366">
        <v>1033</v>
      </c>
      <c r="Q366">
        <v>506</v>
      </c>
      <c r="R366" s="3" t="s">
        <v>470</v>
      </c>
      <c r="S366">
        <v>553</v>
      </c>
      <c r="T366" t="s">
        <v>468</v>
      </c>
    </row>
    <row r="367" spans="1:20" x14ac:dyDescent="0.25">
      <c r="A367">
        <v>451</v>
      </c>
      <c r="B367">
        <v>500450</v>
      </c>
      <c r="C367" t="s">
        <v>69</v>
      </c>
      <c r="D367">
        <v>2024</v>
      </c>
      <c r="E367">
        <v>457</v>
      </c>
      <c r="F367">
        <v>-10.15</v>
      </c>
      <c r="G367" t="s">
        <v>465</v>
      </c>
      <c r="H367">
        <v>1076.050048828125</v>
      </c>
      <c r="I367">
        <v>506</v>
      </c>
      <c r="L367" t="s">
        <v>471</v>
      </c>
      <c r="M367">
        <v>-106.0147831357759</v>
      </c>
      <c r="N367">
        <v>-49.85221674876847</v>
      </c>
      <c r="O367">
        <v>553</v>
      </c>
      <c r="P367">
        <v>1033</v>
      </c>
      <c r="Q367">
        <v>506</v>
      </c>
      <c r="R367" s="3" t="s">
        <v>470</v>
      </c>
      <c r="S367">
        <v>553</v>
      </c>
      <c r="T367" t="s">
        <v>468</v>
      </c>
    </row>
    <row r="368" spans="1:20" x14ac:dyDescent="0.25">
      <c r="A368">
        <v>451</v>
      </c>
      <c r="B368">
        <v>500450</v>
      </c>
      <c r="C368" t="s">
        <v>69</v>
      </c>
      <c r="D368">
        <v>2025</v>
      </c>
      <c r="E368">
        <v>457</v>
      </c>
      <c r="F368">
        <v>-40.06</v>
      </c>
      <c r="G368" t="s">
        <v>465</v>
      </c>
      <c r="H368">
        <v>787.3499755859375</v>
      </c>
      <c r="I368">
        <v>360</v>
      </c>
      <c r="L368" t="s">
        <v>471</v>
      </c>
      <c r="M368">
        <v>-19.654267987666941</v>
      </c>
      <c r="N368">
        <v>-8.9865202196704939</v>
      </c>
      <c r="O368">
        <v>553</v>
      </c>
      <c r="P368">
        <v>1033</v>
      </c>
      <c r="Q368">
        <v>506</v>
      </c>
      <c r="R368" s="3" t="s">
        <v>470</v>
      </c>
      <c r="S368">
        <v>553</v>
      </c>
      <c r="T368" t="s">
        <v>468</v>
      </c>
    </row>
    <row r="369" spans="1:20" x14ac:dyDescent="0.25">
      <c r="A369">
        <v>451</v>
      </c>
      <c r="B369">
        <v>500450</v>
      </c>
      <c r="C369" t="s">
        <v>69</v>
      </c>
      <c r="D369">
        <v>2026</v>
      </c>
      <c r="E369">
        <v>457</v>
      </c>
      <c r="F369">
        <v>-58.78</v>
      </c>
      <c r="G369" t="s">
        <v>465</v>
      </c>
      <c r="H369">
        <v>639.20001220703125</v>
      </c>
      <c r="I369">
        <v>324.70001220703119</v>
      </c>
      <c r="L369" t="s">
        <v>471</v>
      </c>
      <c r="M369">
        <v>-10.87444729852044</v>
      </c>
      <c r="N369">
        <v>-5.5239879586089007</v>
      </c>
      <c r="O369">
        <v>553</v>
      </c>
      <c r="P369">
        <v>1033</v>
      </c>
      <c r="Q369">
        <v>506</v>
      </c>
      <c r="R369" s="3" t="s">
        <v>470</v>
      </c>
      <c r="S369">
        <v>553</v>
      </c>
      <c r="T369" t="s">
        <v>468</v>
      </c>
    </row>
    <row r="370" spans="1:20" x14ac:dyDescent="0.25">
      <c r="A370">
        <v>452</v>
      </c>
      <c r="B370">
        <v>500451</v>
      </c>
      <c r="C370" t="s">
        <v>71</v>
      </c>
      <c r="D370">
        <v>2026</v>
      </c>
      <c r="E370">
        <v>0.40000000596046448</v>
      </c>
      <c r="G370" t="s">
        <v>465</v>
      </c>
      <c r="L370" t="s">
        <v>466</v>
      </c>
      <c r="O370">
        <v>0.4</v>
      </c>
      <c r="P370">
        <v>0.4</v>
      </c>
      <c r="Q370">
        <v>0.4</v>
      </c>
      <c r="R370" s="2" t="s">
        <v>467</v>
      </c>
      <c r="S370">
        <v>0.4</v>
      </c>
      <c r="T370" t="s">
        <v>468</v>
      </c>
    </row>
    <row r="371" spans="1:20" x14ac:dyDescent="0.25">
      <c r="A371">
        <v>459</v>
      </c>
      <c r="B371">
        <v>500458</v>
      </c>
      <c r="C371" t="s">
        <v>73</v>
      </c>
      <c r="D371">
        <v>2015</v>
      </c>
      <c r="E371">
        <v>27.879999160766602</v>
      </c>
      <c r="G371" t="s">
        <v>465</v>
      </c>
      <c r="H371">
        <v>3.8499999046325679</v>
      </c>
      <c r="I371">
        <v>1.870000004768372</v>
      </c>
      <c r="L371" t="s">
        <v>466</v>
      </c>
      <c r="O371">
        <v>7</v>
      </c>
      <c r="P371">
        <v>48.29</v>
      </c>
      <c r="Q371">
        <v>6</v>
      </c>
      <c r="R371" s="3" t="s">
        <v>470</v>
      </c>
      <c r="S371">
        <v>7</v>
      </c>
      <c r="T371" t="s">
        <v>468</v>
      </c>
    </row>
    <row r="372" spans="1:20" x14ac:dyDescent="0.25">
      <c r="A372">
        <v>459</v>
      </c>
      <c r="B372">
        <v>500458</v>
      </c>
      <c r="C372" t="s">
        <v>73</v>
      </c>
      <c r="D372">
        <v>2016</v>
      </c>
      <c r="E372">
        <v>27.879999160766602</v>
      </c>
      <c r="G372" t="s">
        <v>465</v>
      </c>
      <c r="H372">
        <v>4.820000171661377</v>
      </c>
      <c r="I372">
        <v>1.919999957084656</v>
      </c>
      <c r="L372" t="s">
        <v>466</v>
      </c>
      <c r="O372">
        <v>7</v>
      </c>
      <c r="P372">
        <v>48.29</v>
      </c>
      <c r="Q372">
        <v>6</v>
      </c>
      <c r="R372" s="3" t="s">
        <v>470</v>
      </c>
      <c r="S372">
        <v>7</v>
      </c>
      <c r="T372" t="s">
        <v>468</v>
      </c>
    </row>
    <row r="373" spans="1:20" x14ac:dyDescent="0.25">
      <c r="A373">
        <v>459</v>
      </c>
      <c r="B373">
        <v>500458</v>
      </c>
      <c r="C373" t="s">
        <v>73</v>
      </c>
      <c r="D373">
        <v>2017</v>
      </c>
      <c r="E373">
        <v>27.879999160766602</v>
      </c>
      <c r="G373" t="s">
        <v>465</v>
      </c>
      <c r="H373">
        <v>3.5999999046325679</v>
      </c>
      <c r="I373">
        <v>2.119999885559082</v>
      </c>
      <c r="L373" t="s">
        <v>466</v>
      </c>
      <c r="O373">
        <v>7</v>
      </c>
      <c r="P373">
        <v>48.29</v>
      </c>
      <c r="Q373">
        <v>6</v>
      </c>
      <c r="R373" s="3" t="s">
        <v>470</v>
      </c>
      <c r="S373">
        <v>7</v>
      </c>
      <c r="T373" t="s">
        <v>468</v>
      </c>
    </row>
    <row r="374" spans="1:20" x14ac:dyDescent="0.25">
      <c r="A374">
        <v>459</v>
      </c>
      <c r="B374">
        <v>500458</v>
      </c>
      <c r="C374" t="s">
        <v>73</v>
      </c>
      <c r="D374">
        <v>2018</v>
      </c>
      <c r="E374">
        <v>27.879999160766602</v>
      </c>
      <c r="G374" t="s">
        <v>465</v>
      </c>
      <c r="H374">
        <v>5.25</v>
      </c>
      <c r="I374">
        <v>3.0399999618530269</v>
      </c>
      <c r="L374" t="s">
        <v>466</v>
      </c>
      <c r="O374">
        <v>7</v>
      </c>
      <c r="P374">
        <v>48.29</v>
      </c>
      <c r="Q374">
        <v>6</v>
      </c>
      <c r="R374" s="3" t="s">
        <v>470</v>
      </c>
      <c r="S374">
        <v>7</v>
      </c>
      <c r="T374" t="s">
        <v>468</v>
      </c>
    </row>
    <row r="375" spans="1:20" x14ac:dyDescent="0.25">
      <c r="A375">
        <v>459</v>
      </c>
      <c r="B375">
        <v>500458</v>
      </c>
      <c r="C375" t="s">
        <v>73</v>
      </c>
      <c r="D375">
        <v>2019</v>
      </c>
      <c r="E375">
        <v>27.879999160766602</v>
      </c>
      <c r="G375" t="s">
        <v>465</v>
      </c>
      <c r="H375">
        <v>5.4899997711181641</v>
      </c>
      <c r="I375">
        <v>4.5199999809265137</v>
      </c>
      <c r="L375" t="s">
        <v>466</v>
      </c>
      <c r="O375">
        <v>7</v>
      </c>
      <c r="P375">
        <v>48.29</v>
      </c>
      <c r="Q375">
        <v>6</v>
      </c>
      <c r="R375" s="3" t="s">
        <v>470</v>
      </c>
      <c r="S375">
        <v>7</v>
      </c>
      <c r="T375" t="s">
        <v>468</v>
      </c>
    </row>
    <row r="376" spans="1:20" x14ac:dyDescent="0.25">
      <c r="A376">
        <v>459</v>
      </c>
      <c r="B376">
        <v>500458</v>
      </c>
      <c r="C376" t="s">
        <v>73</v>
      </c>
      <c r="D376">
        <v>2020</v>
      </c>
      <c r="E376">
        <v>27.879999160766602</v>
      </c>
      <c r="G376" t="s">
        <v>465</v>
      </c>
      <c r="H376">
        <v>4.5199999809265137</v>
      </c>
      <c r="I376">
        <v>1.3400000333786011</v>
      </c>
      <c r="L376" t="s">
        <v>466</v>
      </c>
      <c r="O376">
        <v>7</v>
      </c>
      <c r="P376">
        <v>48.29</v>
      </c>
      <c r="Q376">
        <v>6</v>
      </c>
      <c r="R376" s="3" t="s">
        <v>470</v>
      </c>
      <c r="S376">
        <v>7</v>
      </c>
      <c r="T376" t="s">
        <v>468</v>
      </c>
    </row>
    <row r="377" spans="1:20" x14ac:dyDescent="0.25">
      <c r="A377">
        <v>459</v>
      </c>
      <c r="B377">
        <v>500458</v>
      </c>
      <c r="C377" t="s">
        <v>73</v>
      </c>
      <c r="D377">
        <v>2021</v>
      </c>
      <c r="E377">
        <v>27.879999160766602</v>
      </c>
      <c r="G377" t="s">
        <v>465</v>
      </c>
      <c r="H377">
        <v>3.8199999332427979</v>
      </c>
      <c r="I377">
        <v>1.7300000190734861</v>
      </c>
      <c r="L377" t="s">
        <v>466</v>
      </c>
      <c r="O377">
        <v>7</v>
      </c>
      <c r="P377">
        <v>48.29</v>
      </c>
      <c r="Q377">
        <v>6</v>
      </c>
      <c r="R377" s="3" t="s">
        <v>470</v>
      </c>
      <c r="S377">
        <v>7</v>
      </c>
      <c r="T377" t="s">
        <v>468</v>
      </c>
    </row>
    <row r="378" spans="1:20" x14ac:dyDescent="0.25">
      <c r="A378">
        <v>459</v>
      </c>
      <c r="B378">
        <v>500458</v>
      </c>
      <c r="C378" t="s">
        <v>73</v>
      </c>
      <c r="D378">
        <v>2022</v>
      </c>
      <c r="E378">
        <v>27.879999160766602</v>
      </c>
      <c r="G378" t="s">
        <v>465</v>
      </c>
      <c r="H378">
        <v>19.64999961853027</v>
      </c>
      <c r="I378">
        <v>1.7300000190734861</v>
      </c>
      <c r="L378" t="s">
        <v>466</v>
      </c>
      <c r="O378">
        <v>7</v>
      </c>
      <c r="P378">
        <v>48.29</v>
      </c>
      <c r="Q378">
        <v>6</v>
      </c>
      <c r="R378" s="3" t="s">
        <v>470</v>
      </c>
      <c r="S378">
        <v>7</v>
      </c>
      <c r="T378" t="s">
        <v>468</v>
      </c>
    </row>
    <row r="379" spans="1:20" x14ac:dyDescent="0.25">
      <c r="A379">
        <v>459</v>
      </c>
      <c r="B379">
        <v>500458</v>
      </c>
      <c r="C379" t="s">
        <v>73</v>
      </c>
      <c r="D379">
        <v>2023</v>
      </c>
      <c r="E379">
        <v>27.879999160766602</v>
      </c>
      <c r="G379" t="s">
        <v>465</v>
      </c>
      <c r="H379">
        <v>11.19999980926514</v>
      </c>
      <c r="I379">
        <v>5.9200000762939453</v>
      </c>
      <c r="L379" t="s">
        <v>466</v>
      </c>
      <c r="O379">
        <v>7</v>
      </c>
      <c r="P379">
        <v>48.29</v>
      </c>
      <c r="Q379">
        <v>6</v>
      </c>
      <c r="R379" s="3" t="s">
        <v>470</v>
      </c>
      <c r="S379">
        <v>7</v>
      </c>
      <c r="T379" t="s">
        <v>468</v>
      </c>
    </row>
    <row r="380" spans="1:20" x14ac:dyDescent="0.25">
      <c r="A380">
        <v>459</v>
      </c>
      <c r="B380">
        <v>500458</v>
      </c>
      <c r="C380" t="s">
        <v>73</v>
      </c>
      <c r="D380">
        <v>2024</v>
      </c>
      <c r="E380">
        <v>27.879999160766602</v>
      </c>
      <c r="G380" t="s">
        <v>465</v>
      </c>
      <c r="H380">
        <v>41.25</v>
      </c>
      <c r="I380">
        <v>6</v>
      </c>
      <c r="L380" t="s">
        <v>466</v>
      </c>
      <c r="O380">
        <v>7</v>
      </c>
      <c r="P380">
        <v>48.29</v>
      </c>
      <c r="Q380">
        <v>6</v>
      </c>
      <c r="R380" s="3" t="s">
        <v>470</v>
      </c>
      <c r="S380">
        <v>7</v>
      </c>
      <c r="T380" t="s">
        <v>468</v>
      </c>
    </row>
    <row r="381" spans="1:20" x14ac:dyDescent="0.25">
      <c r="A381">
        <v>459</v>
      </c>
      <c r="B381">
        <v>500458</v>
      </c>
      <c r="C381" t="s">
        <v>73</v>
      </c>
      <c r="D381">
        <v>2025</v>
      </c>
      <c r="E381">
        <v>27.879999160766602</v>
      </c>
      <c r="G381" t="s">
        <v>465</v>
      </c>
      <c r="H381">
        <v>52.25</v>
      </c>
      <c r="I381">
        <v>24</v>
      </c>
      <c r="L381" t="s">
        <v>466</v>
      </c>
      <c r="O381">
        <v>7</v>
      </c>
      <c r="P381">
        <v>48.29</v>
      </c>
      <c r="Q381">
        <v>6</v>
      </c>
      <c r="R381" s="3" t="s">
        <v>470</v>
      </c>
      <c r="S381">
        <v>7</v>
      </c>
      <c r="T381" t="s">
        <v>468</v>
      </c>
    </row>
    <row r="382" spans="1:20" x14ac:dyDescent="0.25">
      <c r="A382">
        <v>459</v>
      </c>
      <c r="B382">
        <v>500458</v>
      </c>
      <c r="C382" t="s">
        <v>73</v>
      </c>
      <c r="D382">
        <v>2026</v>
      </c>
      <c r="E382">
        <v>27.879999160766602</v>
      </c>
      <c r="G382" t="s">
        <v>465</v>
      </c>
      <c r="H382">
        <v>33.990001678466797</v>
      </c>
      <c r="I382">
        <v>24</v>
      </c>
      <c r="L382" t="s">
        <v>466</v>
      </c>
      <c r="O382">
        <v>7</v>
      </c>
      <c r="P382">
        <v>48.29</v>
      </c>
      <c r="Q382">
        <v>6</v>
      </c>
      <c r="R382" s="3" t="s">
        <v>470</v>
      </c>
      <c r="S382">
        <v>7</v>
      </c>
      <c r="T382" t="s">
        <v>468</v>
      </c>
    </row>
    <row r="383" spans="1:20" x14ac:dyDescent="0.25">
      <c r="A383">
        <v>460</v>
      </c>
      <c r="B383">
        <v>500459</v>
      </c>
      <c r="C383" t="s">
        <v>75</v>
      </c>
      <c r="D383">
        <v>2015</v>
      </c>
      <c r="E383">
        <v>8714.900390625</v>
      </c>
      <c r="F383">
        <v>106.63</v>
      </c>
      <c r="G383" t="s">
        <v>465</v>
      </c>
      <c r="H383">
        <v>7435</v>
      </c>
      <c r="I383">
        <v>5580</v>
      </c>
      <c r="L383" t="s">
        <v>469</v>
      </c>
      <c r="M383">
        <v>69.727093688455412</v>
      </c>
      <c r="N383">
        <v>52.330488605458129</v>
      </c>
      <c r="O383">
        <f>IFERROR(VLOOKUP(B383,BSE_500_LIVE!A:E,3,FALSE),"")</f>
        <v>0</v>
      </c>
      <c r="P383">
        <f>IFERROR(VLOOKUP(B383,BSE_500_LIVE!A:E,4,FALSE),"")</f>
        <v>0</v>
      </c>
      <c r="Q383">
        <f>IFERROR(VLOOKUP(B383,BSE_500_LIVE!A:E,5,FALSE),"")</f>
        <v>0</v>
      </c>
      <c r="R383" t="str">
        <f t="shared" ref="R383:R406" si="4">IF(OR(E383="",O383=""),"PENDING_FETCH",IF(ABS(E383-O383)/E383&gt;0.005,"MISMATCH_NEEDS_CORRECTION","VERIFIED_OK"))</f>
        <v>MISMATCH_NEEDS_CORRECTION</v>
      </c>
      <c r="S383">
        <f t="shared" ref="S383:S406" si="5">IF(O383&lt;&gt;"",O383,E383)</f>
        <v>0</v>
      </c>
      <c r="T383">
        <f>IFERROR(VLOOKUP(B383,BSE_500_LIVE!A:F,6,FALSE),"")</f>
        <v>0</v>
      </c>
    </row>
    <row r="384" spans="1:20" x14ac:dyDescent="0.25">
      <c r="A384">
        <v>460</v>
      </c>
      <c r="B384">
        <v>500459</v>
      </c>
      <c r="C384" t="s">
        <v>75</v>
      </c>
      <c r="D384">
        <v>2016</v>
      </c>
      <c r="E384">
        <v>8714.900390625</v>
      </c>
      <c r="F384">
        <v>130.16</v>
      </c>
      <c r="G384" t="s">
        <v>465</v>
      </c>
      <c r="H384">
        <v>7279.85009765625</v>
      </c>
      <c r="I384">
        <v>5232.64990234375</v>
      </c>
      <c r="L384" t="s">
        <v>469</v>
      </c>
      <c r="M384">
        <v>55.930009969700762</v>
      </c>
      <c r="N384">
        <v>40.201674111430172</v>
      </c>
      <c r="O384">
        <f>IFERROR(VLOOKUP(B384,BSE_500_LIVE!A:E,3,FALSE),"")</f>
        <v>0</v>
      </c>
      <c r="P384">
        <f>IFERROR(VLOOKUP(B384,BSE_500_LIVE!A:E,4,FALSE),"")</f>
        <v>0</v>
      </c>
      <c r="Q384">
        <f>IFERROR(VLOOKUP(B384,BSE_500_LIVE!A:E,5,FALSE),"")</f>
        <v>0</v>
      </c>
      <c r="R384" t="str">
        <f t="shared" si="4"/>
        <v>MISMATCH_NEEDS_CORRECTION</v>
      </c>
      <c r="S384">
        <f t="shared" si="5"/>
        <v>0</v>
      </c>
      <c r="T384">
        <f>IFERROR(VLOOKUP(B384,BSE_500_LIVE!A:F,6,FALSE),"")</f>
        <v>0</v>
      </c>
    </row>
    <row r="385" spans="1:20" x14ac:dyDescent="0.25">
      <c r="A385">
        <v>460</v>
      </c>
      <c r="B385">
        <v>500459</v>
      </c>
      <c r="C385" t="s">
        <v>75</v>
      </c>
      <c r="D385">
        <v>2017</v>
      </c>
      <c r="E385">
        <v>8714.900390625</v>
      </c>
      <c r="F385">
        <v>133.31</v>
      </c>
      <c r="G385" t="s">
        <v>465</v>
      </c>
      <c r="H385">
        <v>9900</v>
      </c>
      <c r="I385">
        <v>6667</v>
      </c>
      <c r="L385" t="s">
        <v>469</v>
      </c>
      <c r="M385">
        <v>74.262996024304258</v>
      </c>
      <c r="N385">
        <v>50.011251969094587</v>
      </c>
      <c r="O385">
        <f>IFERROR(VLOOKUP(B385,BSE_500_LIVE!A:E,3,FALSE),"")</f>
        <v>0</v>
      </c>
      <c r="P385">
        <f>IFERROR(VLOOKUP(B385,BSE_500_LIVE!A:E,4,FALSE),"")</f>
        <v>0</v>
      </c>
      <c r="Q385">
        <f>IFERROR(VLOOKUP(B385,BSE_500_LIVE!A:E,5,FALSE),"")</f>
        <v>0</v>
      </c>
      <c r="R385" t="str">
        <f t="shared" si="4"/>
        <v>MISMATCH_NEEDS_CORRECTION</v>
      </c>
      <c r="S385">
        <f t="shared" si="5"/>
        <v>0</v>
      </c>
      <c r="T385">
        <f>IFERROR(VLOOKUP(B385,BSE_500_LIVE!A:F,6,FALSE),"")</f>
        <v>0</v>
      </c>
    </row>
    <row r="386" spans="1:20" x14ac:dyDescent="0.25">
      <c r="A386">
        <v>460</v>
      </c>
      <c r="B386">
        <v>500459</v>
      </c>
      <c r="C386" t="s">
        <v>75</v>
      </c>
      <c r="D386">
        <v>2018</v>
      </c>
      <c r="E386">
        <v>8714.900390625</v>
      </c>
      <c r="F386">
        <v>115.4</v>
      </c>
      <c r="G386" t="s">
        <v>465</v>
      </c>
      <c r="H386">
        <v>11000</v>
      </c>
      <c r="I386">
        <v>8714</v>
      </c>
      <c r="L386" t="s">
        <v>469</v>
      </c>
      <c r="M386">
        <v>95.320623916811087</v>
      </c>
      <c r="N386">
        <v>75.511265164644712</v>
      </c>
      <c r="O386">
        <f>IFERROR(VLOOKUP(B386,BSE_500_LIVE!A:E,3,FALSE),"")</f>
        <v>0</v>
      </c>
      <c r="P386">
        <f>IFERROR(VLOOKUP(B386,BSE_500_LIVE!A:E,4,FALSE),"")</f>
        <v>0</v>
      </c>
      <c r="Q386">
        <f>IFERROR(VLOOKUP(B386,BSE_500_LIVE!A:E,5,FALSE),"")</f>
        <v>0</v>
      </c>
      <c r="R386" t="str">
        <f t="shared" si="4"/>
        <v>MISMATCH_NEEDS_CORRECTION</v>
      </c>
      <c r="S386">
        <f t="shared" si="5"/>
        <v>0</v>
      </c>
      <c r="T386">
        <f>IFERROR(VLOOKUP(B386,BSE_500_LIVE!A:F,6,FALSE),"")</f>
        <v>0</v>
      </c>
    </row>
    <row r="387" spans="1:20" x14ac:dyDescent="0.25">
      <c r="A387">
        <v>460</v>
      </c>
      <c r="B387">
        <v>500459</v>
      </c>
      <c r="C387" t="s">
        <v>75</v>
      </c>
      <c r="D387">
        <v>2019</v>
      </c>
      <c r="E387">
        <v>8714.900390625</v>
      </c>
      <c r="F387">
        <v>129.12</v>
      </c>
      <c r="G387" t="s">
        <v>465</v>
      </c>
      <c r="H387">
        <v>12699.900390625</v>
      </c>
      <c r="I387">
        <v>9600</v>
      </c>
      <c r="L387" t="s">
        <v>469</v>
      </c>
      <c r="M387">
        <v>98.357345032721497</v>
      </c>
      <c r="N387">
        <v>74.34944237918215</v>
      </c>
      <c r="O387">
        <f>IFERROR(VLOOKUP(B387,BSE_500_LIVE!A:E,3,FALSE),"")</f>
        <v>0</v>
      </c>
      <c r="P387">
        <f>IFERROR(VLOOKUP(B387,BSE_500_LIVE!A:E,4,FALSE),"")</f>
        <v>0</v>
      </c>
      <c r="Q387">
        <f>IFERROR(VLOOKUP(B387,BSE_500_LIVE!A:E,5,FALSE),"")</f>
        <v>0</v>
      </c>
      <c r="R387" t="str">
        <f t="shared" si="4"/>
        <v>MISMATCH_NEEDS_CORRECTION</v>
      </c>
      <c r="S387">
        <f t="shared" si="5"/>
        <v>0</v>
      </c>
      <c r="T387">
        <f>IFERROR(VLOOKUP(B387,BSE_500_LIVE!A:F,6,FALSE),"")</f>
        <v>0</v>
      </c>
    </row>
    <row r="388" spans="1:20" x14ac:dyDescent="0.25">
      <c r="A388">
        <v>460</v>
      </c>
      <c r="B388">
        <v>500459</v>
      </c>
      <c r="C388" t="s">
        <v>75</v>
      </c>
      <c r="D388">
        <v>2020</v>
      </c>
      <c r="E388">
        <v>8714.900390625</v>
      </c>
      <c r="F388">
        <v>133.41999999999999</v>
      </c>
      <c r="G388" t="s">
        <v>465</v>
      </c>
      <c r="H388">
        <v>11870</v>
      </c>
      <c r="I388">
        <v>8500</v>
      </c>
      <c r="L388" t="s">
        <v>469</v>
      </c>
      <c r="M388">
        <v>88.967171338629896</v>
      </c>
      <c r="N388">
        <v>63.708589416879043</v>
      </c>
      <c r="O388">
        <f>IFERROR(VLOOKUP(B388,BSE_500_LIVE!A:E,3,FALSE),"")</f>
        <v>0</v>
      </c>
      <c r="P388">
        <f>IFERROR(VLOOKUP(B388,BSE_500_LIVE!A:E,4,FALSE),"")</f>
        <v>0</v>
      </c>
      <c r="Q388">
        <f>IFERROR(VLOOKUP(B388,BSE_500_LIVE!A:E,5,FALSE),"")</f>
        <v>0</v>
      </c>
      <c r="R388" t="str">
        <f t="shared" si="4"/>
        <v>MISMATCH_NEEDS_CORRECTION</v>
      </c>
      <c r="S388">
        <f t="shared" si="5"/>
        <v>0</v>
      </c>
      <c r="T388">
        <f>IFERROR(VLOOKUP(B388,BSE_500_LIVE!A:F,6,FALSE),"")</f>
        <v>0</v>
      </c>
    </row>
    <row r="389" spans="1:20" x14ac:dyDescent="0.25">
      <c r="A389">
        <v>460</v>
      </c>
      <c r="B389">
        <v>500459</v>
      </c>
      <c r="C389" t="s">
        <v>75</v>
      </c>
      <c r="D389">
        <v>2021</v>
      </c>
      <c r="E389">
        <v>8714.900390625</v>
      </c>
      <c r="F389">
        <v>200.79</v>
      </c>
      <c r="G389" t="s">
        <v>465</v>
      </c>
      <c r="H389">
        <v>16402</v>
      </c>
      <c r="I389">
        <v>10851</v>
      </c>
      <c r="L389" t="s">
        <v>469</v>
      </c>
      <c r="M389">
        <v>81.68733502664476</v>
      </c>
      <c r="N389">
        <v>54.041535933064402</v>
      </c>
      <c r="O389">
        <f>IFERROR(VLOOKUP(B389,BSE_500_LIVE!A:E,3,FALSE),"")</f>
        <v>0</v>
      </c>
      <c r="P389">
        <f>IFERROR(VLOOKUP(B389,BSE_500_LIVE!A:E,4,FALSE),"")</f>
        <v>0</v>
      </c>
      <c r="Q389">
        <f>IFERROR(VLOOKUP(B389,BSE_500_LIVE!A:E,5,FALSE),"")</f>
        <v>0</v>
      </c>
      <c r="R389" t="str">
        <f t="shared" si="4"/>
        <v>MISMATCH_NEEDS_CORRECTION</v>
      </c>
      <c r="S389">
        <f t="shared" si="5"/>
        <v>0</v>
      </c>
      <c r="T389">
        <f>IFERROR(VLOOKUP(B389,BSE_500_LIVE!A:F,6,FALSE),"")</f>
        <v>0</v>
      </c>
    </row>
    <row r="390" spans="1:20" x14ac:dyDescent="0.25">
      <c r="A390">
        <v>460</v>
      </c>
      <c r="B390">
        <v>500459</v>
      </c>
      <c r="C390" t="s">
        <v>75</v>
      </c>
      <c r="D390">
        <v>2022</v>
      </c>
      <c r="E390">
        <v>8714.900390625</v>
      </c>
      <c r="F390">
        <v>177.37</v>
      </c>
      <c r="G390" t="s">
        <v>465</v>
      </c>
      <c r="H390">
        <v>16466.400390625</v>
      </c>
      <c r="I390">
        <v>12751</v>
      </c>
      <c r="L390" t="s">
        <v>469</v>
      </c>
      <c r="M390">
        <v>92.83644579480746</v>
      </c>
      <c r="N390">
        <v>71.889271015391557</v>
      </c>
      <c r="O390">
        <f>IFERROR(VLOOKUP(B390,BSE_500_LIVE!A:E,3,FALSE),"")</f>
        <v>0</v>
      </c>
      <c r="P390">
        <f>IFERROR(VLOOKUP(B390,BSE_500_LIVE!A:E,4,FALSE),"")</f>
        <v>0</v>
      </c>
      <c r="Q390">
        <f>IFERROR(VLOOKUP(B390,BSE_500_LIVE!A:E,5,FALSE),"")</f>
        <v>0</v>
      </c>
      <c r="R390" t="str">
        <f t="shared" si="4"/>
        <v>MISMATCH_NEEDS_CORRECTION</v>
      </c>
      <c r="S390">
        <f t="shared" si="5"/>
        <v>0</v>
      </c>
      <c r="T390">
        <f>IFERROR(VLOOKUP(B390,BSE_500_LIVE!A:F,6,FALSE),"")</f>
        <v>0</v>
      </c>
    </row>
    <row r="391" spans="1:20" x14ac:dyDescent="0.25">
      <c r="A391">
        <v>460</v>
      </c>
      <c r="B391">
        <v>500459</v>
      </c>
      <c r="C391" t="s">
        <v>75</v>
      </c>
      <c r="D391">
        <v>2023</v>
      </c>
      <c r="E391">
        <v>8714.900390625</v>
      </c>
      <c r="F391">
        <v>208.91</v>
      </c>
      <c r="G391" t="s">
        <v>465</v>
      </c>
      <c r="H391">
        <v>19086.19921875</v>
      </c>
      <c r="I391">
        <v>13101.0498046875</v>
      </c>
      <c r="L391" t="s">
        <v>469</v>
      </c>
      <c r="M391">
        <v>91.360869363601552</v>
      </c>
      <c r="N391">
        <v>62.711453758496482</v>
      </c>
      <c r="O391">
        <f>IFERROR(VLOOKUP(B391,BSE_500_LIVE!A:E,3,FALSE),"")</f>
        <v>0</v>
      </c>
      <c r="P391">
        <f>IFERROR(VLOOKUP(B391,BSE_500_LIVE!A:E,4,FALSE),"")</f>
        <v>0</v>
      </c>
      <c r="Q391">
        <f>IFERROR(VLOOKUP(B391,BSE_500_LIVE!A:E,5,FALSE),"")</f>
        <v>0</v>
      </c>
      <c r="R391" t="str">
        <f t="shared" si="4"/>
        <v>MISMATCH_NEEDS_CORRECTION</v>
      </c>
      <c r="S391">
        <f t="shared" si="5"/>
        <v>0</v>
      </c>
      <c r="T391">
        <f>IFERROR(VLOOKUP(B391,BSE_500_LIVE!A:F,6,FALSE),"")</f>
        <v>0</v>
      </c>
    </row>
    <row r="392" spans="1:20" x14ac:dyDescent="0.25">
      <c r="A392">
        <v>460</v>
      </c>
      <c r="B392">
        <v>500459</v>
      </c>
      <c r="C392" t="s">
        <v>75</v>
      </c>
      <c r="D392">
        <v>2024</v>
      </c>
      <c r="E392">
        <v>8714.900390625</v>
      </c>
      <c r="F392">
        <v>207.95</v>
      </c>
      <c r="G392" t="s">
        <v>465</v>
      </c>
      <c r="H392">
        <v>17747.849609375</v>
      </c>
      <c r="I392">
        <v>14430.7001953125</v>
      </c>
      <c r="L392" t="s">
        <v>469</v>
      </c>
      <c r="M392">
        <v>85.346716082591968</v>
      </c>
      <c r="N392">
        <v>69.395047825498921</v>
      </c>
      <c r="O392">
        <f>IFERROR(VLOOKUP(B392,BSE_500_LIVE!A:E,3,FALSE),"")</f>
        <v>0</v>
      </c>
      <c r="P392">
        <f>IFERROR(VLOOKUP(B392,BSE_500_LIVE!A:E,4,FALSE),"")</f>
        <v>0</v>
      </c>
      <c r="Q392">
        <f>IFERROR(VLOOKUP(B392,BSE_500_LIVE!A:E,5,FALSE),"")</f>
        <v>0</v>
      </c>
      <c r="R392" t="str">
        <f t="shared" si="4"/>
        <v>MISMATCH_NEEDS_CORRECTION</v>
      </c>
      <c r="S392">
        <f t="shared" si="5"/>
        <v>0</v>
      </c>
      <c r="T392">
        <f>IFERROR(VLOOKUP(B392,BSE_500_LIVE!A:F,6,FALSE),"")</f>
        <v>0</v>
      </c>
    </row>
    <row r="393" spans="1:20" x14ac:dyDescent="0.25">
      <c r="A393">
        <v>460</v>
      </c>
      <c r="B393">
        <v>500459</v>
      </c>
      <c r="C393" t="s">
        <v>75</v>
      </c>
      <c r="D393">
        <v>2025</v>
      </c>
      <c r="E393">
        <v>8714.900390625</v>
      </c>
      <c r="F393">
        <v>196.11</v>
      </c>
      <c r="G393" t="s">
        <v>465</v>
      </c>
      <c r="H393">
        <v>14867.5498046875</v>
      </c>
      <c r="I393">
        <v>12140.150390625</v>
      </c>
      <c r="L393" t="s">
        <v>469</v>
      </c>
      <c r="M393">
        <v>75.812298223892199</v>
      </c>
      <c r="N393">
        <v>61.904800319336083</v>
      </c>
      <c r="O393">
        <f>IFERROR(VLOOKUP(B393,BSE_500_LIVE!A:E,3,FALSE),"")</f>
        <v>0</v>
      </c>
      <c r="P393">
        <f>IFERROR(VLOOKUP(B393,BSE_500_LIVE!A:E,4,FALSE),"")</f>
        <v>0</v>
      </c>
      <c r="Q393">
        <f>IFERROR(VLOOKUP(B393,BSE_500_LIVE!A:E,5,FALSE),"")</f>
        <v>0</v>
      </c>
      <c r="R393" t="str">
        <f t="shared" si="4"/>
        <v>MISMATCH_NEEDS_CORRECTION</v>
      </c>
      <c r="S393">
        <f t="shared" si="5"/>
        <v>0</v>
      </c>
      <c r="T393">
        <f>IFERROR(VLOOKUP(B393,BSE_500_LIVE!A:F,6,FALSE),"")</f>
        <v>0</v>
      </c>
    </row>
    <row r="394" spans="1:20" x14ac:dyDescent="0.25">
      <c r="A394">
        <v>460</v>
      </c>
      <c r="B394">
        <v>500459</v>
      </c>
      <c r="C394" t="s">
        <v>75</v>
      </c>
      <c r="D394">
        <v>2026</v>
      </c>
      <c r="E394">
        <v>8714.900390625</v>
      </c>
      <c r="F394">
        <v>263.86</v>
      </c>
      <c r="G394" t="s">
        <v>465</v>
      </c>
      <c r="H394">
        <v>13501.0498046875</v>
      </c>
      <c r="I394">
        <v>8697</v>
      </c>
      <c r="L394" t="s">
        <v>469</v>
      </c>
      <c r="M394">
        <v>51.167474436017201</v>
      </c>
      <c r="N394">
        <v>32.960660956567878</v>
      </c>
      <c r="O394">
        <f>IFERROR(VLOOKUP(B394,BSE_500_LIVE!A:E,3,FALSE),"")</f>
        <v>0</v>
      </c>
      <c r="P394">
        <f>IFERROR(VLOOKUP(B394,BSE_500_LIVE!A:E,4,FALSE),"")</f>
        <v>0</v>
      </c>
      <c r="Q394">
        <f>IFERROR(VLOOKUP(B394,BSE_500_LIVE!A:E,5,FALSE),"")</f>
        <v>0</v>
      </c>
      <c r="R394" t="str">
        <f t="shared" si="4"/>
        <v>MISMATCH_NEEDS_CORRECTION</v>
      </c>
      <c r="S394">
        <f t="shared" si="5"/>
        <v>0</v>
      </c>
      <c r="T394">
        <f>IFERROR(VLOOKUP(B394,BSE_500_LIVE!A:F,6,FALSE),"")</f>
        <v>0</v>
      </c>
    </row>
    <row r="395" spans="1:20" x14ac:dyDescent="0.25">
      <c r="A395">
        <v>464</v>
      </c>
      <c r="B395">
        <v>500463</v>
      </c>
      <c r="C395" t="s">
        <v>77</v>
      </c>
      <c r="D395">
        <v>2015</v>
      </c>
      <c r="E395">
        <v>775.3499755859375</v>
      </c>
      <c r="F395">
        <v>1.04</v>
      </c>
      <c r="G395" t="s">
        <v>465</v>
      </c>
      <c r="H395">
        <v>31.579999923706051</v>
      </c>
      <c r="I395">
        <v>14.510000228881839</v>
      </c>
      <c r="L395" t="s">
        <v>469</v>
      </c>
      <c r="M395">
        <v>30.365384542025051</v>
      </c>
      <c r="N395">
        <v>13.95192329700177</v>
      </c>
      <c r="O395">
        <f>IFERROR(VLOOKUP(B395,BSE_500_LIVE!A:E,3,FALSE),"")</f>
        <v>0</v>
      </c>
      <c r="P395">
        <f>IFERROR(VLOOKUP(B395,BSE_500_LIVE!A:E,4,FALSE),"")</f>
        <v>0</v>
      </c>
      <c r="Q395">
        <f>IFERROR(VLOOKUP(B395,BSE_500_LIVE!A:E,5,FALSE),"")</f>
        <v>0</v>
      </c>
      <c r="R395" t="str">
        <f t="shared" si="4"/>
        <v>MISMATCH_NEEDS_CORRECTION</v>
      </c>
      <c r="S395">
        <f t="shared" si="5"/>
        <v>0</v>
      </c>
      <c r="T395">
        <f>IFERROR(VLOOKUP(B395,BSE_500_LIVE!A:F,6,FALSE),"")</f>
        <v>0</v>
      </c>
    </row>
    <row r="396" spans="1:20" x14ac:dyDescent="0.25">
      <c r="A396">
        <v>464</v>
      </c>
      <c r="B396">
        <v>500463</v>
      </c>
      <c r="C396" t="s">
        <v>77</v>
      </c>
      <c r="D396">
        <v>2016</v>
      </c>
      <c r="E396">
        <v>775.3499755859375</v>
      </c>
      <c r="F396">
        <v>-2.4300000000000002</v>
      </c>
      <c r="G396" t="s">
        <v>465</v>
      </c>
      <c r="H396">
        <v>22.469999313354489</v>
      </c>
      <c r="I396">
        <v>11.319999694824221</v>
      </c>
      <c r="L396" t="s">
        <v>471</v>
      </c>
      <c r="M396">
        <v>-9.246913297676743</v>
      </c>
      <c r="N396">
        <v>-4.6584360884050291</v>
      </c>
      <c r="O396">
        <f>IFERROR(VLOOKUP(B396,BSE_500_LIVE!A:E,3,FALSE),"")</f>
        <v>0</v>
      </c>
      <c r="P396">
        <f>IFERROR(VLOOKUP(B396,BSE_500_LIVE!A:E,4,FALSE),"")</f>
        <v>0</v>
      </c>
      <c r="Q396">
        <f>IFERROR(VLOOKUP(B396,BSE_500_LIVE!A:E,5,FALSE),"")</f>
        <v>0</v>
      </c>
      <c r="R396" t="str">
        <f t="shared" si="4"/>
        <v>MISMATCH_NEEDS_CORRECTION</v>
      </c>
      <c r="S396">
        <f t="shared" si="5"/>
        <v>0</v>
      </c>
      <c r="T396">
        <f>IFERROR(VLOOKUP(B396,BSE_500_LIVE!A:F,6,FALSE),"")</f>
        <v>0</v>
      </c>
    </row>
    <row r="397" spans="1:20" x14ac:dyDescent="0.25">
      <c r="A397">
        <v>464</v>
      </c>
      <c r="B397">
        <v>500463</v>
      </c>
      <c r="C397" t="s">
        <v>77</v>
      </c>
      <c r="D397">
        <v>2017</v>
      </c>
      <c r="E397">
        <v>775.3499755859375</v>
      </c>
      <c r="F397">
        <v>0.73</v>
      </c>
      <c r="G397" t="s">
        <v>465</v>
      </c>
      <c r="H397">
        <v>34.139999389648438</v>
      </c>
      <c r="I397">
        <v>16.39999961853027</v>
      </c>
      <c r="L397" t="s">
        <v>469</v>
      </c>
      <c r="M397">
        <v>46.767122451573201</v>
      </c>
      <c r="N397">
        <v>22.465752902096259</v>
      </c>
      <c r="O397">
        <f>IFERROR(VLOOKUP(B397,BSE_500_LIVE!A:E,3,FALSE),"")</f>
        <v>0</v>
      </c>
      <c r="P397">
        <f>IFERROR(VLOOKUP(B397,BSE_500_LIVE!A:E,4,FALSE),"")</f>
        <v>0</v>
      </c>
      <c r="Q397">
        <f>IFERROR(VLOOKUP(B397,BSE_500_LIVE!A:E,5,FALSE),"")</f>
        <v>0</v>
      </c>
      <c r="R397" t="str">
        <f t="shared" si="4"/>
        <v>MISMATCH_NEEDS_CORRECTION</v>
      </c>
      <c r="S397">
        <f t="shared" si="5"/>
        <v>0</v>
      </c>
      <c r="T397">
        <f>IFERROR(VLOOKUP(B397,BSE_500_LIVE!A:F,6,FALSE),"")</f>
        <v>0</v>
      </c>
    </row>
    <row r="398" spans="1:20" x14ac:dyDescent="0.25">
      <c r="A398">
        <v>464</v>
      </c>
      <c r="B398">
        <v>500463</v>
      </c>
      <c r="C398" t="s">
        <v>77</v>
      </c>
      <c r="D398">
        <v>2018</v>
      </c>
      <c r="E398">
        <v>775.3499755859375</v>
      </c>
      <c r="F398">
        <v>1.05</v>
      </c>
      <c r="G398" t="s">
        <v>465</v>
      </c>
      <c r="H398">
        <v>28.39999961853027</v>
      </c>
      <c r="I398">
        <v>9.1999998092651367</v>
      </c>
      <c r="L398" t="s">
        <v>469</v>
      </c>
      <c r="M398">
        <v>27.047618684314539</v>
      </c>
      <c r="N398">
        <v>8.7619045802525104</v>
      </c>
      <c r="O398">
        <f>IFERROR(VLOOKUP(B398,BSE_500_LIVE!A:E,3,FALSE),"")</f>
        <v>0</v>
      </c>
      <c r="P398">
        <f>IFERROR(VLOOKUP(B398,BSE_500_LIVE!A:E,4,FALSE),"")</f>
        <v>0</v>
      </c>
      <c r="Q398">
        <f>IFERROR(VLOOKUP(B398,BSE_500_LIVE!A:E,5,FALSE),"")</f>
        <v>0</v>
      </c>
      <c r="R398" t="str">
        <f t="shared" si="4"/>
        <v>MISMATCH_NEEDS_CORRECTION</v>
      </c>
      <c r="S398">
        <f t="shared" si="5"/>
        <v>0</v>
      </c>
      <c r="T398">
        <f>IFERROR(VLOOKUP(B398,BSE_500_LIVE!A:F,6,FALSE),"")</f>
        <v>0</v>
      </c>
    </row>
    <row r="399" spans="1:20" x14ac:dyDescent="0.25">
      <c r="A399">
        <v>464</v>
      </c>
      <c r="B399">
        <v>500463</v>
      </c>
      <c r="C399" t="s">
        <v>77</v>
      </c>
      <c r="D399">
        <v>2019</v>
      </c>
      <c r="E399">
        <v>775.3499755859375</v>
      </c>
      <c r="F399">
        <v>-5.3</v>
      </c>
      <c r="G399" t="s">
        <v>465</v>
      </c>
      <c r="H399">
        <v>31.979999542236332</v>
      </c>
      <c r="I399">
        <v>14.60000038146973</v>
      </c>
      <c r="L399" t="s">
        <v>471</v>
      </c>
      <c r="M399">
        <v>-6.03396217778044</v>
      </c>
      <c r="N399">
        <v>-2.754717053107496</v>
      </c>
      <c r="O399">
        <f>IFERROR(VLOOKUP(B399,BSE_500_LIVE!A:E,3,FALSE),"")</f>
        <v>0</v>
      </c>
      <c r="P399">
        <f>IFERROR(VLOOKUP(B399,BSE_500_LIVE!A:E,4,FALSE),"")</f>
        <v>0</v>
      </c>
      <c r="Q399">
        <f>IFERROR(VLOOKUP(B399,BSE_500_LIVE!A:E,5,FALSE),"")</f>
        <v>0</v>
      </c>
      <c r="R399" t="str">
        <f t="shared" si="4"/>
        <v>MISMATCH_NEEDS_CORRECTION</v>
      </c>
      <c r="S399">
        <f t="shared" si="5"/>
        <v>0</v>
      </c>
      <c r="T399">
        <f>IFERROR(VLOOKUP(B399,BSE_500_LIVE!A:F,6,FALSE),"")</f>
        <v>0</v>
      </c>
    </row>
    <row r="400" spans="1:20" x14ac:dyDescent="0.25">
      <c r="A400">
        <v>464</v>
      </c>
      <c r="B400">
        <v>500463</v>
      </c>
      <c r="C400" t="s">
        <v>77</v>
      </c>
      <c r="D400">
        <v>2020</v>
      </c>
      <c r="E400">
        <v>775.3499755859375</v>
      </c>
      <c r="F400">
        <v>-5.38</v>
      </c>
      <c r="G400" t="s">
        <v>465</v>
      </c>
      <c r="H400">
        <v>164.78999328613281</v>
      </c>
      <c r="I400">
        <v>28.129999160766602</v>
      </c>
      <c r="L400" t="s">
        <v>471</v>
      </c>
      <c r="M400">
        <v>-30.63011027623287</v>
      </c>
      <c r="N400">
        <v>-5.2286243793246472</v>
      </c>
      <c r="O400">
        <f>IFERROR(VLOOKUP(B400,BSE_500_LIVE!A:E,3,FALSE),"")</f>
        <v>0</v>
      </c>
      <c r="P400">
        <f>IFERROR(VLOOKUP(B400,BSE_500_LIVE!A:E,4,FALSE),"")</f>
        <v>0</v>
      </c>
      <c r="Q400">
        <f>IFERROR(VLOOKUP(B400,BSE_500_LIVE!A:E,5,FALSE),"")</f>
        <v>0</v>
      </c>
      <c r="R400" t="str">
        <f t="shared" si="4"/>
        <v>MISMATCH_NEEDS_CORRECTION</v>
      </c>
      <c r="S400">
        <f t="shared" si="5"/>
        <v>0</v>
      </c>
      <c r="T400">
        <f>IFERROR(VLOOKUP(B400,BSE_500_LIVE!A:F,6,FALSE),"")</f>
        <v>0</v>
      </c>
    </row>
    <row r="401" spans="1:20" x14ac:dyDescent="0.25">
      <c r="A401">
        <v>464</v>
      </c>
      <c r="B401">
        <v>500463</v>
      </c>
      <c r="C401" t="s">
        <v>77</v>
      </c>
      <c r="D401">
        <v>2021</v>
      </c>
      <c r="E401">
        <v>775.3499755859375</v>
      </c>
      <c r="F401">
        <v>4.8</v>
      </c>
      <c r="G401" t="s">
        <v>465</v>
      </c>
      <c r="H401">
        <v>354.20001220703119</v>
      </c>
      <c r="I401">
        <v>142.19999694824219</v>
      </c>
      <c r="L401" t="s">
        <v>469</v>
      </c>
      <c r="M401">
        <v>73.791669209798172</v>
      </c>
      <c r="N401">
        <v>29.624999364217121</v>
      </c>
      <c r="O401">
        <f>IFERROR(VLOOKUP(B401,BSE_500_LIVE!A:E,3,FALSE),"")</f>
        <v>0</v>
      </c>
      <c r="P401">
        <f>IFERROR(VLOOKUP(B401,BSE_500_LIVE!A:E,4,FALSE),"")</f>
        <v>0</v>
      </c>
      <c r="Q401">
        <f>IFERROR(VLOOKUP(B401,BSE_500_LIVE!A:E,5,FALSE),"")</f>
        <v>0</v>
      </c>
      <c r="R401" t="str">
        <f t="shared" si="4"/>
        <v>MISMATCH_NEEDS_CORRECTION</v>
      </c>
      <c r="S401">
        <f t="shared" si="5"/>
        <v>0</v>
      </c>
      <c r="T401">
        <f>IFERROR(VLOOKUP(B401,BSE_500_LIVE!A:F,6,FALSE),"")</f>
        <v>0</v>
      </c>
    </row>
    <row r="402" spans="1:20" x14ac:dyDescent="0.25">
      <c r="A402">
        <v>464</v>
      </c>
      <c r="B402">
        <v>500463</v>
      </c>
      <c r="C402" t="s">
        <v>77</v>
      </c>
      <c r="D402">
        <v>2022</v>
      </c>
      <c r="E402">
        <v>775.3499755859375</v>
      </c>
      <c r="F402">
        <v>4.43</v>
      </c>
      <c r="G402" t="s">
        <v>465</v>
      </c>
      <c r="H402">
        <v>214.78999328613281</v>
      </c>
      <c r="I402">
        <v>120.09999847412109</v>
      </c>
      <c r="L402" t="s">
        <v>469</v>
      </c>
      <c r="M402">
        <v>48.485325798224117</v>
      </c>
      <c r="N402">
        <v>27.110609136370449</v>
      </c>
      <c r="O402">
        <f>IFERROR(VLOOKUP(B402,BSE_500_LIVE!A:E,3,FALSE),"")</f>
        <v>0</v>
      </c>
      <c r="P402">
        <f>IFERROR(VLOOKUP(B402,BSE_500_LIVE!A:E,4,FALSE),"")</f>
        <v>0</v>
      </c>
      <c r="Q402">
        <f>IFERROR(VLOOKUP(B402,BSE_500_LIVE!A:E,5,FALSE),"")</f>
        <v>0</v>
      </c>
      <c r="R402" t="str">
        <f t="shared" si="4"/>
        <v>MISMATCH_NEEDS_CORRECTION</v>
      </c>
      <c r="S402">
        <f t="shared" si="5"/>
        <v>0</v>
      </c>
      <c r="T402">
        <f>IFERROR(VLOOKUP(B402,BSE_500_LIVE!A:F,6,FALSE),"")</f>
        <v>0</v>
      </c>
    </row>
    <row r="403" spans="1:20" x14ac:dyDescent="0.25">
      <c r="A403">
        <v>464</v>
      </c>
      <c r="B403">
        <v>500463</v>
      </c>
      <c r="C403" t="s">
        <v>77</v>
      </c>
      <c r="D403">
        <v>2023</v>
      </c>
      <c r="E403">
        <v>775.3499755859375</v>
      </c>
      <c r="F403">
        <v>1.41</v>
      </c>
      <c r="G403" t="s">
        <v>465</v>
      </c>
      <c r="H403">
        <v>291.70001220703119</v>
      </c>
      <c r="I403">
        <v>84.400001525878906</v>
      </c>
      <c r="L403" t="s">
        <v>469</v>
      </c>
      <c r="M403">
        <v>206.87944128158239</v>
      </c>
      <c r="N403">
        <v>59.858157110552419</v>
      </c>
      <c r="O403">
        <f>IFERROR(VLOOKUP(B403,BSE_500_LIVE!A:E,3,FALSE),"")</f>
        <v>0</v>
      </c>
      <c r="P403">
        <f>IFERROR(VLOOKUP(B403,BSE_500_LIVE!A:E,4,FALSE),"")</f>
        <v>0</v>
      </c>
      <c r="Q403">
        <f>IFERROR(VLOOKUP(B403,BSE_500_LIVE!A:E,5,FALSE),"")</f>
        <v>0</v>
      </c>
      <c r="R403" t="str">
        <f t="shared" si="4"/>
        <v>MISMATCH_NEEDS_CORRECTION</v>
      </c>
      <c r="S403">
        <f t="shared" si="5"/>
        <v>0</v>
      </c>
      <c r="T403">
        <f>IFERROR(VLOOKUP(B403,BSE_500_LIVE!A:F,6,FALSE),"")</f>
        <v>0</v>
      </c>
    </row>
    <row r="404" spans="1:20" x14ac:dyDescent="0.25">
      <c r="A404">
        <v>464</v>
      </c>
      <c r="B404">
        <v>500463</v>
      </c>
      <c r="C404" t="s">
        <v>77</v>
      </c>
      <c r="D404">
        <v>2024</v>
      </c>
      <c r="E404">
        <v>775.3499755859375</v>
      </c>
      <c r="F404">
        <v>8.19</v>
      </c>
      <c r="G404" t="s">
        <v>465</v>
      </c>
      <c r="H404">
        <v>715.79998779296875</v>
      </c>
      <c r="I404">
        <v>210.1000061035156</v>
      </c>
      <c r="L404" t="s">
        <v>469</v>
      </c>
      <c r="M404">
        <v>87.399265908787399</v>
      </c>
      <c r="N404">
        <v>25.653236398475659</v>
      </c>
      <c r="O404">
        <f>IFERROR(VLOOKUP(B404,BSE_500_LIVE!A:E,3,FALSE),"")</f>
        <v>0</v>
      </c>
      <c r="P404">
        <f>IFERROR(VLOOKUP(B404,BSE_500_LIVE!A:E,4,FALSE),"")</f>
        <v>0</v>
      </c>
      <c r="Q404">
        <f>IFERROR(VLOOKUP(B404,BSE_500_LIVE!A:E,5,FALSE),"")</f>
        <v>0</v>
      </c>
      <c r="R404" t="str">
        <f t="shared" si="4"/>
        <v>MISMATCH_NEEDS_CORRECTION</v>
      </c>
      <c r="S404">
        <f t="shared" si="5"/>
        <v>0</v>
      </c>
      <c r="T404">
        <f>IFERROR(VLOOKUP(B404,BSE_500_LIVE!A:F,6,FALSE),"")</f>
        <v>0</v>
      </c>
    </row>
    <row r="405" spans="1:20" x14ac:dyDescent="0.25">
      <c r="A405">
        <v>464</v>
      </c>
      <c r="B405">
        <v>500463</v>
      </c>
      <c r="C405" t="s">
        <v>77</v>
      </c>
      <c r="D405">
        <v>2025</v>
      </c>
      <c r="E405">
        <v>775.3499755859375</v>
      </c>
      <c r="F405">
        <v>12.09</v>
      </c>
      <c r="G405" t="s">
        <v>465</v>
      </c>
      <c r="H405">
        <v>695.9000244140625</v>
      </c>
      <c r="I405">
        <v>321</v>
      </c>
      <c r="L405" t="s">
        <v>469</v>
      </c>
      <c r="M405">
        <v>57.559968934165632</v>
      </c>
      <c r="N405">
        <v>26.550868486352361</v>
      </c>
      <c r="O405">
        <f>IFERROR(VLOOKUP(B405,BSE_500_LIVE!A:E,3,FALSE),"")</f>
        <v>0</v>
      </c>
      <c r="P405">
        <f>IFERROR(VLOOKUP(B405,BSE_500_LIVE!A:E,4,FALSE),"")</f>
        <v>0</v>
      </c>
      <c r="Q405">
        <f>IFERROR(VLOOKUP(B405,BSE_500_LIVE!A:E,5,FALSE),"")</f>
        <v>0</v>
      </c>
      <c r="R405" t="str">
        <f t="shared" si="4"/>
        <v>MISMATCH_NEEDS_CORRECTION</v>
      </c>
      <c r="S405">
        <f t="shared" si="5"/>
        <v>0</v>
      </c>
      <c r="T405">
        <f>IFERROR(VLOOKUP(B405,BSE_500_LIVE!A:F,6,FALSE),"")</f>
        <v>0</v>
      </c>
    </row>
    <row r="406" spans="1:20" x14ac:dyDescent="0.25">
      <c r="A406">
        <v>464</v>
      </c>
      <c r="B406">
        <v>500463</v>
      </c>
      <c r="C406" t="s">
        <v>77</v>
      </c>
      <c r="D406">
        <v>2026</v>
      </c>
      <c r="E406">
        <v>775.3499755859375</v>
      </c>
      <c r="F406">
        <v>12.25</v>
      </c>
      <c r="G406" t="s">
        <v>465</v>
      </c>
      <c r="H406">
        <v>1104.300048828125</v>
      </c>
      <c r="I406">
        <v>444</v>
      </c>
      <c r="L406" t="s">
        <v>469</v>
      </c>
      <c r="M406">
        <v>90.146942761479593</v>
      </c>
      <c r="N406">
        <v>36.244897959183668</v>
      </c>
      <c r="O406">
        <f>IFERROR(VLOOKUP(B406,BSE_500_LIVE!A:E,3,FALSE),"")</f>
        <v>0</v>
      </c>
      <c r="P406">
        <f>IFERROR(VLOOKUP(B406,BSE_500_LIVE!A:E,4,FALSE),"")</f>
        <v>0</v>
      </c>
      <c r="Q406">
        <f>IFERROR(VLOOKUP(B406,BSE_500_LIVE!A:E,5,FALSE),"")</f>
        <v>0</v>
      </c>
      <c r="R406" t="str">
        <f t="shared" si="4"/>
        <v>MISMATCH_NEEDS_CORRECTION</v>
      </c>
      <c r="S406">
        <f t="shared" si="5"/>
        <v>0</v>
      </c>
      <c r="T406">
        <f>IFERROR(VLOOKUP(B406,BSE_500_LIVE!A:F,6,FALSE),"")</f>
        <v>0</v>
      </c>
    </row>
    <row r="407" spans="1:20" x14ac:dyDescent="0.25">
      <c r="A407">
        <v>468</v>
      </c>
      <c r="B407">
        <v>500467</v>
      </c>
      <c r="C407" t="s">
        <v>79</v>
      </c>
      <c r="D407">
        <v>2015</v>
      </c>
      <c r="E407">
        <v>219.05000305175781</v>
      </c>
      <c r="F407">
        <v>-19.059999999999999</v>
      </c>
      <c r="G407" t="s">
        <v>465</v>
      </c>
      <c r="H407">
        <v>65</v>
      </c>
      <c r="I407">
        <v>39.700000762939453</v>
      </c>
      <c r="L407" t="s">
        <v>471</v>
      </c>
      <c r="M407">
        <v>-3.4102833158447008</v>
      </c>
      <c r="N407">
        <v>-2.0828961575519132</v>
      </c>
      <c r="O407">
        <v>215.2</v>
      </c>
      <c r="P407">
        <v>267.64999999999998</v>
      </c>
      <c r="Q407">
        <v>156</v>
      </c>
      <c r="R407" s="2" t="s">
        <v>467</v>
      </c>
      <c r="S407">
        <v>215.2</v>
      </c>
      <c r="T407" t="s">
        <v>468</v>
      </c>
    </row>
    <row r="408" spans="1:20" x14ac:dyDescent="0.25">
      <c r="A408">
        <v>468</v>
      </c>
      <c r="B408">
        <v>500467</v>
      </c>
      <c r="C408" t="s">
        <v>79</v>
      </c>
      <c r="D408">
        <v>2016</v>
      </c>
      <c r="E408">
        <v>219.05000305175781</v>
      </c>
      <c r="F408">
        <v>-24.69</v>
      </c>
      <c r="G408" t="s">
        <v>465</v>
      </c>
      <c r="H408">
        <v>93.400001525878906</v>
      </c>
      <c r="I408">
        <v>39.799999237060547</v>
      </c>
      <c r="L408" t="s">
        <v>471</v>
      </c>
      <c r="M408">
        <v>-3.782908121744792</v>
      </c>
      <c r="N408">
        <v>-1.611988628475518</v>
      </c>
      <c r="O408">
        <v>215.2</v>
      </c>
      <c r="P408">
        <v>267.64999999999998</v>
      </c>
      <c r="Q408">
        <v>156</v>
      </c>
      <c r="R408" s="2" t="s">
        <v>467</v>
      </c>
      <c r="S408">
        <v>215.2</v>
      </c>
      <c r="T408" t="s">
        <v>468</v>
      </c>
    </row>
    <row r="409" spans="1:20" x14ac:dyDescent="0.25">
      <c r="A409">
        <v>468</v>
      </c>
      <c r="B409">
        <v>500467</v>
      </c>
      <c r="C409" t="s">
        <v>79</v>
      </c>
      <c r="D409">
        <v>2017</v>
      </c>
      <c r="E409">
        <v>219.05000305175781</v>
      </c>
      <c r="F409">
        <v>2.21</v>
      </c>
      <c r="G409" t="s">
        <v>465</v>
      </c>
      <c r="H409">
        <v>124.90000152587891</v>
      </c>
      <c r="I409">
        <v>69.800003051757813</v>
      </c>
      <c r="L409" t="s">
        <v>469</v>
      </c>
      <c r="M409">
        <v>56.515837794515342</v>
      </c>
      <c r="N409">
        <v>31.583711788125711</v>
      </c>
      <c r="O409">
        <v>215.2</v>
      </c>
      <c r="P409">
        <v>267.64999999999998</v>
      </c>
      <c r="Q409">
        <v>156</v>
      </c>
      <c r="R409" s="2" t="s">
        <v>467</v>
      </c>
      <c r="S409">
        <v>215.2</v>
      </c>
      <c r="T409" t="s">
        <v>468</v>
      </c>
    </row>
    <row r="410" spans="1:20" x14ac:dyDescent="0.25">
      <c r="A410">
        <v>468</v>
      </c>
      <c r="B410">
        <v>500467</v>
      </c>
      <c r="C410" t="s">
        <v>79</v>
      </c>
      <c r="D410">
        <v>2018</v>
      </c>
      <c r="E410">
        <v>219.05000305175781</v>
      </c>
      <c r="F410">
        <v>2.41</v>
      </c>
      <c r="G410" t="s">
        <v>465</v>
      </c>
      <c r="H410">
        <v>124.90000152587891</v>
      </c>
      <c r="I410">
        <v>71.5</v>
      </c>
      <c r="L410" t="s">
        <v>469</v>
      </c>
      <c r="M410">
        <v>51.825726774223611</v>
      </c>
      <c r="N410">
        <v>29.668049792531122</v>
      </c>
      <c r="O410">
        <v>215.2</v>
      </c>
      <c r="P410">
        <v>267.64999999999998</v>
      </c>
      <c r="Q410">
        <v>156</v>
      </c>
      <c r="R410" s="2" t="s">
        <v>467</v>
      </c>
      <c r="S410">
        <v>215.2</v>
      </c>
      <c r="T410" t="s">
        <v>468</v>
      </c>
    </row>
    <row r="411" spans="1:20" x14ac:dyDescent="0.25">
      <c r="A411">
        <v>468</v>
      </c>
      <c r="B411">
        <v>500467</v>
      </c>
      <c r="C411" t="s">
        <v>79</v>
      </c>
      <c r="D411">
        <v>2019</v>
      </c>
      <c r="E411">
        <v>219.05000305175781</v>
      </c>
      <c r="F411">
        <v>-13.02</v>
      </c>
      <c r="G411" t="s">
        <v>465</v>
      </c>
      <c r="H411">
        <v>88.050003051757813</v>
      </c>
      <c r="I411">
        <v>44.099998474121087</v>
      </c>
      <c r="L411" t="s">
        <v>471</v>
      </c>
      <c r="M411">
        <v>-6.7626730454499091</v>
      </c>
      <c r="N411">
        <v>-3.3870966569985481</v>
      </c>
      <c r="O411">
        <v>215.2</v>
      </c>
      <c r="P411">
        <v>267.64999999999998</v>
      </c>
      <c r="Q411">
        <v>156</v>
      </c>
      <c r="R411" s="2" t="s">
        <v>467</v>
      </c>
      <c r="S411">
        <v>215.2</v>
      </c>
      <c r="T411" t="s">
        <v>468</v>
      </c>
    </row>
    <row r="412" spans="1:20" x14ac:dyDescent="0.25">
      <c r="A412">
        <v>468</v>
      </c>
      <c r="B412">
        <v>500467</v>
      </c>
      <c r="C412" t="s">
        <v>79</v>
      </c>
      <c r="D412">
        <v>2020</v>
      </c>
      <c r="E412">
        <v>219.05000305175781</v>
      </c>
      <c r="F412">
        <v>5.01</v>
      </c>
      <c r="G412" t="s">
        <v>465</v>
      </c>
      <c r="H412">
        <v>144.1499938964844</v>
      </c>
      <c r="I412">
        <v>46.400001525878913</v>
      </c>
      <c r="L412" t="s">
        <v>469</v>
      </c>
      <c r="M412">
        <v>28.772453871553779</v>
      </c>
      <c r="N412">
        <v>9.2614773504748342</v>
      </c>
      <c r="O412">
        <v>215.2</v>
      </c>
      <c r="P412">
        <v>267.64999999999998</v>
      </c>
      <c r="Q412">
        <v>156</v>
      </c>
      <c r="R412" s="2" t="s">
        <v>467</v>
      </c>
      <c r="S412">
        <v>215.2</v>
      </c>
      <c r="T412" t="s">
        <v>468</v>
      </c>
    </row>
    <row r="413" spans="1:20" x14ac:dyDescent="0.25">
      <c r="A413">
        <v>468</v>
      </c>
      <c r="B413">
        <v>500467</v>
      </c>
      <c r="C413" t="s">
        <v>79</v>
      </c>
      <c r="D413">
        <v>2021</v>
      </c>
      <c r="E413">
        <v>219.05000305175781</v>
      </c>
      <c r="F413">
        <v>21.85</v>
      </c>
      <c r="G413" t="s">
        <v>465</v>
      </c>
      <c r="H413">
        <v>250</v>
      </c>
      <c r="I413">
        <v>113.65000152587891</v>
      </c>
      <c r="L413" t="s">
        <v>469</v>
      </c>
      <c r="M413">
        <v>11.441647597254001</v>
      </c>
      <c r="N413">
        <v>5.2013730675459451</v>
      </c>
      <c r="O413">
        <v>215.2</v>
      </c>
      <c r="P413">
        <v>267.64999999999998</v>
      </c>
      <c r="Q413">
        <v>156</v>
      </c>
      <c r="R413" s="2" t="s">
        <v>467</v>
      </c>
      <c r="S413">
        <v>215.2</v>
      </c>
      <c r="T413" t="s">
        <v>468</v>
      </c>
    </row>
    <row r="414" spans="1:20" x14ac:dyDescent="0.25">
      <c r="A414">
        <v>468</v>
      </c>
      <c r="B414">
        <v>500467</v>
      </c>
      <c r="C414" t="s">
        <v>79</v>
      </c>
      <c r="D414">
        <v>2022</v>
      </c>
      <c r="E414">
        <v>219.05000305175781</v>
      </c>
      <c r="F414">
        <v>12.48</v>
      </c>
      <c r="G414" t="s">
        <v>465</v>
      </c>
      <c r="H414">
        <v>197.8999938964844</v>
      </c>
      <c r="I414">
        <v>127.6999969482422</v>
      </c>
      <c r="L414" t="s">
        <v>469</v>
      </c>
      <c r="M414">
        <v>15.857371305808041</v>
      </c>
      <c r="N414">
        <v>10.23237155033992</v>
      </c>
      <c r="O414">
        <v>215.2</v>
      </c>
      <c r="P414">
        <v>267.64999999999998</v>
      </c>
      <c r="Q414">
        <v>156</v>
      </c>
      <c r="R414" s="2" t="s">
        <v>467</v>
      </c>
      <c r="S414">
        <v>215.2</v>
      </c>
      <c r="T414" t="s">
        <v>468</v>
      </c>
    </row>
    <row r="415" spans="1:20" x14ac:dyDescent="0.25">
      <c r="A415">
        <v>468</v>
      </c>
      <c r="B415">
        <v>500467</v>
      </c>
      <c r="C415" t="s">
        <v>79</v>
      </c>
      <c r="D415">
        <v>2023</v>
      </c>
      <c r="E415">
        <v>219.05000305175781</v>
      </c>
      <c r="F415">
        <v>9.61</v>
      </c>
      <c r="G415" t="s">
        <v>465</v>
      </c>
      <c r="H415">
        <v>193.5</v>
      </c>
      <c r="I415">
        <v>102.59999847412109</v>
      </c>
      <c r="L415" t="s">
        <v>469</v>
      </c>
      <c r="M415">
        <v>20.13527575442248</v>
      </c>
      <c r="N415">
        <v>10.67637861333206</v>
      </c>
      <c r="O415">
        <v>215.2</v>
      </c>
      <c r="P415">
        <v>267.64999999999998</v>
      </c>
      <c r="Q415">
        <v>156</v>
      </c>
      <c r="R415" s="2" t="s">
        <v>467</v>
      </c>
      <c r="S415">
        <v>215.2</v>
      </c>
      <c r="T415" t="s">
        <v>468</v>
      </c>
    </row>
    <row r="416" spans="1:20" x14ac:dyDescent="0.25">
      <c r="A416">
        <v>468</v>
      </c>
      <c r="B416">
        <v>500467</v>
      </c>
      <c r="C416" t="s">
        <v>79</v>
      </c>
      <c r="D416">
        <v>2024</v>
      </c>
      <c r="E416">
        <v>219.05000305175781</v>
      </c>
      <c r="F416">
        <v>-3.95</v>
      </c>
      <c r="G416" t="s">
        <v>465</v>
      </c>
      <c r="H416">
        <v>340.25</v>
      </c>
      <c r="I416">
        <v>150</v>
      </c>
      <c r="L416" t="s">
        <v>471</v>
      </c>
      <c r="M416">
        <v>-86.139240506329116</v>
      </c>
      <c r="N416">
        <v>-37.974683544303787</v>
      </c>
      <c r="O416">
        <v>215.2</v>
      </c>
      <c r="P416">
        <v>267.64999999999998</v>
      </c>
      <c r="Q416">
        <v>156</v>
      </c>
      <c r="R416" s="2" t="s">
        <v>467</v>
      </c>
      <c r="S416">
        <v>215.2</v>
      </c>
      <c r="T416" t="s">
        <v>468</v>
      </c>
    </row>
    <row r="417" spans="1:20" x14ac:dyDescent="0.25">
      <c r="A417">
        <v>468</v>
      </c>
      <c r="B417">
        <v>500467</v>
      </c>
      <c r="C417" t="s">
        <v>79</v>
      </c>
      <c r="D417">
        <v>2025</v>
      </c>
      <c r="E417">
        <v>219.05000305175781</v>
      </c>
      <c r="F417">
        <v>8.0500000000000007</v>
      </c>
      <c r="G417" t="s">
        <v>465</v>
      </c>
      <c r="H417">
        <v>336.64999389648438</v>
      </c>
      <c r="I417">
        <v>157.5</v>
      </c>
      <c r="L417" t="s">
        <v>469</v>
      </c>
      <c r="M417">
        <v>41.819875018196811</v>
      </c>
      <c r="N417">
        <v>19.565217391304351</v>
      </c>
      <c r="O417">
        <v>215.2</v>
      </c>
      <c r="P417">
        <v>267.64999999999998</v>
      </c>
      <c r="Q417">
        <v>156</v>
      </c>
      <c r="R417" s="2" t="s">
        <v>467</v>
      </c>
      <c r="S417">
        <v>215.2</v>
      </c>
      <c r="T417" t="s">
        <v>468</v>
      </c>
    </row>
    <row r="418" spans="1:20" x14ac:dyDescent="0.25">
      <c r="A418">
        <v>468</v>
      </c>
      <c r="B418">
        <v>500467</v>
      </c>
      <c r="C418" t="s">
        <v>79</v>
      </c>
      <c r="D418">
        <v>2026</v>
      </c>
      <c r="E418">
        <v>219.05000305175781</v>
      </c>
      <c r="F418">
        <v>15.75</v>
      </c>
      <c r="G418" t="s">
        <v>465</v>
      </c>
      <c r="H418">
        <v>235.80000305175781</v>
      </c>
      <c r="I418">
        <v>156</v>
      </c>
      <c r="L418" t="s">
        <v>469</v>
      </c>
      <c r="M418">
        <v>14.97142876519097</v>
      </c>
      <c r="N418">
        <v>9.9047619047619051</v>
      </c>
      <c r="O418">
        <v>215.2</v>
      </c>
      <c r="P418">
        <v>267.64999999999998</v>
      </c>
      <c r="Q418">
        <v>156</v>
      </c>
      <c r="R418" s="2" t="s">
        <v>467</v>
      </c>
      <c r="S418">
        <v>215.2</v>
      </c>
      <c r="T418" t="s">
        <v>468</v>
      </c>
    </row>
    <row r="419" spans="1:20" x14ac:dyDescent="0.25">
      <c r="A419">
        <v>470</v>
      </c>
      <c r="B419">
        <v>500469</v>
      </c>
      <c r="C419" t="s">
        <v>81</v>
      </c>
      <c r="D419">
        <v>2015</v>
      </c>
      <c r="E419">
        <v>348.79998779296881</v>
      </c>
      <c r="F419">
        <v>6.17</v>
      </c>
      <c r="G419" t="s">
        <v>465</v>
      </c>
      <c r="H419">
        <v>79.400001525878906</v>
      </c>
      <c r="I419">
        <v>52.450000762939453</v>
      </c>
      <c r="L419" t="s">
        <v>469</v>
      </c>
      <c r="M419">
        <v>12.868719858327211</v>
      </c>
      <c r="N419">
        <v>8.5008104964245472</v>
      </c>
      <c r="O419">
        <v>357</v>
      </c>
      <c r="P419">
        <v>359.35</v>
      </c>
      <c r="Q419">
        <v>172.95</v>
      </c>
      <c r="R419" s="2" t="s">
        <v>467</v>
      </c>
      <c r="S419">
        <v>357</v>
      </c>
      <c r="T419" t="s">
        <v>468</v>
      </c>
    </row>
    <row r="420" spans="1:20" x14ac:dyDescent="0.25">
      <c r="A420">
        <v>470</v>
      </c>
      <c r="B420">
        <v>500469</v>
      </c>
      <c r="C420" t="s">
        <v>81</v>
      </c>
      <c r="D420">
        <v>2016</v>
      </c>
      <c r="E420">
        <v>348.79998779296881</v>
      </c>
      <c r="F420">
        <v>2.83</v>
      </c>
      <c r="G420" t="s">
        <v>465</v>
      </c>
      <c r="H420">
        <v>85.900001525878906</v>
      </c>
      <c r="I420">
        <v>41.349998474121087</v>
      </c>
      <c r="L420" t="s">
        <v>469</v>
      </c>
      <c r="M420">
        <v>30.353357429639189</v>
      </c>
      <c r="N420">
        <v>14.611306881314871</v>
      </c>
      <c r="O420">
        <v>357</v>
      </c>
      <c r="P420">
        <v>359.35</v>
      </c>
      <c r="Q420">
        <v>172.95</v>
      </c>
      <c r="R420" s="2" t="s">
        <v>467</v>
      </c>
      <c r="S420">
        <v>357</v>
      </c>
      <c r="T420" t="s">
        <v>468</v>
      </c>
    </row>
    <row r="421" spans="1:20" x14ac:dyDescent="0.25">
      <c r="A421">
        <v>470</v>
      </c>
      <c r="B421">
        <v>500469</v>
      </c>
      <c r="C421" t="s">
        <v>81</v>
      </c>
      <c r="D421">
        <v>2017</v>
      </c>
      <c r="E421">
        <v>348.79998779296881</v>
      </c>
      <c r="F421">
        <v>5.03</v>
      </c>
      <c r="G421" t="s">
        <v>465</v>
      </c>
      <c r="H421">
        <v>127.75</v>
      </c>
      <c r="I421">
        <v>65.5</v>
      </c>
      <c r="L421" t="s">
        <v>469</v>
      </c>
      <c r="M421">
        <v>25.397614314115309</v>
      </c>
      <c r="N421">
        <v>13.02186878727634</v>
      </c>
      <c r="O421">
        <v>357</v>
      </c>
      <c r="P421">
        <v>359.35</v>
      </c>
      <c r="Q421">
        <v>172.95</v>
      </c>
      <c r="R421" s="2" t="s">
        <v>467</v>
      </c>
      <c r="S421">
        <v>357</v>
      </c>
      <c r="T421" t="s">
        <v>468</v>
      </c>
    </row>
    <row r="422" spans="1:20" x14ac:dyDescent="0.25">
      <c r="A422">
        <v>470</v>
      </c>
      <c r="B422">
        <v>500469</v>
      </c>
      <c r="C422" t="s">
        <v>81</v>
      </c>
      <c r="D422">
        <v>2018</v>
      </c>
      <c r="E422">
        <v>348.79998779296881</v>
      </c>
      <c r="F422">
        <v>4.74</v>
      </c>
      <c r="G422" t="s">
        <v>465</v>
      </c>
      <c r="H422">
        <v>116.4499969482422</v>
      </c>
      <c r="I422">
        <v>67.050003051757813</v>
      </c>
      <c r="L422" t="s">
        <v>469</v>
      </c>
      <c r="M422">
        <v>24.56750990469245</v>
      </c>
      <c r="N422">
        <v>14.145570264083929</v>
      </c>
      <c r="O422">
        <v>357</v>
      </c>
      <c r="P422">
        <v>359.35</v>
      </c>
      <c r="Q422">
        <v>172.95</v>
      </c>
      <c r="R422" s="2" t="s">
        <v>467</v>
      </c>
      <c r="S422">
        <v>357</v>
      </c>
      <c r="T422" t="s">
        <v>468</v>
      </c>
    </row>
    <row r="423" spans="1:20" x14ac:dyDescent="0.25">
      <c r="A423">
        <v>470</v>
      </c>
      <c r="B423">
        <v>500469</v>
      </c>
      <c r="C423" t="s">
        <v>81</v>
      </c>
      <c r="D423">
        <v>2019</v>
      </c>
      <c r="E423">
        <v>348.79998779296881</v>
      </c>
      <c r="F423">
        <v>6.63</v>
      </c>
      <c r="G423" t="s">
        <v>465</v>
      </c>
      <c r="H423">
        <v>110.34999847412109</v>
      </c>
      <c r="I423">
        <v>78.400001525878906</v>
      </c>
      <c r="L423" t="s">
        <v>469</v>
      </c>
      <c r="M423">
        <v>16.644042002129879</v>
      </c>
      <c r="N423">
        <v>11.825037937538299</v>
      </c>
      <c r="O423">
        <v>357</v>
      </c>
      <c r="P423">
        <v>359.35</v>
      </c>
      <c r="Q423">
        <v>172.95</v>
      </c>
      <c r="R423" s="2" t="s">
        <v>467</v>
      </c>
      <c r="S423">
        <v>357</v>
      </c>
      <c r="T423" t="s">
        <v>468</v>
      </c>
    </row>
    <row r="424" spans="1:20" x14ac:dyDescent="0.25">
      <c r="A424">
        <v>470</v>
      </c>
      <c r="B424">
        <v>500469</v>
      </c>
      <c r="C424" t="s">
        <v>81</v>
      </c>
      <c r="D424">
        <v>2020</v>
      </c>
      <c r="E424">
        <v>348.79998779296881</v>
      </c>
      <c r="F424">
        <v>7.93</v>
      </c>
      <c r="G424" t="s">
        <v>465</v>
      </c>
      <c r="H424">
        <v>96.949996948242188</v>
      </c>
      <c r="I424">
        <v>35.700000762939453</v>
      </c>
      <c r="L424" t="s">
        <v>469</v>
      </c>
      <c r="M424">
        <v>12.225724709740501</v>
      </c>
      <c r="N424">
        <v>4.5018916472811421</v>
      </c>
      <c r="O424">
        <v>357</v>
      </c>
      <c r="P424">
        <v>359.35</v>
      </c>
      <c r="Q424">
        <v>172.95</v>
      </c>
      <c r="R424" s="2" t="s">
        <v>467</v>
      </c>
      <c r="S424">
        <v>357</v>
      </c>
      <c r="T424" t="s">
        <v>468</v>
      </c>
    </row>
    <row r="425" spans="1:20" x14ac:dyDescent="0.25">
      <c r="A425">
        <v>470</v>
      </c>
      <c r="B425">
        <v>500469</v>
      </c>
      <c r="C425" t="s">
        <v>81</v>
      </c>
      <c r="D425">
        <v>2021</v>
      </c>
      <c r="E425">
        <v>348.79998779296881</v>
      </c>
      <c r="F425">
        <v>8.34</v>
      </c>
      <c r="G425" t="s">
        <v>465</v>
      </c>
      <c r="H425">
        <v>107.65000152587891</v>
      </c>
      <c r="I425">
        <v>68.800003051757813</v>
      </c>
      <c r="L425" t="s">
        <v>469</v>
      </c>
      <c r="M425">
        <v>12.907674043870371</v>
      </c>
      <c r="N425">
        <v>8.2494008455345096</v>
      </c>
      <c r="O425">
        <v>357</v>
      </c>
      <c r="P425">
        <v>359.35</v>
      </c>
      <c r="Q425">
        <v>172.95</v>
      </c>
      <c r="R425" s="2" t="s">
        <v>467</v>
      </c>
      <c r="S425">
        <v>357</v>
      </c>
      <c r="T425" t="s">
        <v>468</v>
      </c>
    </row>
    <row r="426" spans="1:20" x14ac:dyDescent="0.25">
      <c r="A426">
        <v>470</v>
      </c>
      <c r="B426">
        <v>500469</v>
      </c>
      <c r="C426" t="s">
        <v>81</v>
      </c>
      <c r="D426">
        <v>2022</v>
      </c>
      <c r="E426">
        <v>348.79998779296881</v>
      </c>
      <c r="F426">
        <v>9.3699999999999992</v>
      </c>
      <c r="G426" t="s">
        <v>465</v>
      </c>
      <c r="H426">
        <v>142.25</v>
      </c>
      <c r="I426">
        <v>82.5</v>
      </c>
      <c r="L426" t="s">
        <v>469</v>
      </c>
      <c r="M426">
        <v>15.18143009605123</v>
      </c>
      <c r="N426">
        <v>8.8046958377801499</v>
      </c>
      <c r="O426">
        <v>357</v>
      </c>
      <c r="P426">
        <v>359.35</v>
      </c>
      <c r="Q426">
        <v>172.95</v>
      </c>
      <c r="R426" s="2" t="s">
        <v>467</v>
      </c>
      <c r="S426">
        <v>357</v>
      </c>
      <c r="T426" t="s">
        <v>468</v>
      </c>
    </row>
    <row r="427" spans="1:20" x14ac:dyDescent="0.25">
      <c r="A427">
        <v>470</v>
      </c>
      <c r="B427">
        <v>500469</v>
      </c>
      <c r="C427" t="s">
        <v>81</v>
      </c>
      <c r="D427">
        <v>2023</v>
      </c>
      <c r="E427">
        <v>348.79998779296881</v>
      </c>
      <c r="F427">
        <v>14.95</v>
      </c>
      <c r="G427" t="s">
        <v>465</v>
      </c>
      <c r="H427">
        <v>159.25</v>
      </c>
      <c r="I427">
        <v>120.90000152587891</v>
      </c>
      <c r="L427" t="s">
        <v>469</v>
      </c>
      <c r="M427">
        <v>10.65217391304348</v>
      </c>
      <c r="N427">
        <v>8.0869566238046087</v>
      </c>
      <c r="O427">
        <v>357</v>
      </c>
      <c r="P427">
        <v>359.35</v>
      </c>
      <c r="Q427">
        <v>172.95</v>
      </c>
      <c r="R427" s="2" t="s">
        <v>467</v>
      </c>
      <c r="S427">
        <v>357</v>
      </c>
      <c r="T427" t="s">
        <v>468</v>
      </c>
    </row>
    <row r="428" spans="1:20" x14ac:dyDescent="0.25">
      <c r="A428">
        <v>470</v>
      </c>
      <c r="B428">
        <v>500469</v>
      </c>
      <c r="C428" t="s">
        <v>81</v>
      </c>
      <c r="D428">
        <v>2024</v>
      </c>
      <c r="E428">
        <v>348.79998779296881</v>
      </c>
      <c r="F428">
        <v>15.93</v>
      </c>
      <c r="G428" t="s">
        <v>465</v>
      </c>
      <c r="H428">
        <v>216.8999938964844</v>
      </c>
      <c r="I428">
        <v>139.44999694824219</v>
      </c>
      <c r="L428" t="s">
        <v>469</v>
      </c>
      <c r="M428">
        <v>13.615818825893561</v>
      </c>
      <c r="N428">
        <v>8.7539232233673694</v>
      </c>
      <c r="O428">
        <v>357</v>
      </c>
      <c r="P428">
        <v>359.35</v>
      </c>
      <c r="Q428">
        <v>172.95</v>
      </c>
      <c r="R428" s="2" t="s">
        <v>467</v>
      </c>
      <c r="S428">
        <v>357</v>
      </c>
      <c r="T428" t="s">
        <v>468</v>
      </c>
    </row>
    <row r="429" spans="1:20" x14ac:dyDescent="0.25">
      <c r="A429">
        <v>470</v>
      </c>
      <c r="B429">
        <v>500469</v>
      </c>
      <c r="C429" t="s">
        <v>81</v>
      </c>
      <c r="D429">
        <v>2025</v>
      </c>
      <c r="E429">
        <v>348.79998779296881</v>
      </c>
      <c r="F429">
        <v>16.93</v>
      </c>
      <c r="G429" t="s">
        <v>465</v>
      </c>
      <c r="H429">
        <v>271</v>
      </c>
      <c r="I429">
        <v>172.94999694824219</v>
      </c>
      <c r="L429" t="s">
        <v>469</v>
      </c>
      <c r="M429">
        <v>16.00708800945068</v>
      </c>
      <c r="N429">
        <v>10.215593440534089</v>
      </c>
      <c r="O429">
        <v>357</v>
      </c>
      <c r="P429">
        <v>359.35</v>
      </c>
      <c r="Q429">
        <v>172.95</v>
      </c>
      <c r="R429" s="2" t="s">
        <v>467</v>
      </c>
      <c r="S429">
        <v>357</v>
      </c>
      <c r="T429" t="s">
        <v>468</v>
      </c>
    </row>
    <row r="430" spans="1:20" x14ac:dyDescent="0.25">
      <c r="A430">
        <v>470</v>
      </c>
      <c r="B430">
        <v>500469</v>
      </c>
      <c r="C430" t="s">
        <v>81</v>
      </c>
      <c r="D430">
        <v>2026</v>
      </c>
      <c r="E430">
        <v>348.79998779296881</v>
      </c>
      <c r="F430">
        <v>17.63</v>
      </c>
      <c r="G430" t="s">
        <v>465</v>
      </c>
      <c r="H430">
        <v>350.85000610351563</v>
      </c>
      <c r="I430">
        <v>242.30000305175781</v>
      </c>
      <c r="L430" t="s">
        <v>469</v>
      </c>
      <c r="M430">
        <v>19.900737725667369</v>
      </c>
      <c r="N430">
        <v>13.743619004637431</v>
      </c>
      <c r="O430">
        <v>357</v>
      </c>
      <c r="P430">
        <v>359.35</v>
      </c>
      <c r="Q430">
        <v>172.95</v>
      </c>
      <c r="R430" s="2" t="s">
        <v>467</v>
      </c>
      <c r="S430">
        <v>357</v>
      </c>
      <c r="T430" t="s">
        <v>468</v>
      </c>
    </row>
    <row r="431" spans="1:20" x14ac:dyDescent="0.25">
      <c r="A431">
        <v>62</v>
      </c>
      <c r="B431">
        <v>500470</v>
      </c>
      <c r="C431" t="s">
        <v>83</v>
      </c>
      <c r="D431">
        <v>2015</v>
      </c>
      <c r="E431">
        <v>185.8999938964844</v>
      </c>
      <c r="F431">
        <v>-3.48</v>
      </c>
      <c r="G431" t="s">
        <v>465</v>
      </c>
      <c r="H431">
        <v>40.130756378173828</v>
      </c>
      <c r="I431">
        <v>19.055440902709961</v>
      </c>
      <c r="L431" t="s">
        <v>471</v>
      </c>
      <c r="M431">
        <v>-11.531826545452249</v>
      </c>
      <c r="N431">
        <v>-5.4757014088247011</v>
      </c>
      <c r="O431">
        <v>187.45</v>
      </c>
      <c r="P431">
        <v>202.9</v>
      </c>
      <c r="Q431">
        <v>124.2</v>
      </c>
      <c r="R431" s="2" t="s">
        <v>467</v>
      </c>
      <c r="S431">
        <v>187.45</v>
      </c>
      <c r="T431" t="s">
        <v>468</v>
      </c>
    </row>
    <row r="432" spans="1:20" x14ac:dyDescent="0.25">
      <c r="A432">
        <v>62</v>
      </c>
      <c r="B432">
        <v>500470</v>
      </c>
      <c r="C432" t="s">
        <v>83</v>
      </c>
      <c r="D432">
        <v>2016</v>
      </c>
      <c r="E432">
        <v>185.8999938964844</v>
      </c>
      <c r="F432">
        <v>-0.34</v>
      </c>
      <c r="G432" t="s">
        <v>465</v>
      </c>
      <c r="H432">
        <v>42.007717132568359</v>
      </c>
      <c r="I432">
        <v>20.132072448730469</v>
      </c>
      <c r="L432" t="s">
        <v>471</v>
      </c>
      <c r="M432">
        <v>-123.5521092134363</v>
      </c>
      <c r="N432">
        <v>-59.211977790383727</v>
      </c>
      <c r="O432">
        <v>187.45</v>
      </c>
      <c r="P432">
        <v>202.9</v>
      </c>
      <c r="Q432">
        <v>124.2</v>
      </c>
      <c r="R432" s="2" t="s">
        <v>467</v>
      </c>
      <c r="S432">
        <v>187.45</v>
      </c>
      <c r="T432" t="s">
        <v>468</v>
      </c>
    </row>
    <row r="433" spans="1:20" x14ac:dyDescent="0.25">
      <c r="A433">
        <v>62</v>
      </c>
      <c r="B433">
        <v>500470</v>
      </c>
      <c r="C433" t="s">
        <v>83</v>
      </c>
      <c r="D433">
        <v>2017</v>
      </c>
      <c r="E433">
        <v>185.8999938964844</v>
      </c>
      <c r="F433">
        <v>-3.76</v>
      </c>
      <c r="G433" t="s">
        <v>465</v>
      </c>
      <c r="H433">
        <v>70.919586181640625</v>
      </c>
      <c r="I433">
        <v>38.206157684326172</v>
      </c>
      <c r="L433" t="s">
        <v>471</v>
      </c>
      <c r="M433">
        <v>-18.861592069585271</v>
      </c>
      <c r="N433">
        <v>-10.161212150086749</v>
      </c>
      <c r="O433">
        <v>187.45</v>
      </c>
      <c r="P433">
        <v>202.9</v>
      </c>
      <c r="Q433">
        <v>124.2</v>
      </c>
      <c r="R433" s="2" t="s">
        <v>467</v>
      </c>
      <c r="S433">
        <v>187.45</v>
      </c>
      <c r="T433" t="s">
        <v>468</v>
      </c>
    </row>
    <row r="434" spans="1:20" x14ac:dyDescent="0.25">
      <c r="A434">
        <v>62</v>
      </c>
      <c r="B434">
        <v>500470</v>
      </c>
      <c r="C434" t="s">
        <v>83</v>
      </c>
      <c r="D434">
        <v>2018</v>
      </c>
      <c r="E434">
        <v>185.8999938964844</v>
      </c>
      <c r="F434">
        <v>11.93</v>
      </c>
      <c r="G434" t="s">
        <v>465</v>
      </c>
      <c r="H434">
        <v>75.326156616210938</v>
      </c>
      <c r="I434">
        <v>48.689998626708977</v>
      </c>
      <c r="L434" t="s">
        <v>469</v>
      </c>
      <c r="M434">
        <v>6.3140114514845713</v>
      </c>
      <c r="N434">
        <v>4.0813075127165952</v>
      </c>
      <c r="O434">
        <v>187.45</v>
      </c>
      <c r="P434">
        <v>202.9</v>
      </c>
      <c r="Q434">
        <v>124.2</v>
      </c>
      <c r="R434" s="2" t="s">
        <v>467</v>
      </c>
      <c r="S434">
        <v>187.45</v>
      </c>
      <c r="T434" t="s">
        <v>468</v>
      </c>
    </row>
    <row r="435" spans="1:20" x14ac:dyDescent="0.25">
      <c r="A435">
        <v>62</v>
      </c>
      <c r="B435">
        <v>500470</v>
      </c>
      <c r="C435" t="s">
        <v>83</v>
      </c>
      <c r="D435">
        <v>2019</v>
      </c>
      <c r="E435">
        <v>185.8999938964844</v>
      </c>
      <c r="F435">
        <v>9.07</v>
      </c>
      <c r="G435" t="s">
        <v>465</v>
      </c>
      <c r="H435">
        <v>56.034999847412109</v>
      </c>
      <c r="I435">
        <v>32.029998779296882</v>
      </c>
      <c r="L435" t="s">
        <v>469</v>
      </c>
      <c r="M435">
        <v>6.1780595201115887</v>
      </c>
      <c r="N435">
        <v>3.5314221366369218</v>
      </c>
      <c r="O435">
        <v>187.45</v>
      </c>
      <c r="P435">
        <v>202.9</v>
      </c>
      <c r="Q435">
        <v>124.2</v>
      </c>
      <c r="R435" s="2" t="s">
        <v>467</v>
      </c>
      <c r="S435">
        <v>187.45</v>
      </c>
      <c r="T435" t="s">
        <v>468</v>
      </c>
    </row>
    <row r="436" spans="1:20" x14ac:dyDescent="0.25">
      <c r="A436">
        <v>62</v>
      </c>
      <c r="B436">
        <v>500470</v>
      </c>
      <c r="C436" t="s">
        <v>83</v>
      </c>
      <c r="D436">
        <v>2020</v>
      </c>
      <c r="E436">
        <v>185.8999938964844</v>
      </c>
      <c r="F436">
        <v>1.38</v>
      </c>
      <c r="G436" t="s">
        <v>465</v>
      </c>
      <c r="H436">
        <v>65.330001831054688</v>
      </c>
      <c r="I436">
        <v>25.090000152587891</v>
      </c>
      <c r="L436" t="s">
        <v>469</v>
      </c>
      <c r="M436">
        <v>47.340581036996163</v>
      </c>
      <c r="N436">
        <v>18.181159530860789</v>
      </c>
      <c r="O436">
        <v>187.45</v>
      </c>
      <c r="P436">
        <v>202.9</v>
      </c>
      <c r="Q436">
        <v>124.2</v>
      </c>
      <c r="R436" s="2" t="s">
        <v>467</v>
      </c>
      <c r="S436">
        <v>187.45</v>
      </c>
      <c r="T436" t="s">
        <v>468</v>
      </c>
    </row>
    <row r="437" spans="1:20" x14ac:dyDescent="0.25">
      <c r="A437">
        <v>62</v>
      </c>
      <c r="B437">
        <v>500470</v>
      </c>
      <c r="C437" t="s">
        <v>83</v>
      </c>
      <c r="D437">
        <v>2021</v>
      </c>
      <c r="E437">
        <v>185.8999938964844</v>
      </c>
      <c r="F437">
        <v>6.26</v>
      </c>
      <c r="G437" t="s">
        <v>465</v>
      </c>
      <c r="H437">
        <v>153.46000671386719</v>
      </c>
      <c r="I437">
        <v>59.630001068115227</v>
      </c>
      <c r="L437" t="s">
        <v>469</v>
      </c>
      <c r="M437">
        <v>24.51437806930786</v>
      </c>
      <c r="N437">
        <v>9.5255592760567467</v>
      </c>
      <c r="O437">
        <v>187.45</v>
      </c>
      <c r="P437">
        <v>202.9</v>
      </c>
      <c r="Q437">
        <v>124.2</v>
      </c>
      <c r="R437" s="2" t="s">
        <v>467</v>
      </c>
      <c r="S437">
        <v>187.45</v>
      </c>
      <c r="T437" t="s">
        <v>468</v>
      </c>
    </row>
    <row r="438" spans="1:20" x14ac:dyDescent="0.25">
      <c r="A438">
        <v>62</v>
      </c>
      <c r="B438">
        <v>500470</v>
      </c>
      <c r="C438" t="s">
        <v>83</v>
      </c>
      <c r="D438">
        <v>2022</v>
      </c>
      <c r="E438">
        <v>185.8999938964844</v>
      </c>
      <c r="F438">
        <v>32.880000000000003</v>
      </c>
      <c r="G438" t="s">
        <v>465</v>
      </c>
      <c r="H438">
        <v>138.625</v>
      </c>
      <c r="I438">
        <v>82.709999084472656</v>
      </c>
      <c r="L438" t="s">
        <v>469</v>
      </c>
      <c r="M438">
        <v>4.216088807785888</v>
      </c>
      <c r="N438">
        <v>2.5155109210606041</v>
      </c>
      <c r="O438">
        <v>187.45</v>
      </c>
      <c r="P438">
        <v>202.9</v>
      </c>
      <c r="Q438">
        <v>124.2</v>
      </c>
      <c r="R438" s="2" t="s">
        <v>467</v>
      </c>
      <c r="S438">
        <v>187.45</v>
      </c>
      <c r="T438" t="s">
        <v>468</v>
      </c>
    </row>
    <row r="439" spans="1:20" x14ac:dyDescent="0.25">
      <c r="A439">
        <v>62</v>
      </c>
      <c r="B439">
        <v>500470</v>
      </c>
      <c r="C439" t="s">
        <v>83</v>
      </c>
      <c r="D439">
        <v>2023</v>
      </c>
      <c r="E439">
        <v>185.8999938964844</v>
      </c>
      <c r="F439">
        <v>7.17</v>
      </c>
      <c r="G439" t="s">
        <v>465</v>
      </c>
      <c r="H439">
        <v>141.19999694824219</v>
      </c>
      <c r="I439">
        <v>101.65000152587891</v>
      </c>
      <c r="L439" t="s">
        <v>469</v>
      </c>
      <c r="M439">
        <v>19.69316554368789</v>
      </c>
      <c r="N439">
        <v>14.17712713052704</v>
      </c>
      <c r="O439">
        <v>187.45</v>
      </c>
      <c r="P439">
        <v>202.9</v>
      </c>
      <c r="Q439">
        <v>124.2</v>
      </c>
      <c r="R439" s="2" t="s">
        <v>467</v>
      </c>
      <c r="S439">
        <v>187.45</v>
      </c>
      <c r="T439" t="s">
        <v>468</v>
      </c>
    </row>
    <row r="440" spans="1:20" x14ac:dyDescent="0.25">
      <c r="A440">
        <v>62</v>
      </c>
      <c r="B440">
        <v>500470</v>
      </c>
      <c r="C440" t="s">
        <v>83</v>
      </c>
      <c r="D440">
        <v>2024</v>
      </c>
      <c r="E440">
        <v>185.8999938964844</v>
      </c>
      <c r="F440">
        <v>-3.55</v>
      </c>
      <c r="G440" t="s">
        <v>465</v>
      </c>
      <c r="H440">
        <v>184.6000061035156</v>
      </c>
      <c r="I440">
        <v>128.1000061035156</v>
      </c>
      <c r="L440" t="s">
        <v>471</v>
      </c>
      <c r="M440">
        <v>-52.000001719300172</v>
      </c>
      <c r="N440">
        <v>-36.084508761553693</v>
      </c>
      <c r="O440">
        <v>187.45</v>
      </c>
      <c r="P440">
        <v>202.9</v>
      </c>
      <c r="Q440">
        <v>124.2</v>
      </c>
      <c r="R440" s="2" t="s">
        <v>467</v>
      </c>
      <c r="S440">
        <v>187.45</v>
      </c>
      <c r="T440" t="s">
        <v>468</v>
      </c>
    </row>
    <row r="441" spans="1:20" x14ac:dyDescent="0.25">
      <c r="A441">
        <v>62</v>
      </c>
      <c r="B441">
        <v>500470</v>
      </c>
      <c r="C441" t="s">
        <v>83</v>
      </c>
      <c r="D441">
        <v>2025</v>
      </c>
      <c r="E441">
        <v>185.8999938964844</v>
      </c>
      <c r="F441">
        <v>2.74</v>
      </c>
      <c r="G441" t="s">
        <v>465</v>
      </c>
      <c r="H441">
        <v>187</v>
      </c>
      <c r="I441">
        <v>122.59999847412109</v>
      </c>
      <c r="L441" t="s">
        <v>469</v>
      </c>
      <c r="M441">
        <v>68.248175182481745</v>
      </c>
      <c r="N441">
        <v>44.744524990555142</v>
      </c>
      <c r="O441">
        <v>187.45</v>
      </c>
      <c r="P441">
        <v>202.9</v>
      </c>
      <c r="Q441">
        <v>124.2</v>
      </c>
      <c r="R441" s="2" t="s">
        <v>467</v>
      </c>
      <c r="S441">
        <v>187.45</v>
      </c>
      <c r="T441" t="s">
        <v>468</v>
      </c>
    </row>
    <row r="442" spans="1:20" x14ac:dyDescent="0.25">
      <c r="A442">
        <v>62</v>
      </c>
      <c r="B442">
        <v>500470</v>
      </c>
      <c r="C442" t="s">
        <v>83</v>
      </c>
      <c r="D442">
        <v>2026</v>
      </c>
      <c r="E442">
        <v>185.8999938964844</v>
      </c>
      <c r="F442">
        <v>8.65</v>
      </c>
      <c r="G442" t="s">
        <v>465</v>
      </c>
      <c r="H442">
        <v>224.3999938964844</v>
      </c>
      <c r="I442">
        <v>177.25</v>
      </c>
      <c r="L442" t="s">
        <v>469</v>
      </c>
      <c r="M442">
        <v>25.94219582618317</v>
      </c>
      <c r="N442">
        <v>20.49132947976879</v>
      </c>
      <c r="O442">
        <v>187.45</v>
      </c>
      <c r="P442">
        <v>202.9</v>
      </c>
      <c r="Q442">
        <v>124.2</v>
      </c>
      <c r="R442" s="2" t="s">
        <v>467</v>
      </c>
      <c r="S442">
        <v>187.45</v>
      </c>
      <c r="T442" t="s">
        <v>468</v>
      </c>
    </row>
    <row r="443" spans="1:20" x14ac:dyDescent="0.25">
      <c r="A443">
        <v>473</v>
      </c>
      <c r="B443">
        <v>500472</v>
      </c>
      <c r="C443" t="s">
        <v>85</v>
      </c>
      <c r="D443">
        <v>2015</v>
      </c>
      <c r="E443">
        <v>1474.400024414062</v>
      </c>
      <c r="G443" t="s">
        <v>465</v>
      </c>
      <c r="H443">
        <v>1540.349975585938</v>
      </c>
      <c r="I443">
        <v>1162.5</v>
      </c>
      <c r="L443" t="s">
        <v>466</v>
      </c>
      <c r="O443">
        <v>1466.1</v>
      </c>
      <c r="P443">
        <v>5074</v>
      </c>
      <c r="Q443">
        <v>1404</v>
      </c>
      <c r="R443" s="2" t="s">
        <v>467</v>
      </c>
      <c r="S443">
        <v>1466.1</v>
      </c>
      <c r="T443" t="s">
        <v>468</v>
      </c>
    </row>
    <row r="444" spans="1:20" x14ac:dyDescent="0.25">
      <c r="A444">
        <v>473</v>
      </c>
      <c r="B444">
        <v>500472</v>
      </c>
      <c r="C444" t="s">
        <v>85</v>
      </c>
      <c r="D444">
        <v>2016</v>
      </c>
      <c r="E444">
        <v>1474.400024414062</v>
      </c>
      <c r="G444" t="s">
        <v>465</v>
      </c>
      <c r="H444">
        <v>1550</v>
      </c>
      <c r="I444">
        <v>1055.550048828125</v>
      </c>
      <c r="L444" t="s">
        <v>466</v>
      </c>
      <c r="O444">
        <v>1466.1</v>
      </c>
      <c r="P444">
        <v>5074</v>
      </c>
      <c r="Q444">
        <v>1404</v>
      </c>
      <c r="R444" s="2" t="s">
        <v>467</v>
      </c>
      <c r="S444">
        <v>1466.1</v>
      </c>
      <c r="T444" t="s">
        <v>468</v>
      </c>
    </row>
    <row r="445" spans="1:20" x14ac:dyDescent="0.25">
      <c r="A445">
        <v>473</v>
      </c>
      <c r="B445">
        <v>500472</v>
      </c>
      <c r="C445" t="s">
        <v>85</v>
      </c>
      <c r="D445">
        <v>2017</v>
      </c>
      <c r="E445">
        <v>1474.400024414062</v>
      </c>
      <c r="G445" t="s">
        <v>465</v>
      </c>
      <c r="H445">
        <v>1962</v>
      </c>
      <c r="I445">
        <v>1265</v>
      </c>
      <c r="L445" t="s">
        <v>466</v>
      </c>
      <c r="O445">
        <v>1466.1</v>
      </c>
      <c r="P445">
        <v>5074</v>
      </c>
      <c r="Q445">
        <v>1404</v>
      </c>
      <c r="R445" s="2" t="s">
        <v>467</v>
      </c>
      <c r="S445">
        <v>1466.1</v>
      </c>
      <c r="T445" t="s">
        <v>468</v>
      </c>
    </row>
    <row r="446" spans="1:20" x14ac:dyDescent="0.25">
      <c r="A446">
        <v>473</v>
      </c>
      <c r="B446">
        <v>500472</v>
      </c>
      <c r="C446" t="s">
        <v>85</v>
      </c>
      <c r="D446">
        <v>2018</v>
      </c>
      <c r="E446">
        <v>1474.400024414062</v>
      </c>
      <c r="G446" t="s">
        <v>465</v>
      </c>
      <c r="H446">
        <v>2000</v>
      </c>
      <c r="I446">
        <v>1610</v>
      </c>
      <c r="L446" t="s">
        <v>466</v>
      </c>
      <c r="O446">
        <v>1466.1</v>
      </c>
      <c r="P446">
        <v>5074</v>
      </c>
      <c r="Q446">
        <v>1404</v>
      </c>
      <c r="R446" s="2" t="s">
        <v>467</v>
      </c>
      <c r="S446">
        <v>1466.1</v>
      </c>
      <c r="T446" t="s">
        <v>468</v>
      </c>
    </row>
    <row r="447" spans="1:20" x14ac:dyDescent="0.25">
      <c r="A447">
        <v>473</v>
      </c>
      <c r="B447">
        <v>500472</v>
      </c>
      <c r="C447" t="s">
        <v>85</v>
      </c>
      <c r="D447">
        <v>2019</v>
      </c>
      <c r="E447">
        <v>1474.400024414062</v>
      </c>
      <c r="G447" t="s">
        <v>465</v>
      </c>
      <c r="H447">
        <v>2290.39990234375</v>
      </c>
      <c r="I447">
        <v>1742.800048828125</v>
      </c>
      <c r="L447" t="s">
        <v>466</v>
      </c>
      <c r="O447">
        <v>1466.1</v>
      </c>
      <c r="P447">
        <v>5074</v>
      </c>
      <c r="Q447">
        <v>1404</v>
      </c>
      <c r="R447" s="2" t="s">
        <v>467</v>
      </c>
      <c r="S447">
        <v>1466.1</v>
      </c>
      <c r="T447" t="s">
        <v>468</v>
      </c>
    </row>
    <row r="448" spans="1:20" x14ac:dyDescent="0.25">
      <c r="A448">
        <v>473</v>
      </c>
      <c r="B448">
        <v>500472</v>
      </c>
      <c r="C448" t="s">
        <v>85</v>
      </c>
      <c r="D448">
        <v>2020</v>
      </c>
      <c r="E448">
        <v>1474.400024414062</v>
      </c>
      <c r="G448" t="s">
        <v>465</v>
      </c>
      <c r="H448">
        <v>2313</v>
      </c>
      <c r="I448">
        <v>1237.5</v>
      </c>
      <c r="L448" t="s">
        <v>466</v>
      </c>
      <c r="O448">
        <v>1466.1</v>
      </c>
      <c r="P448">
        <v>5074</v>
      </c>
      <c r="Q448">
        <v>1404</v>
      </c>
      <c r="R448" s="2" t="s">
        <v>467</v>
      </c>
      <c r="S448">
        <v>1466.1</v>
      </c>
      <c r="T448" t="s">
        <v>468</v>
      </c>
    </row>
    <row r="449" spans="1:20" x14ac:dyDescent="0.25">
      <c r="A449">
        <v>473</v>
      </c>
      <c r="B449">
        <v>500472</v>
      </c>
      <c r="C449" t="s">
        <v>85</v>
      </c>
      <c r="D449">
        <v>2021</v>
      </c>
      <c r="E449">
        <v>1474.400024414062</v>
      </c>
      <c r="F449">
        <v>60.26</v>
      </c>
      <c r="G449" t="s">
        <v>465</v>
      </c>
      <c r="H449">
        <v>4245.25</v>
      </c>
      <c r="I449">
        <v>1712.949951171875</v>
      </c>
      <c r="L449" t="s">
        <v>469</v>
      </c>
      <c r="M449">
        <v>70.448888151344178</v>
      </c>
      <c r="N449">
        <v>28.425986577694569</v>
      </c>
      <c r="O449">
        <v>1466.1</v>
      </c>
      <c r="P449">
        <v>5074</v>
      </c>
      <c r="Q449">
        <v>1404</v>
      </c>
      <c r="R449" s="2" t="s">
        <v>467</v>
      </c>
      <c r="S449">
        <v>1466.1</v>
      </c>
      <c r="T449" t="s">
        <v>468</v>
      </c>
    </row>
    <row r="450" spans="1:20" x14ac:dyDescent="0.25">
      <c r="A450">
        <v>473</v>
      </c>
      <c r="B450">
        <v>500472</v>
      </c>
      <c r="C450" t="s">
        <v>85</v>
      </c>
      <c r="D450">
        <v>2022</v>
      </c>
      <c r="E450">
        <v>1474.400024414062</v>
      </c>
      <c r="F450">
        <v>79.95</v>
      </c>
      <c r="G450" t="s">
        <v>465</v>
      </c>
      <c r="H450">
        <v>5170.85009765625</v>
      </c>
      <c r="I450">
        <v>2984.39990234375</v>
      </c>
      <c r="L450" t="s">
        <v>469</v>
      </c>
      <c r="M450">
        <v>64.676048751172601</v>
      </c>
      <c r="N450">
        <v>37.328328984912453</v>
      </c>
      <c r="O450">
        <v>1466.1</v>
      </c>
      <c r="P450">
        <v>5074</v>
      </c>
      <c r="Q450">
        <v>1404</v>
      </c>
      <c r="R450" s="2" t="s">
        <v>467</v>
      </c>
      <c r="S450">
        <v>1466.1</v>
      </c>
      <c r="T450" t="s">
        <v>468</v>
      </c>
    </row>
    <row r="451" spans="1:20" x14ac:dyDescent="0.25">
      <c r="A451">
        <v>473</v>
      </c>
      <c r="B451">
        <v>500472</v>
      </c>
      <c r="C451" t="s">
        <v>85</v>
      </c>
      <c r="D451">
        <v>2023</v>
      </c>
      <c r="E451">
        <v>1474.400024414062</v>
      </c>
      <c r="F451">
        <v>106.25</v>
      </c>
      <c r="G451" t="s">
        <v>465</v>
      </c>
      <c r="H451">
        <v>5528.89990234375</v>
      </c>
      <c r="I451">
        <v>3961</v>
      </c>
      <c r="L451" t="s">
        <v>469</v>
      </c>
      <c r="M451">
        <v>52.036704963235287</v>
      </c>
      <c r="N451">
        <v>37.28</v>
      </c>
      <c r="O451">
        <v>1466.1</v>
      </c>
      <c r="P451">
        <v>5074</v>
      </c>
      <c r="Q451">
        <v>1404</v>
      </c>
      <c r="R451" s="2" t="s">
        <v>467</v>
      </c>
      <c r="S451">
        <v>1466.1</v>
      </c>
      <c r="T451" t="s">
        <v>468</v>
      </c>
    </row>
    <row r="452" spans="1:20" x14ac:dyDescent="0.25">
      <c r="A452">
        <v>473</v>
      </c>
      <c r="B452">
        <v>500472</v>
      </c>
      <c r="C452" t="s">
        <v>85</v>
      </c>
      <c r="D452">
        <v>2024</v>
      </c>
      <c r="E452">
        <v>1474.400024414062</v>
      </c>
      <c r="F452">
        <v>111.7</v>
      </c>
      <c r="G452" t="s">
        <v>465</v>
      </c>
      <c r="H452">
        <v>7349</v>
      </c>
      <c r="I452">
        <v>4025</v>
      </c>
      <c r="L452" t="s">
        <v>469</v>
      </c>
      <c r="M452">
        <v>65.792300805729624</v>
      </c>
      <c r="N452">
        <v>36.034019695613253</v>
      </c>
      <c r="O452">
        <v>1466.1</v>
      </c>
      <c r="P452">
        <v>5074</v>
      </c>
      <c r="Q452">
        <v>1404</v>
      </c>
      <c r="R452" s="2" t="s">
        <v>467</v>
      </c>
      <c r="S452">
        <v>1466.1</v>
      </c>
      <c r="T452" t="s">
        <v>468</v>
      </c>
    </row>
    <row r="453" spans="1:20" x14ac:dyDescent="0.25">
      <c r="A453">
        <v>473</v>
      </c>
      <c r="B453">
        <v>500472</v>
      </c>
      <c r="C453" t="s">
        <v>85</v>
      </c>
      <c r="D453">
        <v>2025</v>
      </c>
      <c r="E453">
        <v>1474.400024414062</v>
      </c>
      <c r="F453">
        <v>114.56</v>
      </c>
      <c r="G453" t="s">
        <v>465</v>
      </c>
      <c r="H453">
        <v>5077</v>
      </c>
      <c r="I453">
        <v>1724.050048828125</v>
      </c>
      <c r="L453" t="s">
        <v>469</v>
      </c>
      <c r="M453">
        <v>44.317388268156421</v>
      </c>
      <c r="N453">
        <v>15.04931956030137</v>
      </c>
      <c r="O453">
        <v>1466.1</v>
      </c>
      <c r="P453">
        <v>5074</v>
      </c>
      <c r="Q453">
        <v>1404</v>
      </c>
      <c r="R453" s="2" t="s">
        <v>467</v>
      </c>
      <c r="S453">
        <v>1466.1</v>
      </c>
      <c r="T453" t="s">
        <v>468</v>
      </c>
    </row>
    <row r="454" spans="1:20" x14ac:dyDescent="0.25">
      <c r="A454">
        <v>473</v>
      </c>
      <c r="B454">
        <v>500472</v>
      </c>
      <c r="C454" t="s">
        <v>85</v>
      </c>
      <c r="D454">
        <v>2026</v>
      </c>
      <c r="E454">
        <v>1474.400024414062</v>
      </c>
      <c r="F454">
        <v>53.83</v>
      </c>
      <c r="G454" t="s">
        <v>465</v>
      </c>
      <c r="H454">
        <v>1911.650024414062</v>
      </c>
      <c r="I454">
        <v>1404</v>
      </c>
      <c r="L454" t="s">
        <v>469</v>
      </c>
      <c r="M454">
        <v>35.512725699685348</v>
      </c>
      <c r="N454">
        <v>26.082110347389929</v>
      </c>
      <c r="O454">
        <v>1466.1</v>
      </c>
      <c r="P454">
        <v>5074</v>
      </c>
      <c r="Q454">
        <v>1404</v>
      </c>
      <c r="R454" s="2" t="s">
        <v>467</v>
      </c>
      <c r="S454">
        <v>1466.1</v>
      </c>
      <c r="T454" t="s">
        <v>468</v>
      </c>
    </row>
    <row r="455" spans="1:20" x14ac:dyDescent="0.25">
      <c r="A455">
        <v>481</v>
      </c>
      <c r="B455">
        <v>500480</v>
      </c>
      <c r="C455" t="s">
        <v>87</v>
      </c>
      <c r="D455">
        <v>2015</v>
      </c>
      <c r="E455">
        <v>5452.60009765625</v>
      </c>
      <c r="F455">
        <v>27.85</v>
      </c>
      <c r="G455" t="s">
        <v>465</v>
      </c>
      <c r="H455">
        <v>1246.699951171875</v>
      </c>
      <c r="I455">
        <v>828.79998779296875</v>
      </c>
      <c r="L455" t="s">
        <v>469</v>
      </c>
      <c r="M455">
        <v>44.764809736871626</v>
      </c>
      <c r="N455">
        <v>29.759425055402829</v>
      </c>
      <c r="O455">
        <v>5360</v>
      </c>
      <c r="P455">
        <v>5428.9</v>
      </c>
      <c r="Q455">
        <v>2594.75</v>
      </c>
      <c r="R455" s="2" t="s">
        <v>467</v>
      </c>
      <c r="S455">
        <v>5360</v>
      </c>
      <c r="T455" t="s">
        <v>468</v>
      </c>
    </row>
    <row r="456" spans="1:20" x14ac:dyDescent="0.25">
      <c r="A456">
        <v>481</v>
      </c>
      <c r="B456">
        <v>500480</v>
      </c>
      <c r="C456" t="s">
        <v>87</v>
      </c>
      <c r="D456">
        <v>2016</v>
      </c>
      <c r="E456">
        <v>5452.60009765625</v>
      </c>
      <c r="F456">
        <v>26.02</v>
      </c>
      <c r="G456" t="s">
        <v>465</v>
      </c>
      <c r="H456">
        <v>1051</v>
      </c>
      <c r="I456">
        <v>746.79998779296875</v>
      </c>
      <c r="L456" t="s">
        <v>469</v>
      </c>
      <c r="M456">
        <v>40.392006149116057</v>
      </c>
      <c r="N456">
        <v>28.70099876222017</v>
      </c>
      <c r="O456">
        <v>5360</v>
      </c>
      <c r="P456">
        <v>5428.9</v>
      </c>
      <c r="Q456">
        <v>2594.75</v>
      </c>
      <c r="R456" s="2" t="s">
        <v>467</v>
      </c>
      <c r="S456">
        <v>5360</v>
      </c>
      <c r="T456" t="s">
        <v>468</v>
      </c>
    </row>
    <row r="457" spans="1:20" x14ac:dyDescent="0.25">
      <c r="A457">
        <v>481</v>
      </c>
      <c r="B457">
        <v>500480</v>
      </c>
      <c r="C457" t="s">
        <v>87</v>
      </c>
      <c r="D457">
        <v>2017</v>
      </c>
      <c r="E457">
        <v>5452.60009765625</v>
      </c>
      <c r="F457">
        <v>26.56</v>
      </c>
      <c r="G457" t="s">
        <v>465</v>
      </c>
      <c r="H457">
        <v>1096.199951171875</v>
      </c>
      <c r="I457">
        <v>794.45001220703125</v>
      </c>
      <c r="L457" t="s">
        <v>469</v>
      </c>
      <c r="M457">
        <v>41.272588523037463</v>
      </c>
      <c r="N457">
        <v>29.911521543939429</v>
      </c>
      <c r="O457">
        <v>5360</v>
      </c>
      <c r="P457">
        <v>5428.9</v>
      </c>
      <c r="Q457">
        <v>2594.75</v>
      </c>
      <c r="R457" s="2" t="s">
        <v>467</v>
      </c>
      <c r="S457">
        <v>5360</v>
      </c>
      <c r="T457" t="s">
        <v>468</v>
      </c>
    </row>
    <row r="458" spans="1:20" x14ac:dyDescent="0.25">
      <c r="A458">
        <v>481</v>
      </c>
      <c r="B458">
        <v>500480</v>
      </c>
      <c r="C458" t="s">
        <v>87</v>
      </c>
      <c r="D458">
        <v>2018</v>
      </c>
      <c r="E458">
        <v>5452.60009765625</v>
      </c>
      <c r="F458">
        <v>25.68</v>
      </c>
      <c r="G458" t="s">
        <v>465</v>
      </c>
      <c r="H458">
        <v>993.45001220703125</v>
      </c>
      <c r="I458">
        <v>611.75</v>
      </c>
      <c r="L458" t="s">
        <v>469</v>
      </c>
      <c r="M458">
        <v>38.685748138903087</v>
      </c>
      <c r="N458">
        <v>23.822040498442369</v>
      </c>
      <c r="O458">
        <v>5360</v>
      </c>
      <c r="P458">
        <v>5428.9</v>
      </c>
      <c r="Q458">
        <v>2594.75</v>
      </c>
      <c r="R458" s="2" t="s">
        <v>467</v>
      </c>
      <c r="S458">
        <v>5360</v>
      </c>
      <c r="T458" t="s">
        <v>468</v>
      </c>
    </row>
    <row r="459" spans="1:20" x14ac:dyDescent="0.25">
      <c r="A459">
        <v>481</v>
      </c>
      <c r="B459">
        <v>500480</v>
      </c>
      <c r="C459" t="s">
        <v>87</v>
      </c>
      <c r="D459">
        <v>2019</v>
      </c>
      <c r="E459">
        <v>5452.60009765625</v>
      </c>
      <c r="F459">
        <v>26.79</v>
      </c>
      <c r="G459" t="s">
        <v>465</v>
      </c>
      <c r="H459">
        <v>885</v>
      </c>
      <c r="I459">
        <v>498.04998779296881</v>
      </c>
      <c r="L459" t="s">
        <v>469</v>
      </c>
      <c r="M459">
        <v>33.034714445688692</v>
      </c>
      <c r="N459">
        <v>18.590891668270579</v>
      </c>
      <c r="O459">
        <v>5360</v>
      </c>
      <c r="P459">
        <v>5428.9</v>
      </c>
      <c r="Q459">
        <v>2594.75</v>
      </c>
      <c r="R459" s="2" t="s">
        <v>467</v>
      </c>
      <c r="S459">
        <v>5360</v>
      </c>
      <c r="T459" t="s">
        <v>468</v>
      </c>
    </row>
    <row r="460" spans="1:20" x14ac:dyDescent="0.25">
      <c r="A460">
        <v>481</v>
      </c>
      <c r="B460">
        <v>500480</v>
      </c>
      <c r="C460" t="s">
        <v>87</v>
      </c>
      <c r="D460">
        <v>2020</v>
      </c>
      <c r="E460">
        <v>5452.60009765625</v>
      </c>
      <c r="F460">
        <v>25.45</v>
      </c>
      <c r="G460" t="s">
        <v>465</v>
      </c>
      <c r="H460">
        <v>652.79998779296875</v>
      </c>
      <c r="I460">
        <v>281.60000610351563</v>
      </c>
      <c r="L460" t="s">
        <v>469</v>
      </c>
      <c r="M460">
        <v>25.650294215833739</v>
      </c>
      <c r="N460">
        <v>11.064833245717709</v>
      </c>
      <c r="O460">
        <v>5360</v>
      </c>
      <c r="P460">
        <v>5428.9</v>
      </c>
      <c r="Q460">
        <v>2594.75</v>
      </c>
      <c r="R460" s="2" t="s">
        <v>467</v>
      </c>
      <c r="S460">
        <v>5360</v>
      </c>
      <c r="T460" t="s">
        <v>468</v>
      </c>
    </row>
    <row r="461" spans="1:20" x14ac:dyDescent="0.25">
      <c r="A461">
        <v>481</v>
      </c>
      <c r="B461">
        <v>500480</v>
      </c>
      <c r="C461" t="s">
        <v>87</v>
      </c>
      <c r="D461">
        <v>2021</v>
      </c>
      <c r="E461">
        <v>5452.60009765625</v>
      </c>
      <c r="F461">
        <v>22.91</v>
      </c>
      <c r="G461" t="s">
        <v>465</v>
      </c>
      <c r="H461">
        <v>1065</v>
      </c>
      <c r="I461">
        <v>582.0999755859375</v>
      </c>
      <c r="L461" t="s">
        <v>469</v>
      </c>
      <c r="M461">
        <v>46.486250545613267</v>
      </c>
      <c r="N461">
        <v>25.408117659796481</v>
      </c>
      <c r="O461">
        <v>5360</v>
      </c>
      <c r="P461">
        <v>5428.9</v>
      </c>
      <c r="Q461">
        <v>2594.75</v>
      </c>
      <c r="R461" s="2" t="s">
        <v>467</v>
      </c>
      <c r="S461">
        <v>5360</v>
      </c>
      <c r="T461" t="s">
        <v>468</v>
      </c>
    </row>
    <row r="462" spans="1:20" x14ac:dyDescent="0.25">
      <c r="A462">
        <v>481</v>
      </c>
      <c r="B462">
        <v>500480</v>
      </c>
      <c r="C462" t="s">
        <v>87</v>
      </c>
      <c r="D462">
        <v>2022</v>
      </c>
      <c r="E462">
        <v>5452.60009765625</v>
      </c>
      <c r="F462">
        <v>33.68</v>
      </c>
      <c r="G462" t="s">
        <v>465</v>
      </c>
      <c r="H462">
        <v>1551.050048828125</v>
      </c>
      <c r="I462">
        <v>877.79998779296875</v>
      </c>
      <c r="L462" t="s">
        <v>469</v>
      </c>
      <c r="M462">
        <v>46.052554893946713</v>
      </c>
      <c r="N462">
        <v>26.062945005729471</v>
      </c>
      <c r="O462">
        <v>5360</v>
      </c>
      <c r="P462">
        <v>5428.9</v>
      </c>
      <c r="Q462">
        <v>2594.75</v>
      </c>
      <c r="R462" s="2" t="s">
        <v>467</v>
      </c>
      <c r="S462">
        <v>5360</v>
      </c>
      <c r="T462" t="s">
        <v>468</v>
      </c>
    </row>
    <row r="463" spans="1:20" x14ac:dyDescent="0.25">
      <c r="A463">
        <v>481</v>
      </c>
      <c r="B463">
        <v>500480</v>
      </c>
      <c r="C463" t="s">
        <v>87</v>
      </c>
      <c r="D463">
        <v>2023</v>
      </c>
      <c r="E463">
        <v>5452.60009765625</v>
      </c>
      <c r="F463">
        <v>44.31</v>
      </c>
      <c r="G463" t="s">
        <v>465</v>
      </c>
      <c r="H463">
        <v>2045.449951171875</v>
      </c>
      <c r="I463">
        <v>1356.050048828125</v>
      </c>
      <c r="L463" t="s">
        <v>469</v>
      </c>
      <c r="M463">
        <v>46.16226475224272</v>
      </c>
      <c r="N463">
        <v>30.603702298084521</v>
      </c>
      <c r="O463">
        <v>5360</v>
      </c>
      <c r="P463">
        <v>5428.9</v>
      </c>
      <c r="Q463">
        <v>2594.75</v>
      </c>
      <c r="R463" s="2" t="s">
        <v>467</v>
      </c>
      <c r="S463">
        <v>5360</v>
      </c>
      <c r="T463" t="s">
        <v>468</v>
      </c>
    </row>
    <row r="464" spans="1:20" x14ac:dyDescent="0.25">
      <c r="A464">
        <v>481</v>
      </c>
      <c r="B464">
        <v>500480</v>
      </c>
      <c r="C464" t="s">
        <v>87</v>
      </c>
      <c r="D464">
        <v>2024</v>
      </c>
      <c r="E464">
        <v>5452.60009765625</v>
      </c>
      <c r="F464">
        <v>62.07</v>
      </c>
      <c r="G464" t="s">
        <v>465</v>
      </c>
      <c r="H464">
        <v>4169.5</v>
      </c>
      <c r="I464">
        <v>1928.699951171875</v>
      </c>
      <c r="L464" t="s">
        <v>469</v>
      </c>
      <c r="M464">
        <v>67.174158208474296</v>
      </c>
      <c r="N464">
        <v>31.072981330302479</v>
      </c>
      <c r="O464">
        <v>5360</v>
      </c>
      <c r="P464">
        <v>5428.9</v>
      </c>
      <c r="Q464">
        <v>2594.75</v>
      </c>
      <c r="R464" s="2" t="s">
        <v>467</v>
      </c>
      <c r="S464">
        <v>5360</v>
      </c>
      <c r="T464" t="s">
        <v>468</v>
      </c>
    </row>
    <row r="465" spans="1:20" x14ac:dyDescent="0.25">
      <c r="A465">
        <v>481</v>
      </c>
      <c r="B465">
        <v>500480</v>
      </c>
      <c r="C465" t="s">
        <v>87</v>
      </c>
      <c r="D465">
        <v>2025</v>
      </c>
      <c r="E465">
        <v>5452.60009765625</v>
      </c>
      <c r="F465">
        <v>72.150000000000006</v>
      </c>
      <c r="G465" t="s">
        <v>465</v>
      </c>
      <c r="H465">
        <v>4614.75</v>
      </c>
      <c r="I465">
        <v>2594.75</v>
      </c>
      <c r="L465" t="s">
        <v>469</v>
      </c>
      <c r="M465">
        <v>63.960498960498953</v>
      </c>
      <c r="N465">
        <v>35.963270963270958</v>
      </c>
      <c r="O465">
        <v>5360</v>
      </c>
      <c r="P465">
        <v>5428.9</v>
      </c>
      <c r="Q465">
        <v>2594.75</v>
      </c>
      <c r="R465" s="2" t="s">
        <v>467</v>
      </c>
      <c r="S465">
        <v>5360</v>
      </c>
      <c r="T465" t="s">
        <v>468</v>
      </c>
    </row>
    <row r="466" spans="1:20" x14ac:dyDescent="0.25">
      <c r="A466">
        <v>481</v>
      </c>
      <c r="B466">
        <v>500480</v>
      </c>
      <c r="C466" t="s">
        <v>87</v>
      </c>
      <c r="D466">
        <v>2026</v>
      </c>
      <c r="E466">
        <v>5452.60009765625</v>
      </c>
      <c r="F466">
        <v>85.2</v>
      </c>
      <c r="G466" t="s">
        <v>465</v>
      </c>
      <c r="H466">
        <v>6142.7998046875</v>
      </c>
      <c r="I466">
        <v>3883.300048828125</v>
      </c>
      <c r="L466" t="s">
        <v>469</v>
      </c>
      <c r="M466">
        <v>72.098589256895536</v>
      </c>
      <c r="N466">
        <v>45.578639070752637</v>
      </c>
      <c r="O466">
        <v>5360</v>
      </c>
      <c r="P466">
        <v>5428.9</v>
      </c>
      <c r="Q466">
        <v>2594.75</v>
      </c>
      <c r="R466" s="2" t="s">
        <v>467</v>
      </c>
      <c r="S466">
        <v>5360</v>
      </c>
      <c r="T466" t="s">
        <v>468</v>
      </c>
    </row>
    <row r="467" spans="1:20" x14ac:dyDescent="0.25">
      <c r="A467">
        <v>489</v>
      </c>
      <c r="B467">
        <v>500488</v>
      </c>
      <c r="C467" t="s">
        <v>89</v>
      </c>
      <c r="D467">
        <v>2015</v>
      </c>
      <c r="F467">
        <v>107.75</v>
      </c>
      <c r="G467" t="s">
        <v>465</v>
      </c>
      <c r="H467">
        <v>6152.9501953125</v>
      </c>
      <c r="I467">
        <v>3700.14990234375</v>
      </c>
      <c r="L467" t="s">
        <v>469</v>
      </c>
      <c r="M467">
        <v>57.103946128190252</v>
      </c>
      <c r="N467">
        <v>34.340138304814388</v>
      </c>
      <c r="O467">
        <v>27775</v>
      </c>
      <c r="P467">
        <v>35310</v>
      </c>
      <c r="Q467">
        <v>25150</v>
      </c>
      <c r="R467" s="3" t="s">
        <v>470</v>
      </c>
      <c r="S467">
        <v>27775</v>
      </c>
      <c r="T467" t="s">
        <v>468</v>
      </c>
    </row>
    <row r="468" spans="1:20" x14ac:dyDescent="0.25">
      <c r="A468">
        <v>489</v>
      </c>
      <c r="B468">
        <v>500488</v>
      </c>
      <c r="C468" t="s">
        <v>89</v>
      </c>
      <c r="D468">
        <v>2016</v>
      </c>
      <c r="F468">
        <v>120.12</v>
      </c>
      <c r="G468" t="s">
        <v>465</v>
      </c>
      <c r="H468">
        <v>6000</v>
      </c>
      <c r="I468">
        <v>4360</v>
      </c>
      <c r="L468" t="s">
        <v>469</v>
      </c>
      <c r="M468">
        <v>49.950049950049952</v>
      </c>
      <c r="N468">
        <v>36.297036297036293</v>
      </c>
      <c r="O468">
        <v>27775</v>
      </c>
      <c r="P468">
        <v>35310</v>
      </c>
      <c r="Q468">
        <v>25150</v>
      </c>
      <c r="R468" s="3" t="s">
        <v>470</v>
      </c>
      <c r="S468">
        <v>27775</v>
      </c>
      <c r="T468" t="s">
        <v>468</v>
      </c>
    </row>
    <row r="469" spans="1:20" x14ac:dyDescent="0.25">
      <c r="A469">
        <v>489</v>
      </c>
      <c r="B469">
        <v>500488</v>
      </c>
      <c r="C469" t="s">
        <v>89</v>
      </c>
      <c r="D469">
        <v>2017</v>
      </c>
      <c r="F469">
        <v>130.19</v>
      </c>
      <c r="G469" t="s">
        <v>465</v>
      </c>
      <c r="H469">
        <v>5707.2001953125</v>
      </c>
      <c r="I469">
        <v>4007.10009765625</v>
      </c>
      <c r="L469" t="s">
        <v>469</v>
      </c>
      <c r="M469">
        <v>43.837469815750062</v>
      </c>
      <c r="N469">
        <v>30.77886241382787</v>
      </c>
      <c r="O469">
        <v>27775</v>
      </c>
      <c r="P469">
        <v>35310</v>
      </c>
      <c r="Q469">
        <v>25150</v>
      </c>
      <c r="R469" s="3" t="s">
        <v>470</v>
      </c>
      <c r="S469">
        <v>27775</v>
      </c>
      <c r="T469" t="s">
        <v>468</v>
      </c>
    </row>
    <row r="470" spans="1:20" x14ac:dyDescent="0.25">
      <c r="A470">
        <v>489</v>
      </c>
      <c r="B470">
        <v>500488</v>
      </c>
      <c r="C470" t="s">
        <v>89</v>
      </c>
      <c r="D470">
        <v>2018</v>
      </c>
      <c r="F470">
        <v>188.82</v>
      </c>
      <c r="G470" t="s">
        <v>465</v>
      </c>
      <c r="H470">
        <v>8834.0498046875</v>
      </c>
      <c r="I470">
        <v>5210</v>
      </c>
      <c r="L470" t="s">
        <v>469</v>
      </c>
      <c r="M470">
        <v>46.785561935639763</v>
      </c>
      <c r="N470">
        <v>27.592416057621019</v>
      </c>
      <c r="O470">
        <v>27775</v>
      </c>
      <c r="P470">
        <v>35310</v>
      </c>
      <c r="Q470">
        <v>25150</v>
      </c>
      <c r="R470" s="3" t="s">
        <v>470</v>
      </c>
      <c r="S470">
        <v>27775</v>
      </c>
      <c r="T470" t="s">
        <v>468</v>
      </c>
    </row>
    <row r="471" spans="1:20" x14ac:dyDescent="0.25">
      <c r="A471">
        <v>489</v>
      </c>
      <c r="B471">
        <v>500488</v>
      </c>
      <c r="C471" t="s">
        <v>89</v>
      </c>
      <c r="D471">
        <v>2019</v>
      </c>
      <c r="F471">
        <v>211.93</v>
      </c>
      <c r="G471" t="s">
        <v>465</v>
      </c>
      <c r="H471">
        <v>13450.0498046875</v>
      </c>
      <c r="I471">
        <v>7150</v>
      </c>
      <c r="L471" t="s">
        <v>469</v>
      </c>
      <c r="M471">
        <v>63.464586442162513</v>
      </c>
      <c r="N471">
        <v>33.737554853017507</v>
      </c>
      <c r="O471">
        <v>27775</v>
      </c>
      <c r="P471">
        <v>35310</v>
      </c>
      <c r="Q471">
        <v>25150</v>
      </c>
      <c r="R471" s="3" t="s">
        <v>470</v>
      </c>
      <c r="S471">
        <v>27775</v>
      </c>
      <c r="T471" t="s">
        <v>468</v>
      </c>
    </row>
    <row r="472" spans="1:20" x14ac:dyDescent="0.25">
      <c r="A472">
        <v>489</v>
      </c>
      <c r="B472">
        <v>500488</v>
      </c>
      <c r="C472" t="s">
        <v>89</v>
      </c>
      <c r="D472">
        <v>2020</v>
      </c>
      <c r="F472">
        <v>279.04000000000002</v>
      </c>
      <c r="G472" t="s">
        <v>465</v>
      </c>
      <c r="H472">
        <v>18569</v>
      </c>
      <c r="I472">
        <v>12223.349609375</v>
      </c>
      <c r="L472" t="s">
        <v>469</v>
      </c>
      <c r="M472">
        <v>66.546014908256879</v>
      </c>
      <c r="N472">
        <v>43.805008634514763</v>
      </c>
      <c r="O472">
        <v>27775</v>
      </c>
      <c r="P472">
        <v>35310</v>
      </c>
      <c r="Q472">
        <v>25150</v>
      </c>
      <c r="R472" s="3" t="s">
        <v>470</v>
      </c>
      <c r="S472">
        <v>27775</v>
      </c>
      <c r="T472" t="s">
        <v>468</v>
      </c>
    </row>
    <row r="473" spans="1:20" x14ac:dyDescent="0.25">
      <c r="A473">
        <v>489</v>
      </c>
      <c r="B473">
        <v>500488</v>
      </c>
      <c r="C473" t="s">
        <v>89</v>
      </c>
      <c r="D473">
        <v>2021</v>
      </c>
      <c r="F473">
        <v>325.04000000000002</v>
      </c>
      <c r="G473" t="s">
        <v>465</v>
      </c>
      <c r="H473">
        <v>23902.30078125</v>
      </c>
      <c r="I473">
        <v>13970.099609375</v>
      </c>
      <c r="L473" t="s">
        <v>469</v>
      </c>
      <c r="M473">
        <v>73.536490220434402</v>
      </c>
      <c r="N473">
        <v>42.979632074129327</v>
      </c>
      <c r="O473">
        <v>27775</v>
      </c>
      <c r="P473">
        <v>35310</v>
      </c>
      <c r="Q473">
        <v>25150</v>
      </c>
      <c r="R473" s="3" t="s">
        <v>470</v>
      </c>
      <c r="S473">
        <v>27775</v>
      </c>
      <c r="T473" t="s">
        <v>468</v>
      </c>
    </row>
    <row r="474" spans="1:20" x14ac:dyDescent="0.25">
      <c r="A474">
        <v>489</v>
      </c>
      <c r="B474">
        <v>500488</v>
      </c>
      <c r="C474" t="s">
        <v>89</v>
      </c>
      <c r="D474">
        <v>2022</v>
      </c>
      <c r="F474">
        <v>375.87</v>
      </c>
      <c r="G474" t="s">
        <v>465</v>
      </c>
      <c r="H474">
        <v>22170</v>
      </c>
      <c r="I474">
        <v>15525</v>
      </c>
      <c r="L474" t="s">
        <v>469</v>
      </c>
      <c r="M474">
        <v>58.983159070955381</v>
      </c>
      <c r="N474">
        <v>41.304174315587836</v>
      </c>
      <c r="O474">
        <v>27775</v>
      </c>
      <c r="P474">
        <v>35310</v>
      </c>
      <c r="Q474">
        <v>25150</v>
      </c>
      <c r="R474" s="3" t="s">
        <v>470</v>
      </c>
      <c r="S474">
        <v>27775</v>
      </c>
      <c r="T474" t="s">
        <v>468</v>
      </c>
    </row>
    <row r="475" spans="1:20" x14ac:dyDescent="0.25">
      <c r="A475">
        <v>489</v>
      </c>
      <c r="B475">
        <v>500488</v>
      </c>
      <c r="C475" t="s">
        <v>89</v>
      </c>
      <c r="D475">
        <v>2023</v>
      </c>
      <c r="F475">
        <v>446.8</v>
      </c>
      <c r="G475" t="s">
        <v>465</v>
      </c>
      <c r="H475">
        <v>24724.94921875</v>
      </c>
      <c r="I475">
        <v>19900</v>
      </c>
      <c r="L475" t="s">
        <v>469</v>
      </c>
      <c r="M475">
        <v>55.337845162824529</v>
      </c>
      <c r="N475">
        <v>44.538943598925691</v>
      </c>
      <c r="O475">
        <v>27775</v>
      </c>
      <c r="P475">
        <v>35310</v>
      </c>
      <c r="Q475">
        <v>25150</v>
      </c>
      <c r="R475" s="3" t="s">
        <v>470</v>
      </c>
      <c r="S475">
        <v>27775</v>
      </c>
      <c r="T475" t="s">
        <v>468</v>
      </c>
    </row>
    <row r="476" spans="1:20" x14ac:dyDescent="0.25">
      <c r="A476">
        <v>489</v>
      </c>
      <c r="B476">
        <v>500488</v>
      </c>
      <c r="C476" t="s">
        <v>89</v>
      </c>
      <c r="D476">
        <v>2024</v>
      </c>
      <c r="F476">
        <v>565.29999999999995</v>
      </c>
      <c r="G476" t="s">
        <v>465</v>
      </c>
      <c r="H476">
        <v>30499.900390625</v>
      </c>
      <c r="I476">
        <v>22750.5</v>
      </c>
      <c r="L476" t="s">
        <v>469</v>
      </c>
      <c r="M476">
        <v>53.953476721431102</v>
      </c>
      <c r="N476">
        <v>40.245002653458343</v>
      </c>
      <c r="O476">
        <v>27775</v>
      </c>
      <c r="P476">
        <v>35310</v>
      </c>
      <c r="Q476">
        <v>25150</v>
      </c>
      <c r="R476" s="3" t="s">
        <v>470</v>
      </c>
      <c r="S476">
        <v>27775</v>
      </c>
      <c r="T476" t="s">
        <v>468</v>
      </c>
    </row>
    <row r="477" spans="1:20" x14ac:dyDescent="0.25">
      <c r="A477">
        <v>489</v>
      </c>
      <c r="B477">
        <v>500488</v>
      </c>
      <c r="C477" t="s">
        <v>89</v>
      </c>
      <c r="D477">
        <v>2025</v>
      </c>
      <c r="F477">
        <v>665.64</v>
      </c>
      <c r="G477" t="s">
        <v>465</v>
      </c>
      <c r="H477">
        <v>35921.55078125</v>
      </c>
      <c r="I477">
        <v>25260.19921875</v>
      </c>
      <c r="L477" t="s">
        <v>469</v>
      </c>
      <c r="M477">
        <v>53.965432938600443</v>
      </c>
      <c r="N477">
        <v>37.948739887551831</v>
      </c>
      <c r="O477">
        <v>27775</v>
      </c>
      <c r="P477">
        <v>35310</v>
      </c>
      <c r="Q477">
        <v>25150</v>
      </c>
      <c r="R477" s="3" t="s">
        <v>470</v>
      </c>
      <c r="S477">
        <v>27775</v>
      </c>
      <c r="T477" t="s">
        <v>468</v>
      </c>
    </row>
    <row r="478" spans="1:20" x14ac:dyDescent="0.25">
      <c r="A478">
        <v>489</v>
      </c>
      <c r="B478">
        <v>500488</v>
      </c>
      <c r="C478" t="s">
        <v>89</v>
      </c>
      <c r="D478">
        <v>2026</v>
      </c>
      <c r="F478">
        <v>730.39</v>
      </c>
      <c r="G478" t="s">
        <v>465</v>
      </c>
      <c r="H478">
        <v>28600</v>
      </c>
      <c r="I478">
        <v>25164</v>
      </c>
      <c r="L478" t="s">
        <v>469</v>
      </c>
      <c r="M478">
        <v>39.157162611755368</v>
      </c>
      <c r="N478">
        <v>34.452826572105323</v>
      </c>
      <c r="O478">
        <v>27775</v>
      </c>
      <c r="P478">
        <v>35310</v>
      </c>
      <c r="Q478">
        <v>25150</v>
      </c>
      <c r="R478" s="3" t="s">
        <v>470</v>
      </c>
      <c r="S478">
        <v>27775</v>
      </c>
      <c r="T478" t="s">
        <v>468</v>
      </c>
    </row>
    <row r="479" spans="1:20" x14ac:dyDescent="0.25">
      <c r="A479">
        <v>63</v>
      </c>
      <c r="B479">
        <v>500490</v>
      </c>
      <c r="C479" t="s">
        <v>91</v>
      </c>
      <c r="D479">
        <v>2015</v>
      </c>
      <c r="E479">
        <v>10392.2001953125</v>
      </c>
      <c r="F479">
        <v>182.33</v>
      </c>
      <c r="G479" t="s">
        <v>465</v>
      </c>
      <c r="H479">
        <v>1745</v>
      </c>
      <c r="I479">
        <v>1242.849975585938</v>
      </c>
      <c r="L479" t="s">
        <v>469</v>
      </c>
      <c r="M479">
        <v>9.5705588767619147</v>
      </c>
      <c r="N479">
        <v>6.8164864563480387</v>
      </c>
      <c r="O479">
        <v>10973</v>
      </c>
      <c r="P479">
        <v>14763</v>
      </c>
      <c r="Q479">
        <v>8588</v>
      </c>
      <c r="R479" s="3" t="s">
        <v>470</v>
      </c>
      <c r="S479">
        <v>10973</v>
      </c>
      <c r="T479" t="s">
        <v>468</v>
      </c>
    </row>
    <row r="480" spans="1:20" x14ac:dyDescent="0.25">
      <c r="A480">
        <v>63</v>
      </c>
      <c r="B480">
        <v>500490</v>
      </c>
      <c r="C480" t="s">
        <v>91</v>
      </c>
      <c r="D480">
        <v>2016</v>
      </c>
      <c r="E480">
        <v>10392.2001953125</v>
      </c>
      <c r="F480">
        <v>203.54</v>
      </c>
      <c r="G480" t="s">
        <v>465</v>
      </c>
      <c r="H480">
        <v>2235</v>
      </c>
      <c r="I480">
        <v>1310.849975585938</v>
      </c>
      <c r="L480" t="s">
        <v>469</v>
      </c>
      <c r="M480">
        <v>10.98064262552815</v>
      </c>
      <c r="N480">
        <v>6.4402573233071534</v>
      </c>
      <c r="O480">
        <v>10973</v>
      </c>
      <c r="P480">
        <v>14763</v>
      </c>
      <c r="Q480">
        <v>8588</v>
      </c>
      <c r="R480" s="3" t="s">
        <v>470</v>
      </c>
      <c r="S480">
        <v>10973</v>
      </c>
      <c r="T480" t="s">
        <v>468</v>
      </c>
    </row>
    <row r="481" spans="1:20" x14ac:dyDescent="0.25">
      <c r="A481">
        <v>63</v>
      </c>
      <c r="B481">
        <v>500490</v>
      </c>
      <c r="C481" t="s">
        <v>91</v>
      </c>
      <c r="D481">
        <v>2017</v>
      </c>
      <c r="E481">
        <v>10392.2001953125</v>
      </c>
      <c r="F481">
        <v>222.22</v>
      </c>
      <c r="G481" t="s">
        <v>465</v>
      </c>
      <c r="H481">
        <v>3035.75</v>
      </c>
      <c r="I481">
        <v>1821.050048828125</v>
      </c>
      <c r="L481" t="s">
        <v>469</v>
      </c>
      <c r="M481">
        <v>13.6610116101161</v>
      </c>
      <c r="N481">
        <v>8.1948071677982401</v>
      </c>
      <c r="O481">
        <v>10973</v>
      </c>
      <c r="P481">
        <v>14763</v>
      </c>
      <c r="Q481">
        <v>8588</v>
      </c>
      <c r="R481" s="3" t="s">
        <v>470</v>
      </c>
      <c r="S481">
        <v>10973</v>
      </c>
      <c r="T481" t="s">
        <v>468</v>
      </c>
    </row>
    <row r="482" spans="1:20" x14ac:dyDescent="0.25">
      <c r="A482">
        <v>63</v>
      </c>
      <c r="B482">
        <v>500490</v>
      </c>
      <c r="C482" t="s">
        <v>91</v>
      </c>
      <c r="D482">
        <v>2018</v>
      </c>
      <c r="E482">
        <v>10392.2001953125</v>
      </c>
      <c r="F482">
        <v>238.54</v>
      </c>
      <c r="G482" t="s">
        <v>465</v>
      </c>
      <c r="H482">
        <v>3295</v>
      </c>
      <c r="I482">
        <v>2203.64990234375</v>
      </c>
      <c r="L482" t="s">
        <v>469</v>
      </c>
      <c r="M482">
        <v>13.81319694810095</v>
      </c>
      <c r="N482">
        <v>9.2380728697231067</v>
      </c>
      <c r="O482">
        <v>10973</v>
      </c>
      <c r="P482">
        <v>14763</v>
      </c>
      <c r="Q482">
        <v>8588</v>
      </c>
      <c r="R482" s="3" t="s">
        <v>470</v>
      </c>
      <c r="S482">
        <v>10973</v>
      </c>
      <c r="T482" t="s">
        <v>468</v>
      </c>
    </row>
    <row r="483" spans="1:20" x14ac:dyDescent="0.25">
      <c r="A483">
        <v>63</v>
      </c>
      <c r="B483">
        <v>500490</v>
      </c>
      <c r="C483" t="s">
        <v>91</v>
      </c>
      <c r="D483">
        <v>2019</v>
      </c>
      <c r="E483">
        <v>10392.2001953125</v>
      </c>
      <c r="F483">
        <v>273.89999999999998</v>
      </c>
      <c r="G483" t="s">
        <v>465</v>
      </c>
      <c r="H483">
        <v>3912</v>
      </c>
      <c r="I483">
        <v>2809.10009765625</v>
      </c>
      <c r="L483" t="s">
        <v>469</v>
      </c>
      <c r="M483">
        <v>14.282584884994529</v>
      </c>
      <c r="N483">
        <v>10.25593317873768</v>
      </c>
      <c r="O483">
        <v>10973</v>
      </c>
      <c r="P483">
        <v>14763</v>
      </c>
      <c r="Q483">
        <v>8588</v>
      </c>
      <c r="R483" s="3" t="s">
        <v>470</v>
      </c>
      <c r="S483">
        <v>10973</v>
      </c>
      <c r="T483" t="s">
        <v>468</v>
      </c>
    </row>
    <row r="484" spans="1:20" x14ac:dyDescent="0.25">
      <c r="A484">
        <v>63</v>
      </c>
      <c r="B484">
        <v>500490</v>
      </c>
      <c r="C484" t="s">
        <v>91</v>
      </c>
      <c r="D484">
        <v>2020</v>
      </c>
      <c r="E484">
        <v>10392.2001953125</v>
      </c>
      <c r="F484">
        <v>268.83999999999997</v>
      </c>
      <c r="G484" t="s">
        <v>465</v>
      </c>
      <c r="H484">
        <v>3949.35009765625</v>
      </c>
      <c r="I484">
        <v>1471.849975585938</v>
      </c>
      <c r="L484" t="s">
        <v>469</v>
      </c>
      <c r="M484">
        <v>14.690336622735639</v>
      </c>
      <c r="N484">
        <v>5.4748176446434238</v>
      </c>
      <c r="O484">
        <v>10973</v>
      </c>
      <c r="P484">
        <v>14763</v>
      </c>
      <c r="Q484">
        <v>8588</v>
      </c>
      <c r="R484" s="3" t="s">
        <v>470</v>
      </c>
      <c r="S484">
        <v>10973</v>
      </c>
      <c r="T484" t="s">
        <v>468</v>
      </c>
    </row>
    <row r="485" spans="1:20" x14ac:dyDescent="0.25">
      <c r="A485">
        <v>63</v>
      </c>
      <c r="B485">
        <v>500490</v>
      </c>
      <c r="C485" t="s">
        <v>91</v>
      </c>
      <c r="D485">
        <v>2021</v>
      </c>
      <c r="E485">
        <v>10392.2001953125</v>
      </c>
      <c r="F485">
        <v>327.95</v>
      </c>
      <c r="G485" t="s">
        <v>465</v>
      </c>
      <c r="H485">
        <v>5654</v>
      </c>
      <c r="I485">
        <v>3050</v>
      </c>
      <c r="L485" t="s">
        <v>469</v>
      </c>
      <c r="M485">
        <v>17.240432992834279</v>
      </c>
      <c r="N485">
        <v>9.3001982009452657</v>
      </c>
      <c r="O485">
        <v>10973</v>
      </c>
      <c r="P485">
        <v>14763</v>
      </c>
      <c r="Q485">
        <v>8588</v>
      </c>
      <c r="R485" s="3" t="s">
        <v>470</v>
      </c>
      <c r="S485">
        <v>10973</v>
      </c>
      <c r="T485" t="s">
        <v>468</v>
      </c>
    </row>
    <row r="486" spans="1:20" x14ac:dyDescent="0.25">
      <c r="A486">
        <v>63</v>
      </c>
      <c r="B486">
        <v>500490</v>
      </c>
      <c r="C486" t="s">
        <v>91</v>
      </c>
      <c r="D486">
        <v>2022</v>
      </c>
      <c r="E486">
        <v>10392.2001953125</v>
      </c>
      <c r="F486">
        <v>364.41</v>
      </c>
      <c r="G486" t="s">
        <v>465</v>
      </c>
      <c r="H486">
        <v>7377.60009765625</v>
      </c>
      <c r="I486">
        <v>4448</v>
      </c>
      <c r="L486" t="s">
        <v>469</v>
      </c>
      <c r="M486">
        <v>20.24532833252723</v>
      </c>
      <c r="N486">
        <v>12.206031667627119</v>
      </c>
      <c r="O486">
        <v>10973</v>
      </c>
      <c r="P486">
        <v>14763</v>
      </c>
      <c r="Q486">
        <v>8588</v>
      </c>
      <c r="R486" s="3" t="s">
        <v>470</v>
      </c>
      <c r="S486">
        <v>10973</v>
      </c>
      <c r="T486" t="s">
        <v>468</v>
      </c>
    </row>
    <row r="487" spans="1:20" x14ac:dyDescent="0.25">
      <c r="A487">
        <v>63</v>
      </c>
      <c r="B487">
        <v>500490</v>
      </c>
      <c r="C487" t="s">
        <v>91</v>
      </c>
      <c r="D487">
        <v>2023</v>
      </c>
      <c r="E487">
        <v>10392.2001953125</v>
      </c>
      <c r="F487">
        <v>435.83</v>
      </c>
      <c r="G487" t="s">
        <v>465</v>
      </c>
      <c r="H487">
        <v>8365.9501953125</v>
      </c>
      <c r="I487">
        <v>5557.0498046875</v>
      </c>
      <c r="L487" t="s">
        <v>469</v>
      </c>
      <c r="M487">
        <v>19.195443625524859</v>
      </c>
      <c r="N487">
        <v>12.75049859965468</v>
      </c>
      <c r="O487">
        <v>10973</v>
      </c>
      <c r="P487">
        <v>14763</v>
      </c>
      <c r="Q487">
        <v>8588</v>
      </c>
      <c r="R487" s="3" t="s">
        <v>470</v>
      </c>
      <c r="S487">
        <v>10973</v>
      </c>
      <c r="T487" t="s">
        <v>468</v>
      </c>
    </row>
    <row r="488" spans="1:20" x14ac:dyDescent="0.25">
      <c r="A488">
        <v>63</v>
      </c>
      <c r="B488">
        <v>500490</v>
      </c>
      <c r="C488" t="s">
        <v>91</v>
      </c>
      <c r="D488">
        <v>2024</v>
      </c>
      <c r="E488">
        <v>10392.2001953125</v>
      </c>
      <c r="F488">
        <v>652.98</v>
      </c>
      <c r="G488" t="s">
        <v>465</v>
      </c>
      <c r="H488">
        <v>13221.5</v>
      </c>
      <c r="I488">
        <v>7667.14990234375</v>
      </c>
      <c r="L488" t="s">
        <v>469</v>
      </c>
      <c r="M488">
        <v>20.24794021256394</v>
      </c>
      <c r="N488">
        <v>11.741783672308109</v>
      </c>
      <c r="O488">
        <v>10973</v>
      </c>
      <c r="P488">
        <v>14763</v>
      </c>
      <c r="Q488">
        <v>8588</v>
      </c>
      <c r="R488" s="3" t="s">
        <v>470</v>
      </c>
      <c r="S488">
        <v>10973</v>
      </c>
      <c r="T488" t="s">
        <v>468</v>
      </c>
    </row>
    <row r="489" spans="1:20" x14ac:dyDescent="0.25">
      <c r="A489">
        <v>63</v>
      </c>
      <c r="B489">
        <v>500490</v>
      </c>
      <c r="C489" t="s">
        <v>91</v>
      </c>
      <c r="D489">
        <v>2025</v>
      </c>
      <c r="E489">
        <v>10392.2001953125</v>
      </c>
      <c r="F489">
        <v>585.9</v>
      </c>
      <c r="G489" t="s">
        <v>465</v>
      </c>
      <c r="H489">
        <v>14873.2001953125</v>
      </c>
      <c r="I489">
        <v>10264</v>
      </c>
      <c r="L489" t="s">
        <v>469</v>
      </c>
      <c r="M489">
        <v>25.38521965405786</v>
      </c>
      <c r="N489">
        <v>17.518347840928492</v>
      </c>
      <c r="O489">
        <v>10973</v>
      </c>
      <c r="P489">
        <v>14763</v>
      </c>
      <c r="Q489">
        <v>8588</v>
      </c>
      <c r="R489" s="3" t="s">
        <v>470</v>
      </c>
      <c r="S489">
        <v>10973</v>
      </c>
      <c r="T489" t="s">
        <v>468</v>
      </c>
    </row>
    <row r="490" spans="1:20" x14ac:dyDescent="0.25">
      <c r="A490">
        <v>63</v>
      </c>
      <c r="B490">
        <v>500490</v>
      </c>
      <c r="C490" t="s">
        <v>91</v>
      </c>
      <c r="D490">
        <v>2026</v>
      </c>
      <c r="E490">
        <v>10392.2001953125</v>
      </c>
      <c r="F490">
        <v>865.89</v>
      </c>
      <c r="G490" t="s">
        <v>465</v>
      </c>
      <c r="H490">
        <v>11654.9501953125</v>
      </c>
      <c r="I490">
        <v>8597.5</v>
      </c>
      <c r="L490" t="s">
        <v>469</v>
      </c>
      <c r="M490">
        <v>13.46008176016873</v>
      </c>
      <c r="N490">
        <v>9.9290903001536002</v>
      </c>
      <c r="O490">
        <v>10973</v>
      </c>
      <c r="P490">
        <v>14763</v>
      </c>
      <c r="Q490">
        <v>8588</v>
      </c>
      <c r="R490" s="3" t="s">
        <v>470</v>
      </c>
      <c r="S490">
        <v>10973</v>
      </c>
      <c r="T490" t="s">
        <v>468</v>
      </c>
    </row>
    <row r="491" spans="1:20" x14ac:dyDescent="0.25">
      <c r="A491">
        <v>64</v>
      </c>
      <c r="B491">
        <v>500510</v>
      </c>
      <c r="C491" t="s">
        <v>93</v>
      </c>
      <c r="D491">
        <v>2015</v>
      </c>
      <c r="E491">
        <v>3815</v>
      </c>
      <c r="F491">
        <v>34.17</v>
      </c>
      <c r="G491" t="s">
        <v>465</v>
      </c>
      <c r="H491">
        <v>1261.966674804688</v>
      </c>
      <c r="I491">
        <v>843.66668701171875</v>
      </c>
      <c r="L491" t="s">
        <v>469</v>
      </c>
      <c r="M491">
        <v>36.932006871661919</v>
      </c>
      <c r="N491">
        <v>24.690274715004939</v>
      </c>
      <c r="O491">
        <v>3924.75</v>
      </c>
      <c r="P491">
        <v>4194.7</v>
      </c>
      <c r="Q491">
        <v>2967.65</v>
      </c>
      <c r="R491" s="2" t="s">
        <v>467</v>
      </c>
      <c r="S491">
        <v>3924.75</v>
      </c>
      <c r="T491" t="s">
        <v>468</v>
      </c>
    </row>
    <row r="492" spans="1:20" x14ac:dyDescent="0.25">
      <c r="A492">
        <v>64</v>
      </c>
      <c r="B492">
        <v>500510</v>
      </c>
      <c r="C492" t="s">
        <v>93</v>
      </c>
      <c r="D492">
        <v>2016</v>
      </c>
      <c r="E492">
        <v>3815</v>
      </c>
      <c r="F492">
        <v>30.64</v>
      </c>
      <c r="G492" t="s">
        <v>465</v>
      </c>
      <c r="H492">
        <v>1076.666625976562</v>
      </c>
      <c r="I492">
        <v>677.73333740234375</v>
      </c>
      <c r="L492" t="s">
        <v>469</v>
      </c>
      <c r="M492">
        <v>35.139250195057507</v>
      </c>
      <c r="N492">
        <v>22.119234249423751</v>
      </c>
      <c r="O492">
        <v>3924.75</v>
      </c>
      <c r="P492">
        <v>4194.7</v>
      </c>
      <c r="Q492">
        <v>2967.65</v>
      </c>
      <c r="R492" s="2" t="s">
        <v>467</v>
      </c>
      <c r="S492">
        <v>3924.75</v>
      </c>
      <c r="T492" t="s">
        <v>468</v>
      </c>
    </row>
    <row r="493" spans="1:20" x14ac:dyDescent="0.25">
      <c r="A493">
        <v>64</v>
      </c>
      <c r="B493">
        <v>500510</v>
      </c>
      <c r="C493" t="s">
        <v>93</v>
      </c>
      <c r="D493">
        <v>2017</v>
      </c>
      <c r="E493">
        <v>3815</v>
      </c>
      <c r="F493">
        <v>43.17</v>
      </c>
      <c r="G493" t="s">
        <v>465</v>
      </c>
      <c r="H493">
        <v>1275</v>
      </c>
      <c r="I493">
        <v>901.4000244140625</v>
      </c>
      <c r="L493" t="s">
        <v>469</v>
      </c>
      <c r="M493">
        <v>29.534398888116751</v>
      </c>
      <c r="N493">
        <v>20.880241473571051</v>
      </c>
      <c r="O493">
        <v>3924.75</v>
      </c>
      <c r="P493">
        <v>4194.7</v>
      </c>
      <c r="Q493">
        <v>2967.65</v>
      </c>
      <c r="R493" s="2" t="s">
        <v>467</v>
      </c>
      <c r="S493">
        <v>3924.75</v>
      </c>
      <c r="T493" t="s">
        <v>468</v>
      </c>
    </row>
    <row r="494" spans="1:20" x14ac:dyDescent="0.25">
      <c r="A494">
        <v>64</v>
      </c>
      <c r="B494">
        <v>500510</v>
      </c>
      <c r="C494" t="s">
        <v>93</v>
      </c>
      <c r="D494">
        <v>2018</v>
      </c>
      <c r="E494">
        <v>3815</v>
      </c>
      <c r="F494">
        <v>52.59</v>
      </c>
      <c r="G494" t="s">
        <v>465</v>
      </c>
      <c r="H494">
        <v>1469.599975585938</v>
      </c>
      <c r="I494">
        <v>1183.400024414062</v>
      </c>
      <c r="L494" t="s">
        <v>469</v>
      </c>
      <c r="M494">
        <v>27.944475671913629</v>
      </c>
      <c r="N494">
        <v>22.502377341967328</v>
      </c>
      <c r="O494">
        <v>3924.75</v>
      </c>
      <c r="P494">
        <v>4194.7</v>
      </c>
      <c r="Q494">
        <v>2967.65</v>
      </c>
      <c r="R494" s="2" t="s">
        <v>467</v>
      </c>
      <c r="S494">
        <v>3924.75</v>
      </c>
      <c r="T494" t="s">
        <v>468</v>
      </c>
    </row>
    <row r="495" spans="1:20" x14ac:dyDescent="0.25">
      <c r="A495">
        <v>64</v>
      </c>
      <c r="B495">
        <v>500510</v>
      </c>
      <c r="C495" t="s">
        <v>93</v>
      </c>
      <c r="D495">
        <v>2019</v>
      </c>
      <c r="E495">
        <v>3815</v>
      </c>
      <c r="F495">
        <v>63.48</v>
      </c>
      <c r="G495" t="s">
        <v>465</v>
      </c>
      <c r="H495">
        <v>1606.699951171875</v>
      </c>
      <c r="I495">
        <v>1202.300048828125</v>
      </c>
      <c r="L495" t="s">
        <v>469</v>
      </c>
      <c r="M495">
        <v>25.31033319426394</v>
      </c>
      <c r="N495">
        <v>18.939824335666749</v>
      </c>
      <c r="O495">
        <v>3924.75</v>
      </c>
      <c r="P495">
        <v>4194.7</v>
      </c>
      <c r="Q495">
        <v>2967.65</v>
      </c>
      <c r="R495" s="2" t="s">
        <v>467</v>
      </c>
      <c r="S495">
        <v>3924.75</v>
      </c>
      <c r="T495" t="s">
        <v>468</v>
      </c>
    </row>
    <row r="496" spans="1:20" x14ac:dyDescent="0.25">
      <c r="A496">
        <v>64</v>
      </c>
      <c r="B496">
        <v>500510</v>
      </c>
      <c r="C496" t="s">
        <v>93</v>
      </c>
      <c r="D496">
        <v>2020</v>
      </c>
      <c r="E496">
        <v>3815</v>
      </c>
      <c r="F496">
        <v>68.02</v>
      </c>
      <c r="G496" t="s">
        <v>465</v>
      </c>
      <c r="H496">
        <v>1376.349975585938</v>
      </c>
      <c r="I496">
        <v>661.04998779296875</v>
      </c>
      <c r="L496" t="s">
        <v>469</v>
      </c>
      <c r="M496">
        <v>20.23448949699997</v>
      </c>
      <c r="N496">
        <v>9.7184649778442935</v>
      </c>
      <c r="O496">
        <v>3924.75</v>
      </c>
      <c r="P496">
        <v>4194.7</v>
      </c>
      <c r="Q496">
        <v>2967.65</v>
      </c>
      <c r="R496" s="2" t="s">
        <v>467</v>
      </c>
      <c r="S496">
        <v>3924.75</v>
      </c>
      <c r="T496" t="s">
        <v>468</v>
      </c>
    </row>
    <row r="497" spans="1:20" x14ac:dyDescent="0.25">
      <c r="A497">
        <v>64</v>
      </c>
      <c r="B497">
        <v>500510</v>
      </c>
      <c r="C497" t="s">
        <v>93</v>
      </c>
      <c r="D497">
        <v>2021</v>
      </c>
      <c r="E497">
        <v>3815</v>
      </c>
      <c r="F497">
        <v>82.47</v>
      </c>
      <c r="G497" t="s">
        <v>465</v>
      </c>
      <c r="H497">
        <v>1982.949951171875</v>
      </c>
      <c r="I497">
        <v>1296.800048828125</v>
      </c>
      <c r="L497" t="s">
        <v>469</v>
      </c>
      <c r="M497">
        <v>24.044500438606459</v>
      </c>
      <c r="N497">
        <v>15.72450647299776</v>
      </c>
      <c r="O497">
        <v>3924.75</v>
      </c>
      <c r="P497">
        <v>4194.7</v>
      </c>
      <c r="Q497">
        <v>2967.65</v>
      </c>
      <c r="R497" s="2" t="s">
        <v>467</v>
      </c>
      <c r="S497">
        <v>3924.75</v>
      </c>
      <c r="T497" t="s">
        <v>468</v>
      </c>
    </row>
    <row r="498" spans="1:20" x14ac:dyDescent="0.25">
      <c r="A498">
        <v>64</v>
      </c>
      <c r="B498">
        <v>500510</v>
      </c>
      <c r="C498" t="s">
        <v>93</v>
      </c>
      <c r="D498">
        <v>2022</v>
      </c>
      <c r="E498">
        <v>3815</v>
      </c>
      <c r="F498">
        <v>61.7</v>
      </c>
      <c r="G498" t="s">
        <v>465</v>
      </c>
      <c r="H498">
        <v>2210.5</v>
      </c>
      <c r="I498">
        <v>1468</v>
      </c>
      <c r="L498" t="s">
        <v>469</v>
      </c>
      <c r="M498">
        <v>35.826580226904383</v>
      </c>
      <c r="N498">
        <v>23.792544570502429</v>
      </c>
      <c r="O498">
        <v>3924.75</v>
      </c>
      <c r="P498">
        <v>4194.7</v>
      </c>
      <c r="Q498">
        <v>2967.65</v>
      </c>
      <c r="R498" s="2" t="s">
        <v>467</v>
      </c>
      <c r="S498">
        <v>3924.75</v>
      </c>
      <c r="T498" t="s">
        <v>468</v>
      </c>
    </row>
    <row r="499" spans="1:20" x14ac:dyDescent="0.25">
      <c r="A499">
        <v>64</v>
      </c>
      <c r="B499">
        <v>500510</v>
      </c>
      <c r="C499" t="s">
        <v>93</v>
      </c>
      <c r="D499">
        <v>2023</v>
      </c>
      <c r="E499">
        <v>3815</v>
      </c>
      <c r="F499">
        <v>74.5</v>
      </c>
      <c r="G499" t="s">
        <v>465</v>
      </c>
      <c r="H499">
        <v>3559.75</v>
      </c>
      <c r="I499">
        <v>2058.10009765625</v>
      </c>
      <c r="L499" t="s">
        <v>469</v>
      </c>
      <c r="M499">
        <v>47.781879194630868</v>
      </c>
      <c r="N499">
        <v>27.625504666526851</v>
      </c>
      <c r="O499">
        <v>3924.75</v>
      </c>
      <c r="P499">
        <v>4194.7</v>
      </c>
      <c r="Q499">
        <v>2967.65</v>
      </c>
      <c r="R499" s="2" t="s">
        <v>467</v>
      </c>
      <c r="S499">
        <v>3924.75</v>
      </c>
      <c r="T499" t="s">
        <v>468</v>
      </c>
    </row>
    <row r="500" spans="1:20" x14ac:dyDescent="0.25">
      <c r="A500">
        <v>64</v>
      </c>
      <c r="B500">
        <v>500510</v>
      </c>
      <c r="C500" t="s">
        <v>93</v>
      </c>
      <c r="D500">
        <v>2024</v>
      </c>
      <c r="E500">
        <v>3815</v>
      </c>
      <c r="F500">
        <v>95</v>
      </c>
      <c r="G500" t="s">
        <v>465</v>
      </c>
      <c r="H500">
        <v>3963</v>
      </c>
      <c r="I500">
        <v>3175.5</v>
      </c>
      <c r="L500" t="s">
        <v>469</v>
      </c>
      <c r="M500">
        <v>41.715789473684211</v>
      </c>
      <c r="N500">
        <v>33.426315789473684</v>
      </c>
      <c r="O500">
        <v>3924.75</v>
      </c>
      <c r="P500">
        <v>4194.7</v>
      </c>
      <c r="Q500">
        <v>2967.65</v>
      </c>
      <c r="R500" s="2" t="s">
        <v>467</v>
      </c>
      <c r="S500">
        <v>3924.75</v>
      </c>
      <c r="T500" t="s">
        <v>468</v>
      </c>
    </row>
    <row r="501" spans="1:20" x14ac:dyDescent="0.25">
      <c r="A501">
        <v>64</v>
      </c>
      <c r="B501">
        <v>500510</v>
      </c>
      <c r="C501" t="s">
        <v>93</v>
      </c>
      <c r="D501">
        <v>2025</v>
      </c>
      <c r="E501">
        <v>3815</v>
      </c>
      <c r="F501">
        <v>109.35</v>
      </c>
      <c r="G501" t="s">
        <v>465</v>
      </c>
      <c r="H501">
        <v>4109</v>
      </c>
      <c r="I501">
        <v>2967.64990234375</v>
      </c>
      <c r="L501" t="s">
        <v>469</v>
      </c>
      <c r="M501">
        <v>37.576588934613618</v>
      </c>
      <c r="N501">
        <v>27.139002307670321</v>
      </c>
      <c r="O501">
        <v>3924.75</v>
      </c>
      <c r="P501">
        <v>4194.7</v>
      </c>
      <c r="Q501">
        <v>2967.65</v>
      </c>
      <c r="R501" s="2" t="s">
        <v>467</v>
      </c>
      <c r="S501">
        <v>3924.75</v>
      </c>
      <c r="T501" t="s">
        <v>468</v>
      </c>
    </row>
    <row r="502" spans="1:20" x14ac:dyDescent="0.25">
      <c r="A502">
        <v>64</v>
      </c>
      <c r="B502">
        <v>500510</v>
      </c>
      <c r="C502" t="s">
        <v>93</v>
      </c>
      <c r="D502">
        <v>2026</v>
      </c>
      <c r="E502">
        <v>3815</v>
      </c>
      <c r="F502">
        <v>116.92</v>
      </c>
      <c r="G502" t="s">
        <v>465</v>
      </c>
      <c r="H502">
        <v>4440</v>
      </c>
      <c r="I502">
        <v>3288.64990234375</v>
      </c>
      <c r="L502" t="s">
        <v>469</v>
      </c>
      <c r="M502">
        <v>37.974683544303787</v>
      </c>
      <c r="N502">
        <v>28.12735120033998</v>
      </c>
      <c r="O502">
        <v>3924.75</v>
      </c>
      <c r="P502">
        <v>4194.7</v>
      </c>
      <c r="Q502">
        <v>2967.65</v>
      </c>
      <c r="R502" s="2" t="s">
        <v>467</v>
      </c>
      <c r="S502">
        <v>3924.75</v>
      </c>
      <c r="T502" t="s">
        <v>468</v>
      </c>
    </row>
    <row r="503" spans="1:20" x14ac:dyDescent="0.25">
      <c r="A503">
        <v>65</v>
      </c>
      <c r="B503">
        <v>500520</v>
      </c>
      <c r="C503" t="s">
        <v>95</v>
      </c>
      <c r="D503">
        <v>2015</v>
      </c>
      <c r="E503">
        <v>3178.64990234375</v>
      </c>
      <c r="F503">
        <v>35</v>
      </c>
      <c r="G503" t="s">
        <v>465</v>
      </c>
      <c r="H503">
        <v>720.7249755859375</v>
      </c>
      <c r="I503">
        <v>549</v>
      </c>
      <c r="L503" t="s">
        <v>485</v>
      </c>
      <c r="M503">
        <v>20.592142159598211</v>
      </c>
      <c r="N503">
        <v>15.68571428571429</v>
      </c>
      <c r="O503">
        <v>391.75</v>
      </c>
      <c r="P503">
        <v>412.3</v>
      </c>
      <c r="Q503">
        <v>242</v>
      </c>
      <c r="R503" s="3" t="s">
        <v>470</v>
      </c>
      <c r="S503">
        <v>391.75</v>
      </c>
      <c r="T503" t="s">
        <v>468</v>
      </c>
    </row>
    <row r="504" spans="1:20" x14ac:dyDescent="0.25">
      <c r="A504">
        <v>65</v>
      </c>
      <c r="B504">
        <v>500520</v>
      </c>
      <c r="C504" t="s">
        <v>95</v>
      </c>
      <c r="D504">
        <v>2016</v>
      </c>
      <c r="E504">
        <v>3178.64990234375</v>
      </c>
      <c r="F504">
        <v>38</v>
      </c>
      <c r="G504" t="s">
        <v>465</v>
      </c>
      <c r="H504">
        <v>754.4000244140625</v>
      </c>
      <c r="I504">
        <v>546</v>
      </c>
      <c r="L504" t="s">
        <v>486</v>
      </c>
      <c r="M504">
        <v>19.852632221422699</v>
      </c>
      <c r="N504">
        <v>14.368421052631581</v>
      </c>
      <c r="O504">
        <v>391.75</v>
      </c>
      <c r="P504">
        <v>412.3</v>
      </c>
      <c r="Q504">
        <v>242</v>
      </c>
      <c r="R504" s="3" t="s">
        <v>470</v>
      </c>
      <c r="S504">
        <v>391.75</v>
      </c>
      <c r="T504" t="s">
        <v>468</v>
      </c>
    </row>
    <row r="505" spans="1:20" x14ac:dyDescent="0.25">
      <c r="A505">
        <v>65</v>
      </c>
      <c r="B505">
        <v>500520</v>
      </c>
      <c r="C505" t="s">
        <v>95</v>
      </c>
      <c r="D505">
        <v>2017</v>
      </c>
      <c r="E505">
        <v>3178.64990234375</v>
      </c>
      <c r="F505">
        <v>40</v>
      </c>
      <c r="G505" t="s">
        <v>465</v>
      </c>
      <c r="H505">
        <v>1390</v>
      </c>
      <c r="I505">
        <v>588.95001220703125</v>
      </c>
      <c r="L505" t="s">
        <v>487</v>
      </c>
      <c r="M505">
        <v>34.75</v>
      </c>
      <c r="N505">
        <v>14.723750305175781</v>
      </c>
      <c r="O505">
        <v>391.75</v>
      </c>
      <c r="P505">
        <v>412.3</v>
      </c>
      <c r="Q505">
        <v>242</v>
      </c>
      <c r="R505" s="3" t="s">
        <v>470</v>
      </c>
      <c r="S505">
        <v>391.75</v>
      </c>
      <c r="T505" t="s">
        <v>468</v>
      </c>
    </row>
    <row r="506" spans="1:20" x14ac:dyDescent="0.25">
      <c r="A506">
        <v>65</v>
      </c>
      <c r="B506">
        <v>500520</v>
      </c>
      <c r="C506" t="s">
        <v>95</v>
      </c>
      <c r="D506">
        <v>2018</v>
      </c>
      <c r="E506">
        <v>3178.64990234375</v>
      </c>
      <c r="F506">
        <v>42</v>
      </c>
      <c r="G506" t="s">
        <v>465</v>
      </c>
      <c r="H506">
        <v>992</v>
      </c>
      <c r="I506">
        <v>695.20001220703125</v>
      </c>
      <c r="L506" t="s">
        <v>488</v>
      </c>
      <c r="M506">
        <v>23.61904761904762</v>
      </c>
      <c r="N506">
        <v>16.552381243024548</v>
      </c>
      <c r="O506">
        <v>391.75</v>
      </c>
      <c r="P506">
        <v>412.3</v>
      </c>
      <c r="Q506">
        <v>242</v>
      </c>
      <c r="R506" s="3" t="s">
        <v>470</v>
      </c>
      <c r="S506">
        <v>391.75</v>
      </c>
      <c r="T506" t="s">
        <v>468</v>
      </c>
    </row>
    <row r="507" spans="1:20" x14ac:dyDescent="0.25">
      <c r="A507">
        <v>65</v>
      </c>
      <c r="B507">
        <v>500520</v>
      </c>
      <c r="C507" t="s">
        <v>95</v>
      </c>
      <c r="D507">
        <v>2019</v>
      </c>
      <c r="E507">
        <v>3178.64990234375</v>
      </c>
      <c r="F507">
        <v>40.200000000000003</v>
      </c>
      <c r="G507" t="s">
        <v>465</v>
      </c>
      <c r="H507">
        <v>774</v>
      </c>
      <c r="I507">
        <v>502.70001220703119</v>
      </c>
      <c r="L507" t="s">
        <v>489</v>
      </c>
      <c r="M507">
        <v>19.253731343283579</v>
      </c>
      <c r="N507">
        <v>12.5049754280356</v>
      </c>
      <c r="O507">
        <v>391.75</v>
      </c>
      <c r="P507">
        <v>412.3</v>
      </c>
      <c r="Q507">
        <v>242</v>
      </c>
      <c r="R507" s="3" t="s">
        <v>470</v>
      </c>
      <c r="S507">
        <v>391.75</v>
      </c>
      <c r="T507" t="s">
        <v>468</v>
      </c>
    </row>
    <row r="508" spans="1:20" x14ac:dyDescent="0.25">
      <c r="A508">
        <v>65</v>
      </c>
      <c r="B508">
        <v>500520</v>
      </c>
      <c r="C508" t="s">
        <v>95</v>
      </c>
      <c r="D508">
        <v>2020</v>
      </c>
      <c r="E508">
        <v>3178.64990234375</v>
      </c>
      <c r="F508">
        <v>11.2</v>
      </c>
      <c r="G508" t="s">
        <v>465</v>
      </c>
      <c r="H508">
        <v>764.0999755859375</v>
      </c>
      <c r="I508">
        <v>245.80000305175781</v>
      </c>
      <c r="L508" t="s">
        <v>490</v>
      </c>
      <c r="M508">
        <v>68.223212105887285</v>
      </c>
      <c r="N508">
        <v>21.946428843906951</v>
      </c>
      <c r="O508">
        <v>391.75</v>
      </c>
      <c r="P508">
        <v>412.3</v>
      </c>
      <c r="Q508">
        <v>242</v>
      </c>
      <c r="R508" s="3" t="s">
        <v>470</v>
      </c>
      <c r="S508">
        <v>391.75</v>
      </c>
      <c r="T508" t="s">
        <v>468</v>
      </c>
    </row>
    <row r="509" spans="1:20" x14ac:dyDescent="0.25">
      <c r="A509">
        <v>65</v>
      </c>
      <c r="B509">
        <v>500520</v>
      </c>
      <c r="C509" t="s">
        <v>95</v>
      </c>
      <c r="D509">
        <v>2021</v>
      </c>
      <c r="E509">
        <v>3178.64990234375</v>
      </c>
      <c r="F509">
        <v>21.4</v>
      </c>
      <c r="G509" t="s">
        <v>465</v>
      </c>
      <c r="H509">
        <v>978.9000244140625</v>
      </c>
      <c r="I509">
        <v>725</v>
      </c>
      <c r="L509" t="s">
        <v>491</v>
      </c>
      <c r="M509">
        <v>45.742991795049647</v>
      </c>
      <c r="N509">
        <v>33.878504672897201</v>
      </c>
      <c r="O509">
        <v>391.75</v>
      </c>
      <c r="P509">
        <v>412.3</v>
      </c>
      <c r="Q509">
        <v>242</v>
      </c>
      <c r="R509" s="3" t="s">
        <v>470</v>
      </c>
      <c r="S509">
        <v>391.75</v>
      </c>
      <c r="T509" t="s">
        <v>468</v>
      </c>
    </row>
    <row r="510" spans="1:20" x14ac:dyDescent="0.25">
      <c r="A510">
        <v>65</v>
      </c>
      <c r="B510">
        <v>500520</v>
      </c>
      <c r="C510" t="s">
        <v>95</v>
      </c>
      <c r="D510">
        <v>2022</v>
      </c>
      <c r="E510">
        <v>3178.64990234375</v>
      </c>
      <c r="F510">
        <v>38.700000000000003</v>
      </c>
      <c r="G510" t="s">
        <v>465</v>
      </c>
      <c r="H510">
        <v>1366.300048828125</v>
      </c>
      <c r="I510">
        <v>671</v>
      </c>
      <c r="L510" t="s">
        <v>492</v>
      </c>
      <c r="M510">
        <v>35.30491082243217</v>
      </c>
      <c r="N510">
        <v>17.338501291989662</v>
      </c>
      <c r="O510">
        <v>391.75</v>
      </c>
      <c r="P510">
        <v>412.3</v>
      </c>
      <c r="Q510">
        <v>242</v>
      </c>
      <c r="R510" s="3" t="s">
        <v>470</v>
      </c>
      <c r="S510">
        <v>391.75</v>
      </c>
      <c r="T510" t="s">
        <v>468</v>
      </c>
    </row>
    <row r="511" spans="1:20" x14ac:dyDescent="0.25">
      <c r="A511">
        <v>65</v>
      </c>
      <c r="B511">
        <v>500520</v>
      </c>
      <c r="C511" t="s">
        <v>95</v>
      </c>
      <c r="D511">
        <v>2023</v>
      </c>
      <c r="E511">
        <v>3178.64990234375</v>
      </c>
      <c r="F511">
        <v>44.3</v>
      </c>
      <c r="G511" t="s">
        <v>465</v>
      </c>
      <c r="H511">
        <v>1758</v>
      </c>
      <c r="I511">
        <v>1124</v>
      </c>
      <c r="L511" t="s">
        <v>493</v>
      </c>
      <c r="M511">
        <v>39.683972911963878</v>
      </c>
      <c r="N511">
        <v>25.372460496614</v>
      </c>
      <c r="O511">
        <v>391.75</v>
      </c>
      <c r="P511">
        <v>412.3</v>
      </c>
      <c r="Q511">
        <v>242</v>
      </c>
      <c r="R511" s="3" t="s">
        <v>470</v>
      </c>
      <c r="S511">
        <v>391.75</v>
      </c>
      <c r="T511" t="s">
        <v>468</v>
      </c>
    </row>
    <row r="512" spans="1:20" x14ac:dyDescent="0.25">
      <c r="A512">
        <v>65</v>
      </c>
      <c r="B512">
        <v>500520</v>
      </c>
      <c r="C512" t="s">
        <v>95</v>
      </c>
      <c r="D512">
        <v>2024</v>
      </c>
      <c r="E512">
        <v>3178.64990234375</v>
      </c>
      <c r="F512">
        <v>50</v>
      </c>
      <c r="G512" t="s">
        <v>465</v>
      </c>
      <c r="H512">
        <v>3221.10009765625</v>
      </c>
      <c r="I512">
        <v>1575.25</v>
      </c>
      <c r="L512" t="s">
        <v>494</v>
      </c>
      <c r="M512">
        <v>64.422001953125005</v>
      </c>
      <c r="N512">
        <v>31.504999999999999</v>
      </c>
      <c r="O512">
        <v>391.75</v>
      </c>
      <c r="P512">
        <v>412.3</v>
      </c>
      <c r="Q512">
        <v>242</v>
      </c>
      <c r="R512" s="3" t="s">
        <v>470</v>
      </c>
      <c r="S512">
        <v>391.75</v>
      </c>
      <c r="T512" t="s">
        <v>468</v>
      </c>
    </row>
    <row r="513" spans="1:20" x14ac:dyDescent="0.25">
      <c r="A513">
        <v>65</v>
      </c>
      <c r="B513">
        <v>500520</v>
      </c>
      <c r="C513" t="s">
        <v>95</v>
      </c>
      <c r="D513">
        <v>2025</v>
      </c>
      <c r="E513">
        <v>3178.64990234375</v>
      </c>
      <c r="F513">
        <v>55</v>
      </c>
      <c r="G513" t="s">
        <v>465</v>
      </c>
      <c r="H513">
        <v>3796</v>
      </c>
      <c r="I513">
        <v>2360.449951171875</v>
      </c>
      <c r="L513" t="s">
        <v>495</v>
      </c>
      <c r="M513">
        <v>69.018181818181816</v>
      </c>
      <c r="N513">
        <v>42.917271839488627</v>
      </c>
      <c r="O513">
        <v>391.75</v>
      </c>
      <c r="P513">
        <v>412.3</v>
      </c>
      <c r="Q513">
        <v>242</v>
      </c>
      <c r="R513" s="3" t="s">
        <v>470</v>
      </c>
      <c r="S513">
        <v>391.75</v>
      </c>
      <c r="T513" t="s">
        <v>468</v>
      </c>
    </row>
    <row r="514" spans="1:20" x14ac:dyDescent="0.25">
      <c r="A514">
        <v>65</v>
      </c>
      <c r="B514">
        <v>500520</v>
      </c>
      <c r="C514" t="s">
        <v>95</v>
      </c>
      <c r="D514">
        <v>2026</v>
      </c>
      <c r="E514">
        <v>3178.64990234375</v>
      </c>
      <c r="F514">
        <v>60</v>
      </c>
      <c r="G514" t="s">
        <v>465</v>
      </c>
      <c r="H514">
        <v>3840</v>
      </c>
      <c r="I514">
        <v>2896.300048828125</v>
      </c>
      <c r="L514" t="s">
        <v>496</v>
      </c>
      <c r="M514">
        <v>64</v>
      </c>
      <c r="N514">
        <v>48.27166748046875</v>
      </c>
      <c r="O514">
        <v>391.75</v>
      </c>
      <c r="P514">
        <v>412.3</v>
      </c>
      <c r="Q514">
        <v>242</v>
      </c>
      <c r="R514" s="3" t="s">
        <v>470</v>
      </c>
      <c r="S514">
        <v>391.75</v>
      </c>
      <c r="T514" t="s">
        <v>468</v>
      </c>
    </row>
    <row r="515" spans="1:20" x14ac:dyDescent="0.25">
      <c r="A515">
        <v>68</v>
      </c>
      <c r="B515">
        <v>500696</v>
      </c>
      <c r="C515" t="s">
        <v>97</v>
      </c>
      <c r="D515">
        <v>2015</v>
      </c>
      <c r="E515">
        <v>2144.10009765625</v>
      </c>
      <c r="F515">
        <v>20.170000000000002</v>
      </c>
      <c r="G515" t="s">
        <v>465</v>
      </c>
      <c r="H515">
        <v>979</v>
      </c>
      <c r="I515">
        <v>750</v>
      </c>
      <c r="L515" t="s">
        <v>469</v>
      </c>
      <c r="M515">
        <v>48.537431829449673</v>
      </c>
      <c r="N515">
        <v>37.183936539414972</v>
      </c>
      <c r="O515">
        <v>2121.8000000000002</v>
      </c>
      <c r="P515">
        <v>2750</v>
      </c>
      <c r="Q515">
        <v>2016</v>
      </c>
      <c r="R515" s="2" t="s">
        <v>467</v>
      </c>
      <c r="S515">
        <v>2121.8000000000002</v>
      </c>
      <c r="T515" t="s">
        <v>468</v>
      </c>
    </row>
    <row r="516" spans="1:20" x14ac:dyDescent="0.25">
      <c r="A516">
        <v>68</v>
      </c>
      <c r="B516">
        <v>500696</v>
      </c>
      <c r="C516" t="s">
        <v>97</v>
      </c>
      <c r="D516">
        <v>2016</v>
      </c>
      <c r="E516">
        <v>2144.10009765625</v>
      </c>
      <c r="F516">
        <v>19.18</v>
      </c>
      <c r="G516" t="s">
        <v>465</v>
      </c>
      <c r="H516">
        <v>954</v>
      </c>
      <c r="I516">
        <v>765.3499755859375</v>
      </c>
      <c r="L516" t="s">
        <v>469</v>
      </c>
      <c r="M516">
        <v>49.739311783107397</v>
      </c>
      <c r="N516">
        <v>39.903544086858062</v>
      </c>
      <c r="O516">
        <v>2121.8000000000002</v>
      </c>
      <c r="P516">
        <v>2750</v>
      </c>
      <c r="Q516">
        <v>2016</v>
      </c>
      <c r="R516" s="2" t="s">
        <v>467</v>
      </c>
      <c r="S516">
        <v>2121.8000000000002</v>
      </c>
      <c r="T516" t="s">
        <v>468</v>
      </c>
    </row>
    <row r="517" spans="1:20" x14ac:dyDescent="0.25">
      <c r="A517">
        <v>68</v>
      </c>
      <c r="B517">
        <v>500696</v>
      </c>
      <c r="C517" t="s">
        <v>97</v>
      </c>
      <c r="D517">
        <v>2017</v>
      </c>
      <c r="E517">
        <v>2144.10009765625</v>
      </c>
      <c r="F517">
        <v>20.68</v>
      </c>
      <c r="G517" t="s">
        <v>465</v>
      </c>
      <c r="H517">
        <v>1384.099975585938</v>
      </c>
      <c r="I517">
        <v>817.25</v>
      </c>
      <c r="L517" t="s">
        <v>469</v>
      </c>
      <c r="M517">
        <v>66.929399206283264</v>
      </c>
      <c r="N517">
        <v>39.518858800773693</v>
      </c>
      <c r="O517">
        <v>2121.8000000000002</v>
      </c>
      <c r="P517">
        <v>2750</v>
      </c>
      <c r="Q517">
        <v>2016</v>
      </c>
      <c r="R517" s="2" t="s">
        <v>467</v>
      </c>
      <c r="S517">
        <v>2121.8000000000002</v>
      </c>
      <c r="T517" t="s">
        <v>468</v>
      </c>
    </row>
    <row r="518" spans="1:20" x14ac:dyDescent="0.25">
      <c r="A518">
        <v>68</v>
      </c>
      <c r="B518">
        <v>500696</v>
      </c>
      <c r="C518" t="s">
        <v>97</v>
      </c>
      <c r="D518">
        <v>2018</v>
      </c>
      <c r="E518">
        <v>2144.10009765625</v>
      </c>
      <c r="F518">
        <v>24.09</v>
      </c>
      <c r="G518" t="s">
        <v>465</v>
      </c>
      <c r="H518">
        <v>1870.5</v>
      </c>
      <c r="I518">
        <v>1281.599975585938</v>
      </c>
      <c r="L518" t="s">
        <v>469</v>
      </c>
      <c r="M518">
        <v>77.64632627646327</v>
      </c>
      <c r="N518">
        <v>53.200497118552839</v>
      </c>
      <c r="O518">
        <v>2121.8000000000002</v>
      </c>
      <c r="P518">
        <v>2750</v>
      </c>
      <c r="Q518">
        <v>2016</v>
      </c>
      <c r="R518" s="2" t="s">
        <v>467</v>
      </c>
      <c r="S518">
        <v>2121.8000000000002</v>
      </c>
      <c r="T518" t="s">
        <v>468</v>
      </c>
    </row>
    <row r="519" spans="1:20" x14ac:dyDescent="0.25">
      <c r="A519">
        <v>68</v>
      </c>
      <c r="B519">
        <v>500696</v>
      </c>
      <c r="C519" t="s">
        <v>97</v>
      </c>
      <c r="D519">
        <v>2019</v>
      </c>
      <c r="E519">
        <v>2144.10009765625</v>
      </c>
      <c r="F519">
        <v>27.97</v>
      </c>
      <c r="G519" t="s">
        <v>465</v>
      </c>
      <c r="H519">
        <v>2187</v>
      </c>
      <c r="I519">
        <v>1649.699951171875</v>
      </c>
      <c r="L519" t="s">
        <v>469</v>
      </c>
      <c r="M519">
        <v>78.190918841616025</v>
      </c>
      <c r="N519">
        <v>58.981049380474623</v>
      </c>
      <c r="O519">
        <v>2121.8000000000002</v>
      </c>
      <c r="P519">
        <v>2750</v>
      </c>
      <c r="Q519">
        <v>2016</v>
      </c>
      <c r="R519" s="2" t="s">
        <v>467</v>
      </c>
      <c r="S519">
        <v>2121.8000000000002</v>
      </c>
      <c r="T519" t="s">
        <v>468</v>
      </c>
    </row>
    <row r="520" spans="1:20" x14ac:dyDescent="0.25">
      <c r="A520">
        <v>68</v>
      </c>
      <c r="B520">
        <v>500696</v>
      </c>
      <c r="C520" t="s">
        <v>97</v>
      </c>
      <c r="D520">
        <v>2020</v>
      </c>
      <c r="E520">
        <v>2144.10009765625</v>
      </c>
      <c r="F520">
        <v>31.17</v>
      </c>
      <c r="G520" t="s">
        <v>465</v>
      </c>
      <c r="H520">
        <v>2614</v>
      </c>
      <c r="I520">
        <v>1756</v>
      </c>
      <c r="L520" t="s">
        <v>469</v>
      </c>
      <c r="M520">
        <v>83.862688482515239</v>
      </c>
      <c r="N520">
        <v>56.336220725056137</v>
      </c>
      <c r="O520">
        <v>2121.8000000000002</v>
      </c>
      <c r="P520">
        <v>2750</v>
      </c>
      <c r="Q520">
        <v>2016</v>
      </c>
      <c r="R520" s="2" t="s">
        <v>467</v>
      </c>
      <c r="S520">
        <v>2121.8000000000002</v>
      </c>
      <c r="T520" t="s">
        <v>468</v>
      </c>
    </row>
    <row r="521" spans="1:20" x14ac:dyDescent="0.25">
      <c r="A521">
        <v>68</v>
      </c>
      <c r="B521">
        <v>500696</v>
      </c>
      <c r="C521" t="s">
        <v>97</v>
      </c>
      <c r="D521">
        <v>2021</v>
      </c>
      <c r="E521">
        <v>2144.10009765625</v>
      </c>
      <c r="F521">
        <v>34.03</v>
      </c>
      <c r="G521" t="s">
        <v>465</v>
      </c>
      <c r="H521">
        <v>2859.10009765625</v>
      </c>
      <c r="I521">
        <v>2104.25</v>
      </c>
      <c r="L521" t="s">
        <v>469</v>
      </c>
      <c r="M521">
        <v>84.017046654606233</v>
      </c>
      <c r="N521">
        <v>61.835145459888331</v>
      </c>
      <c r="O521">
        <v>2121.8000000000002</v>
      </c>
      <c r="P521">
        <v>2750</v>
      </c>
      <c r="Q521">
        <v>2016</v>
      </c>
      <c r="R521" s="2" t="s">
        <v>467</v>
      </c>
      <c r="S521">
        <v>2121.8000000000002</v>
      </c>
      <c r="T521" t="s">
        <v>468</v>
      </c>
    </row>
    <row r="522" spans="1:20" x14ac:dyDescent="0.25">
      <c r="A522">
        <v>68</v>
      </c>
      <c r="B522">
        <v>500696</v>
      </c>
      <c r="C522" t="s">
        <v>97</v>
      </c>
      <c r="D522">
        <v>2022</v>
      </c>
      <c r="E522">
        <v>2144.10009765625</v>
      </c>
      <c r="F522">
        <v>37.79</v>
      </c>
      <c r="G522" t="s">
        <v>465</v>
      </c>
      <c r="H522">
        <v>2741</v>
      </c>
      <c r="I522">
        <v>1901.800048828125</v>
      </c>
      <c r="L522" t="s">
        <v>469</v>
      </c>
      <c r="M522">
        <v>72.532415983064311</v>
      </c>
      <c r="N522">
        <v>50.325484224083752</v>
      </c>
      <c r="O522">
        <v>2121.8000000000002</v>
      </c>
      <c r="P522">
        <v>2750</v>
      </c>
      <c r="Q522">
        <v>2016</v>
      </c>
      <c r="R522" s="2" t="s">
        <v>467</v>
      </c>
      <c r="S522">
        <v>2121.8000000000002</v>
      </c>
      <c r="T522" t="s">
        <v>468</v>
      </c>
    </row>
    <row r="523" spans="1:20" x14ac:dyDescent="0.25">
      <c r="A523">
        <v>68</v>
      </c>
      <c r="B523">
        <v>500696</v>
      </c>
      <c r="C523" t="s">
        <v>97</v>
      </c>
      <c r="D523">
        <v>2023</v>
      </c>
      <c r="E523">
        <v>2144.10009765625</v>
      </c>
      <c r="F523">
        <v>43.07</v>
      </c>
      <c r="G523" t="s">
        <v>465</v>
      </c>
      <c r="H523">
        <v>2768.5</v>
      </c>
      <c r="I523">
        <v>2393</v>
      </c>
      <c r="L523" t="s">
        <v>469</v>
      </c>
      <c r="M523">
        <v>64.279080566519625</v>
      </c>
      <c r="N523">
        <v>55.560715114929188</v>
      </c>
      <c r="O523">
        <v>2121.8000000000002</v>
      </c>
      <c r="P523">
        <v>2750</v>
      </c>
      <c r="Q523">
        <v>2016</v>
      </c>
      <c r="R523" s="2" t="s">
        <v>467</v>
      </c>
      <c r="S523">
        <v>2121.8000000000002</v>
      </c>
      <c r="T523" t="s">
        <v>468</v>
      </c>
    </row>
    <row r="524" spans="1:20" x14ac:dyDescent="0.25">
      <c r="A524">
        <v>68</v>
      </c>
      <c r="B524">
        <v>500696</v>
      </c>
      <c r="C524" t="s">
        <v>97</v>
      </c>
      <c r="D524">
        <v>2024</v>
      </c>
      <c r="E524">
        <v>2144.10009765625</v>
      </c>
      <c r="F524">
        <v>43.74</v>
      </c>
      <c r="G524" t="s">
        <v>465</v>
      </c>
      <c r="H524">
        <v>3034.5</v>
      </c>
      <c r="I524">
        <v>2170.25</v>
      </c>
      <c r="L524" t="s">
        <v>469</v>
      </c>
      <c r="M524">
        <v>69.375857338820296</v>
      </c>
      <c r="N524">
        <v>49.617055326931869</v>
      </c>
      <c r="O524">
        <v>2121.8000000000002</v>
      </c>
      <c r="P524">
        <v>2750</v>
      </c>
      <c r="Q524">
        <v>2016</v>
      </c>
      <c r="R524" s="2" t="s">
        <v>467</v>
      </c>
      <c r="S524">
        <v>2121.8000000000002</v>
      </c>
      <c r="T524" t="s">
        <v>468</v>
      </c>
    </row>
    <row r="525" spans="1:20" x14ac:dyDescent="0.25">
      <c r="A525">
        <v>68</v>
      </c>
      <c r="B525">
        <v>500696</v>
      </c>
      <c r="C525" t="s">
        <v>97</v>
      </c>
      <c r="D525">
        <v>2025</v>
      </c>
      <c r="E525">
        <v>2144.10009765625</v>
      </c>
      <c r="F525">
        <v>45.32</v>
      </c>
      <c r="G525" t="s">
        <v>465</v>
      </c>
      <c r="H525">
        <v>2779.699951171875</v>
      </c>
      <c r="I525">
        <v>2136</v>
      </c>
      <c r="L525" t="s">
        <v>469</v>
      </c>
      <c r="M525">
        <v>61.334950378902803</v>
      </c>
      <c r="N525">
        <v>47.131509267431603</v>
      </c>
      <c r="O525">
        <v>2121.8000000000002</v>
      </c>
      <c r="P525">
        <v>2750</v>
      </c>
      <c r="Q525">
        <v>2016</v>
      </c>
      <c r="R525" s="2" t="s">
        <v>467</v>
      </c>
      <c r="S525">
        <v>2121.8000000000002</v>
      </c>
      <c r="T525" t="s">
        <v>468</v>
      </c>
    </row>
    <row r="526" spans="1:20" x14ac:dyDescent="0.25">
      <c r="A526">
        <v>68</v>
      </c>
      <c r="B526">
        <v>500696</v>
      </c>
      <c r="C526" t="s">
        <v>97</v>
      </c>
      <c r="D526">
        <v>2026</v>
      </c>
      <c r="E526">
        <v>2144.10009765625</v>
      </c>
      <c r="F526">
        <v>64.010000000000005</v>
      </c>
      <c r="G526" t="s">
        <v>465</v>
      </c>
      <c r="H526">
        <v>2479.699951171875</v>
      </c>
      <c r="I526">
        <v>2023.050048828125</v>
      </c>
      <c r="L526" t="s">
        <v>469</v>
      </c>
      <c r="M526">
        <v>38.739258727884312</v>
      </c>
      <c r="N526">
        <v>31.605218697517959</v>
      </c>
      <c r="O526">
        <v>2121.8000000000002</v>
      </c>
      <c r="P526">
        <v>2750</v>
      </c>
      <c r="Q526">
        <v>2016</v>
      </c>
      <c r="R526" s="2" t="s">
        <v>467</v>
      </c>
      <c r="S526">
        <v>2121.8000000000002</v>
      </c>
      <c r="T526" t="s">
        <v>468</v>
      </c>
    </row>
    <row r="527" spans="1:20" x14ac:dyDescent="0.25">
      <c r="A527">
        <v>69</v>
      </c>
      <c r="B527">
        <v>500790</v>
      </c>
      <c r="C527" t="s">
        <v>99</v>
      </c>
      <c r="D527">
        <v>2015</v>
      </c>
      <c r="E527">
        <v>1427.900024414062</v>
      </c>
      <c r="G527" t="s">
        <v>465</v>
      </c>
      <c r="H527">
        <v>374.99749755859381</v>
      </c>
      <c r="I527">
        <v>274.95001220703119</v>
      </c>
      <c r="L527" t="s">
        <v>466</v>
      </c>
      <c r="O527">
        <v>1523</v>
      </c>
      <c r="P527">
        <v>1523</v>
      </c>
      <c r="Q527">
        <v>1057.5</v>
      </c>
      <c r="R527" s="3" t="s">
        <v>470</v>
      </c>
      <c r="S527">
        <v>1523</v>
      </c>
      <c r="T527" t="s">
        <v>468</v>
      </c>
    </row>
    <row r="528" spans="1:20" x14ac:dyDescent="0.25">
      <c r="A528">
        <v>69</v>
      </c>
      <c r="B528">
        <v>500790</v>
      </c>
      <c r="C528" t="s">
        <v>99</v>
      </c>
      <c r="D528">
        <v>2016</v>
      </c>
      <c r="E528">
        <v>1427.900024414062</v>
      </c>
      <c r="G528" t="s">
        <v>465</v>
      </c>
      <c r="H528">
        <v>369.5</v>
      </c>
      <c r="I528">
        <v>249.5</v>
      </c>
      <c r="L528" t="s">
        <v>466</v>
      </c>
      <c r="O528">
        <v>1523</v>
      </c>
      <c r="P528">
        <v>1523</v>
      </c>
      <c r="Q528">
        <v>1057.5</v>
      </c>
      <c r="R528" s="3" t="s">
        <v>470</v>
      </c>
      <c r="S528">
        <v>1523</v>
      </c>
      <c r="T528" t="s">
        <v>468</v>
      </c>
    </row>
    <row r="529" spans="1:20" x14ac:dyDescent="0.25">
      <c r="A529">
        <v>69</v>
      </c>
      <c r="B529">
        <v>500790</v>
      </c>
      <c r="C529" t="s">
        <v>99</v>
      </c>
      <c r="D529">
        <v>2017</v>
      </c>
      <c r="E529">
        <v>1427.900024414062</v>
      </c>
      <c r="G529" t="s">
        <v>465</v>
      </c>
      <c r="H529">
        <v>400.04998779296881</v>
      </c>
      <c r="I529">
        <v>290</v>
      </c>
      <c r="L529" t="s">
        <v>466</v>
      </c>
      <c r="O529">
        <v>1523</v>
      </c>
      <c r="P529">
        <v>1523</v>
      </c>
      <c r="Q529">
        <v>1057.5</v>
      </c>
      <c r="R529" s="3" t="s">
        <v>470</v>
      </c>
      <c r="S529">
        <v>1523</v>
      </c>
      <c r="T529" t="s">
        <v>468</v>
      </c>
    </row>
    <row r="530" spans="1:20" x14ac:dyDescent="0.25">
      <c r="A530">
        <v>69</v>
      </c>
      <c r="B530">
        <v>500790</v>
      </c>
      <c r="C530" t="s">
        <v>99</v>
      </c>
      <c r="D530">
        <v>2018</v>
      </c>
      <c r="E530">
        <v>1427.900024414062</v>
      </c>
      <c r="G530" t="s">
        <v>465</v>
      </c>
      <c r="H530">
        <v>585.00250244140625</v>
      </c>
      <c r="I530">
        <v>344.38751220703119</v>
      </c>
      <c r="L530" t="s">
        <v>466</v>
      </c>
      <c r="O530">
        <v>1523</v>
      </c>
      <c r="P530">
        <v>1523</v>
      </c>
      <c r="Q530">
        <v>1057.5</v>
      </c>
      <c r="R530" s="3" t="s">
        <v>470</v>
      </c>
      <c r="S530">
        <v>1523</v>
      </c>
      <c r="T530" t="s">
        <v>468</v>
      </c>
    </row>
    <row r="531" spans="1:20" x14ac:dyDescent="0.25">
      <c r="A531">
        <v>69</v>
      </c>
      <c r="B531">
        <v>500790</v>
      </c>
      <c r="C531" t="s">
        <v>99</v>
      </c>
      <c r="D531">
        <v>2019</v>
      </c>
      <c r="E531">
        <v>1427.900024414062</v>
      </c>
      <c r="G531" t="s">
        <v>465</v>
      </c>
      <c r="H531">
        <v>757.5</v>
      </c>
      <c r="I531">
        <v>501.40499877929688</v>
      </c>
      <c r="L531" t="s">
        <v>466</v>
      </c>
      <c r="O531">
        <v>1523</v>
      </c>
      <c r="P531">
        <v>1523</v>
      </c>
      <c r="Q531">
        <v>1057.5</v>
      </c>
      <c r="R531" s="3" t="s">
        <v>470</v>
      </c>
      <c r="S531">
        <v>1523</v>
      </c>
      <c r="T531" t="s">
        <v>468</v>
      </c>
    </row>
    <row r="532" spans="1:20" x14ac:dyDescent="0.25">
      <c r="A532">
        <v>69</v>
      </c>
      <c r="B532">
        <v>500790</v>
      </c>
      <c r="C532" t="s">
        <v>99</v>
      </c>
      <c r="D532">
        <v>2020</v>
      </c>
      <c r="E532">
        <v>1427.900024414062</v>
      </c>
      <c r="G532" t="s">
        <v>465</v>
      </c>
      <c r="H532">
        <v>941.072509765625</v>
      </c>
      <c r="I532">
        <v>629.447509765625</v>
      </c>
      <c r="L532" t="s">
        <v>466</v>
      </c>
      <c r="O532">
        <v>1523</v>
      </c>
      <c r="P532">
        <v>1523</v>
      </c>
      <c r="Q532">
        <v>1057.5</v>
      </c>
      <c r="R532" s="3" t="s">
        <v>470</v>
      </c>
      <c r="S532">
        <v>1523</v>
      </c>
      <c r="T532" t="s">
        <v>468</v>
      </c>
    </row>
    <row r="533" spans="1:20" x14ac:dyDescent="0.25">
      <c r="A533">
        <v>69</v>
      </c>
      <c r="B533">
        <v>500790</v>
      </c>
      <c r="C533" t="s">
        <v>99</v>
      </c>
      <c r="D533">
        <v>2021</v>
      </c>
      <c r="E533">
        <v>1427.900024414062</v>
      </c>
      <c r="G533" t="s">
        <v>465</v>
      </c>
      <c r="H533">
        <v>1029.99755859375</v>
      </c>
      <c r="I533">
        <v>795</v>
      </c>
      <c r="L533" t="s">
        <v>466</v>
      </c>
      <c r="O533">
        <v>1523</v>
      </c>
      <c r="P533">
        <v>1523</v>
      </c>
      <c r="Q533">
        <v>1057.5</v>
      </c>
      <c r="R533" s="3" t="s">
        <v>470</v>
      </c>
      <c r="S533">
        <v>1523</v>
      </c>
      <c r="T533" t="s">
        <v>468</v>
      </c>
    </row>
    <row r="534" spans="1:20" x14ac:dyDescent="0.25">
      <c r="A534">
        <v>69</v>
      </c>
      <c r="B534">
        <v>500790</v>
      </c>
      <c r="C534" t="s">
        <v>99</v>
      </c>
      <c r="D534">
        <v>2022</v>
      </c>
      <c r="E534">
        <v>1427.900024414062</v>
      </c>
      <c r="G534" t="s">
        <v>465</v>
      </c>
      <c r="H534">
        <v>1052.650024414062</v>
      </c>
      <c r="I534">
        <v>800</v>
      </c>
      <c r="L534" t="s">
        <v>466</v>
      </c>
      <c r="O534">
        <v>1523</v>
      </c>
      <c r="P534">
        <v>1523</v>
      </c>
      <c r="Q534">
        <v>1057.5</v>
      </c>
      <c r="R534" s="3" t="s">
        <v>470</v>
      </c>
      <c r="S534">
        <v>1523</v>
      </c>
      <c r="T534" t="s">
        <v>468</v>
      </c>
    </row>
    <row r="535" spans="1:20" x14ac:dyDescent="0.25">
      <c r="A535">
        <v>69</v>
      </c>
      <c r="B535">
        <v>500790</v>
      </c>
      <c r="C535" t="s">
        <v>99</v>
      </c>
      <c r="D535">
        <v>2023</v>
      </c>
      <c r="E535">
        <v>1427.900024414062</v>
      </c>
      <c r="F535">
        <v>15.55</v>
      </c>
      <c r="G535" t="s">
        <v>465</v>
      </c>
      <c r="H535">
        <v>1333.050048828125</v>
      </c>
      <c r="I535">
        <v>894.4000244140625</v>
      </c>
      <c r="L535" t="s">
        <v>469</v>
      </c>
      <c r="M535">
        <v>85.72669124296624</v>
      </c>
      <c r="N535">
        <v>57.517686457495977</v>
      </c>
      <c r="O535">
        <v>1523</v>
      </c>
      <c r="P535">
        <v>1523</v>
      </c>
      <c r="Q535">
        <v>1057.5</v>
      </c>
      <c r="R535" s="3" t="s">
        <v>470</v>
      </c>
      <c r="S535">
        <v>1523</v>
      </c>
      <c r="T535" t="s">
        <v>468</v>
      </c>
    </row>
    <row r="536" spans="1:20" x14ac:dyDescent="0.25">
      <c r="A536">
        <v>69</v>
      </c>
      <c r="B536">
        <v>500790</v>
      </c>
      <c r="C536" t="s">
        <v>99</v>
      </c>
      <c r="D536">
        <v>2024</v>
      </c>
      <c r="E536">
        <v>1427.900024414062</v>
      </c>
      <c r="F536">
        <v>20.399999999999999</v>
      </c>
      <c r="G536" t="s">
        <v>465</v>
      </c>
      <c r="H536">
        <v>1388.5</v>
      </c>
      <c r="I536">
        <v>1073.224975585938</v>
      </c>
      <c r="L536" t="s">
        <v>469</v>
      </c>
      <c r="M536">
        <v>68.063725490196077</v>
      </c>
      <c r="N536">
        <v>52.60906743068324</v>
      </c>
      <c r="O536">
        <v>1523</v>
      </c>
      <c r="P536">
        <v>1523</v>
      </c>
      <c r="Q536">
        <v>1057.5</v>
      </c>
      <c r="R536" s="3" t="s">
        <v>470</v>
      </c>
      <c r="S536">
        <v>1523</v>
      </c>
      <c r="T536" t="s">
        <v>468</v>
      </c>
    </row>
    <row r="537" spans="1:20" x14ac:dyDescent="0.25">
      <c r="A537">
        <v>69</v>
      </c>
      <c r="B537">
        <v>500790</v>
      </c>
      <c r="C537" t="s">
        <v>99</v>
      </c>
      <c r="D537">
        <v>2025</v>
      </c>
      <c r="E537">
        <v>1427.900024414062</v>
      </c>
      <c r="F537">
        <v>16.63</v>
      </c>
      <c r="G537" t="s">
        <v>465</v>
      </c>
      <c r="H537">
        <v>1310.5</v>
      </c>
      <c r="I537">
        <v>1057.5</v>
      </c>
      <c r="L537" t="s">
        <v>469</v>
      </c>
      <c r="M537">
        <v>78.803367408298257</v>
      </c>
      <c r="N537">
        <v>63.589897775105243</v>
      </c>
      <c r="O537">
        <v>1523</v>
      </c>
      <c r="P537">
        <v>1523</v>
      </c>
      <c r="Q537">
        <v>1057.5</v>
      </c>
      <c r="R537" s="3" t="s">
        <v>470</v>
      </c>
      <c r="S537">
        <v>1523</v>
      </c>
      <c r="T537" t="s">
        <v>468</v>
      </c>
    </row>
    <row r="538" spans="1:20" x14ac:dyDescent="0.25">
      <c r="A538">
        <v>69</v>
      </c>
      <c r="B538">
        <v>500790</v>
      </c>
      <c r="C538" t="s">
        <v>99</v>
      </c>
      <c r="D538">
        <v>2026</v>
      </c>
      <c r="E538">
        <v>1427.900024414062</v>
      </c>
      <c r="F538">
        <v>18.149999999999999</v>
      </c>
      <c r="G538" t="s">
        <v>465</v>
      </c>
      <c r="H538">
        <v>1498.599975585938</v>
      </c>
      <c r="I538">
        <v>1160</v>
      </c>
      <c r="L538" t="s">
        <v>469</v>
      </c>
      <c r="M538">
        <v>82.567491767820286</v>
      </c>
      <c r="N538">
        <v>63.911845730027551</v>
      </c>
      <c r="O538">
        <v>1523</v>
      </c>
      <c r="P538">
        <v>1523</v>
      </c>
      <c r="Q538">
        <v>1057.5</v>
      </c>
      <c r="R538" s="3" t="s">
        <v>470</v>
      </c>
      <c r="S538">
        <v>1523</v>
      </c>
      <c r="T538" t="s">
        <v>468</v>
      </c>
    </row>
    <row r="539" spans="1:20" x14ac:dyDescent="0.25">
      <c r="A539">
        <v>70</v>
      </c>
      <c r="B539">
        <v>500800</v>
      </c>
      <c r="C539" t="s">
        <v>101</v>
      </c>
      <c r="D539">
        <v>2015</v>
      </c>
      <c r="E539">
        <v>1107.400024414062</v>
      </c>
      <c r="F539">
        <v>3.86</v>
      </c>
      <c r="G539" t="s">
        <v>465</v>
      </c>
      <c r="H539">
        <v>167.69999694824219</v>
      </c>
      <c r="I539">
        <v>108.84999847412109</v>
      </c>
      <c r="L539" t="s">
        <v>469</v>
      </c>
      <c r="M539">
        <v>43.445595064311448</v>
      </c>
      <c r="N539">
        <v>28.19948146997956</v>
      </c>
      <c r="O539">
        <f>IFERROR(VLOOKUP(B539,BSE_500_LIVE!A:E,3,FALSE),"")</f>
        <v>0</v>
      </c>
      <c r="P539">
        <f>IFERROR(VLOOKUP(B539,BSE_500_LIVE!A:E,4,FALSE),"")</f>
        <v>0</v>
      </c>
      <c r="Q539">
        <f>IFERROR(VLOOKUP(B539,BSE_500_LIVE!A:E,5,FALSE),"")</f>
        <v>0</v>
      </c>
      <c r="R539" t="str">
        <f t="shared" ref="R539:R550" si="6">IF(OR(E539="",O539=""),"PENDING_FETCH",IF(ABS(E539-O539)/E539&gt;0.005,"MISMATCH_NEEDS_CORRECTION","VERIFIED_OK"))</f>
        <v>MISMATCH_NEEDS_CORRECTION</v>
      </c>
      <c r="S539">
        <f t="shared" ref="S539:S550" si="7">IF(O539&lt;&gt;"",O539,E539)</f>
        <v>0</v>
      </c>
      <c r="T539">
        <f>IFERROR(VLOOKUP(B539,BSE_500_LIVE!A:F,6,FALSE),"")</f>
        <v>0</v>
      </c>
    </row>
    <row r="540" spans="1:20" x14ac:dyDescent="0.25">
      <c r="A540">
        <v>70</v>
      </c>
      <c r="B540">
        <v>500800</v>
      </c>
      <c r="C540" t="s">
        <v>101</v>
      </c>
      <c r="D540">
        <v>2016</v>
      </c>
      <c r="E540">
        <v>1107.400024414062</v>
      </c>
      <c r="F540">
        <v>-0.08</v>
      </c>
      <c r="G540" t="s">
        <v>465</v>
      </c>
      <c r="H540">
        <v>157.6499938964844</v>
      </c>
      <c r="I540">
        <v>100.09999847412109</v>
      </c>
      <c r="L540" t="s">
        <v>471</v>
      </c>
      <c r="M540">
        <v>-1970.6249237060549</v>
      </c>
      <c r="N540">
        <v>-1251.2499809265139</v>
      </c>
      <c r="O540">
        <f>IFERROR(VLOOKUP(B540,BSE_500_LIVE!A:E,3,FALSE),"")</f>
        <v>0</v>
      </c>
      <c r="P540">
        <f>IFERROR(VLOOKUP(B540,BSE_500_LIVE!A:E,4,FALSE),"")</f>
        <v>0</v>
      </c>
      <c r="Q540">
        <f>IFERROR(VLOOKUP(B540,BSE_500_LIVE!A:E,5,FALSE),"")</f>
        <v>0</v>
      </c>
      <c r="R540" t="str">
        <f t="shared" si="6"/>
        <v>MISMATCH_NEEDS_CORRECTION</v>
      </c>
      <c r="S540">
        <f t="shared" si="7"/>
        <v>0</v>
      </c>
      <c r="T540">
        <f>IFERROR(VLOOKUP(B540,BSE_500_LIVE!A:F,6,FALSE),"")</f>
        <v>0</v>
      </c>
    </row>
    <row r="541" spans="1:20" x14ac:dyDescent="0.25">
      <c r="A541">
        <v>70</v>
      </c>
      <c r="B541">
        <v>500800</v>
      </c>
      <c r="C541" t="s">
        <v>101</v>
      </c>
      <c r="D541">
        <v>2017</v>
      </c>
      <c r="E541">
        <v>1107.400024414062</v>
      </c>
      <c r="F541">
        <v>5.94</v>
      </c>
      <c r="G541" t="s">
        <v>465</v>
      </c>
      <c r="H541">
        <v>316.5</v>
      </c>
      <c r="I541">
        <v>123.15000152587891</v>
      </c>
      <c r="L541" t="s">
        <v>469</v>
      </c>
      <c r="M541">
        <v>53.282828282828277</v>
      </c>
      <c r="N541">
        <v>20.7323234892052</v>
      </c>
      <c r="O541">
        <f>IFERROR(VLOOKUP(B541,BSE_500_LIVE!A:E,3,FALSE),"")</f>
        <v>0</v>
      </c>
      <c r="P541">
        <f>IFERROR(VLOOKUP(B541,BSE_500_LIVE!A:E,4,FALSE),"")</f>
        <v>0</v>
      </c>
      <c r="Q541">
        <f>IFERROR(VLOOKUP(B541,BSE_500_LIVE!A:E,5,FALSE),"")</f>
        <v>0</v>
      </c>
      <c r="R541" t="str">
        <f t="shared" si="6"/>
        <v>MISMATCH_NEEDS_CORRECTION</v>
      </c>
      <c r="S541">
        <f t="shared" si="7"/>
        <v>0</v>
      </c>
      <c r="T541">
        <f>IFERROR(VLOOKUP(B541,BSE_500_LIVE!A:F,6,FALSE),"")</f>
        <v>0</v>
      </c>
    </row>
    <row r="542" spans="1:20" x14ac:dyDescent="0.25">
      <c r="A542">
        <v>70</v>
      </c>
      <c r="B542">
        <v>500800</v>
      </c>
      <c r="C542" t="s">
        <v>101</v>
      </c>
      <c r="D542">
        <v>2018</v>
      </c>
      <c r="E542">
        <v>1107.400024414062</v>
      </c>
      <c r="F542">
        <v>7.56</v>
      </c>
      <c r="G542" t="s">
        <v>465</v>
      </c>
      <c r="H542">
        <v>327.70001220703119</v>
      </c>
      <c r="I542">
        <v>195</v>
      </c>
      <c r="L542" t="s">
        <v>469</v>
      </c>
      <c r="M542">
        <v>43.346562461247522</v>
      </c>
      <c r="N542">
        <v>25.793650793650791</v>
      </c>
      <c r="O542">
        <f>IFERROR(VLOOKUP(B542,BSE_500_LIVE!A:E,3,FALSE),"")</f>
        <v>0</v>
      </c>
      <c r="P542">
        <f>IFERROR(VLOOKUP(B542,BSE_500_LIVE!A:E,4,FALSE),"")</f>
        <v>0</v>
      </c>
      <c r="Q542">
        <f>IFERROR(VLOOKUP(B542,BSE_500_LIVE!A:E,5,FALSE),"")</f>
        <v>0</v>
      </c>
      <c r="R542" t="str">
        <f t="shared" si="6"/>
        <v>MISMATCH_NEEDS_CORRECTION</v>
      </c>
      <c r="S542">
        <f t="shared" si="7"/>
        <v>0</v>
      </c>
      <c r="T542">
        <f>IFERROR(VLOOKUP(B542,BSE_500_LIVE!A:F,6,FALSE),"")</f>
        <v>0</v>
      </c>
    </row>
    <row r="543" spans="1:20" x14ac:dyDescent="0.25">
      <c r="A543">
        <v>70</v>
      </c>
      <c r="B543">
        <v>500800</v>
      </c>
      <c r="C543" t="s">
        <v>101</v>
      </c>
      <c r="D543">
        <v>2019</v>
      </c>
      <c r="E543">
        <v>1107.400024414062</v>
      </c>
      <c r="F543">
        <v>6.23</v>
      </c>
      <c r="G543" t="s">
        <v>465</v>
      </c>
      <c r="H543">
        <v>330</v>
      </c>
      <c r="I543">
        <v>177.5</v>
      </c>
      <c r="L543" t="s">
        <v>469</v>
      </c>
      <c r="M543">
        <v>52.969502407704653</v>
      </c>
      <c r="N543">
        <v>28.49117174959871</v>
      </c>
      <c r="O543">
        <f>IFERROR(VLOOKUP(B543,BSE_500_LIVE!A:E,3,FALSE),"")</f>
        <v>0</v>
      </c>
      <c r="P543">
        <f>IFERROR(VLOOKUP(B543,BSE_500_LIVE!A:E,4,FALSE),"")</f>
        <v>0</v>
      </c>
      <c r="Q543">
        <f>IFERROR(VLOOKUP(B543,BSE_500_LIVE!A:E,5,FALSE),"")</f>
        <v>0</v>
      </c>
      <c r="R543" t="str">
        <f t="shared" si="6"/>
        <v>MISMATCH_NEEDS_CORRECTION</v>
      </c>
      <c r="S543">
        <f t="shared" si="7"/>
        <v>0</v>
      </c>
      <c r="T543">
        <f>IFERROR(VLOOKUP(B543,BSE_500_LIVE!A:F,6,FALSE),"")</f>
        <v>0</v>
      </c>
    </row>
    <row r="544" spans="1:20" x14ac:dyDescent="0.25">
      <c r="A544">
        <v>70</v>
      </c>
      <c r="B544">
        <v>500800</v>
      </c>
      <c r="C544" t="s">
        <v>101</v>
      </c>
      <c r="D544">
        <v>2020</v>
      </c>
      <c r="E544">
        <v>1107.400024414062</v>
      </c>
      <c r="F544">
        <v>4.8</v>
      </c>
      <c r="G544" t="s">
        <v>465</v>
      </c>
      <c r="H544">
        <v>616.9000244140625</v>
      </c>
      <c r="I544">
        <v>214</v>
      </c>
      <c r="L544" t="s">
        <v>469</v>
      </c>
      <c r="M544">
        <v>128.5208384195964</v>
      </c>
      <c r="N544">
        <v>44.583333333333343</v>
      </c>
      <c r="O544">
        <f>IFERROR(VLOOKUP(B544,BSE_500_LIVE!A:E,3,FALSE),"")</f>
        <v>0</v>
      </c>
      <c r="P544">
        <f>IFERROR(VLOOKUP(B544,BSE_500_LIVE!A:E,4,FALSE),"")</f>
        <v>0</v>
      </c>
      <c r="Q544">
        <f>IFERROR(VLOOKUP(B544,BSE_500_LIVE!A:E,5,FALSE),"")</f>
        <v>0</v>
      </c>
      <c r="R544" t="str">
        <f t="shared" si="6"/>
        <v>MISMATCH_NEEDS_CORRECTION</v>
      </c>
      <c r="S544">
        <f t="shared" si="7"/>
        <v>0</v>
      </c>
      <c r="T544">
        <f>IFERROR(VLOOKUP(B544,BSE_500_LIVE!A:F,6,FALSE),"")</f>
        <v>0</v>
      </c>
    </row>
    <row r="545" spans="1:20" x14ac:dyDescent="0.25">
      <c r="A545">
        <v>70</v>
      </c>
      <c r="B545">
        <v>500800</v>
      </c>
      <c r="C545" t="s">
        <v>101</v>
      </c>
      <c r="D545">
        <v>2021</v>
      </c>
      <c r="E545">
        <v>1107.400024414062</v>
      </c>
      <c r="F545">
        <v>8.9499999999999993</v>
      </c>
      <c r="G545" t="s">
        <v>465</v>
      </c>
      <c r="H545">
        <v>889</v>
      </c>
      <c r="I545">
        <v>554.54998779296875</v>
      </c>
      <c r="L545" t="s">
        <v>469</v>
      </c>
      <c r="M545">
        <v>99.329608938547494</v>
      </c>
      <c r="N545">
        <v>61.960892490834503</v>
      </c>
      <c r="O545">
        <f>IFERROR(VLOOKUP(B545,BSE_500_LIVE!A:E,3,FALSE),"")</f>
        <v>0</v>
      </c>
      <c r="P545">
        <f>IFERROR(VLOOKUP(B545,BSE_500_LIVE!A:E,4,FALSE),"")</f>
        <v>0</v>
      </c>
      <c r="Q545">
        <f>IFERROR(VLOOKUP(B545,BSE_500_LIVE!A:E,5,FALSE),"")</f>
        <v>0</v>
      </c>
      <c r="R545" t="str">
        <f t="shared" si="6"/>
        <v>MISMATCH_NEEDS_CORRECTION</v>
      </c>
      <c r="S545">
        <f t="shared" si="7"/>
        <v>0</v>
      </c>
      <c r="T545">
        <f>IFERROR(VLOOKUP(B545,BSE_500_LIVE!A:F,6,FALSE),"")</f>
        <v>0</v>
      </c>
    </row>
    <row r="546" spans="1:20" x14ac:dyDescent="0.25">
      <c r="A546">
        <v>70</v>
      </c>
      <c r="B546">
        <v>500800</v>
      </c>
      <c r="C546" t="s">
        <v>101</v>
      </c>
      <c r="D546">
        <v>2022</v>
      </c>
      <c r="E546">
        <v>1107.400024414062</v>
      </c>
      <c r="F546">
        <v>9.7799999999999994</v>
      </c>
      <c r="G546" t="s">
        <v>465</v>
      </c>
      <c r="H546">
        <v>861.3499755859375</v>
      </c>
      <c r="I546">
        <v>650.75</v>
      </c>
      <c r="L546" t="s">
        <v>469</v>
      </c>
      <c r="M546">
        <v>88.072594640688905</v>
      </c>
      <c r="N546">
        <v>66.538854805725975</v>
      </c>
      <c r="O546">
        <f>IFERROR(VLOOKUP(B546,BSE_500_LIVE!A:E,3,FALSE),"")</f>
        <v>0</v>
      </c>
      <c r="P546">
        <f>IFERROR(VLOOKUP(B546,BSE_500_LIVE!A:E,4,FALSE),"")</f>
        <v>0</v>
      </c>
      <c r="Q546">
        <f>IFERROR(VLOOKUP(B546,BSE_500_LIVE!A:E,5,FALSE),"")</f>
        <v>0</v>
      </c>
      <c r="R546" t="str">
        <f t="shared" si="6"/>
        <v>MISMATCH_NEEDS_CORRECTION</v>
      </c>
      <c r="S546">
        <f t="shared" si="7"/>
        <v>0</v>
      </c>
      <c r="T546">
        <f>IFERROR(VLOOKUP(B546,BSE_500_LIVE!A:F,6,FALSE),"")</f>
        <v>0</v>
      </c>
    </row>
    <row r="547" spans="1:20" x14ac:dyDescent="0.25">
      <c r="A547">
        <v>70</v>
      </c>
      <c r="B547">
        <v>500800</v>
      </c>
      <c r="C547" t="s">
        <v>101</v>
      </c>
      <c r="D547">
        <v>2023</v>
      </c>
      <c r="E547">
        <v>1107.400024414062</v>
      </c>
      <c r="F547">
        <v>12.48</v>
      </c>
      <c r="G547" t="s">
        <v>465</v>
      </c>
      <c r="H547">
        <v>1094</v>
      </c>
      <c r="I547">
        <v>685</v>
      </c>
      <c r="L547" t="s">
        <v>469</v>
      </c>
      <c r="M547">
        <v>87.660256410256409</v>
      </c>
      <c r="N547">
        <v>54.887820512820511</v>
      </c>
      <c r="O547">
        <f>IFERROR(VLOOKUP(B547,BSE_500_LIVE!A:E,3,FALSE),"")</f>
        <v>0</v>
      </c>
      <c r="P547">
        <f>IFERROR(VLOOKUP(B547,BSE_500_LIVE!A:E,4,FALSE),"")</f>
        <v>0</v>
      </c>
      <c r="Q547">
        <f>IFERROR(VLOOKUP(B547,BSE_500_LIVE!A:E,5,FALSE),"")</f>
        <v>0</v>
      </c>
      <c r="R547" t="str">
        <f t="shared" si="6"/>
        <v>MISMATCH_NEEDS_CORRECTION</v>
      </c>
      <c r="S547">
        <f t="shared" si="7"/>
        <v>0</v>
      </c>
      <c r="T547">
        <f>IFERROR(VLOOKUP(B547,BSE_500_LIVE!A:F,6,FALSE),"")</f>
        <v>0</v>
      </c>
    </row>
    <row r="548" spans="1:20" x14ac:dyDescent="0.25">
      <c r="A548">
        <v>70</v>
      </c>
      <c r="B548">
        <v>500800</v>
      </c>
      <c r="C548" t="s">
        <v>101</v>
      </c>
      <c r="D548">
        <v>2024</v>
      </c>
      <c r="E548">
        <v>1107.400024414062</v>
      </c>
      <c r="F548">
        <v>11.63</v>
      </c>
      <c r="G548" t="s">
        <v>465</v>
      </c>
      <c r="H548">
        <v>1269.599975585938</v>
      </c>
      <c r="I548">
        <v>884</v>
      </c>
      <c r="L548" t="s">
        <v>469</v>
      </c>
      <c r="M548">
        <v>109.16594802974529</v>
      </c>
      <c r="N548">
        <v>76.010318142734306</v>
      </c>
      <c r="O548">
        <f>IFERROR(VLOOKUP(B548,BSE_500_LIVE!A:E,3,FALSE),"")</f>
        <v>0</v>
      </c>
      <c r="P548">
        <f>IFERROR(VLOOKUP(B548,BSE_500_LIVE!A:E,4,FALSE),"")</f>
        <v>0</v>
      </c>
      <c r="Q548">
        <f>IFERROR(VLOOKUP(B548,BSE_500_LIVE!A:E,5,FALSE),"")</f>
        <v>0</v>
      </c>
      <c r="R548" t="str">
        <f t="shared" si="6"/>
        <v>MISMATCH_NEEDS_CORRECTION</v>
      </c>
      <c r="S548">
        <f t="shared" si="7"/>
        <v>0</v>
      </c>
      <c r="T548">
        <f>IFERROR(VLOOKUP(B548,BSE_500_LIVE!A:F,6,FALSE),"")</f>
        <v>0</v>
      </c>
    </row>
    <row r="549" spans="1:20" x14ac:dyDescent="0.25">
      <c r="A549">
        <v>70</v>
      </c>
      <c r="B549">
        <v>500800</v>
      </c>
      <c r="C549" t="s">
        <v>101</v>
      </c>
      <c r="D549">
        <v>2025</v>
      </c>
      <c r="E549">
        <v>1107.400024414062</v>
      </c>
      <c r="F549">
        <v>12.92</v>
      </c>
      <c r="G549" t="s">
        <v>465</v>
      </c>
      <c r="H549">
        <v>1202.75</v>
      </c>
      <c r="I549">
        <v>912.79998779296875</v>
      </c>
      <c r="L549" t="s">
        <v>469</v>
      </c>
      <c r="M549">
        <v>93.09210526315789</v>
      </c>
      <c r="N549">
        <v>70.650153853944957</v>
      </c>
      <c r="O549">
        <f>IFERROR(VLOOKUP(B549,BSE_500_LIVE!A:E,3,FALSE),"")</f>
        <v>0</v>
      </c>
      <c r="P549">
        <f>IFERROR(VLOOKUP(B549,BSE_500_LIVE!A:E,4,FALSE),"")</f>
        <v>0</v>
      </c>
      <c r="Q549">
        <f>IFERROR(VLOOKUP(B549,BSE_500_LIVE!A:E,5,FALSE),"")</f>
        <v>0</v>
      </c>
      <c r="R549" t="str">
        <f t="shared" si="6"/>
        <v>MISMATCH_NEEDS_CORRECTION</v>
      </c>
      <c r="S549">
        <f t="shared" si="7"/>
        <v>0</v>
      </c>
      <c r="T549">
        <f>IFERROR(VLOOKUP(B549,BSE_500_LIVE!A:F,6,FALSE),"")</f>
        <v>0</v>
      </c>
    </row>
    <row r="550" spans="1:20" x14ac:dyDescent="0.25">
      <c r="A550">
        <v>70</v>
      </c>
      <c r="B550">
        <v>500800</v>
      </c>
      <c r="C550" t="s">
        <v>101</v>
      </c>
      <c r="D550">
        <v>2026</v>
      </c>
      <c r="E550">
        <v>1107.400024414062</v>
      </c>
      <c r="F550">
        <v>15.59</v>
      </c>
      <c r="G550" t="s">
        <v>465</v>
      </c>
      <c r="H550">
        <v>1282.650024414062</v>
      </c>
      <c r="I550">
        <v>1007.200012207031</v>
      </c>
      <c r="L550" t="s">
        <v>469</v>
      </c>
      <c r="M550">
        <v>82.273895087495958</v>
      </c>
      <c r="N550">
        <v>64.605517139642785</v>
      </c>
      <c r="O550">
        <f>IFERROR(VLOOKUP(B550,BSE_500_LIVE!A:E,3,FALSE),"")</f>
        <v>0</v>
      </c>
      <c r="P550">
        <f>IFERROR(VLOOKUP(B550,BSE_500_LIVE!A:E,4,FALSE),"")</f>
        <v>0</v>
      </c>
      <c r="Q550">
        <f>IFERROR(VLOOKUP(B550,BSE_500_LIVE!A:E,5,FALSE),"")</f>
        <v>0</v>
      </c>
      <c r="R550" t="str">
        <f t="shared" si="6"/>
        <v>MISMATCH_NEEDS_CORRECTION</v>
      </c>
      <c r="S550">
        <f t="shared" si="7"/>
        <v>0</v>
      </c>
      <c r="T550">
        <f>IFERROR(VLOOKUP(B550,BSE_500_LIVE!A:F,6,FALSE),"")</f>
        <v>0</v>
      </c>
    </row>
    <row r="551" spans="1:20" x14ac:dyDescent="0.25">
      <c r="A551">
        <v>72</v>
      </c>
      <c r="B551">
        <v>500850</v>
      </c>
      <c r="C551" t="s">
        <v>103</v>
      </c>
      <c r="D551">
        <v>2015</v>
      </c>
      <c r="E551">
        <v>728</v>
      </c>
      <c r="F551">
        <v>-3.51</v>
      </c>
      <c r="G551" t="s">
        <v>465</v>
      </c>
      <c r="H551">
        <v>115.18626403808589</v>
      </c>
      <c r="L551" t="s">
        <v>471</v>
      </c>
      <c r="M551">
        <v>-32.816599441050123</v>
      </c>
      <c r="O551">
        <v>5530.65</v>
      </c>
      <c r="P551">
        <v>6336.95</v>
      </c>
      <c r="Q551">
        <v>4506.5</v>
      </c>
      <c r="R551" s="3" t="s">
        <v>470</v>
      </c>
      <c r="S551">
        <v>5530.65</v>
      </c>
      <c r="T551" t="s">
        <v>468</v>
      </c>
    </row>
    <row r="552" spans="1:20" x14ac:dyDescent="0.25">
      <c r="A552">
        <v>72</v>
      </c>
      <c r="B552">
        <v>500850</v>
      </c>
      <c r="C552" t="s">
        <v>103</v>
      </c>
      <c r="D552">
        <v>2016</v>
      </c>
      <c r="E552">
        <v>728</v>
      </c>
      <c r="F552">
        <v>-1.75</v>
      </c>
      <c r="G552" t="s">
        <v>465</v>
      </c>
      <c r="H552">
        <v>129.74900817871091</v>
      </c>
      <c r="I552">
        <v>80.5714111328125</v>
      </c>
      <c r="L552" t="s">
        <v>471</v>
      </c>
      <c r="M552">
        <v>-74.142290387834805</v>
      </c>
      <c r="N552">
        <v>-46.040806361607153</v>
      </c>
      <c r="O552">
        <v>5530.65</v>
      </c>
      <c r="P552">
        <v>6336.95</v>
      </c>
      <c r="Q552">
        <v>4506.5</v>
      </c>
      <c r="R552" s="3" t="s">
        <v>470</v>
      </c>
      <c r="S552">
        <v>5530.65</v>
      </c>
      <c r="T552" t="s">
        <v>468</v>
      </c>
    </row>
    <row r="553" spans="1:20" x14ac:dyDescent="0.25">
      <c r="A553">
        <v>72</v>
      </c>
      <c r="B553">
        <v>500850</v>
      </c>
      <c r="C553" t="s">
        <v>103</v>
      </c>
      <c r="D553">
        <v>2017</v>
      </c>
      <c r="E553">
        <v>728</v>
      </c>
      <c r="F553">
        <v>24.15</v>
      </c>
      <c r="G553" t="s">
        <v>465</v>
      </c>
      <c r="H553">
        <v>132.1534423828125</v>
      </c>
      <c r="I553">
        <v>86.287628173828125</v>
      </c>
      <c r="L553" t="s">
        <v>471</v>
      </c>
      <c r="M553">
        <v>-275.31967163085938</v>
      </c>
      <c r="N553">
        <v>-179.76589202880859</v>
      </c>
      <c r="O553">
        <v>5530.65</v>
      </c>
      <c r="P553">
        <v>6336.95</v>
      </c>
      <c r="Q553">
        <v>4506.5</v>
      </c>
      <c r="R553" s="3" t="s">
        <v>470</v>
      </c>
      <c r="S553">
        <v>5530.65</v>
      </c>
      <c r="T553" t="s">
        <v>468</v>
      </c>
    </row>
    <row r="554" spans="1:20" x14ac:dyDescent="0.25">
      <c r="A554">
        <v>72</v>
      </c>
      <c r="B554">
        <v>500850</v>
      </c>
      <c r="C554" t="s">
        <v>103</v>
      </c>
      <c r="D554">
        <v>2018</v>
      </c>
      <c r="E554">
        <v>728</v>
      </c>
      <c r="F554">
        <v>0.76</v>
      </c>
      <c r="G554" t="s">
        <v>465</v>
      </c>
      <c r="H554">
        <v>155.6952819824219</v>
      </c>
      <c r="I554">
        <v>106.64060974121089</v>
      </c>
      <c r="L554" t="s">
        <v>469</v>
      </c>
      <c r="M554">
        <v>204.86221313476571</v>
      </c>
      <c r="N554">
        <v>140.31659176475119</v>
      </c>
      <c r="O554">
        <v>5530.65</v>
      </c>
      <c r="P554">
        <v>6336.95</v>
      </c>
      <c r="Q554">
        <v>4506.5</v>
      </c>
      <c r="R554" s="3" t="s">
        <v>470</v>
      </c>
      <c r="S554">
        <v>5530.65</v>
      </c>
      <c r="T554" t="s">
        <v>468</v>
      </c>
    </row>
    <row r="555" spans="1:20" x14ac:dyDescent="0.25">
      <c r="A555">
        <v>72</v>
      </c>
      <c r="B555">
        <v>500850</v>
      </c>
      <c r="C555" t="s">
        <v>103</v>
      </c>
      <c r="D555">
        <v>2019</v>
      </c>
      <c r="E555">
        <v>728</v>
      </c>
      <c r="F555">
        <v>2.17</v>
      </c>
      <c r="G555" t="s">
        <v>465</v>
      </c>
      <c r="H555">
        <v>159.08839416503909</v>
      </c>
      <c r="I555">
        <v>117.45008850097661</v>
      </c>
      <c r="L555" t="s">
        <v>469</v>
      </c>
      <c r="M555">
        <v>73.31262403918852</v>
      </c>
      <c r="N555">
        <v>54.12446474699383</v>
      </c>
      <c r="O555">
        <v>5530.65</v>
      </c>
      <c r="P555">
        <v>6336.95</v>
      </c>
      <c r="Q555">
        <v>4506.5</v>
      </c>
      <c r="R555" s="3" t="s">
        <v>470</v>
      </c>
      <c r="S555">
        <v>5530.65</v>
      </c>
      <c r="T555" t="s">
        <v>468</v>
      </c>
    </row>
    <row r="556" spans="1:20" x14ac:dyDescent="0.25">
      <c r="A556">
        <v>72</v>
      </c>
      <c r="B556">
        <v>500850</v>
      </c>
      <c r="C556" t="s">
        <v>103</v>
      </c>
      <c r="D556">
        <v>2020</v>
      </c>
      <c r="E556">
        <v>728</v>
      </c>
      <c r="F556">
        <v>2.68</v>
      </c>
      <c r="G556" t="s">
        <v>465</v>
      </c>
      <c r="H556">
        <v>145.95220947265619</v>
      </c>
      <c r="I556">
        <v>60.203468322753913</v>
      </c>
      <c r="L556" t="s">
        <v>469</v>
      </c>
      <c r="M556">
        <v>54.459779653976192</v>
      </c>
      <c r="N556">
        <v>22.463980717445491</v>
      </c>
      <c r="O556">
        <v>5530.65</v>
      </c>
      <c r="P556">
        <v>6336.95</v>
      </c>
      <c r="Q556">
        <v>4506.5</v>
      </c>
      <c r="R556" s="3" t="s">
        <v>470</v>
      </c>
      <c r="S556">
        <v>5530.65</v>
      </c>
      <c r="T556" t="s">
        <v>468</v>
      </c>
    </row>
    <row r="557" spans="1:20" x14ac:dyDescent="0.25">
      <c r="A557">
        <v>72</v>
      </c>
      <c r="B557">
        <v>500850</v>
      </c>
      <c r="C557" t="s">
        <v>103</v>
      </c>
      <c r="D557">
        <v>2021</v>
      </c>
      <c r="E557">
        <v>728</v>
      </c>
      <c r="F557">
        <v>-5.45</v>
      </c>
      <c r="G557" t="s">
        <v>465</v>
      </c>
      <c r="H557">
        <v>230.24676513671881</v>
      </c>
      <c r="I557">
        <v>90.935356140136719</v>
      </c>
      <c r="L557" t="s">
        <v>471</v>
      </c>
      <c r="M557">
        <v>-42.247112869122716</v>
      </c>
      <c r="N557">
        <v>-16.68538644773151</v>
      </c>
      <c r="O557">
        <v>5530.65</v>
      </c>
      <c r="P557">
        <v>6336.95</v>
      </c>
      <c r="Q557">
        <v>4506.5</v>
      </c>
      <c r="R557" s="3" t="s">
        <v>470</v>
      </c>
      <c r="S557">
        <v>5530.65</v>
      </c>
      <c r="T557" t="s">
        <v>468</v>
      </c>
    </row>
    <row r="558" spans="1:20" x14ac:dyDescent="0.25">
      <c r="A558">
        <v>72</v>
      </c>
      <c r="B558">
        <v>500850</v>
      </c>
      <c r="C558" t="s">
        <v>103</v>
      </c>
      <c r="D558">
        <v>2022</v>
      </c>
      <c r="E558">
        <v>728</v>
      </c>
      <c r="F558">
        <v>-1.74</v>
      </c>
      <c r="G558" t="s">
        <v>465</v>
      </c>
      <c r="H558">
        <v>348.70001220703119</v>
      </c>
      <c r="I558">
        <v>178.19999694824219</v>
      </c>
      <c r="L558" t="s">
        <v>471</v>
      </c>
      <c r="M558">
        <v>-200.40230586610991</v>
      </c>
      <c r="N558">
        <v>-102.41379134956451</v>
      </c>
      <c r="O558">
        <v>5530.65</v>
      </c>
      <c r="P558">
        <v>6336.95</v>
      </c>
      <c r="Q558">
        <v>4506.5</v>
      </c>
      <c r="R558" s="3" t="s">
        <v>470</v>
      </c>
      <c r="S558">
        <v>5530.65</v>
      </c>
      <c r="T558" t="s">
        <v>468</v>
      </c>
    </row>
    <row r="559" spans="1:20" x14ac:dyDescent="0.25">
      <c r="A559">
        <v>72</v>
      </c>
      <c r="B559">
        <v>500850</v>
      </c>
      <c r="C559" t="s">
        <v>103</v>
      </c>
      <c r="D559">
        <v>2023</v>
      </c>
      <c r="E559">
        <v>728</v>
      </c>
      <c r="F559">
        <v>7.06</v>
      </c>
      <c r="G559" t="s">
        <v>465</v>
      </c>
      <c r="H559">
        <v>451</v>
      </c>
      <c r="I559">
        <v>280.20001220703119</v>
      </c>
      <c r="L559" t="s">
        <v>469</v>
      </c>
      <c r="M559">
        <v>63.881019830028329</v>
      </c>
      <c r="N559">
        <v>39.688386998163061</v>
      </c>
      <c r="O559">
        <v>5530.65</v>
      </c>
      <c r="P559">
        <v>6336.95</v>
      </c>
      <c r="Q559">
        <v>4506.5</v>
      </c>
      <c r="R559" s="3" t="s">
        <v>470</v>
      </c>
      <c r="S559">
        <v>5530.65</v>
      </c>
      <c r="T559" t="s">
        <v>468</v>
      </c>
    </row>
    <row r="560" spans="1:20" x14ac:dyDescent="0.25">
      <c r="A560">
        <v>72</v>
      </c>
      <c r="B560">
        <v>500850</v>
      </c>
      <c r="C560" t="s">
        <v>103</v>
      </c>
      <c r="D560">
        <v>2024</v>
      </c>
      <c r="E560">
        <v>728</v>
      </c>
      <c r="F560">
        <v>8.85</v>
      </c>
      <c r="G560" t="s">
        <v>465</v>
      </c>
      <c r="H560">
        <v>894.1500244140625</v>
      </c>
      <c r="I560">
        <v>429.29998779296881</v>
      </c>
      <c r="L560" t="s">
        <v>469</v>
      </c>
      <c r="M560">
        <v>101.0339010637359</v>
      </c>
      <c r="N560">
        <v>48.50847319694563</v>
      </c>
      <c r="O560">
        <v>5530.65</v>
      </c>
      <c r="P560">
        <v>6336.95</v>
      </c>
      <c r="Q560">
        <v>4506.5</v>
      </c>
      <c r="R560" s="3" t="s">
        <v>470</v>
      </c>
      <c r="S560">
        <v>5530.65</v>
      </c>
      <c r="T560" t="s">
        <v>468</v>
      </c>
    </row>
    <row r="561" spans="1:20" x14ac:dyDescent="0.25">
      <c r="A561">
        <v>72</v>
      </c>
      <c r="B561">
        <v>500850</v>
      </c>
      <c r="C561" t="s">
        <v>103</v>
      </c>
      <c r="D561">
        <v>2025</v>
      </c>
      <c r="E561">
        <v>728</v>
      </c>
      <c r="F561">
        <v>13.4</v>
      </c>
      <c r="G561" t="s">
        <v>465</v>
      </c>
      <c r="H561">
        <v>883.79998779296875</v>
      </c>
      <c r="I561">
        <v>672.54998779296875</v>
      </c>
      <c r="L561" t="s">
        <v>469</v>
      </c>
      <c r="M561">
        <v>65.955222969624529</v>
      </c>
      <c r="N561">
        <v>50.190297596490197</v>
      </c>
      <c r="O561">
        <v>5530.65</v>
      </c>
      <c r="P561">
        <v>6336.95</v>
      </c>
      <c r="Q561">
        <v>4506.5</v>
      </c>
      <c r="R561" s="3" t="s">
        <v>470</v>
      </c>
      <c r="S561">
        <v>5530.65</v>
      </c>
      <c r="T561" t="s">
        <v>468</v>
      </c>
    </row>
    <row r="562" spans="1:20" x14ac:dyDescent="0.25">
      <c r="A562">
        <v>72</v>
      </c>
      <c r="B562">
        <v>500850</v>
      </c>
      <c r="C562" t="s">
        <v>103</v>
      </c>
      <c r="D562">
        <v>2026</v>
      </c>
      <c r="E562">
        <v>728</v>
      </c>
      <c r="F562">
        <v>14.64</v>
      </c>
      <c r="G562" t="s">
        <v>465</v>
      </c>
      <c r="H562">
        <v>754.20001220703125</v>
      </c>
      <c r="I562">
        <v>565.25</v>
      </c>
      <c r="L562" t="s">
        <v>469</v>
      </c>
      <c r="M562">
        <v>51.516394276436557</v>
      </c>
      <c r="N562">
        <v>38.609972677595628</v>
      </c>
      <c r="O562">
        <v>5530.65</v>
      </c>
      <c r="P562">
        <v>6336.95</v>
      </c>
      <c r="Q562">
        <v>4506.5</v>
      </c>
      <c r="R562" s="3" t="s">
        <v>470</v>
      </c>
      <c r="S562">
        <v>5530.65</v>
      </c>
      <c r="T562" t="s">
        <v>468</v>
      </c>
    </row>
    <row r="563" spans="1:20" x14ac:dyDescent="0.25">
      <c r="A563">
        <v>75</v>
      </c>
      <c r="B563">
        <v>500878</v>
      </c>
      <c r="C563" t="s">
        <v>105</v>
      </c>
      <c r="D563">
        <v>2015</v>
      </c>
      <c r="E563">
        <v>3550.10009765625</v>
      </c>
      <c r="F563">
        <v>78.41</v>
      </c>
      <c r="G563" t="s">
        <v>465</v>
      </c>
      <c r="H563">
        <v>1318.300048828125</v>
      </c>
      <c r="I563">
        <v>596.70001220703125</v>
      </c>
      <c r="L563" t="s">
        <v>469</v>
      </c>
      <c r="M563">
        <v>16.812907139754181</v>
      </c>
      <c r="N563">
        <v>7.6099988803345404</v>
      </c>
      <c r="O563">
        <v>3504.9</v>
      </c>
      <c r="P563">
        <v>4438</v>
      </c>
      <c r="Q563">
        <v>3000.5</v>
      </c>
      <c r="R563" s="2" t="s">
        <v>467</v>
      </c>
      <c r="S563">
        <v>3504.9</v>
      </c>
      <c r="T563" t="s">
        <v>468</v>
      </c>
    </row>
    <row r="564" spans="1:20" x14ac:dyDescent="0.25">
      <c r="A564">
        <v>75</v>
      </c>
      <c r="B564">
        <v>500878</v>
      </c>
      <c r="C564" t="s">
        <v>105</v>
      </c>
      <c r="D564">
        <v>2016</v>
      </c>
      <c r="E564">
        <v>3550.10009765625</v>
      </c>
      <c r="F564">
        <v>108.17</v>
      </c>
      <c r="G564" t="s">
        <v>465</v>
      </c>
      <c r="H564">
        <v>1422</v>
      </c>
      <c r="I564">
        <v>731.20001220703125</v>
      </c>
      <c r="L564" t="s">
        <v>469</v>
      </c>
      <c r="M564">
        <v>13.14597392992512</v>
      </c>
      <c r="N564">
        <v>6.7597301673942054</v>
      </c>
      <c r="O564">
        <v>3504.9</v>
      </c>
      <c r="P564">
        <v>4438</v>
      </c>
      <c r="Q564">
        <v>3000.5</v>
      </c>
      <c r="R564" s="2" t="s">
        <v>467</v>
      </c>
      <c r="S564">
        <v>3504.9</v>
      </c>
      <c r="T564" t="s">
        <v>468</v>
      </c>
    </row>
    <row r="565" spans="1:20" x14ac:dyDescent="0.25">
      <c r="A565">
        <v>75</v>
      </c>
      <c r="B565">
        <v>500878</v>
      </c>
      <c r="C565" t="s">
        <v>105</v>
      </c>
      <c r="D565">
        <v>2017</v>
      </c>
      <c r="E565">
        <v>3550.10009765625</v>
      </c>
      <c r="F565">
        <v>89.28</v>
      </c>
      <c r="G565" t="s">
        <v>465</v>
      </c>
      <c r="H565">
        <v>2030</v>
      </c>
      <c r="I565">
        <v>1070.550048828125</v>
      </c>
      <c r="L565" t="s">
        <v>469</v>
      </c>
      <c r="M565">
        <v>22.737455197132611</v>
      </c>
      <c r="N565">
        <v>11.99092796626484</v>
      </c>
      <c r="O565">
        <v>3504.9</v>
      </c>
      <c r="P565">
        <v>4438</v>
      </c>
      <c r="Q565">
        <v>3000.5</v>
      </c>
      <c r="R565" s="2" t="s">
        <v>467</v>
      </c>
      <c r="S565">
        <v>3504.9</v>
      </c>
      <c r="T565" t="s">
        <v>468</v>
      </c>
    </row>
    <row r="566" spans="1:20" x14ac:dyDescent="0.25">
      <c r="A566">
        <v>75</v>
      </c>
      <c r="B566">
        <v>500878</v>
      </c>
      <c r="C566" t="s">
        <v>105</v>
      </c>
      <c r="D566">
        <v>2018</v>
      </c>
      <c r="E566">
        <v>3550.10009765625</v>
      </c>
      <c r="F566">
        <v>58.83</v>
      </c>
      <c r="G566" t="s">
        <v>465</v>
      </c>
      <c r="H566">
        <v>2030</v>
      </c>
      <c r="I566">
        <v>983.79998779296875</v>
      </c>
      <c r="L566" t="s">
        <v>469</v>
      </c>
      <c r="M566">
        <v>34.506204317525068</v>
      </c>
      <c r="N566">
        <v>16.722760288848701</v>
      </c>
      <c r="O566">
        <v>3504.9</v>
      </c>
      <c r="P566">
        <v>4438</v>
      </c>
      <c r="Q566">
        <v>3000.5</v>
      </c>
      <c r="R566" s="2" t="s">
        <v>467</v>
      </c>
      <c r="S566">
        <v>3504.9</v>
      </c>
      <c r="T566" t="s">
        <v>468</v>
      </c>
    </row>
    <row r="567" spans="1:20" x14ac:dyDescent="0.25">
      <c r="A567">
        <v>75</v>
      </c>
      <c r="B567">
        <v>500878</v>
      </c>
      <c r="C567" t="s">
        <v>105</v>
      </c>
      <c r="D567">
        <v>2019</v>
      </c>
      <c r="E567">
        <v>3550.10009765625</v>
      </c>
      <c r="F567">
        <v>62.35</v>
      </c>
      <c r="G567" t="s">
        <v>465</v>
      </c>
      <c r="H567">
        <v>1319.449951171875</v>
      </c>
      <c r="I567">
        <v>731</v>
      </c>
      <c r="L567" t="s">
        <v>469</v>
      </c>
      <c r="M567">
        <v>21.161987989925819</v>
      </c>
      <c r="N567">
        <v>11.72413793103448</v>
      </c>
      <c r="O567">
        <v>3504.9</v>
      </c>
      <c r="P567">
        <v>4438</v>
      </c>
      <c r="Q567">
        <v>3000.5</v>
      </c>
      <c r="R567" s="2" t="s">
        <v>467</v>
      </c>
      <c r="S567">
        <v>3504.9</v>
      </c>
      <c r="T567" t="s">
        <v>468</v>
      </c>
    </row>
    <row r="568" spans="1:20" x14ac:dyDescent="0.25">
      <c r="A568">
        <v>75</v>
      </c>
      <c r="B568">
        <v>500878</v>
      </c>
      <c r="C568" t="s">
        <v>105</v>
      </c>
      <c r="D568">
        <v>2020</v>
      </c>
      <c r="E568">
        <v>3550.10009765625</v>
      </c>
      <c r="F568">
        <v>57.17</v>
      </c>
      <c r="G568" t="s">
        <v>465</v>
      </c>
      <c r="H568">
        <v>1249</v>
      </c>
      <c r="I568">
        <v>601.5</v>
      </c>
      <c r="L568" t="s">
        <v>469</v>
      </c>
      <c r="M568">
        <v>21.847122616757041</v>
      </c>
      <c r="N568">
        <v>10.521252405107569</v>
      </c>
      <c r="O568">
        <v>3504.9</v>
      </c>
      <c r="P568">
        <v>4438</v>
      </c>
      <c r="Q568">
        <v>3000.5</v>
      </c>
      <c r="R568" s="2" t="s">
        <v>467</v>
      </c>
      <c r="S568">
        <v>3504.9</v>
      </c>
      <c r="T568" t="s">
        <v>468</v>
      </c>
    </row>
    <row r="569" spans="1:20" x14ac:dyDescent="0.25">
      <c r="A569">
        <v>75</v>
      </c>
      <c r="B569">
        <v>500878</v>
      </c>
      <c r="C569" t="s">
        <v>105</v>
      </c>
      <c r="D569">
        <v>2021</v>
      </c>
      <c r="E569">
        <v>3550.10009765625</v>
      </c>
      <c r="F569">
        <v>106.81</v>
      </c>
      <c r="G569" t="s">
        <v>465</v>
      </c>
      <c r="H569">
        <v>1763.150024414062</v>
      </c>
      <c r="I569">
        <v>1069.849975585938</v>
      </c>
      <c r="L569" t="s">
        <v>469</v>
      </c>
      <c r="M569">
        <v>16.507349727685259</v>
      </c>
      <c r="N569">
        <v>10.0163840051113</v>
      </c>
      <c r="O569">
        <v>3504.9</v>
      </c>
      <c r="P569">
        <v>4438</v>
      </c>
      <c r="Q569">
        <v>3000.5</v>
      </c>
      <c r="R569" s="2" t="s">
        <v>467</v>
      </c>
      <c r="S569">
        <v>3504.9</v>
      </c>
      <c r="T569" t="s">
        <v>468</v>
      </c>
    </row>
    <row r="570" spans="1:20" x14ac:dyDescent="0.25">
      <c r="A570">
        <v>75</v>
      </c>
      <c r="B570">
        <v>500878</v>
      </c>
      <c r="C570" t="s">
        <v>105</v>
      </c>
      <c r="D570">
        <v>2022</v>
      </c>
      <c r="E570">
        <v>3550.10009765625</v>
      </c>
      <c r="F570">
        <v>17.600000000000001</v>
      </c>
      <c r="G570" t="s">
        <v>465</v>
      </c>
      <c r="H570">
        <v>1981.449951171875</v>
      </c>
      <c r="I570">
        <v>890.04998779296875</v>
      </c>
      <c r="L570" t="s">
        <v>469</v>
      </c>
      <c r="M570">
        <v>112.58238358931111</v>
      </c>
      <c r="N570">
        <v>50.571022033691399</v>
      </c>
      <c r="O570">
        <v>3504.9</v>
      </c>
      <c r="P570">
        <v>4438</v>
      </c>
      <c r="Q570">
        <v>3000.5</v>
      </c>
      <c r="R570" s="2" t="s">
        <v>467</v>
      </c>
      <c r="S570">
        <v>3504.9</v>
      </c>
      <c r="T570" t="s">
        <v>468</v>
      </c>
    </row>
    <row r="571" spans="1:20" x14ac:dyDescent="0.25">
      <c r="A571">
        <v>75</v>
      </c>
      <c r="B571">
        <v>500878</v>
      </c>
      <c r="C571" t="s">
        <v>105</v>
      </c>
      <c r="D571">
        <v>2023</v>
      </c>
      <c r="E571">
        <v>3550.10009765625</v>
      </c>
      <c r="F571">
        <v>46.02</v>
      </c>
      <c r="G571" t="s">
        <v>465</v>
      </c>
      <c r="H571">
        <v>2640</v>
      </c>
      <c r="I571">
        <v>1357.599975585938</v>
      </c>
      <c r="L571" t="s">
        <v>469</v>
      </c>
      <c r="M571">
        <v>57.366362451108209</v>
      </c>
      <c r="N571">
        <v>29.500216766317639</v>
      </c>
      <c r="O571">
        <v>3504.9</v>
      </c>
      <c r="P571">
        <v>4438</v>
      </c>
      <c r="Q571">
        <v>3000.5</v>
      </c>
      <c r="R571" s="2" t="s">
        <v>467</v>
      </c>
      <c r="S571">
        <v>3504.9</v>
      </c>
      <c r="T571" t="s">
        <v>468</v>
      </c>
    </row>
    <row r="572" spans="1:20" x14ac:dyDescent="0.25">
      <c r="A572">
        <v>75</v>
      </c>
      <c r="B572">
        <v>500878</v>
      </c>
      <c r="C572" t="s">
        <v>105</v>
      </c>
      <c r="D572">
        <v>2024</v>
      </c>
      <c r="E572">
        <v>3550.10009765625</v>
      </c>
      <c r="F572">
        <v>158.87</v>
      </c>
      <c r="G572" t="s">
        <v>465</v>
      </c>
      <c r="H572">
        <v>3581.449951171875</v>
      </c>
      <c r="I572">
        <v>2211</v>
      </c>
      <c r="L572" t="s">
        <v>469</v>
      </c>
      <c r="M572">
        <v>22.543274067928969</v>
      </c>
      <c r="N572">
        <v>13.91703908856298</v>
      </c>
      <c r="O572">
        <v>3504.9</v>
      </c>
      <c r="P572">
        <v>4438</v>
      </c>
      <c r="Q572">
        <v>3000.5</v>
      </c>
      <c r="R572" s="2" t="s">
        <v>467</v>
      </c>
      <c r="S572">
        <v>3504.9</v>
      </c>
      <c r="T572" t="s">
        <v>468</v>
      </c>
    </row>
    <row r="573" spans="1:20" x14ac:dyDescent="0.25">
      <c r="A573">
        <v>75</v>
      </c>
      <c r="B573">
        <v>500878</v>
      </c>
      <c r="C573" t="s">
        <v>105</v>
      </c>
      <c r="D573">
        <v>2025</v>
      </c>
      <c r="E573">
        <v>3550.10009765625</v>
      </c>
      <c r="F573">
        <v>116.85</v>
      </c>
      <c r="G573" t="s">
        <v>465</v>
      </c>
      <c r="H573">
        <v>4431.60009765625</v>
      </c>
      <c r="I573">
        <v>2322.050048828125</v>
      </c>
      <c r="L573" t="s">
        <v>469</v>
      </c>
      <c r="M573">
        <v>37.925546406985447</v>
      </c>
      <c r="N573">
        <v>19.872058612136289</v>
      </c>
      <c r="O573">
        <v>3504.9</v>
      </c>
      <c r="P573">
        <v>4438</v>
      </c>
      <c r="Q573">
        <v>3000.5</v>
      </c>
      <c r="R573" s="2" t="s">
        <v>467</v>
      </c>
      <c r="S573">
        <v>3504.9</v>
      </c>
      <c r="T573" t="s">
        <v>468</v>
      </c>
    </row>
    <row r="574" spans="1:20" x14ac:dyDescent="0.25">
      <c r="A574">
        <v>75</v>
      </c>
      <c r="B574">
        <v>500878</v>
      </c>
      <c r="C574" t="s">
        <v>105</v>
      </c>
      <c r="D574">
        <v>2026</v>
      </c>
      <c r="E574">
        <v>3550.10009765625</v>
      </c>
      <c r="F574">
        <v>172.56</v>
      </c>
      <c r="G574" t="s">
        <v>465</v>
      </c>
      <c r="H574">
        <v>4126</v>
      </c>
      <c r="I574">
        <v>3061.25</v>
      </c>
      <c r="L574" t="s">
        <v>469</v>
      </c>
      <c r="M574">
        <v>23.910523875753359</v>
      </c>
      <c r="N574">
        <v>17.740206305053309</v>
      </c>
      <c r="O574">
        <v>3504.9</v>
      </c>
      <c r="P574">
        <v>4438</v>
      </c>
      <c r="Q574">
        <v>3000.5</v>
      </c>
      <c r="R574" s="2" t="s">
        <v>467</v>
      </c>
      <c r="S574">
        <v>3504.9</v>
      </c>
      <c r="T574" t="s">
        <v>468</v>
      </c>
    </row>
    <row r="575" spans="1:20" x14ac:dyDescent="0.25">
      <c r="A575">
        <v>79</v>
      </c>
      <c r="B575">
        <v>501242</v>
      </c>
      <c r="C575" t="s">
        <v>107</v>
      </c>
      <c r="D575">
        <v>2015</v>
      </c>
      <c r="E575">
        <v>15.840000152587891</v>
      </c>
      <c r="F575">
        <v>5.3</v>
      </c>
      <c r="G575" t="s">
        <v>465</v>
      </c>
      <c r="H575">
        <v>50.349998474121087</v>
      </c>
      <c r="L575" t="s">
        <v>469</v>
      </c>
      <c r="M575">
        <v>9.4999997120983188</v>
      </c>
      <c r="O575">
        <v>277.89</v>
      </c>
      <c r="P575">
        <v>293.89999999999998</v>
      </c>
      <c r="Q575">
        <v>110.5</v>
      </c>
      <c r="R575" s="3" t="s">
        <v>470</v>
      </c>
      <c r="S575">
        <v>277.89</v>
      </c>
      <c r="T575" t="s">
        <v>468</v>
      </c>
    </row>
    <row r="576" spans="1:20" x14ac:dyDescent="0.25">
      <c r="A576">
        <v>79</v>
      </c>
      <c r="B576">
        <v>501242</v>
      </c>
      <c r="C576" t="s">
        <v>107</v>
      </c>
      <c r="D576">
        <v>2016</v>
      </c>
      <c r="E576">
        <v>15.840000152587891</v>
      </c>
      <c r="F576">
        <v>1.51</v>
      </c>
      <c r="G576" t="s">
        <v>465</v>
      </c>
      <c r="H576">
        <v>35</v>
      </c>
      <c r="I576">
        <v>17.04999923706055</v>
      </c>
      <c r="L576" t="s">
        <v>469</v>
      </c>
      <c r="M576">
        <v>23.17880794701987</v>
      </c>
      <c r="N576">
        <v>11.29139022321891</v>
      </c>
      <c r="O576">
        <v>277.89</v>
      </c>
      <c r="P576">
        <v>293.89999999999998</v>
      </c>
      <c r="Q576">
        <v>110.5</v>
      </c>
      <c r="R576" s="3" t="s">
        <v>470</v>
      </c>
      <c r="S576">
        <v>277.89</v>
      </c>
      <c r="T576" t="s">
        <v>468</v>
      </c>
    </row>
    <row r="577" spans="1:20" x14ac:dyDescent="0.25">
      <c r="A577">
        <v>79</v>
      </c>
      <c r="B577">
        <v>501242</v>
      </c>
      <c r="C577" t="s">
        <v>107</v>
      </c>
      <c r="D577">
        <v>2017</v>
      </c>
      <c r="E577">
        <v>15.840000152587891</v>
      </c>
      <c r="F577">
        <v>2.83</v>
      </c>
      <c r="G577" t="s">
        <v>465</v>
      </c>
      <c r="H577">
        <v>32.099998474121087</v>
      </c>
      <c r="I577">
        <v>20.10000038146973</v>
      </c>
      <c r="L577" t="s">
        <v>469</v>
      </c>
      <c r="M577">
        <v>11.34275564456575</v>
      </c>
      <c r="N577">
        <v>7.1024736330281728</v>
      </c>
      <c r="O577">
        <v>277.89</v>
      </c>
      <c r="P577">
        <v>293.89999999999998</v>
      </c>
      <c r="Q577">
        <v>110.5</v>
      </c>
      <c r="R577" s="3" t="s">
        <v>470</v>
      </c>
      <c r="S577">
        <v>277.89</v>
      </c>
      <c r="T577" t="s">
        <v>468</v>
      </c>
    </row>
    <row r="578" spans="1:20" x14ac:dyDescent="0.25">
      <c r="A578">
        <v>79</v>
      </c>
      <c r="B578">
        <v>501242</v>
      </c>
      <c r="C578" t="s">
        <v>107</v>
      </c>
      <c r="D578">
        <v>2018</v>
      </c>
      <c r="E578">
        <v>15.840000152587891</v>
      </c>
      <c r="F578">
        <v>1.3</v>
      </c>
      <c r="G578" t="s">
        <v>465</v>
      </c>
      <c r="H578">
        <v>37.049999237060547</v>
      </c>
      <c r="I578">
        <v>12.19999980926514</v>
      </c>
      <c r="L578" t="s">
        <v>469</v>
      </c>
      <c r="M578">
        <v>28.499999413123501</v>
      </c>
      <c r="N578">
        <v>9.3846152378962611</v>
      </c>
      <c r="O578">
        <v>277.89</v>
      </c>
      <c r="P578">
        <v>293.89999999999998</v>
      </c>
      <c r="Q578">
        <v>110.5</v>
      </c>
      <c r="R578" s="3" t="s">
        <v>470</v>
      </c>
      <c r="S578">
        <v>277.89</v>
      </c>
      <c r="T578" t="s">
        <v>468</v>
      </c>
    </row>
    <row r="579" spans="1:20" x14ac:dyDescent="0.25">
      <c r="A579">
        <v>79</v>
      </c>
      <c r="B579">
        <v>501242</v>
      </c>
      <c r="C579" t="s">
        <v>107</v>
      </c>
      <c r="D579">
        <v>2019</v>
      </c>
      <c r="E579">
        <v>15.840000152587891</v>
      </c>
      <c r="F579">
        <v>3.84</v>
      </c>
      <c r="G579" t="s">
        <v>465</v>
      </c>
      <c r="H579">
        <v>19.5</v>
      </c>
      <c r="I579">
        <v>7</v>
      </c>
      <c r="L579" t="s">
        <v>469</v>
      </c>
      <c r="M579">
        <v>5.078125</v>
      </c>
      <c r="N579">
        <v>1.822916666666667</v>
      </c>
      <c r="O579">
        <v>277.89</v>
      </c>
      <c r="P579">
        <v>293.89999999999998</v>
      </c>
      <c r="Q579">
        <v>110.5</v>
      </c>
      <c r="R579" s="3" t="s">
        <v>470</v>
      </c>
      <c r="S579">
        <v>277.89</v>
      </c>
      <c r="T579" t="s">
        <v>468</v>
      </c>
    </row>
    <row r="580" spans="1:20" x14ac:dyDescent="0.25">
      <c r="A580">
        <v>79</v>
      </c>
      <c r="B580">
        <v>501242</v>
      </c>
      <c r="C580" t="s">
        <v>107</v>
      </c>
      <c r="D580">
        <v>2020</v>
      </c>
      <c r="E580">
        <v>15.840000152587891</v>
      </c>
      <c r="G580" t="s">
        <v>465</v>
      </c>
      <c r="H580">
        <v>9</v>
      </c>
      <c r="I580">
        <v>3.7999999523162842</v>
      </c>
      <c r="L580" t="s">
        <v>466</v>
      </c>
      <c r="O580">
        <v>277.89</v>
      </c>
      <c r="P580">
        <v>293.89999999999998</v>
      </c>
      <c r="Q580">
        <v>110.5</v>
      </c>
      <c r="R580" s="3" t="s">
        <v>470</v>
      </c>
      <c r="S580">
        <v>277.89</v>
      </c>
      <c r="T580" t="s">
        <v>468</v>
      </c>
    </row>
    <row r="581" spans="1:20" x14ac:dyDescent="0.25">
      <c r="A581">
        <v>79</v>
      </c>
      <c r="B581">
        <v>501242</v>
      </c>
      <c r="C581" t="s">
        <v>107</v>
      </c>
      <c r="D581">
        <v>2021</v>
      </c>
      <c r="E581">
        <v>15.840000152587891</v>
      </c>
      <c r="G581" t="s">
        <v>465</v>
      </c>
      <c r="H581">
        <v>7.5</v>
      </c>
      <c r="I581">
        <v>4.4099998474121094</v>
      </c>
      <c r="L581" t="s">
        <v>466</v>
      </c>
      <c r="O581">
        <v>277.89</v>
      </c>
      <c r="P581">
        <v>293.89999999999998</v>
      </c>
      <c r="Q581">
        <v>110.5</v>
      </c>
      <c r="R581" s="3" t="s">
        <v>470</v>
      </c>
      <c r="S581">
        <v>277.89</v>
      </c>
      <c r="T581" t="s">
        <v>468</v>
      </c>
    </row>
    <row r="582" spans="1:20" x14ac:dyDescent="0.25">
      <c r="A582">
        <v>79</v>
      </c>
      <c r="B582">
        <v>501242</v>
      </c>
      <c r="C582" t="s">
        <v>107</v>
      </c>
      <c r="D582">
        <v>2022</v>
      </c>
      <c r="E582">
        <v>15.840000152587891</v>
      </c>
      <c r="G582" t="s">
        <v>465</v>
      </c>
      <c r="H582">
        <v>11.27000045776367</v>
      </c>
      <c r="I582">
        <v>3.7899999618530269</v>
      </c>
      <c r="L582" t="s">
        <v>466</v>
      </c>
      <c r="O582">
        <v>277.89</v>
      </c>
      <c r="P582">
        <v>293.89999999999998</v>
      </c>
      <c r="Q582">
        <v>110.5</v>
      </c>
      <c r="R582" s="3" t="s">
        <v>470</v>
      </c>
      <c r="S582">
        <v>277.89</v>
      </c>
      <c r="T582" t="s">
        <v>468</v>
      </c>
    </row>
    <row r="583" spans="1:20" x14ac:dyDescent="0.25">
      <c r="A583">
        <v>79</v>
      </c>
      <c r="B583">
        <v>501242</v>
      </c>
      <c r="C583" t="s">
        <v>107</v>
      </c>
      <c r="D583">
        <v>2023</v>
      </c>
      <c r="E583">
        <v>15.840000152587891</v>
      </c>
      <c r="G583" t="s">
        <v>465</v>
      </c>
      <c r="H583">
        <v>4.1599998474121094</v>
      </c>
      <c r="I583">
        <v>2.869999885559082</v>
      </c>
      <c r="L583" t="s">
        <v>466</v>
      </c>
      <c r="O583">
        <v>277.89</v>
      </c>
      <c r="P583">
        <v>293.89999999999998</v>
      </c>
      <c r="Q583">
        <v>110.5</v>
      </c>
      <c r="R583" s="3" t="s">
        <v>470</v>
      </c>
      <c r="S583">
        <v>277.89</v>
      </c>
      <c r="T583" t="s">
        <v>468</v>
      </c>
    </row>
    <row r="584" spans="1:20" x14ac:dyDescent="0.25">
      <c r="A584">
        <v>79</v>
      </c>
      <c r="B584">
        <v>501242</v>
      </c>
      <c r="C584" t="s">
        <v>107</v>
      </c>
      <c r="D584">
        <v>2024</v>
      </c>
      <c r="E584">
        <v>15.840000152587891</v>
      </c>
      <c r="G584" t="s">
        <v>465</v>
      </c>
      <c r="H584">
        <v>20.170000076293949</v>
      </c>
      <c r="I584">
        <v>4.3600001335144043</v>
      </c>
      <c r="L584" t="s">
        <v>466</v>
      </c>
      <c r="O584">
        <v>277.89</v>
      </c>
      <c r="P584">
        <v>293.89999999999998</v>
      </c>
      <c r="Q584">
        <v>110.5</v>
      </c>
      <c r="R584" s="3" t="s">
        <v>470</v>
      </c>
      <c r="S584">
        <v>277.89</v>
      </c>
      <c r="T584" t="s">
        <v>468</v>
      </c>
    </row>
    <row r="585" spans="1:20" x14ac:dyDescent="0.25">
      <c r="A585">
        <v>79</v>
      </c>
      <c r="B585">
        <v>501242</v>
      </c>
      <c r="C585" t="s">
        <v>107</v>
      </c>
      <c r="D585">
        <v>2025</v>
      </c>
      <c r="E585">
        <v>15.840000152587891</v>
      </c>
      <c r="G585" t="s">
        <v>465</v>
      </c>
      <c r="H585">
        <v>27.10000038146973</v>
      </c>
      <c r="I585">
        <v>10.30000019073486</v>
      </c>
      <c r="L585" t="s">
        <v>466</v>
      </c>
      <c r="O585">
        <v>277.89</v>
      </c>
      <c r="P585">
        <v>293.89999999999998</v>
      </c>
      <c r="Q585">
        <v>110.5</v>
      </c>
      <c r="R585" s="3" t="s">
        <v>470</v>
      </c>
      <c r="S585">
        <v>277.89</v>
      </c>
      <c r="T585" t="s">
        <v>468</v>
      </c>
    </row>
    <row r="586" spans="1:20" x14ac:dyDescent="0.25">
      <c r="A586">
        <v>79</v>
      </c>
      <c r="B586">
        <v>501242</v>
      </c>
      <c r="C586" t="s">
        <v>107</v>
      </c>
      <c r="D586">
        <v>2026</v>
      </c>
      <c r="E586">
        <v>15.840000152587891</v>
      </c>
      <c r="G586" t="s">
        <v>465</v>
      </c>
      <c r="H586">
        <v>38.090000152587891</v>
      </c>
      <c r="I586">
        <v>11.80000019073486</v>
      </c>
      <c r="L586" t="s">
        <v>466</v>
      </c>
      <c r="O586">
        <v>277.89</v>
      </c>
      <c r="P586">
        <v>293.89999999999998</v>
      </c>
      <c r="Q586">
        <v>110.5</v>
      </c>
      <c r="R586" s="3" t="s">
        <v>470</v>
      </c>
      <c r="S586">
        <v>277.89</v>
      </c>
      <c r="T586" t="s">
        <v>468</v>
      </c>
    </row>
    <row r="587" spans="1:20" x14ac:dyDescent="0.25">
      <c r="A587">
        <v>80</v>
      </c>
      <c r="B587">
        <v>501314</v>
      </c>
      <c r="C587" t="s">
        <v>109</v>
      </c>
      <c r="D587">
        <v>2015</v>
      </c>
      <c r="E587">
        <v>0.60000002384185791</v>
      </c>
      <c r="G587" t="s">
        <v>465</v>
      </c>
      <c r="H587">
        <v>55.392024993896477</v>
      </c>
      <c r="I587">
        <v>40.530750274658203</v>
      </c>
      <c r="L587" t="s">
        <v>466</v>
      </c>
      <c r="O587">
        <v>1.35</v>
      </c>
      <c r="P587">
        <v>1.75</v>
      </c>
      <c r="Q587">
        <v>0.88</v>
      </c>
      <c r="R587" s="3" t="s">
        <v>470</v>
      </c>
      <c r="S587">
        <v>1.35</v>
      </c>
      <c r="T587" t="s">
        <v>468</v>
      </c>
    </row>
    <row r="588" spans="1:20" x14ac:dyDescent="0.25">
      <c r="A588">
        <v>80</v>
      </c>
      <c r="B588">
        <v>501314</v>
      </c>
      <c r="C588" t="s">
        <v>109</v>
      </c>
      <c r="D588">
        <v>2016</v>
      </c>
      <c r="E588">
        <v>0.60000002384185791</v>
      </c>
      <c r="G588" t="s">
        <v>465</v>
      </c>
      <c r="H588">
        <v>40.530750274658203</v>
      </c>
      <c r="I588">
        <v>40.530750274658203</v>
      </c>
      <c r="L588" t="s">
        <v>466</v>
      </c>
      <c r="O588">
        <v>1.35</v>
      </c>
      <c r="P588">
        <v>1.75</v>
      </c>
      <c r="Q588">
        <v>0.88</v>
      </c>
      <c r="R588" s="3" t="s">
        <v>470</v>
      </c>
      <c r="S588">
        <v>1.35</v>
      </c>
      <c r="T588" t="s">
        <v>468</v>
      </c>
    </row>
    <row r="589" spans="1:20" x14ac:dyDescent="0.25">
      <c r="A589">
        <v>80</v>
      </c>
      <c r="B589">
        <v>501314</v>
      </c>
      <c r="C589" t="s">
        <v>109</v>
      </c>
      <c r="D589">
        <v>2017</v>
      </c>
      <c r="E589">
        <v>0.60000002384185791</v>
      </c>
      <c r="G589" t="s">
        <v>465</v>
      </c>
      <c r="H589">
        <v>40.530750274658203</v>
      </c>
      <c r="I589">
        <v>40.530750274658203</v>
      </c>
      <c r="L589" t="s">
        <v>466</v>
      </c>
      <c r="O589">
        <v>1.35</v>
      </c>
      <c r="P589">
        <v>1.75</v>
      </c>
      <c r="Q589">
        <v>0.88</v>
      </c>
      <c r="R589" s="3" t="s">
        <v>470</v>
      </c>
      <c r="S589">
        <v>1.35</v>
      </c>
      <c r="T589" t="s">
        <v>468</v>
      </c>
    </row>
    <row r="590" spans="1:20" x14ac:dyDescent="0.25">
      <c r="A590">
        <v>80</v>
      </c>
      <c r="B590">
        <v>501314</v>
      </c>
      <c r="C590" t="s">
        <v>109</v>
      </c>
      <c r="D590">
        <v>2018</v>
      </c>
      <c r="E590">
        <v>0.60000002384185791</v>
      </c>
      <c r="G590" t="s">
        <v>465</v>
      </c>
      <c r="H590">
        <v>40.995166778564453</v>
      </c>
      <c r="I590">
        <v>37.583824157714837</v>
      </c>
      <c r="L590" t="s">
        <v>466</v>
      </c>
      <c r="O590">
        <v>1.35</v>
      </c>
      <c r="P590">
        <v>1.75</v>
      </c>
      <c r="Q590">
        <v>0.88</v>
      </c>
      <c r="R590" s="3" t="s">
        <v>470</v>
      </c>
      <c r="S590">
        <v>1.35</v>
      </c>
      <c r="T590" t="s">
        <v>468</v>
      </c>
    </row>
    <row r="591" spans="1:20" x14ac:dyDescent="0.25">
      <c r="A591">
        <v>80</v>
      </c>
      <c r="B591">
        <v>501314</v>
      </c>
      <c r="C591" t="s">
        <v>109</v>
      </c>
      <c r="D591">
        <v>2019</v>
      </c>
      <c r="E591">
        <v>0.60000002384185791</v>
      </c>
      <c r="G591" t="s">
        <v>465</v>
      </c>
      <c r="H591">
        <v>41.332920074462891</v>
      </c>
      <c r="I591">
        <v>4.0615181922912598</v>
      </c>
      <c r="L591" t="s">
        <v>466</v>
      </c>
      <c r="O591">
        <v>1.35</v>
      </c>
      <c r="P591">
        <v>1.75</v>
      </c>
      <c r="Q591">
        <v>0.88</v>
      </c>
      <c r="R591" s="3" t="s">
        <v>470</v>
      </c>
      <c r="S591">
        <v>1.35</v>
      </c>
      <c r="T591" t="s">
        <v>468</v>
      </c>
    </row>
    <row r="592" spans="1:20" x14ac:dyDescent="0.25">
      <c r="A592">
        <v>80</v>
      </c>
      <c r="B592">
        <v>501314</v>
      </c>
      <c r="C592" t="s">
        <v>109</v>
      </c>
      <c r="D592">
        <v>2020</v>
      </c>
      <c r="E592">
        <v>0.60000002384185791</v>
      </c>
      <c r="G592" t="s">
        <v>465</v>
      </c>
      <c r="H592">
        <v>3.981301069259644</v>
      </c>
      <c r="L592" t="s">
        <v>466</v>
      </c>
      <c r="O592">
        <v>1.35</v>
      </c>
      <c r="P592">
        <v>1.75</v>
      </c>
      <c r="Q592">
        <v>0.88</v>
      </c>
      <c r="R592" s="3" t="s">
        <v>470</v>
      </c>
      <c r="S592">
        <v>1.35</v>
      </c>
      <c r="T592" t="s">
        <v>468</v>
      </c>
    </row>
    <row r="593" spans="1:20" x14ac:dyDescent="0.25">
      <c r="A593">
        <v>80</v>
      </c>
      <c r="B593">
        <v>501314</v>
      </c>
      <c r="C593" t="s">
        <v>109</v>
      </c>
      <c r="D593">
        <v>2021</v>
      </c>
      <c r="E593">
        <v>0.60000002384185791</v>
      </c>
      <c r="F593">
        <v>0.03</v>
      </c>
      <c r="G593" t="s">
        <v>465</v>
      </c>
      <c r="H593">
        <v>12.90228843688965</v>
      </c>
      <c r="I593">
        <v>1.8576589822769169</v>
      </c>
      <c r="L593" t="s">
        <v>484</v>
      </c>
      <c r="M593">
        <v>430.07628122965502</v>
      </c>
      <c r="N593">
        <v>61.921966075897231</v>
      </c>
      <c r="O593">
        <v>1.35</v>
      </c>
      <c r="P593">
        <v>1.75</v>
      </c>
      <c r="Q593">
        <v>0.88</v>
      </c>
      <c r="R593" s="3" t="s">
        <v>470</v>
      </c>
      <c r="S593">
        <v>1.35</v>
      </c>
      <c r="T593" t="s">
        <v>468</v>
      </c>
    </row>
    <row r="594" spans="1:20" x14ac:dyDescent="0.25">
      <c r="A594">
        <v>80</v>
      </c>
      <c r="B594">
        <v>501314</v>
      </c>
      <c r="C594" t="s">
        <v>109</v>
      </c>
      <c r="D594">
        <v>2022</v>
      </c>
      <c r="E594">
        <v>0.60000002384185791</v>
      </c>
      <c r="F594">
        <v>0.01</v>
      </c>
      <c r="G594" t="s">
        <v>465</v>
      </c>
      <c r="H594">
        <v>8.1061496734619141</v>
      </c>
      <c r="I594">
        <v>2.339999914169312</v>
      </c>
      <c r="L594" t="s">
        <v>484</v>
      </c>
      <c r="M594">
        <v>810.61496734619141</v>
      </c>
      <c r="N594">
        <v>233.99999141693121</v>
      </c>
      <c r="O594">
        <v>1.35</v>
      </c>
      <c r="P594">
        <v>1.75</v>
      </c>
      <c r="Q594">
        <v>0.88</v>
      </c>
      <c r="R594" s="3" t="s">
        <v>470</v>
      </c>
      <c r="S594">
        <v>1.35</v>
      </c>
      <c r="T594" t="s">
        <v>468</v>
      </c>
    </row>
    <row r="595" spans="1:20" x14ac:dyDescent="0.25">
      <c r="A595">
        <v>80</v>
      </c>
      <c r="B595">
        <v>501314</v>
      </c>
      <c r="C595" t="s">
        <v>109</v>
      </c>
      <c r="D595">
        <v>2023</v>
      </c>
      <c r="E595">
        <v>0.60000002384185791</v>
      </c>
      <c r="F595">
        <v>0.09</v>
      </c>
      <c r="G595" t="s">
        <v>465</v>
      </c>
      <c r="H595">
        <v>2.690000057220459</v>
      </c>
      <c r="I595">
        <v>1.2899999618530269</v>
      </c>
      <c r="L595" t="s">
        <v>484</v>
      </c>
      <c r="M595">
        <v>29.888889524671772</v>
      </c>
      <c r="N595">
        <v>14.333332909478081</v>
      </c>
      <c r="O595">
        <v>1.35</v>
      </c>
      <c r="P595">
        <v>1.75</v>
      </c>
      <c r="Q595">
        <v>0.88</v>
      </c>
      <c r="R595" s="3" t="s">
        <v>470</v>
      </c>
      <c r="S595">
        <v>1.35</v>
      </c>
      <c r="T595" t="s">
        <v>468</v>
      </c>
    </row>
    <row r="596" spans="1:20" x14ac:dyDescent="0.25">
      <c r="A596">
        <v>80</v>
      </c>
      <c r="B596">
        <v>501314</v>
      </c>
      <c r="C596" t="s">
        <v>109</v>
      </c>
      <c r="D596">
        <v>2024</v>
      </c>
      <c r="E596">
        <v>0.60000002384185791</v>
      </c>
      <c r="F596">
        <v>-0.38</v>
      </c>
      <c r="G596" t="s">
        <v>465</v>
      </c>
      <c r="H596">
        <v>1.75</v>
      </c>
      <c r="L596" t="s">
        <v>471</v>
      </c>
      <c r="M596">
        <v>-4.6052631578947372</v>
      </c>
      <c r="O596">
        <v>1.35</v>
      </c>
      <c r="P596">
        <v>1.75</v>
      </c>
      <c r="Q596">
        <v>0.88</v>
      </c>
      <c r="R596" s="3" t="s">
        <v>470</v>
      </c>
      <c r="S596">
        <v>1.35</v>
      </c>
      <c r="T596" t="s">
        <v>468</v>
      </c>
    </row>
    <row r="597" spans="1:20" x14ac:dyDescent="0.25">
      <c r="A597">
        <v>80</v>
      </c>
      <c r="B597">
        <v>501314</v>
      </c>
      <c r="C597" t="s">
        <v>109</v>
      </c>
      <c r="D597">
        <v>2025</v>
      </c>
      <c r="E597">
        <v>0.60000002384185791</v>
      </c>
      <c r="F597">
        <v>0.01</v>
      </c>
      <c r="G597" t="s">
        <v>465</v>
      </c>
      <c r="H597">
        <v>1.129999995231628</v>
      </c>
      <c r="L597" t="s">
        <v>484</v>
      </c>
      <c r="M597">
        <v>112.9999995231628</v>
      </c>
      <c r="O597">
        <v>1.35</v>
      </c>
      <c r="P597">
        <v>1.75</v>
      </c>
      <c r="Q597">
        <v>0.88</v>
      </c>
      <c r="R597" s="3" t="s">
        <v>470</v>
      </c>
      <c r="S597">
        <v>1.35</v>
      </c>
      <c r="T597" t="s">
        <v>468</v>
      </c>
    </row>
    <row r="598" spans="1:20" x14ac:dyDescent="0.25">
      <c r="A598">
        <v>80</v>
      </c>
      <c r="B598">
        <v>501314</v>
      </c>
      <c r="C598" t="s">
        <v>109</v>
      </c>
      <c r="D598">
        <v>2026</v>
      </c>
      <c r="E598">
        <v>0.60000002384185791</v>
      </c>
      <c r="F598">
        <v>0.14000000000000001</v>
      </c>
      <c r="G598" t="s">
        <v>465</v>
      </c>
      <c r="L598" t="s">
        <v>466</v>
      </c>
      <c r="O598">
        <v>1.35</v>
      </c>
      <c r="P598">
        <v>1.75</v>
      </c>
      <c r="Q598">
        <v>0.88</v>
      </c>
      <c r="R598" s="3" t="s">
        <v>470</v>
      </c>
      <c r="S598">
        <v>1.35</v>
      </c>
      <c r="T598" t="s">
        <v>468</v>
      </c>
    </row>
    <row r="599" spans="1:20" x14ac:dyDescent="0.25">
      <c r="A599">
        <v>81</v>
      </c>
      <c r="B599">
        <v>501386</v>
      </c>
      <c r="C599" t="s">
        <v>111</v>
      </c>
      <c r="D599">
        <v>2015</v>
      </c>
      <c r="E599">
        <v>23.329999923706051</v>
      </c>
      <c r="F599">
        <v>0.7</v>
      </c>
      <c r="G599" t="s">
        <v>465</v>
      </c>
      <c r="H599">
        <v>6.6100001335144043</v>
      </c>
      <c r="I599">
        <v>6.6100001335144043</v>
      </c>
      <c r="L599" t="s">
        <v>466</v>
      </c>
      <c r="O599">
        <v>11.73</v>
      </c>
      <c r="P599">
        <v>11.73</v>
      </c>
      <c r="Q599">
        <v>10.210000000000001</v>
      </c>
      <c r="R599" s="3" t="s">
        <v>470</v>
      </c>
      <c r="S599">
        <v>11.73</v>
      </c>
      <c r="T599" t="s">
        <v>468</v>
      </c>
    </row>
    <row r="600" spans="1:20" x14ac:dyDescent="0.25">
      <c r="A600">
        <v>81</v>
      </c>
      <c r="B600">
        <v>501386</v>
      </c>
      <c r="C600" t="s">
        <v>111</v>
      </c>
      <c r="D600">
        <v>2016</v>
      </c>
      <c r="E600">
        <v>23.329999923706051</v>
      </c>
      <c r="F600">
        <v>1.42</v>
      </c>
      <c r="G600" t="s">
        <v>465</v>
      </c>
      <c r="H600">
        <v>6.6100001335144043</v>
      </c>
      <c r="I600">
        <v>6.6100001335144043</v>
      </c>
      <c r="L600" t="s">
        <v>466</v>
      </c>
      <c r="O600">
        <v>11.73</v>
      </c>
      <c r="P600">
        <v>11.73</v>
      </c>
      <c r="Q600">
        <v>10.210000000000001</v>
      </c>
      <c r="R600" s="3" t="s">
        <v>470</v>
      </c>
      <c r="S600">
        <v>11.73</v>
      </c>
      <c r="T600" t="s">
        <v>468</v>
      </c>
    </row>
    <row r="601" spans="1:20" x14ac:dyDescent="0.25">
      <c r="A601">
        <v>81</v>
      </c>
      <c r="B601">
        <v>501386</v>
      </c>
      <c r="C601" t="s">
        <v>111</v>
      </c>
      <c r="D601">
        <v>2017</v>
      </c>
      <c r="E601">
        <v>23.329999923706051</v>
      </c>
      <c r="G601" t="s">
        <v>465</v>
      </c>
      <c r="H601">
        <v>6.6100001335144043</v>
      </c>
      <c r="I601">
        <v>6.6100001335144043</v>
      </c>
      <c r="L601" t="s">
        <v>466</v>
      </c>
      <c r="O601">
        <v>11.73</v>
      </c>
      <c r="P601">
        <v>11.73</v>
      </c>
      <c r="Q601">
        <v>10.210000000000001</v>
      </c>
      <c r="R601" s="3" t="s">
        <v>470</v>
      </c>
      <c r="S601">
        <v>11.73</v>
      </c>
      <c r="T601" t="s">
        <v>468</v>
      </c>
    </row>
    <row r="602" spans="1:20" x14ac:dyDescent="0.25">
      <c r="A602">
        <v>81</v>
      </c>
      <c r="B602">
        <v>501386</v>
      </c>
      <c r="C602" t="s">
        <v>111</v>
      </c>
      <c r="D602">
        <v>2018</v>
      </c>
      <c r="E602">
        <v>23.329999923706051</v>
      </c>
      <c r="G602" t="s">
        <v>465</v>
      </c>
      <c r="H602">
        <v>6.6100001335144043</v>
      </c>
      <c r="I602">
        <v>6.6100001335144043</v>
      </c>
      <c r="L602" t="s">
        <v>466</v>
      </c>
      <c r="O602">
        <v>11.73</v>
      </c>
      <c r="P602">
        <v>11.73</v>
      </c>
      <c r="Q602">
        <v>10.210000000000001</v>
      </c>
      <c r="R602" s="3" t="s">
        <v>470</v>
      </c>
      <c r="S602">
        <v>11.73</v>
      </c>
      <c r="T602" t="s">
        <v>468</v>
      </c>
    </row>
    <row r="603" spans="1:20" x14ac:dyDescent="0.25">
      <c r="A603">
        <v>81</v>
      </c>
      <c r="B603">
        <v>501386</v>
      </c>
      <c r="C603" t="s">
        <v>111</v>
      </c>
      <c r="D603">
        <v>2019</v>
      </c>
      <c r="E603">
        <v>23.329999923706051</v>
      </c>
      <c r="G603" t="s">
        <v>465</v>
      </c>
      <c r="H603">
        <v>6.6100001335144043</v>
      </c>
      <c r="I603">
        <v>6.6100001335144043</v>
      </c>
      <c r="L603" t="s">
        <v>466</v>
      </c>
      <c r="O603">
        <v>11.73</v>
      </c>
      <c r="P603">
        <v>11.73</v>
      </c>
      <c r="Q603">
        <v>10.210000000000001</v>
      </c>
      <c r="R603" s="3" t="s">
        <v>470</v>
      </c>
      <c r="S603">
        <v>11.73</v>
      </c>
      <c r="T603" t="s">
        <v>468</v>
      </c>
    </row>
    <row r="604" spans="1:20" x14ac:dyDescent="0.25">
      <c r="A604">
        <v>81</v>
      </c>
      <c r="B604">
        <v>501386</v>
      </c>
      <c r="C604" t="s">
        <v>111</v>
      </c>
      <c r="D604">
        <v>2020</v>
      </c>
      <c r="E604">
        <v>23.329999923706051</v>
      </c>
      <c r="F604">
        <v>0.83</v>
      </c>
      <c r="G604" t="s">
        <v>465</v>
      </c>
      <c r="H604">
        <v>6.6100001335144043</v>
      </c>
      <c r="I604">
        <v>6.6100001335144043</v>
      </c>
      <c r="L604" t="s">
        <v>466</v>
      </c>
      <c r="O604">
        <v>11.73</v>
      </c>
      <c r="P604">
        <v>11.73</v>
      </c>
      <c r="Q604">
        <v>10.210000000000001</v>
      </c>
      <c r="R604" s="3" t="s">
        <v>470</v>
      </c>
      <c r="S604">
        <v>11.73</v>
      </c>
      <c r="T604" t="s">
        <v>468</v>
      </c>
    </row>
    <row r="605" spans="1:20" x14ac:dyDescent="0.25">
      <c r="A605">
        <v>81</v>
      </c>
      <c r="B605">
        <v>501386</v>
      </c>
      <c r="C605" t="s">
        <v>111</v>
      </c>
      <c r="D605">
        <v>2021</v>
      </c>
      <c r="E605">
        <v>23.329999923706051</v>
      </c>
      <c r="F605">
        <v>1.44</v>
      </c>
      <c r="G605" t="s">
        <v>465</v>
      </c>
      <c r="H605">
        <v>6.6100001335144043</v>
      </c>
      <c r="I605">
        <v>6.6100001335144043</v>
      </c>
      <c r="L605" t="s">
        <v>466</v>
      </c>
      <c r="O605">
        <v>11.73</v>
      </c>
      <c r="P605">
        <v>11.73</v>
      </c>
      <c r="Q605">
        <v>10.210000000000001</v>
      </c>
      <c r="R605" s="3" t="s">
        <v>470</v>
      </c>
      <c r="S605">
        <v>11.73</v>
      </c>
      <c r="T605" t="s">
        <v>468</v>
      </c>
    </row>
    <row r="606" spans="1:20" x14ac:dyDescent="0.25">
      <c r="A606">
        <v>81</v>
      </c>
      <c r="B606">
        <v>501386</v>
      </c>
      <c r="C606" t="s">
        <v>111</v>
      </c>
      <c r="D606">
        <v>2022</v>
      </c>
      <c r="E606">
        <v>23.329999923706051</v>
      </c>
      <c r="F606">
        <v>2.95</v>
      </c>
      <c r="G606" t="s">
        <v>465</v>
      </c>
      <c r="H606">
        <v>6.6100001335144043</v>
      </c>
      <c r="I606">
        <v>4.8400001525878906</v>
      </c>
      <c r="L606" t="s">
        <v>466</v>
      </c>
      <c r="O606">
        <v>11.73</v>
      </c>
      <c r="P606">
        <v>11.73</v>
      </c>
      <c r="Q606">
        <v>10.210000000000001</v>
      </c>
      <c r="R606" s="3" t="s">
        <v>470</v>
      </c>
      <c r="S606">
        <v>11.73</v>
      </c>
      <c r="T606" t="s">
        <v>468</v>
      </c>
    </row>
    <row r="607" spans="1:20" x14ac:dyDescent="0.25">
      <c r="A607">
        <v>81</v>
      </c>
      <c r="B607">
        <v>501386</v>
      </c>
      <c r="C607" t="s">
        <v>111</v>
      </c>
      <c r="D607">
        <v>2023</v>
      </c>
      <c r="E607">
        <v>23.329999923706051</v>
      </c>
      <c r="F607">
        <v>3.85</v>
      </c>
      <c r="G607" t="s">
        <v>465</v>
      </c>
      <c r="H607">
        <v>10.439999580383301</v>
      </c>
      <c r="I607">
        <v>3.2300000190734859</v>
      </c>
      <c r="L607" t="s">
        <v>466</v>
      </c>
      <c r="O607">
        <v>11.73</v>
      </c>
      <c r="P607">
        <v>11.73</v>
      </c>
      <c r="Q607">
        <v>10.210000000000001</v>
      </c>
      <c r="R607" s="3" t="s">
        <v>470</v>
      </c>
      <c r="S607">
        <v>11.73</v>
      </c>
      <c r="T607" t="s">
        <v>468</v>
      </c>
    </row>
    <row r="608" spans="1:20" x14ac:dyDescent="0.25">
      <c r="A608">
        <v>81</v>
      </c>
      <c r="B608">
        <v>501386</v>
      </c>
      <c r="C608" t="s">
        <v>111</v>
      </c>
      <c r="D608">
        <v>2024</v>
      </c>
      <c r="E608">
        <v>23.329999923706051</v>
      </c>
      <c r="F608">
        <v>1.8</v>
      </c>
      <c r="G608" t="s">
        <v>465</v>
      </c>
      <c r="H608">
        <v>11.72999954223633</v>
      </c>
      <c r="I608">
        <v>10.439999580383301</v>
      </c>
      <c r="L608" t="s">
        <v>466</v>
      </c>
      <c r="O608">
        <v>11.73</v>
      </c>
      <c r="P608">
        <v>11.73</v>
      </c>
      <c r="Q608">
        <v>10.210000000000001</v>
      </c>
      <c r="R608" s="3" t="s">
        <v>470</v>
      </c>
      <c r="S608">
        <v>11.73</v>
      </c>
      <c r="T608" t="s">
        <v>468</v>
      </c>
    </row>
    <row r="609" spans="1:20" x14ac:dyDescent="0.25">
      <c r="A609">
        <v>81</v>
      </c>
      <c r="B609">
        <v>501386</v>
      </c>
      <c r="C609" t="s">
        <v>111</v>
      </c>
      <c r="D609">
        <v>2025</v>
      </c>
      <c r="E609">
        <v>23.329999923706051</v>
      </c>
      <c r="F609">
        <v>2.2000000000000002</v>
      </c>
      <c r="G609" t="s">
        <v>465</v>
      </c>
      <c r="H609">
        <v>14.35000038146973</v>
      </c>
      <c r="I609">
        <v>10.210000038146971</v>
      </c>
      <c r="L609" t="s">
        <v>466</v>
      </c>
      <c r="O609">
        <v>11.73</v>
      </c>
      <c r="P609">
        <v>11.73</v>
      </c>
      <c r="Q609">
        <v>10.210000000000001</v>
      </c>
      <c r="R609" s="3" t="s">
        <v>470</v>
      </c>
      <c r="S609">
        <v>11.73</v>
      </c>
      <c r="T609" t="s">
        <v>468</v>
      </c>
    </row>
    <row r="610" spans="1:20" x14ac:dyDescent="0.25">
      <c r="A610">
        <v>81</v>
      </c>
      <c r="B610">
        <v>501386</v>
      </c>
      <c r="C610" t="s">
        <v>111</v>
      </c>
      <c r="D610">
        <v>2026</v>
      </c>
      <c r="E610">
        <v>23.329999923706051</v>
      </c>
      <c r="F610">
        <v>1.99</v>
      </c>
      <c r="G610" t="s">
        <v>465</v>
      </c>
      <c r="H610">
        <v>23.329999923706051</v>
      </c>
      <c r="I610">
        <v>14.35000038146973</v>
      </c>
      <c r="L610" t="s">
        <v>466</v>
      </c>
      <c r="O610">
        <v>11.73</v>
      </c>
      <c r="P610">
        <v>11.73</v>
      </c>
      <c r="Q610">
        <v>10.210000000000001</v>
      </c>
      <c r="R610" s="3" t="s">
        <v>470</v>
      </c>
      <c r="S610">
        <v>11.73</v>
      </c>
      <c r="T610" t="s">
        <v>468</v>
      </c>
    </row>
    <row r="611" spans="1:20" x14ac:dyDescent="0.25">
      <c r="A611">
        <v>83</v>
      </c>
      <c r="B611">
        <v>501455</v>
      </c>
      <c r="C611" t="s">
        <v>113</v>
      </c>
      <c r="D611">
        <v>2015</v>
      </c>
      <c r="F611">
        <v>3.42</v>
      </c>
      <c r="G611" t="s">
        <v>465</v>
      </c>
      <c r="H611">
        <v>162.3999938964844</v>
      </c>
      <c r="I611">
        <v>115.3000030517578</v>
      </c>
      <c r="L611" t="s">
        <v>469</v>
      </c>
      <c r="M611">
        <v>47.48537833230538</v>
      </c>
      <c r="N611">
        <v>33.713451184724512</v>
      </c>
      <c r="O611">
        <v>236</v>
      </c>
      <c r="P611">
        <v>305.5</v>
      </c>
      <c r="Q611">
        <v>155.19999999999999</v>
      </c>
      <c r="R611" s="3" t="s">
        <v>470</v>
      </c>
      <c r="S611">
        <v>236</v>
      </c>
      <c r="T611" t="s">
        <v>468</v>
      </c>
    </row>
    <row r="612" spans="1:20" x14ac:dyDescent="0.25">
      <c r="A612">
        <v>83</v>
      </c>
      <c r="B612">
        <v>501455</v>
      </c>
      <c r="C612" t="s">
        <v>113</v>
      </c>
      <c r="D612">
        <v>2016</v>
      </c>
      <c r="F612">
        <v>8.23</v>
      </c>
      <c r="G612" t="s">
        <v>465</v>
      </c>
      <c r="H612">
        <v>150.3500061035156</v>
      </c>
      <c r="I612">
        <v>114.1999969482422</v>
      </c>
      <c r="L612" t="s">
        <v>469</v>
      </c>
      <c r="M612">
        <v>18.26853051075523</v>
      </c>
      <c r="N612">
        <v>13.87606281266612</v>
      </c>
      <c r="O612">
        <v>236</v>
      </c>
      <c r="P612">
        <v>305.5</v>
      </c>
      <c r="Q612">
        <v>155.19999999999999</v>
      </c>
      <c r="R612" s="3" t="s">
        <v>470</v>
      </c>
      <c r="S612">
        <v>236</v>
      </c>
      <c r="T612" t="s">
        <v>468</v>
      </c>
    </row>
    <row r="613" spans="1:20" x14ac:dyDescent="0.25">
      <c r="A613">
        <v>83</v>
      </c>
      <c r="B613">
        <v>501455</v>
      </c>
      <c r="C613" t="s">
        <v>113</v>
      </c>
      <c r="D613">
        <v>2017</v>
      </c>
      <c r="F613">
        <v>7.4</v>
      </c>
      <c r="G613" t="s">
        <v>465</v>
      </c>
      <c r="H613">
        <v>178</v>
      </c>
      <c r="I613">
        <v>112.6999969482422</v>
      </c>
      <c r="L613" t="s">
        <v>469</v>
      </c>
      <c r="M613">
        <v>24.054054054054049</v>
      </c>
      <c r="N613">
        <v>15.22972931733003</v>
      </c>
      <c r="O613">
        <v>236</v>
      </c>
      <c r="P613">
        <v>305.5</v>
      </c>
      <c r="Q613">
        <v>155.19999999999999</v>
      </c>
      <c r="R613" s="3" t="s">
        <v>470</v>
      </c>
      <c r="S613">
        <v>236</v>
      </c>
      <c r="T613" t="s">
        <v>468</v>
      </c>
    </row>
    <row r="614" spans="1:20" x14ac:dyDescent="0.25">
      <c r="A614">
        <v>83</v>
      </c>
      <c r="B614">
        <v>501455</v>
      </c>
      <c r="C614" t="s">
        <v>113</v>
      </c>
      <c r="D614">
        <v>2018</v>
      </c>
      <c r="F614">
        <v>8.2799999999999994</v>
      </c>
      <c r="G614" t="s">
        <v>465</v>
      </c>
      <c r="H614">
        <v>165</v>
      </c>
      <c r="I614">
        <v>111.09999847412109</v>
      </c>
      <c r="L614" t="s">
        <v>469</v>
      </c>
      <c r="M614">
        <v>19.927536231884059</v>
      </c>
      <c r="N614">
        <v>13.41787421185037</v>
      </c>
      <c r="O614">
        <v>236</v>
      </c>
      <c r="P614">
        <v>305.5</v>
      </c>
      <c r="Q614">
        <v>155.19999999999999</v>
      </c>
      <c r="R614" s="3" t="s">
        <v>470</v>
      </c>
      <c r="S614">
        <v>236</v>
      </c>
      <c r="T614" t="s">
        <v>468</v>
      </c>
    </row>
    <row r="615" spans="1:20" x14ac:dyDescent="0.25">
      <c r="A615">
        <v>83</v>
      </c>
      <c r="B615">
        <v>501455</v>
      </c>
      <c r="C615" t="s">
        <v>113</v>
      </c>
      <c r="D615">
        <v>2019</v>
      </c>
      <c r="F615">
        <v>6.74</v>
      </c>
      <c r="G615" t="s">
        <v>465</v>
      </c>
      <c r="H615">
        <v>157.25</v>
      </c>
      <c r="I615">
        <v>112.59999847412109</v>
      </c>
      <c r="L615" t="s">
        <v>469</v>
      </c>
      <c r="M615">
        <v>23.330860534124628</v>
      </c>
      <c r="N615">
        <v>16.70623122761441</v>
      </c>
      <c r="O615">
        <v>236</v>
      </c>
      <c r="P615">
        <v>305.5</v>
      </c>
      <c r="Q615">
        <v>155.19999999999999</v>
      </c>
      <c r="R615" s="3" t="s">
        <v>470</v>
      </c>
      <c r="S615">
        <v>236</v>
      </c>
      <c r="T615" t="s">
        <v>468</v>
      </c>
    </row>
    <row r="616" spans="1:20" x14ac:dyDescent="0.25">
      <c r="A616">
        <v>83</v>
      </c>
      <c r="B616">
        <v>501455</v>
      </c>
      <c r="C616" t="s">
        <v>113</v>
      </c>
      <c r="D616">
        <v>2020</v>
      </c>
      <c r="F616">
        <v>5.59</v>
      </c>
      <c r="G616" t="s">
        <v>465</v>
      </c>
      <c r="H616">
        <v>147.1000061035156</v>
      </c>
      <c r="I616">
        <v>66</v>
      </c>
      <c r="L616" t="s">
        <v>469</v>
      </c>
      <c r="M616">
        <v>26.31484903461817</v>
      </c>
      <c r="N616">
        <v>11.80679785330948</v>
      </c>
      <c r="O616">
        <v>236</v>
      </c>
      <c r="P616">
        <v>305.5</v>
      </c>
      <c r="Q616">
        <v>155.19999999999999</v>
      </c>
      <c r="R616" s="3" t="s">
        <v>470</v>
      </c>
      <c r="S616">
        <v>236</v>
      </c>
      <c r="T616" t="s">
        <v>468</v>
      </c>
    </row>
    <row r="617" spans="1:20" x14ac:dyDescent="0.25">
      <c r="A617">
        <v>83</v>
      </c>
      <c r="B617">
        <v>501455</v>
      </c>
      <c r="C617" t="s">
        <v>113</v>
      </c>
      <c r="D617">
        <v>2021</v>
      </c>
      <c r="F617">
        <v>-0.81</v>
      </c>
      <c r="G617" t="s">
        <v>465</v>
      </c>
      <c r="H617">
        <v>184.25</v>
      </c>
      <c r="I617">
        <v>84.550003051757813</v>
      </c>
      <c r="L617" t="s">
        <v>471</v>
      </c>
      <c r="M617">
        <v>-227.46913580246911</v>
      </c>
      <c r="N617">
        <v>-104.3827198169849</v>
      </c>
      <c r="O617">
        <v>236</v>
      </c>
      <c r="P617">
        <v>305.5</v>
      </c>
      <c r="Q617">
        <v>155.19999999999999</v>
      </c>
      <c r="R617" s="3" t="s">
        <v>470</v>
      </c>
      <c r="S617">
        <v>236</v>
      </c>
      <c r="T617" t="s">
        <v>468</v>
      </c>
    </row>
    <row r="618" spans="1:20" x14ac:dyDescent="0.25">
      <c r="A618">
        <v>83</v>
      </c>
      <c r="B618">
        <v>501455</v>
      </c>
      <c r="C618" t="s">
        <v>113</v>
      </c>
      <c r="D618">
        <v>2022</v>
      </c>
      <c r="F618">
        <v>-1.52</v>
      </c>
      <c r="G618" t="s">
        <v>465</v>
      </c>
      <c r="H618">
        <v>258.85000610351563</v>
      </c>
      <c r="I618">
        <v>126</v>
      </c>
      <c r="L618" t="s">
        <v>471</v>
      </c>
      <c r="M618">
        <v>-170.29605664704971</v>
      </c>
      <c r="N618">
        <v>-82.89473684210526</v>
      </c>
      <c r="O618">
        <v>236</v>
      </c>
      <c r="P618">
        <v>305.5</v>
      </c>
      <c r="Q618">
        <v>155.19999999999999</v>
      </c>
      <c r="R618" s="3" t="s">
        <v>470</v>
      </c>
      <c r="S618">
        <v>236</v>
      </c>
      <c r="T618" t="s">
        <v>468</v>
      </c>
    </row>
    <row r="619" spans="1:20" x14ac:dyDescent="0.25">
      <c r="A619">
        <v>83</v>
      </c>
      <c r="B619">
        <v>501455</v>
      </c>
      <c r="C619" t="s">
        <v>113</v>
      </c>
      <c r="D619">
        <v>2023</v>
      </c>
      <c r="F619">
        <v>3.37</v>
      </c>
      <c r="G619" t="s">
        <v>465</v>
      </c>
      <c r="H619">
        <v>164.80000305175781</v>
      </c>
      <c r="I619">
        <v>118.6999969482422</v>
      </c>
      <c r="L619" t="s">
        <v>469</v>
      </c>
      <c r="M619">
        <v>48.902078056901424</v>
      </c>
      <c r="N619">
        <v>35.222551023217271</v>
      </c>
      <c r="O619">
        <v>236</v>
      </c>
      <c r="P619">
        <v>305.5</v>
      </c>
      <c r="Q619">
        <v>155.19999999999999</v>
      </c>
      <c r="R619" s="3" t="s">
        <v>470</v>
      </c>
      <c r="S619">
        <v>236</v>
      </c>
      <c r="T619" t="s">
        <v>468</v>
      </c>
    </row>
    <row r="620" spans="1:20" x14ac:dyDescent="0.25">
      <c r="A620">
        <v>83</v>
      </c>
      <c r="B620">
        <v>501455</v>
      </c>
      <c r="C620" t="s">
        <v>113</v>
      </c>
      <c r="D620">
        <v>2024</v>
      </c>
      <c r="F620">
        <v>-5.83</v>
      </c>
      <c r="G620" t="s">
        <v>465</v>
      </c>
      <c r="H620">
        <v>319.5</v>
      </c>
      <c r="I620">
        <v>112.5</v>
      </c>
      <c r="L620" t="s">
        <v>471</v>
      </c>
      <c r="M620">
        <v>-54.802744425385931</v>
      </c>
      <c r="N620">
        <v>-19.296740994854201</v>
      </c>
      <c r="O620">
        <v>236</v>
      </c>
      <c r="P620">
        <v>305.5</v>
      </c>
      <c r="Q620">
        <v>155.19999999999999</v>
      </c>
      <c r="R620" s="3" t="s">
        <v>470</v>
      </c>
      <c r="S620">
        <v>236</v>
      </c>
      <c r="T620" t="s">
        <v>468</v>
      </c>
    </row>
    <row r="621" spans="1:20" x14ac:dyDescent="0.25">
      <c r="A621">
        <v>83</v>
      </c>
      <c r="B621">
        <v>501455</v>
      </c>
      <c r="C621" t="s">
        <v>113</v>
      </c>
      <c r="D621">
        <v>2025</v>
      </c>
      <c r="F621">
        <v>2.5099999999999998</v>
      </c>
      <c r="G621" t="s">
        <v>465</v>
      </c>
      <c r="H621">
        <v>305.5</v>
      </c>
      <c r="I621">
        <v>160.1000061035156</v>
      </c>
      <c r="L621" t="s">
        <v>469</v>
      </c>
      <c r="M621">
        <v>121.7131474103586</v>
      </c>
      <c r="N621">
        <v>63.784862989448449</v>
      </c>
      <c r="O621">
        <v>236</v>
      </c>
      <c r="P621">
        <v>305.5</v>
      </c>
      <c r="Q621">
        <v>155.19999999999999</v>
      </c>
      <c r="R621" s="3" t="s">
        <v>470</v>
      </c>
      <c r="S621">
        <v>236</v>
      </c>
      <c r="T621" t="s">
        <v>468</v>
      </c>
    </row>
    <row r="622" spans="1:20" x14ac:dyDescent="0.25">
      <c r="A622">
        <v>83</v>
      </c>
      <c r="B622">
        <v>501455</v>
      </c>
      <c r="C622" t="s">
        <v>113</v>
      </c>
      <c r="D622">
        <v>2026</v>
      </c>
      <c r="F622">
        <v>4.5999999999999996</v>
      </c>
      <c r="G622" t="s">
        <v>465</v>
      </c>
      <c r="H622">
        <v>272</v>
      </c>
      <c r="I622">
        <v>120.0500030517578</v>
      </c>
      <c r="L622" t="s">
        <v>469</v>
      </c>
      <c r="M622">
        <v>59.130434782608702</v>
      </c>
      <c r="N622">
        <v>26.097826750382129</v>
      </c>
      <c r="O622">
        <v>236</v>
      </c>
      <c r="P622">
        <v>305.5</v>
      </c>
      <c r="Q622">
        <v>155.19999999999999</v>
      </c>
      <c r="R622" s="3" t="s">
        <v>470</v>
      </c>
      <c r="S622">
        <v>236</v>
      </c>
      <c r="T622" t="s">
        <v>468</v>
      </c>
    </row>
    <row r="623" spans="1:20" x14ac:dyDescent="0.25">
      <c r="A623">
        <v>84</v>
      </c>
      <c r="B623">
        <v>502090</v>
      </c>
      <c r="C623" t="s">
        <v>115</v>
      </c>
      <c r="D623">
        <v>2015</v>
      </c>
      <c r="E623">
        <v>179.80000305175781</v>
      </c>
      <c r="G623" t="s">
        <v>465</v>
      </c>
      <c r="H623">
        <v>99.599998474121094</v>
      </c>
      <c r="I623">
        <v>55</v>
      </c>
      <c r="L623" t="s">
        <v>466</v>
      </c>
      <c r="O623">
        <v>619.54999999999995</v>
      </c>
      <c r="P623">
        <v>848.8</v>
      </c>
      <c r="Q623">
        <v>433.35</v>
      </c>
      <c r="R623" s="3" t="s">
        <v>470</v>
      </c>
      <c r="S623">
        <v>619.54999999999995</v>
      </c>
      <c r="T623" t="s">
        <v>468</v>
      </c>
    </row>
    <row r="624" spans="1:20" x14ac:dyDescent="0.25">
      <c r="A624">
        <v>84</v>
      </c>
      <c r="B624">
        <v>502090</v>
      </c>
      <c r="C624" t="s">
        <v>115</v>
      </c>
      <c r="D624">
        <v>2016</v>
      </c>
      <c r="E624">
        <v>179.80000305175781</v>
      </c>
      <c r="F624">
        <v>5.09</v>
      </c>
      <c r="G624" t="s">
        <v>465</v>
      </c>
      <c r="H624">
        <v>167</v>
      </c>
      <c r="I624">
        <v>70</v>
      </c>
      <c r="L624" t="s">
        <v>469</v>
      </c>
      <c r="M624">
        <v>32.809430255402752</v>
      </c>
      <c r="N624">
        <v>13.7524557956778</v>
      </c>
      <c r="O624">
        <v>619.54999999999995</v>
      </c>
      <c r="P624">
        <v>848.8</v>
      </c>
      <c r="Q624">
        <v>433.35</v>
      </c>
      <c r="R624" s="3" t="s">
        <v>470</v>
      </c>
      <c r="S624">
        <v>619.54999999999995</v>
      </c>
      <c r="T624" t="s">
        <v>468</v>
      </c>
    </row>
    <row r="625" spans="1:20" x14ac:dyDescent="0.25">
      <c r="A625">
        <v>84</v>
      </c>
      <c r="B625">
        <v>502090</v>
      </c>
      <c r="C625" t="s">
        <v>115</v>
      </c>
      <c r="D625">
        <v>2017</v>
      </c>
      <c r="E625">
        <v>179.80000305175781</v>
      </c>
      <c r="F625">
        <v>-0.38</v>
      </c>
      <c r="G625" t="s">
        <v>465</v>
      </c>
      <c r="H625">
        <v>188</v>
      </c>
      <c r="I625">
        <v>125.59999847412109</v>
      </c>
      <c r="L625" t="s">
        <v>471</v>
      </c>
      <c r="M625">
        <v>-494.73684210526318</v>
      </c>
      <c r="N625">
        <v>-330.52631177400292</v>
      </c>
      <c r="O625">
        <v>619.54999999999995</v>
      </c>
      <c r="P625">
        <v>848.8</v>
      </c>
      <c r="Q625">
        <v>433.35</v>
      </c>
      <c r="R625" s="3" t="s">
        <v>470</v>
      </c>
      <c r="S625">
        <v>619.54999999999995</v>
      </c>
      <c r="T625" t="s">
        <v>468</v>
      </c>
    </row>
    <row r="626" spans="1:20" x14ac:dyDescent="0.25">
      <c r="A626">
        <v>84</v>
      </c>
      <c r="B626">
        <v>502090</v>
      </c>
      <c r="C626" t="s">
        <v>115</v>
      </c>
      <c r="D626">
        <v>2018</v>
      </c>
      <c r="E626">
        <v>179.80000305175781</v>
      </c>
      <c r="F626">
        <v>2.57</v>
      </c>
      <c r="G626" t="s">
        <v>465</v>
      </c>
      <c r="H626">
        <v>232.2799987792969</v>
      </c>
      <c r="I626">
        <v>115</v>
      </c>
      <c r="L626" t="s">
        <v>469</v>
      </c>
      <c r="M626">
        <v>90.381322482216703</v>
      </c>
      <c r="N626">
        <v>44.747081712062261</v>
      </c>
      <c r="O626">
        <v>619.54999999999995</v>
      </c>
      <c r="P626">
        <v>848.8</v>
      </c>
      <c r="Q626">
        <v>433.35</v>
      </c>
      <c r="R626" s="3" t="s">
        <v>470</v>
      </c>
      <c r="S626">
        <v>619.54999999999995</v>
      </c>
      <c r="T626" t="s">
        <v>468</v>
      </c>
    </row>
    <row r="627" spans="1:20" x14ac:dyDescent="0.25">
      <c r="A627">
        <v>84</v>
      </c>
      <c r="B627">
        <v>502090</v>
      </c>
      <c r="C627" t="s">
        <v>115</v>
      </c>
      <c r="D627">
        <v>2019</v>
      </c>
      <c r="E627">
        <v>179.80000305175781</v>
      </c>
      <c r="F627">
        <v>1.33</v>
      </c>
      <c r="G627" t="s">
        <v>465</v>
      </c>
      <c r="H627">
        <v>149.8800048828125</v>
      </c>
      <c r="I627">
        <v>97.529998779296875</v>
      </c>
      <c r="L627" t="s">
        <v>469</v>
      </c>
      <c r="M627">
        <v>112.6917329945959</v>
      </c>
      <c r="N627">
        <v>73.330826149847269</v>
      </c>
      <c r="O627">
        <v>619.54999999999995</v>
      </c>
      <c r="P627">
        <v>848.8</v>
      </c>
      <c r="Q627">
        <v>433.35</v>
      </c>
      <c r="R627" s="3" t="s">
        <v>470</v>
      </c>
      <c r="S627">
        <v>619.54999999999995</v>
      </c>
      <c r="T627" t="s">
        <v>468</v>
      </c>
    </row>
    <row r="628" spans="1:20" x14ac:dyDescent="0.25">
      <c r="A628">
        <v>84</v>
      </c>
      <c r="B628">
        <v>502090</v>
      </c>
      <c r="C628" t="s">
        <v>115</v>
      </c>
      <c r="D628">
        <v>2020</v>
      </c>
      <c r="E628">
        <v>179.80000305175781</v>
      </c>
      <c r="F628">
        <v>2.4</v>
      </c>
      <c r="G628" t="s">
        <v>465</v>
      </c>
      <c r="H628">
        <v>165.78999328613281</v>
      </c>
      <c r="I628">
        <v>49.200000762939453</v>
      </c>
      <c r="L628" t="s">
        <v>469</v>
      </c>
      <c r="M628">
        <v>69.079163869222015</v>
      </c>
      <c r="N628">
        <v>20.500000317891441</v>
      </c>
      <c r="O628">
        <v>619.54999999999995</v>
      </c>
      <c r="P628">
        <v>848.8</v>
      </c>
      <c r="Q628">
        <v>433.35</v>
      </c>
      <c r="R628" s="3" t="s">
        <v>470</v>
      </c>
      <c r="S628">
        <v>619.54999999999995</v>
      </c>
      <c r="T628" t="s">
        <v>468</v>
      </c>
    </row>
    <row r="629" spans="1:20" x14ac:dyDescent="0.25">
      <c r="A629">
        <v>84</v>
      </c>
      <c r="B629">
        <v>502090</v>
      </c>
      <c r="C629" t="s">
        <v>115</v>
      </c>
      <c r="D629">
        <v>2021</v>
      </c>
      <c r="E629">
        <v>179.80000305175781</v>
      </c>
      <c r="F629">
        <v>15.88</v>
      </c>
      <c r="G629" t="s">
        <v>465</v>
      </c>
      <c r="H629">
        <v>319</v>
      </c>
      <c r="I629">
        <v>128.02000427246091</v>
      </c>
      <c r="L629" t="s">
        <v>469</v>
      </c>
      <c r="M629">
        <v>20.088161209068009</v>
      </c>
      <c r="N629">
        <v>8.0617131153942641</v>
      </c>
      <c r="O629">
        <v>619.54999999999995</v>
      </c>
      <c r="P629">
        <v>848.8</v>
      </c>
      <c r="Q629">
        <v>433.35</v>
      </c>
      <c r="R629" s="3" t="s">
        <v>470</v>
      </c>
      <c r="S629">
        <v>619.54999999999995</v>
      </c>
      <c r="T629" t="s">
        <v>468</v>
      </c>
    </row>
    <row r="630" spans="1:20" x14ac:dyDescent="0.25">
      <c r="A630">
        <v>84</v>
      </c>
      <c r="B630">
        <v>502090</v>
      </c>
      <c r="C630" t="s">
        <v>115</v>
      </c>
      <c r="D630">
        <v>2022</v>
      </c>
      <c r="E630">
        <v>179.80000305175781</v>
      </c>
      <c r="F630">
        <v>5.89</v>
      </c>
      <c r="G630" t="s">
        <v>465</v>
      </c>
      <c r="H630">
        <v>292</v>
      </c>
      <c r="I630">
        <v>155.1499938964844</v>
      </c>
      <c r="L630" t="s">
        <v>469</v>
      </c>
      <c r="M630">
        <v>49.575551782682517</v>
      </c>
      <c r="N630">
        <v>26.34125533047273</v>
      </c>
      <c r="O630">
        <v>619.54999999999995</v>
      </c>
      <c r="P630">
        <v>848.8</v>
      </c>
      <c r="Q630">
        <v>433.35</v>
      </c>
      <c r="R630" s="3" t="s">
        <v>470</v>
      </c>
      <c r="S630">
        <v>619.54999999999995</v>
      </c>
      <c r="T630" t="s">
        <v>468</v>
      </c>
    </row>
    <row r="631" spans="1:20" x14ac:dyDescent="0.25">
      <c r="A631">
        <v>84</v>
      </c>
      <c r="B631">
        <v>502090</v>
      </c>
      <c r="C631" t="s">
        <v>115</v>
      </c>
      <c r="D631">
        <v>2023</v>
      </c>
      <c r="E631">
        <v>179.80000305175781</v>
      </c>
      <c r="F631">
        <v>2.2200000000000002</v>
      </c>
      <c r="G631" t="s">
        <v>465</v>
      </c>
      <c r="H631">
        <v>289.04998779296881</v>
      </c>
      <c r="I631">
        <v>179.69999694824219</v>
      </c>
      <c r="L631" t="s">
        <v>469</v>
      </c>
      <c r="M631">
        <v>130.20269720403999</v>
      </c>
      <c r="N631">
        <v>80.945944571280251</v>
      </c>
      <c r="O631">
        <v>619.54999999999995</v>
      </c>
      <c r="P631">
        <v>848.8</v>
      </c>
      <c r="Q631">
        <v>433.35</v>
      </c>
      <c r="R631" s="3" t="s">
        <v>470</v>
      </c>
      <c r="S631">
        <v>619.54999999999995</v>
      </c>
      <c r="T631" t="s">
        <v>468</v>
      </c>
    </row>
    <row r="632" spans="1:20" x14ac:dyDescent="0.25">
      <c r="A632">
        <v>84</v>
      </c>
      <c r="B632">
        <v>502090</v>
      </c>
      <c r="C632" t="s">
        <v>115</v>
      </c>
      <c r="D632">
        <v>2024</v>
      </c>
      <c r="E632">
        <v>179.80000305175781</v>
      </c>
      <c r="F632">
        <v>-3.32</v>
      </c>
      <c r="G632" t="s">
        <v>465</v>
      </c>
      <c r="H632">
        <v>304.64999389648438</v>
      </c>
      <c r="I632">
        <v>194.75</v>
      </c>
      <c r="L632" t="s">
        <v>471</v>
      </c>
      <c r="M632">
        <v>-91.762046354362766</v>
      </c>
      <c r="N632">
        <v>-58.659638554216869</v>
      </c>
      <c r="O632">
        <v>619.54999999999995</v>
      </c>
      <c r="P632">
        <v>848.8</v>
      </c>
      <c r="Q632">
        <v>433.35</v>
      </c>
      <c r="R632" s="3" t="s">
        <v>470</v>
      </c>
      <c r="S632">
        <v>619.54999999999995</v>
      </c>
      <c r="T632" t="s">
        <v>468</v>
      </c>
    </row>
    <row r="633" spans="1:20" x14ac:dyDescent="0.25">
      <c r="A633">
        <v>84</v>
      </c>
      <c r="B633">
        <v>502090</v>
      </c>
      <c r="C633" t="s">
        <v>115</v>
      </c>
      <c r="D633">
        <v>2025</v>
      </c>
      <c r="E633">
        <v>179.80000305175781</v>
      </c>
      <c r="F633">
        <v>-16.05</v>
      </c>
      <c r="G633" t="s">
        <v>465</v>
      </c>
      <c r="H633">
        <v>300</v>
      </c>
      <c r="I633">
        <v>155.05000305175781</v>
      </c>
      <c r="L633" t="s">
        <v>471</v>
      </c>
      <c r="M633">
        <v>-18.691588785046729</v>
      </c>
      <c r="N633">
        <v>-9.6604363272123237</v>
      </c>
      <c r="O633">
        <v>619.54999999999995</v>
      </c>
      <c r="P633">
        <v>848.8</v>
      </c>
      <c r="Q633">
        <v>433.35</v>
      </c>
      <c r="R633" s="3" t="s">
        <v>470</v>
      </c>
      <c r="S633">
        <v>619.54999999999995</v>
      </c>
      <c r="T633" t="s">
        <v>468</v>
      </c>
    </row>
    <row r="634" spans="1:20" x14ac:dyDescent="0.25">
      <c r="A634">
        <v>84</v>
      </c>
      <c r="B634">
        <v>502090</v>
      </c>
      <c r="C634" t="s">
        <v>115</v>
      </c>
      <c r="D634">
        <v>2026</v>
      </c>
      <c r="E634">
        <v>179.80000305175781</v>
      </c>
      <c r="F634">
        <v>-0.85</v>
      </c>
      <c r="G634" t="s">
        <v>465</v>
      </c>
      <c r="H634">
        <v>228</v>
      </c>
      <c r="I634">
        <v>149</v>
      </c>
      <c r="L634" t="s">
        <v>471</v>
      </c>
      <c r="M634">
        <v>-268.23529411764707</v>
      </c>
      <c r="N634">
        <v>-175.29411764705881</v>
      </c>
      <c r="O634">
        <v>619.54999999999995</v>
      </c>
      <c r="P634">
        <v>848.8</v>
      </c>
      <c r="Q634">
        <v>433.35</v>
      </c>
      <c r="R634" s="3" t="s">
        <v>470</v>
      </c>
      <c r="S634">
        <v>619.54999999999995</v>
      </c>
      <c r="T634" t="s">
        <v>468</v>
      </c>
    </row>
    <row r="635" spans="1:20" x14ac:dyDescent="0.25">
      <c r="A635">
        <v>85</v>
      </c>
      <c r="B635">
        <v>502355</v>
      </c>
      <c r="C635" t="s">
        <v>117</v>
      </c>
      <c r="D635">
        <v>2015</v>
      </c>
      <c r="E635">
        <v>2067.300048828125</v>
      </c>
      <c r="F635">
        <v>24.45</v>
      </c>
      <c r="G635" t="s">
        <v>465</v>
      </c>
      <c r="H635">
        <v>399.32501220703119</v>
      </c>
      <c r="I635">
        <v>294.49649047851563</v>
      </c>
      <c r="L635" t="s">
        <v>469</v>
      </c>
      <c r="M635">
        <v>16.332311337710891</v>
      </c>
      <c r="N635">
        <v>12.04484623634011</v>
      </c>
      <c r="O635">
        <v>17.989999999999998</v>
      </c>
      <c r="P635">
        <v>25.97</v>
      </c>
      <c r="Q635">
        <v>12</v>
      </c>
      <c r="R635" s="3" t="s">
        <v>470</v>
      </c>
      <c r="S635">
        <v>17.989999999999998</v>
      </c>
      <c r="T635" t="s">
        <v>468</v>
      </c>
    </row>
    <row r="636" spans="1:20" x14ac:dyDescent="0.25">
      <c r="A636">
        <v>85</v>
      </c>
      <c r="B636">
        <v>502355</v>
      </c>
      <c r="C636" t="s">
        <v>117</v>
      </c>
      <c r="D636">
        <v>2016</v>
      </c>
      <c r="E636">
        <v>2067.300048828125</v>
      </c>
      <c r="F636">
        <v>23.06</v>
      </c>
      <c r="G636" t="s">
        <v>465</v>
      </c>
      <c r="H636">
        <v>640</v>
      </c>
      <c r="I636">
        <v>275.67498779296881</v>
      </c>
      <c r="L636" t="s">
        <v>469</v>
      </c>
      <c r="M636">
        <v>27.753686036426711</v>
      </c>
      <c r="N636">
        <v>11.9546829051591</v>
      </c>
      <c r="O636">
        <v>17.989999999999998</v>
      </c>
      <c r="P636">
        <v>25.97</v>
      </c>
      <c r="Q636">
        <v>12</v>
      </c>
      <c r="R636" s="3" t="s">
        <v>470</v>
      </c>
      <c r="S636">
        <v>17.989999999999998</v>
      </c>
      <c r="T636" t="s">
        <v>468</v>
      </c>
    </row>
    <row r="637" spans="1:20" x14ac:dyDescent="0.25">
      <c r="A637">
        <v>85</v>
      </c>
      <c r="B637">
        <v>502355</v>
      </c>
      <c r="C637" t="s">
        <v>117</v>
      </c>
      <c r="D637">
        <v>2017</v>
      </c>
      <c r="E637">
        <v>2067.300048828125</v>
      </c>
      <c r="F637">
        <v>37.08</v>
      </c>
      <c r="G637" t="s">
        <v>465</v>
      </c>
      <c r="H637">
        <v>2250</v>
      </c>
      <c r="I637">
        <v>537.5</v>
      </c>
      <c r="L637" t="s">
        <v>469</v>
      </c>
      <c r="M637">
        <v>60.679611650485441</v>
      </c>
      <c r="N637">
        <v>14.49568500539374</v>
      </c>
      <c r="O637">
        <v>17.989999999999998</v>
      </c>
      <c r="P637">
        <v>25.97</v>
      </c>
      <c r="Q637">
        <v>12</v>
      </c>
      <c r="R637" s="3" t="s">
        <v>470</v>
      </c>
      <c r="S637">
        <v>17.989999999999998</v>
      </c>
      <c r="T637" t="s">
        <v>468</v>
      </c>
    </row>
    <row r="638" spans="1:20" x14ac:dyDescent="0.25">
      <c r="A638">
        <v>85</v>
      </c>
      <c r="B638">
        <v>502355</v>
      </c>
      <c r="C638" t="s">
        <v>117</v>
      </c>
      <c r="D638">
        <v>2018</v>
      </c>
      <c r="E638">
        <v>2067.300048828125</v>
      </c>
      <c r="F638">
        <v>38.06</v>
      </c>
      <c r="G638" t="s">
        <v>465</v>
      </c>
      <c r="H638">
        <v>1467.400024414062</v>
      </c>
      <c r="I638">
        <v>853.45001220703125</v>
      </c>
      <c r="L638" t="s">
        <v>469</v>
      </c>
      <c r="M638">
        <v>38.554913936260157</v>
      </c>
      <c r="N638">
        <v>22.42380483991149</v>
      </c>
      <c r="O638">
        <v>17.989999999999998</v>
      </c>
      <c r="P638">
        <v>25.97</v>
      </c>
      <c r="Q638">
        <v>12</v>
      </c>
      <c r="R638" s="3" t="s">
        <v>470</v>
      </c>
      <c r="S638">
        <v>17.989999999999998</v>
      </c>
      <c r="T638" t="s">
        <v>468</v>
      </c>
    </row>
    <row r="639" spans="1:20" x14ac:dyDescent="0.25">
      <c r="A639">
        <v>85</v>
      </c>
      <c r="B639">
        <v>502355</v>
      </c>
      <c r="C639" t="s">
        <v>117</v>
      </c>
      <c r="D639">
        <v>2019</v>
      </c>
      <c r="E639">
        <v>2067.300048828125</v>
      </c>
      <c r="F639">
        <v>40.020000000000003</v>
      </c>
      <c r="G639" t="s">
        <v>465</v>
      </c>
      <c r="H639">
        <v>1023</v>
      </c>
      <c r="I639">
        <v>682.6500244140625</v>
      </c>
      <c r="L639" t="s">
        <v>469</v>
      </c>
      <c r="M639">
        <v>25.562218890554721</v>
      </c>
      <c r="N639">
        <v>17.057721749476819</v>
      </c>
      <c r="O639">
        <v>17.989999999999998</v>
      </c>
      <c r="P639">
        <v>25.97</v>
      </c>
      <c r="Q639">
        <v>12</v>
      </c>
      <c r="R639" s="3" t="s">
        <v>470</v>
      </c>
      <c r="S639">
        <v>17.989999999999998</v>
      </c>
      <c r="T639" t="s">
        <v>468</v>
      </c>
    </row>
    <row r="640" spans="1:20" x14ac:dyDescent="0.25">
      <c r="A640">
        <v>85</v>
      </c>
      <c r="B640">
        <v>502355</v>
      </c>
      <c r="C640" t="s">
        <v>117</v>
      </c>
      <c r="D640">
        <v>2020</v>
      </c>
      <c r="E640">
        <v>2067.300048828125</v>
      </c>
      <c r="F640">
        <v>49.64</v>
      </c>
      <c r="G640" t="s">
        <v>465</v>
      </c>
      <c r="H640">
        <v>1720</v>
      </c>
      <c r="I640">
        <v>677.5999755859375</v>
      </c>
      <c r="L640" t="s">
        <v>469</v>
      </c>
      <c r="M640">
        <v>34.649476228847703</v>
      </c>
      <c r="N640">
        <v>13.650281538798099</v>
      </c>
      <c r="O640">
        <v>17.989999999999998</v>
      </c>
      <c r="P640">
        <v>25.97</v>
      </c>
      <c r="Q640">
        <v>12</v>
      </c>
      <c r="R640" s="3" t="s">
        <v>470</v>
      </c>
      <c r="S640">
        <v>17.989999999999998</v>
      </c>
      <c r="T640" t="s">
        <v>468</v>
      </c>
    </row>
    <row r="641" spans="1:20" x14ac:dyDescent="0.25">
      <c r="A641">
        <v>85</v>
      </c>
      <c r="B641">
        <v>502355</v>
      </c>
      <c r="C641" t="s">
        <v>117</v>
      </c>
      <c r="D641">
        <v>2021</v>
      </c>
      <c r="E641">
        <v>2067.300048828125</v>
      </c>
      <c r="F641">
        <v>60.91</v>
      </c>
      <c r="G641" t="s">
        <v>465</v>
      </c>
      <c r="H641">
        <v>2724.39990234375</v>
      </c>
      <c r="I641">
        <v>1516.800048828125</v>
      </c>
      <c r="L641" t="s">
        <v>469</v>
      </c>
      <c r="M641">
        <v>44.728286034210313</v>
      </c>
      <c r="N641">
        <v>24.902315692466349</v>
      </c>
      <c r="O641">
        <v>17.989999999999998</v>
      </c>
      <c r="P641">
        <v>25.97</v>
      </c>
      <c r="Q641">
        <v>12</v>
      </c>
      <c r="R641" s="3" t="s">
        <v>470</v>
      </c>
      <c r="S641">
        <v>17.989999999999998</v>
      </c>
      <c r="T641" t="s">
        <v>468</v>
      </c>
    </row>
    <row r="642" spans="1:20" x14ac:dyDescent="0.25">
      <c r="A642">
        <v>85</v>
      </c>
      <c r="B642">
        <v>502355</v>
      </c>
      <c r="C642" t="s">
        <v>117</v>
      </c>
      <c r="D642">
        <v>2022</v>
      </c>
      <c r="E642">
        <v>2067.300048828125</v>
      </c>
      <c r="F642">
        <v>74.25</v>
      </c>
      <c r="G642" t="s">
        <v>465</v>
      </c>
      <c r="H642">
        <v>2536.75</v>
      </c>
      <c r="I642">
        <v>1681.949951171875</v>
      </c>
      <c r="L642" t="s">
        <v>469</v>
      </c>
      <c r="M642">
        <v>34.164983164983163</v>
      </c>
      <c r="N642">
        <v>22.652524594907408</v>
      </c>
      <c r="O642">
        <v>17.989999999999998</v>
      </c>
      <c r="P642">
        <v>25.97</v>
      </c>
      <c r="Q642">
        <v>12</v>
      </c>
      <c r="R642" s="3" t="s">
        <v>470</v>
      </c>
      <c r="S642">
        <v>17.989999999999998</v>
      </c>
      <c r="T642" t="s">
        <v>468</v>
      </c>
    </row>
    <row r="643" spans="1:20" x14ac:dyDescent="0.25">
      <c r="A643">
        <v>85</v>
      </c>
      <c r="B643">
        <v>502355</v>
      </c>
      <c r="C643" t="s">
        <v>117</v>
      </c>
      <c r="D643">
        <v>2023</v>
      </c>
      <c r="E643">
        <v>2067.300048828125</v>
      </c>
      <c r="F643">
        <v>54.7</v>
      </c>
      <c r="G643" t="s">
        <v>465</v>
      </c>
      <c r="H643">
        <v>2680</v>
      </c>
      <c r="I643">
        <v>1912.300048828125</v>
      </c>
      <c r="L643" t="s">
        <v>469</v>
      </c>
      <c r="M643">
        <v>48.994515539305297</v>
      </c>
      <c r="N643">
        <v>34.95978151422532</v>
      </c>
      <c r="O643">
        <v>17.989999999999998</v>
      </c>
      <c r="P643">
        <v>25.97</v>
      </c>
      <c r="Q643">
        <v>12</v>
      </c>
      <c r="R643" s="3" t="s">
        <v>470</v>
      </c>
      <c r="S643">
        <v>17.989999999999998</v>
      </c>
      <c r="T643" t="s">
        <v>468</v>
      </c>
    </row>
    <row r="644" spans="1:20" x14ac:dyDescent="0.25">
      <c r="A644">
        <v>85</v>
      </c>
      <c r="B644">
        <v>502355</v>
      </c>
      <c r="C644" t="s">
        <v>117</v>
      </c>
      <c r="D644">
        <v>2024</v>
      </c>
      <c r="E644">
        <v>2067.300048828125</v>
      </c>
      <c r="F644">
        <v>76.12</v>
      </c>
      <c r="G644" t="s">
        <v>465</v>
      </c>
      <c r="H644">
        <v>3377.949951171875</v>
      </c>
      <c r="I644">
        <v>2193.85009765625</v>
      </c>
      <c r="L644" t="s">
        <v>469</v>
      </c>
      <c r="M644">
        <v>44.376641502520691</v>
      </c>
      <c r="N644">
        <v>28.820941902998548</v>
      </c>
      <c r="O644">
        <v>17.989999999999998</v>
      </c>
      <c r="P644">
        <v>25.97</v>
      </c>
      <c r="Q644">
        <v>12</v>
      </c>
      <c r="R644" s="3" t="s">
        <v>470</v>
      </c>
      <c r="S644">
        <v>17.989999999999998</v>
      </c>
      <c r="T644" t="s">
        <v>468</v>
      </c>
    </row>
    <row r="645" spans="1:20" x14ac:dyDescent="0.25">
      <c r="A645">
        <v>85</v>
      </c>
      <c r="B645">
        <v>502355</v>
      </c>
      <c r="C645" t="s">
        <v>117</v>
      </c>
      <c r="D645">
        <v>2025</v>
      </c>
      <c r="E645">
        <v>2067.300048828125</v>
      </c>
      <c r="F645">
        <v>85.61</v>
      </c>
      <c r="G645" t="s">
        <v>465</v>
      </c>
      <c r="H645">
        <v>2927.10009765625</v>
      </c>
      <c r="I645">
        <v>2157.199951171875</v>
      </c>
      <c r="L645" t="s">
        <v>469</v>
      </c>
      <c r="M645">
        <v>34.191100311368423</v>
      </c>
      <c r="N645">
        <v>25.197990318559459</v>
      </c>
      <c r="O645">
        <v>17.989999999999998</v>
      </c>
      <c r="P645">
        <v>25.97</v>
      </c>
      <c r="Q645">
        <v>12</v>
      </c>
      <c r="R645" s="3" t="s">
        <v>470</v>
      </c>
      <c r="S645">
        <v>17.989999999999998</v>
      </c>
      <c r="T645" t="s">
        <v>468</v>
      </c>
    </row>
    <row r="646" spans="1:20" x14ac:dyDescent="0.25">
      <c r="A646">
        <v>85</v>
      </c>
      <c r="B646">
        <v>502355</v>
      </c>
      <c r="C646" t="s">
        <v>117</v>
      </c>
      <c r="D646">
        <v>2026</v>
      </c>
      <c r="E646">
        <v>2067.300048828125</v>
      </c>
      <c r="F646">
        <v>64.3</v>
      </c>
      <c r="G646" t="s">
        <v>465</v>
      </c>
      <c r="H646">
        <v>2775</v>
      </c>
      <c r="I646">
        <v>1971.5</v>
      </c>
      <c r="L646" t="s">
        <v>469</v>
      </c>
      <c r="M646">
        <v>43.157076205287723</v>
      </c>
      <c r="N646">
        <v>30.660964230171071</v>
      </c>
      <c r="O646">
        <v>17.989999999999998</v>
      </c>
      <c r="P646">
        <v>25.97</v>
      </c>
      <c r="Q646">
        <v>12</v>
      </c>
      <c r="R646" s="3" t="s">
        <v>470</v>
      </c>
      <c r="S646">
        <v>17.989999999999998</v>
      </c>
      <c r="T646" t="s">
        <v>468</v>
      </c>
    </row>
    <row r="647" spans="1:20" x14ac:dyDescent="0.25">
      <c r="A647">
        <v>87</v>
      </c>
      <c r="B647">
        <v>502850</v>
      </c>
      <c r="C647" t="s">
        <v>119</v>
      </c>
      <c r="D647">
        <v>2018</v>
      </c>
      <c r="E647">
        <v>15.02999973297119</v>
      </c>
      <c r="F647">
        <v>-19.5</v>
      </c>
      <c r="G647" t="s">
        <v>465</v>
      </c>
      <c r="H647">
        <v>15.88000011444092</v>
      </c>
      <c r="I647">
        <v>6.9800000190734863</v>
      </c>
      <c r="L647" t="s">
        <v>471</v>
      </c>
      <c r="M647">
        <v>-0.81435898022773945</v>
      </c>
      <c r="N647">
        <v>-0.35794871892684538</v>
      </c>
      <c r="O647">
        <v>11.93</v>
      </c>
      <c r="P647">
        <v>13.14</v>
      </c>
      <c r="Q647">
        <v>11.93</v>
      </c>
      <c r="R647" s="3" t="s">
        <v>470</v>
      </c>
      <c r="S647">
        <v>11.93</v>
      </c>
      <c r="T647" t="s">
        <v>468</v>
      </c>
    </row>
    <row r="648" spans="1:20" x14ac:dyDescent="0.25">
      <c r="A648">
        <v>87</v>
      </c>
      <c r="B648">
        <v>502850</v>
      </c>
      <c r="C648" t="s">
        <v>119</v>
      </c>
      <c r="D648">
        <v>2019</v>
      </c>
      <c r="E648">
        <v>15.02999973297119</v>
      </c>
      <c r="F648">
        <v>-19.5</v>
      </c>
      <c r="G648" t="s">
        <v>465</v>
      </c>
      <c r="H648">
        <v>16.14999961853027</v>
      </c>
      <c r="I648">
        <v>15.88000011444092</v>
      </c>
      <c r="L648" t="s">
        <v>471</v>
      </c>
      <c r="M648">
        <v>-0.8282051086425779</v>
      </c>
      <c r="N648">
        <v>-0.81435898022773945</v>
      </c>
      <c r="O648">
        <v>11.93</v>
      </c>
      <c r="P648">
        <v>13.14</v>
      </c>
      <c r="Q648">
        <v>11.93</v>
      </c>
      <c r="R648" s="3" t="s">
        <v>470</v>
      </c>
      <c r="S648">
        <v>11.93</v>
      </c>
      <c r="T648" t="s">
        <v>468</v>
      </c>
    </row>
    <row r="649" spans="1:20" x14ac:dyDescent="0.25">
      <c r="A649">
        <v>87</v>
      </c>
      <c r="B649">
        <v>502850</v>
      </c>
      <c r="C649" t="s">
        <v>119</v>
      </c>
      <c r="D649">
        <v>2020</v>
      </c>
      <c r="E649">
        <v>15.02999973297119</v>
      </c>
      <c r="F649">
        <v>-19.5</v>
      </c>
      <c r="G649" t="s">
        <v>465</v>
      </c>
      <c r="H649">
        <v>16.89999961853027</v>
      </c>
      <c r="I649">
        <v>16</v>
      </c>
      <c r="L649" t="s">
        <v>471</v>
      </c>
      <c r="M649">
        <v>-0.86666664710411645</v>
      </c>
      <c r="N649">
        <v>-0.82051282051282048</v>
      </c>
      <c r="O649">
        <v>11.93</v>
      </c>
      <c r="P649">
        <v>13.14</v>
      </c>
      <c r="Q649">
        <v>11.93</v>
      </c>
      <c r="R649" s="3" t="s">
        <v>470</v>
      </c>
      <c r="S649">
        <v>11.93</v>
      </c>
      <c r="T649" t="s">
        <v>468</v>
      </c>
    </row>
    <row r="650" spans="1:20" x14ac:dyDescent="0.25">
      <c r="A650">
        <v>87</v>
      </c>
      <c r="B650">
        <v>502850</v>
      </c>
      <c r="C650" t="s">
        <v>119</v>
      </c>
      <c r="D650">
        <v>2021</v>
      </c>
      <c r="E650">
        <v>15.02999973297119</v>
      </c>
      <c r="F650">
        <v>-9.9</v>
      </c>
      <c r="G650" t="s">
        <v>465</v>
      </c>
      <c r="H650">
        <v>17</v>
      </c>
      <c r="I650">
        <v>16.60000038146973</v>
      </c>
      <c r="L650" t="s">
        <v>471</v>
      </c>
      <c r="M650">
        <v>-1.7171717171717169</v>
      </c>
      <c r="N650">
        <v>-1.6767677152999729</v>
      </c>
      <c r="O650">
        <v>11.93</v>
      </c>
      <c r="P650">
        <v>13.14</v>
      </c>
      <c r="Q650">
        <v>11.93</v>
      </c>
      <c r="R650" s="3" t="s">
        <v>470</v>
      </c>
      <c r="S650">
        <v>11.93</v>
      </c>
      <c r="T650" t="s">
        <v>468</v>
      </c>
    </row>
    <row r="651" spans="1:20" x14ac:dyDescent="0.25">
      <c r="A651">
        <v>87</v>
      </c>
      <c r="B651">
        <v>502850</v>
      </c>
      <c r="C651" t="s">
        <v>119</v>
      </c>
      <c r="D651">
        <v>2022</v>
      </c>
      <c r="E651">
        <v>15.02999973297119</v>
      </c>
      <c r="F651">
        <v>-32.799999999999997</v>
      </c>
      <c r="G651" t="s">
        <v>465</v>
      </c>
      <c r="H651">
        <v>17</v>
      </c>
      <c r="I651">
        <v>12.55000019073486</v>
      </c>
      <c r="L651" t="s">
        <v>471</v>
      </c>
      <c r="M651">
        <v>-0.51829268292682928</v>
      </c>
      <c r="N651">
        <v>-0.38262195703459939</v>
      </c>
      <c r="O651">
        <v>11.93</v>
      </c>
      <c r="P651">
        <v>13.14</v>
      </c>
      <c r="Q651">
        <v>11.93</v>
      </c>
      <c r="R651" s="3" t="s">
        <v>470</v>
      </c>
      <c r="S651">
        <v>11.93</v>
      </c>
      <c r="T651" t="s">
        <v>468</v>
      </c>
    </row>
    <row r="652" spans="1:20" x14ac:dyDescent="0.25">
      <c r="A652">
        <v>87</v>
      </c>
      <c r="B652">
        <v>502850</v>
      </c>
      <c r="C652" t="s">
        <v>119</v>
      </c>
      <c r="D652">
        <v>2023</v>
      </c>
      <c r="E652">
        <v>15.02999973297119</v>
      </c>
      <c r="F652">
        <v>-18.2</v>
      </c>
      <c r="G652" t="s">
        <v>465</v>
      </c>
      <c r="H652">
        <v>12.55000019073486</v>
      </c>
      <c r="I652">
        <v>11.930000305175779</v>
      </c>
      <c r="L652" t="s">
        <v>471</v>
      </c>
      <c r="M652">
        <v>-0.68956045004037692</v>
      </c>
      <c r="N652">
        <v>-0.65549452226240545</v>
      </c>
      <c r="O652">
        <v>11.93</v>
      </c>
      <c r="P652">
        <v>13.14</v>
      </c>
      <c r="Q652">
        <v>11.93</v>
      </c>
      <c r="R652" s="3" t="s">
        <v>470</v>
      </c>
      <c r="S652">
        <v>11.93</v>
      </c>
      <c r="T652" t="s">
        <v>468</v>
      </c>
    </row>
    <row r="653" spans="1:20" x14ac:dyDescent="0.25">
      <c r="A653">
        <v>87</v>
      </c>
      <c r="B653">
        <v>502850</v>
      </c>
      <c r="C653" t="s">
        <v>119</v>
      </c>
      <c r="D653">
        <v>2024</v>
      </c>
      <c r="E653">
        <v>15.02999973297119</v>
      </c>
      <c r="F653">
        <v>-20.6</v>
      </c>
      <c r="G653" t="s">
        <v>465</v>
      </c>
      <c r="H653">
        <v>13.14000034332275</v>
      </c>
      <c r="I653">
        <v>11.930000305175779</v>
      </c>
      <c r="L653" t="s">
        <v>471</v>
      </c>
      <c r="M653">
        <v>-0.63786409433605584</v>
      </c>
      <c r="N653">
        <v>-0.57912622840659123</v>
      </c>
      <c r="O653">
        <v>11.93</v>
      </c>
      <c r="P653">
        <v>13.14</v>
      </c>
      <c r="Q653">
        <v>11.93</v>
      </c>
      <c r="R653" s="3" t="s">
        <v>470</v>
      </c>
      <c r="S653">
        <v>11.93</v>
      </c>
      <c r="T653" t="s">
        <v>468</v>
      </c>
    </row>
    <row r="654" spans="1:20" x14ac:dyDescent="0.25">
      <c r="A654">
        <v>87</v>
      </c>
      <c r="B654">
        <v>502850</v>
      </c>
      <c r="C654" t="s">
        <v>119</v>
      </c>
      <c r="D654">
        <v>2025</v>
      </c>
      <c r="E654">
        <v>15.02999973297119</v>
      </c>
      <c r="F654">
        <v>-22.1</v>
      </c>
      <c r="G654" t="s">
        <v>465</v>
      </c>
      <c r="H654">
        <v>14.319999694824221</v>
      </c>
      <c r="I654">
        <v>13.14000034332275</v>
      </c>
      <c r="L654" t="s">
        <v>471</v>
      </c>
      <c r="M654">
        <v>-0.64796378709611857</v>
      </c>
      <c r="N654">
        <v>-0.59457015128157242</v>
      </c>
      <c r="O654">
        <v>11.93</v>
      </c>
      <c r="P654">
        <v>13.14</v>
      </c>
      <c r="Q654">
        <v>11.93</v>
      </c>
      <c r="R654" s="3" t="s">
        <v>470</v>
      </c>
      <c r="S654">
        <v>11.93</v>
      </c>
      <c r="T654" t="s">
        <v>468</v>
      </c>
    </row>
    <row r="655" spans="1:20" x14ac:dyDescent="0.25">
      <c r="A655">
        <v>87</v>
      </c>
      <c r="B655">
        <v>502850</v>
      </c>
      <c r="C655" t="s">
        <v>119</v>
      </c>
      <c r="D655">
        <v>2026</v>
      </c>
      <c r="E655">
        <v>15.02999973297119</v>
      </c>
      <c r="F655">
        <v>-47.25</v>
      </c>
      <c r="G655" t="s">
        <v>465</v>
      </c>
      <c r="H655">
        <v>15.02999973297119</v>
      </c>
      <c r="I655">
        <v>14.319999694824221</v>
      </c>
      <c r="L655" t="s">
        <v>471</v>
      </c>
      <c r="M655">
        <v>-0.3180952324438347</v>
      </c>
      <c r="N655">
        <v>-0.30306877661003639</v>
      </c>
      <c r="O655">
        <v>11.93</v>
      </c>
      <c r="P655">
        <v>13.14</v>
      </c>
      <c r="Q655">
        <v>11.93</v>
      </c>
      <c r="R655" s="3" t="s">
        <v>470</v>
      </c>
      <c r="S655">
        <v>11.93</v>
      </c>
      <c r="T655" t="s">
        <v>468</v>
      </c>
    </row>
    <row r="656" spans="1:20" x14ac:dyDescent="0.25">
      <c r="A656">
        <v>88</v>
      </c>
      <c r="B656">
        <v>503100</v>
      </c>
      <c r="C656" t="s">
        <v>121</v>
      </c>
      <c r="D656">
        <v>2015</v>
      </c>
      <c r="E656">
        <v>2035.849975585938</v>
      </c>
      <c r="F656">
        <v>1.22</v>
      </c>
      <c r="G656" t="s">
        <v>465</v>
      </c>
      <c r="H656">
        <v>203.4750061035156</v>
      </c>
      <c r="I656">
        <v>150</v>
      </c>
      <c r="L656" t="s">
        <v>469</v>
      </c>
      <c r="M656">
        <v>166.78279188812749</v>
      </c>
      <c r="N656">
        <v>122.9508196721311</v>
      </c>
      <c r="O656">
        <f>IFERROR(VLOOKUP(B656,BSE_500_LIVE!A:E,3,FALSE),"")</f>
        <v>0</v>
      </c>
      <c r="P656">
        <f>IFERROR(VLOOKUP(B656,BSE_500_LIVE!A:E,4,FALSE),"")</f>
        <v>0</v>
      </c>
      <c r="Q656">
        <f>IFERROR(VLOOKUP(B656,BSE_500_LIVE!A:E,5,FALSE),"")</f>
        <v>0</v>
      </c>
      <c r="R656" t="str">
        <f t="shared" ref="R656:R667" si="8">IF(OR(E656="",O656=""),"PENDING_FETCH",IF(ABS(E656-O656)/E656&gt;0.005,"MISMATCH_NEEDS_CORRECTION","VERIFIED_OK"))</f>
        <v>MISMATCH_NEEDS_CORRECTION</v>
      </c>
      <c r="S656">
        <f t="shared" ref="S656:S667" si="9">IF(O656&lt;&gt;"",O656,E656)</f>
        <v>0</v>
      </c>
      <c r="T656">
        <f>IFERROR(VLOOKUP(B656,BSE_500_LIVE!A:F,6,FALSE),"")</f>
        <v>0</v>
      </c>
    </row>
    <row r="657" spans="1:20" x14ac:dyDescent="0.25">
      <c r="A657">
        <v>88</v>
      </c>
      <c r="B657">
        <v>503100</v>
      </c>
      <c r="C657" t="s">
        <v>121</v>
      </c>
      <c r="D657">
        <v>2016</v>
      </c>
      <c r="E657">
        <v>2035.849975585938</v>
      </c>
      <c r="F657">
        <v>4.21</v>
      </c>
      <c r="G657" t="s">
        <v>465</v>
      </c>
      <c r="H657">
        <v>222.5</v>
      </c>
      <c r="I657">
        <v>119.15000152587891</v>
      </c>
      <c r="L657" t="s">
        <v>469</v>
      </c>
      <c r="M657">
        <v>52.850356294536823</v>
      </c>
      <c r="N657">
        <v>28.301663070280021</v>
      </c>
      <c r="O657">
        <f>IFERROR(VLOOKUP(B657,BSE_500_LIVE!A:E,3,FALSE),"")</f>
        <v>0</v>
      </c>
      <c r="P657">
        <f>IFERROR(VLOOKUP(B657,BSE_500_LIVE!A:E,4,FALSE),"")</f>
        <v>0</v>
      </c>
      <c r="Q657">
        <f>IFERROR(VLOOKUP(B657,BSE_500_LIVE!A:E,5,FALSE),"")</f>
        <v>0</v>
      </c>
      <c r="R657" t="str">
        <f t="shared" si="8"/>
        <v>MISMATCH_NEEDS_CORRECTION</v>
      </c>
      <c r="S657">
        <f t="shared" si="9"/>
        <v>0</v>
      </c>
      <c r="T657">
        <f>IFERROR(VLOOKUP(B657,BSE_500_LIVE!A:F,6,FALSE),"")</f>
        <v>0</v>
      </c>
    </row>
    <row r="658" spans="1:20" x14ac:dyDescent="0.25">
      <c r="A658">
        <v>88</v>
      </c>
      <c r="B658">
        <v>503100</v>
      </c>
      <c r="C658" t="s">
        <v>121</v>
      </c>
      <c r="D658">
        <v>2017</v>
      </c>
      <c r="E658">
        <v>2035.849975585938</v>
      </c>
      <c r="F658">
        <v>5.49</v>
      </c>
      <c r="G658" t="s">
        <v>465</v>
      </c>
      <c r="H658">
        <v>339.79998779296881</v>
      </c>
      <c r="I658">
        <v>168.7749938964844</v>
      </c>
      <c r="L658" t="s">
        <v>469</v>
      </c>
      <c r="M658">
        <v>61.894351146260263</v>
      </c>
      <c r="N658">
        <v>30.742257540343239</v>
      </c>
      <c r="O658">
        <f>IFERROR(VLOOKUP(B658,BSE_500_LIVE!A:E,3,FALSE),"")</f>
        <v>0</v>
      </c>
      <c r="P658">
        <f>IFERROR(VLOOKUP(B658,BSE_500_LIVE!A:E,4,FALSE),"")</f>
        <v>0</v>
      </c>
      <c r="Q658">
        <f>IFERROR(VLOOKUP(B658,BSE_500_LIVE!A:E,5,FALSE),"")</f>
        <v>0</v>
      </c>
      <c r="R658" t="str">
        <f t="shared" si="8"/>
        <v>MISMATCH_NEEDS_CORRECTION</v>
      </c>
      <c r="S658">
        <f t="shared" si="9"/>
        <v>0</v>
      </c>
      <c r="T658">
        <f>IFERROR(VLOOKUP(B658,BSE_500_LIVE!A:F,6,FALSE),"")</f>
        <v>0</v>
      </c>
    </row>
    <row r="659" spans="1:20" x14ac:dyDescent="0.25">
      <c r="A659">
        <v>88</v>
      </c>
      <c r="B659">
        <v>503100</v>
      </c>
      <c r="C659" t="s">
        <v>121</v>
      </c>
      <c r="D659">
        <v>2018</v>
      </c>
      <c r="E659">
        <v>2035.849975585938</v>
      </c>
      <c r="F659">
        <v>7.91</v>
      </c>
      <c r="G659" t="s">
        <v>465</v>
      </c>
      <c r="H659">
        <v>361.39999389648438</v>
      </c>
      <c r="I659">
        <v>245.75</v>
      </c>
      <c r="L659" t="s">
        <v>469</v>
      </c>
      <c r="M659">
        <v>45.689000492602332</v>
      </c>
      <c r="N659">
        <v>31.06826801517067</v>
      </c>
      <c r="O659">
        <f>IFERROR(VLOOKUP(B659,BSE_500_LIVE!A:E,3,FALSE),"")</f>
        <v>0</v>
      </c>
      <c r="P659">
        <f>IFERROR(VLOOKUP(B659,BSE_500_LIVE!A:E,4,FALSE),"")</f>
        <v>0</v>
      </c>
      <c r="Q659">
        <f>IFERROR(VLOOKUP(B659,BSE_500_LIVE!A:E,5,FALSE),"")</f>
        <v>0</v>
      </c>
      <c r="R659" t="str">
        <f t="shared" si="8"/>
        <v>MISMATCH_NEEDS_CORRECTION</v>
      </c>
      <c r="S659">
        <f t="shared" si="9"/>
        <v>0</v>
      </c>
      <c r="T659">
        <f>IFERROR(VLOOKUP(B659,BSE_500_LIVE!A:F,6,FALSE),"")</f>
        <v>0</v>
      </c>
    </row>
    <row r="660" spans="1:20" x14ac:dyDescent="0.25">
      <c r="A660">
        <v>88</v>
      </c>
      <c r="B660">
        <v>503100</v>
      </c>
      <c r="C660" t="s">
        <v>121</v>
      </c>
      <c r="D660">
        <v>2019</v>
      </c>
      <c r="E660">
        <v>2035.849975585938</v>
      </c>
      <c r="F660">
        <v>13.73</v>
      </c>
      <c r="G660" t="s">
        <v>465</v>
      </c>
      <c r="H660">
        <v>435.5</v>
      </c>
      <c r="I660">
        <v>274.70001220703119</v>
      </c>
      <c r="L660" t="s">
        <v>469</v>
      </c>
      <c r="M660">
        <v>31.718863801893662</v>
      </c>
      <c r="N660">
        <v>20.007284210271759</v>
      </c>
      <c r="O660">
        <f>IFERROR(VLOOKUP(B660,BSE_500_LIVE!A:E,3,FALSE),"")</f>
        <v>0</v>
      </c>
      <c r="P660">
        <f>IFERROR(VLOOKUP(B660,BSE_500_LIVE!A:E,4,FALSE),"")</f>
        <v>0</v>
      </c>
      <c r="Q660">
        <f>IFERROR(VLOOKUP(B660,BSE_500_LIVE!A:E,5,FALSE),"")</f>
        <v>0</v>
      </c>
      <c r="R660" t="str">
        <f t="shared" si="8"/>
        <v>MISMATCH_NEEDS_CORRECTION</v>
      </c>
      <c r="S660">
        <f t="shared" si="9"/>
        <v>0</v>
      </c>
      <c r="T660">
        <f>IFERROR(VLOOKUP(B660,BSE_500_LIVE!A:F,6,FALSE),"")</f>
        <v>0</v>
      </c>
    </row>
    <row r="661" spans="1:20" x14ac:dyDescent="0.25">
      <c r="A661">
        <v>88</v>
      </c>
      <c r="B661">
        <v>503100</v>
      </c>
      <c r="C661" t="s">
        <v>121</v>
      </c>
      <c r="D661">
        <v>2020</v>
      </c>
      <c r="E661">
        <v>2035.849975585938</v>
      </c>
      <c r="F661">
        <v>10.91</v>
      </c>
      <c r="G661" t="s">
        <v>465</v>
      </c>
      <c r="H661">
        <v>489.75</v>
      </c>
      <c r="I661">
        <v>233.125</v>
      </c>
      <c r="L661" t="s">
        <v>469</v>
      </c>
      <c r="M661">
        <v>44.890009165902839</v>
      </c>
      <c r="N661">
        <v>21.36801099908341</v>
      </c>
      <c r="O661">
        <f>IFERROR(VLOOKUP(B661,BSE_500_LIVE!A:E,3,FALSE),"")</f>
        <v>0</v>
      </c>
      <c r="P661">
        <f>IFERROR(VLOOKUP(B661,BSE_500_LIVE!A:E,4,FALSE),"")</f>
        <v>0</v>
      </c>
      <c r="Q661">
        <f>IFERROR(VLOOKUP(B661,BSE_500_LIVE!A:E,5,FALSE),"")</f>
        <v>0</v>
      </c>
      <c r="R661" t="str">
        <f t="shared" si="8"/>
        <v>MISMATCH_NEEDS_CORRECTION</v>
      </c>
      <c r="S661">
        <f t="shared" si="9"/>
        <v>0</v>
      </c>
      <c r="T661">
        <f>IFERROR(VLOOKUP(B661,BSE_500_LIVE!A:F,6,FALSE),"")</f>
        <v>0</v>
      </c>
    </row>
    <row r="662" spans="1:20" x14ac:dyDescent="0.25">
      <c r="A662">
        <v>88</v>
      </c>
      <c r="B662">
        <v>503100</v>
      </c>
      <c r="C662" t="s">
        <v>121</v>
      </c>
      <c r="D662">
        <v>2021</v>
      </c>
      <c r="E662">
        <v>2035.849975585938</v>
      </c>
      <c r="F662">
        <v>1.68</v>
      </c>
      <c r="G662" t="s">
        <v>465</v>
      </c>
      <c r="H662">
        <v>599.9749755859375</v>
      </c>
      <c r="I662">
        <v>336</v>
      </c>
      <c r="L662" t="s">
        <v>469</v>
      </c>
      <c r="M662">
        <v>357.12796165829621</v>
      </c>
      <c r="N662">
        <v>200</v>
      </c>
      <c r="O662">
        <f>IFERROR(VLOOKUP(B662,BSE_500_LIVE!A:E,3,FALSE),"")</f>
        <v>0</v>
      </c>
      <c r="P662">
        <f>IFERROR(VLOOKUP(B662,BSE_500_LIVE!A:E,4,FALSE),"")</f>
        <v>0</v>
      </c>
      <c r="Q662">
        <f>IFERROR(VLOOKUP(B662,BSE_500_LIVE!A:E,5,FALSE),"")</f>
        <v>0</v>
      </c>
      <c r="R662" t="str">
        <f t="shared" si="8"/>
        <v>MISMATCH_NEEDS_CORRECTION</v>
      </c>
      <c r="S662">
        <f t="shared" si="9"/>
        <v>0</v>
      </c>
      <c r="T662">
        <f>IFERROR(VLOOKUP(B662,BSE_500_LIVE!A:F,6,FALSE),"")</f>
        <v>0</v>
      </c>
    </row>
    <row r="663" spans="1:20" x14ac:dyDescent="0.25">
      <c r="A663">
        <v>88</v>
      </c>
      <c r="B663">
        <v>503100</v>
      </c>
      <c r="C663" t="s">
        <v>121</v>
      </c>
      <c r="D663">
        <v>2022</v>
      </c>
      <c r="E663">
        <v>2035.849975585938</v>
      </c>
      <c r="F663">
        <v>6.65</v>
      </c>
      <c r="G663" t="s">
        <v>465</v>
      </c>
      <c r="H663">
        <v>810</v>
      </c>
      <c r="I663">
        <v>442.14999389648438</v>
      </c>
      <c r="L663" t="s">
        <v>469</v>
      </c>
      <c r="M663">
        <v>121.80451127819551</v>
      </c>
      <c r="N663">
        <v>66.488720886689379</v>
      </c>
      <c r="O663">
        <f>IFERROR(VLOOKUP(B663,BSE_500_LIVE!A:E,3,FALSE),"")</f>
        <v>0</v>
      </c>
      <c r="P663">
        <f>IFERROR(VLOOKUP(B663,BSE_500_LIVE!A:E,4,FALSE),"")</f>
        <v>0</v>
      </c>
      <c r="Q663">
        <f>IFERROR(VLOOKUP(B663,BSE_500_LIVE!A:E,5,FALSE),"")</f>
        <v>0</v>
      </c>
      <c r="R663" t="str">
        <f t="shared" si="8"/>
        <v>MISMATCH_NEEDS_CORRECTION</v>
      </c>
      <c r="S663">
        <f t="shared" si="9"/>
        <v>0</v>
      </c>
      <c r="T663">
        <f>IFERROR(VLOOKUP(B663,BSE_500_LIVE!A:F,6,FALSE),"")</f>
        <v>0</v>
      </c>
    </row>
    <row r="664" spans="1:20" x14ac:dyDescent="0.25">
      <c r="A664">
        <v>88</v>
      </c>
      <c r="B664">
        <v>503100</v>
      </c>
      <c r="C664" t="s">
        <v>121</v>
      </c>
      <c r="D664">
        <v>2023</v>
      </c>
      <c r="E664">
        <v>2035.849975585938</v>
      </c>
      <c r="F664">
        <v>37.369999999999997</v>
      </c>
      <c r="G664" t="s">
        <v>465</v>
      </c>
      <c r="H664">
        <v>1217.5</v>
      </c>
      <c r="I664">
        <v>593.2249755859375</v>
      </c>
      <c r="L664" t="s">
        <v>469</v>
      </c>
      <c r="M664">
        <v>32.579609312282592</v>
      </c>
      <c r="N664">
        <v>15.87436381016691</v>
      </c>
      <c r="O664">
        <f>IFERROR(VLOOKUP(B664,BSE_500_LIVE!A:E,3,FALSE),"")</f>
        <v>0</v>
      </c>
      <c r="P664">
        <f>IFERROR(VLOOKUP(B664,BSE_500_LIVE!A:E,4,FALSE),"")</f>
        <v>0</v>
      </c>
      <c r="Q664">
        <f>IFERROR(VLOOKUP(B664,BSE_500_LIVE!A:E,5,FALSE),"")</f>
        <v>0</v>
      </c>
      <c r="R664" t="str">
        <f t="shared" si="8"/>
        <v>MISMATCH_NEEDS_CORRECTION</v>
      </c>
      <c r="S664">
        <f t="shared" si="9"/>
        <v>0</v>
      </c>
      <c r="T664">
        <f>IFERROR(VLOOKUP(B664,BSE_500_LIVE!A:F,6,FALSE),"")</f>
        <v>0</v>
      </c>
    </row>
    <row r="665" spans="1:20" x14ac:dyDescent="0.25">
      <c r="A665">
        <v>88</v>
      </c>
      <c r="B665">
        <v>503100</v>
      </c>
      <c r="C665" t="s">
        <v>121</v>
      </c>
      <c r="D665">
        <v>2024</v>
      </c>
      <c r="E665">
        <v>2035.849975585938</v>
      </c>
      <c r="F665">
        <v>30.76</v>
      </c>
      <c r="G665" t="s">
        <v>465</v>
      </c>
      <c r="H665">
        <v>2068.14990234375</v>
      </c>
      <c r="I665">
        <v>1110.074951171875</v>
      </c>
      <c r="L665" t="s">
        <v>469</v>
      </c>
      <c r="M665">
        <v>67.235042338873527</v>
      </c>
      <c r="N665">
        <v>36.088262391803482</v>
      </c>
      <c r="O665">
        <f>IFERROR(VLOOKUP(B665,BSE_500_LIVE!A:E,3,FALSE),"")</f>
        <v>0</v>
      </c>
      <c r="P665">
        <f>IFERROR(VLOOKUP(B665,BSE_500_LIVE!A:E,4,FALSE),"")</f>
        <v>0</v>
      </c>
      <c r="Q665">
        <f>IFERROR(VLOOKUP(B665,BSE_500_LIVE!A:E,5,FALSE),"")</f>
        <v>0</v>
      </c>
      <c r="R665" t="str">
        <f t="shared" si="8"/>
        <v>MISMATCH_NEEDS_CORRECTION</v>
      </c>
      <c r="S665">
        <f t="shared" si="9"/>
        <v>0</v>
      </c>
      <c r="T665">
        <f>IFERROR(VLOOKUP(B665,BSE_500_LIVE!A:F,6,FALSE),"")</f>
        <v>0</v>
      </c>
    </row>
    <row r="666" spans="1:20" x14ac:dyDescent="0.25">
      <c r="A666">
        <v>88</v>
      </c>
      <c r="B666">
        <v>503100</v>
      </c>
      <c r="C666" t="s">
        <v>121</v>
      </c>
      <c r="D666">
        <v>2025</v>
      </c>
      <c r="E666">
        <v>2035.849975585938</v>
      </c>
      <c r="F666">
        <v>27.53</v>
      </c>
      <c r="G666" t="s">
        <v>465</v>
      </c>
      <c r="H666">
        <v>1870.800048828125</v>
      </c>
      <c r="I666">
        <v>1403</v>
      </c>
      <c r="L666" t="s">
        <v>469</v>
      </c>
      <c r="M666">
        <v>67.954960001021604</v>
      </c>
      <c r="N666">
        <v>50.962586269524152</v>
      </c>
      <c r="O666">
        <f>IFERROR(VLOOKUP(B666,BSE_500_LIVE!A:E,3,FALSE),"")</f>
        <v>0</v>
      </c>
      <c r="P666">
        <f>IFERROR(VLOOKUP(B666,BSE_500_LIVE!A:E,4,FALSE),"")</f>
        <v>0</v>
      </c>
      <c r="Q666">
        <f>IFERROR(VLOOKUP(B666,BSE_500_LIVE!A:E,5,FALSE),"")</f>
        <v>0</v>
      </c>
      <c r="R666" t="str">
        <f t="shared" si="8"/>
        <v>MISMATCH_NEEDS_CORRECTION</v>
      </c>
      <c r="S666">
        <f t="shared" si="9"/>
        <v>0</v>
      </c>
      <c r="T666">
        <f>IFERROR(VLOOKUP(B666,BSE_500_LIVE!A:F,6,FALSE),"")</f>
        <v>0</v>
      </c>
    </row>
    <row r="667" spans="1:20" x14ac:dyDescent="0.25">
      <c r="A667">
        <v>88</v>
      </c>
      <c r="B667">
        <v>503100</v>
      </c>
      <c r="C667" t="s">
        <v>121</v>
      </c>
      <c r="D667">
        <v>2026</v>
      </c>
      <c r="E667">
        <v>2035.849975585938</v>
      </c>
      <c r="F667">
        <v>34.22</v>
      </c>
      <c r="G667" t="s">
        <v>465</v>
      </c>
      <c r="H667">
        <v>2168.64990234375</v>
      </c>
      <c r="I667">
        <v>1465.300048828125</v>
      </c>
      <c r="L667" t="s">
        <v>469</v>
      </c>
      <c r="M667">
        <v>63.373755182459092</v>
      </c>
      <c r="N667">
        <v>42.819989737817799</v>
      </c>
      <c r="O667">
        <f>IFERROR(VLOOKUP(B667,BSE_500_LIVE!A:E,3,FALSE),"")</f>
        <v>0</v>
      </c>
      <c r="P667">
        <f>IFERROR(VLOOKUP(B667,BSE_500_LIVE!A:E,4,FALSE),"")</f>
        <v>0</v>
      </c>
      <c r="Q667">
        <f>IFERROR(VLOOKUP(B667,BSE_500_LIVE!A:E,5,FALSE),"")</f>
        <v>0</v>
      </c>
      <c r="R667" t="str">
        <f t="shared" si="8"/>
        <v>MISMATCH_NEEDS_CORRECTION</v>
      </c>
      <c r="S667">
        <f t="shared" si="9"/>
        <v>0</v>
      </c>
      <c r="T667">
        <f>IFERROR(VLOOKUP(B667,BSE_500_LIVE!A:F,6,FALSE),"")</f>
        <v>0</v>
      </c>
    </row>
    <row r="668" spans="1:20" x14ac:dyDescent="0.25">
      <c r="A668">
        <v>90</v>
      </c>
      <c r="B668">
        <v>503669</v>
      </c>
      <c r="C668" t="s">
        <v>123</v>
      </c>
      <c r="D668">
        <v>2015</v>
      </c>
      <c r="E668">
        <v>57.630001068115227</v>
      </c>
      <c r="G668" t="s">
        <v>465</v>
      </c>
      <c r="H668">
        <v>13.590000152587891</v>
      </c>
      <c r="I668">
        <v>4.9000000953674316</v>
      </c>
      <c r="L668" t="s">
        <v>466</v>
      </c>
      <c r="O668">
        <v>37.51</v>
      </c>
      <c r="P668">
        <v>58.78</v>
      </c>
      <c r="Q668">
        <v>21.13</v>
      </c>
      <c r="R668" s="3" t="s">
        <v>470</v>
      </c>
      <c r="S668">
        <v>37.51</v>
      </c>
      <c r="T668" t="s">
        <v>468</v>
      </c>
    </row>
    <row r="669" spans="1:20" x14ac:dyDescent="0.25">
      <c r="A669">
        <v>90</v>
      </c>
      <c r="B669">
        <v>503669</v>
      </c>
      <c r="C669" t="s">
        <v>123</v>
      </c>
      <c r="D669">
        <v>2016</v>
      </c>
      <c r="E669">
        <v>57.630001068115227</v>
      </c>
      <c r="G669" t="s">
        <v>465</v>
      </c>
      <c r="H669">
        <v>5.559999942779541</v>
      </c>
      <c r="I669">
        <v>4.679999828338623</v>
      </c>
      <c r="L669" t="s">
        <v>466</v>
      </c>
      <c r="O669">
        <v>37.51</v>
      </c>
      <c r="P669">
        <v>58.78</v>
      </c>
      <c r="Q669">
        <v>21.13</v>
      </c>
      <c r="R669" s="3" t="s">
        <v>470</v>
      </c>
      <c r="S669">
        <v>37.51</v>
      </c>
      <c r="T669" t="s">
        <v>468</v>
      </c>
    </row>
    <row r="670" spans="1:20" x14ac:dyDescent="0.25">
      <c r="A670">
        <v>90</v>
      </c>
      <c r="B670">
        <v>503669</v>
      </c>
      <c r="C670" t="s">
        <v>123</v>
      </c>
      <c r="D670">
        <v>2017</v>
      </c>
      <c r="E670">
        <v>57.630001068115227</v>
      </c>
      <c r="G670" t="s">
        <v>465</v>
      </c>
      <c r="H670">
        <v>6.8000001907348633</v>
      </c>
      <c r="I670">
        <v>5</v>
      </c>
      <c r="L670" t="s">
        <v>466</v>
      </c>
      <c r="O670">
        <v>37.51</v>
      </c>
      <c r="P670">
        <v>58.78</v>
      </c>
      <c r="Q670">
        <v>21.13</v>
      </c>
      <c r="R670" s="3" t="s">
        <v>470</v>
      </c>
      <c r="S670">
        <v>37.51</v>
      </c>
      <c r="T670" t="s">
        <v>468</v>
      </c>
    </row>
    <row r="671" spans="1:20" x14ac:dyDescent="0.25">
      <c r="A671">
        <v>90</v>
      </c>
      <c r="B671">
        <v>503669</v>
      </c>
      <c r="C671" t="s">
        <v>123</v>
      </c>
      <c r="D671">
        <v>2018</v>
      </c>
      <c r="E671">
        <v>57.630001068115227</v>
      </c>
      <c r="G671" t="s">
        <v>465</v>
      </c>
      <c r="H671">
        <v>13.19999980926514</v>
      </c>
      <c r="I671">
        <v>6.8000001907348633</v>
      </c>
      <c r="L671" t="s">
        <v>466</v>
      </c>
      <c r="O671">
        <v>37.51</v>
      </c>
      <c r="P671">
        <v>58.78</v>
      </c>
      <c r="Q671">
        <v>21.13</v>
      </c>
      <c r="R671" s="3" t="s">
        <v>470</v>
      </c>
      <c r="S671">
        <v>37.51</v>
      </c>
      <c r="T671" t="s">
        <v>468</v>
      </c>
    </row>
    <row r="672" spans="1:20" x14ac:dyDescent="0.25">
      <c r="A672">
        <v>90</v>
      </c>
      <c r="B672">
        <v>503669</v>
      </c>
      <c r="C672" t="s">
        <v>123</v>
      </c>
      <c r="D672">
        <v>2019</v>
      </c>
      <c r="E672">
        <v>57.630001068115227</v>
      </c>
      <c r="G672" t="s">
        <v>465</v>
      </c>
      <c r="H672">
        <v>13.19999980926514</v>
      </c>
      <c r="I672">
        <v>11.920000076293951</v>
      </c>
      <c r="L672" t="s">
        <v>466</v>
      </c>
      <c r="O672">
        <v>37.51</v>
      </c>
      <c r="P672">
        <v>58.78</v>
      </c>
      <c r="Q672">
        <v>21.13</v>
      </c>
      <c r="R672" s="3" t="s">
        <v>470</v>
      </c>
      <c r="S672">
        <v>37.51</v>
      </c>
      <c r="T672" t="s">
        <v>468</v>
      </c>
    </row>
    <row r="673" spans="1:20" x14ac:dyDescent="0.25">
      <c r="A673">
        <v>90</v>
      </c>
      <c r="B673">
        <v>503669</v>
      </c>
      <c r="C673" t="s">
        <v>123</v>
      </c>
      <c r="D673">
        <v>2020</v>
      </c>
      <c r="E673">
        <v>57.630001068115227</v>
      </c>
      <c r="G673" t="s">
        <v>465</v>
      </c>
      <c r="H673">
        <v>13.64999961853027</v>
      </c>
      <c r="I673">
        <v>5.5</v>
      </c>
      <c r="L673" t="s">
        <v>466</v>
      </c>
      <c r="O673">
        <v>37.51</v>
      </c>
      <c r="P673">
        <v>58.78</v>
      </c>
      <c r="Q673">
        <v>21.13</v>
      </c>
      <c r="R673" s="3" t="s">
        <v>470</v>
      </c>
      <c r="S673">
        <v>37.51</v>
      </c>
      <c r="T673" t="s">
        <v>468</v>
      </c>
    </row>
    <row r="674" spans="1:20" x14ac:dyDescent="0.25">
      <c r="A674">
        <v>90</v>
      </c>
      <c r="B674">
        <v>503669</v>
      </c>
      <c r="C674" t="s">
        <v>123</v>
      </c>
      <c r="D674">
        <v>2021</v>
      </c>
      <c r="E674">
        <v>57.630001068115227</v>
      </c>
      <c r="G674" t="s">
        <v>465</v>
      </c>
      <c r="H674">
        <v>12.989999771118161</v>
      </c>
      <c r="I674">
        <v>5.9800000190734863</v>
      </c>
      <c r="L674" t="s">
        <v>466</v>
      </c>
      <c r="O674">
        <v>37.51</v>
      </c>
      <c r="P674">
        <v>58.78</v>
      </c>
      <c r="Q674">
        <v>21.13</v>
      </c>
      <c r="R674" s="3" t="s">
        <v>470</v>
      </c>
      <c r="S674">
        <v>37.51</v>
      </c>
      <c r="T674" t="s">
        <v>468</v>
      </c>
    </row>
    <row r="675" spans="1:20" x14ac:dyDescent="0.25">
      <c r="A675">
        <v>90</v>
      </c>
      <c r="B675">
        <v>503669</v>
      </c>
      <c r="C675" t="s">
        <v>123</v>
      </c>
      <c r="D675">
        <v>2022</v>
      </c>
      <c r="E675">
        <v>57.630001068115227</v>
      </c>
      <c r="G675" t="s">
        <v>465</v>
      </c>
      <c r="H675">
        <v>19.14999961853027</v>
      </c>
      <c r="I675">
        <v>7.7399997711181641</v>
      </c>
      <c r="L675" t="s">
        <v>466</v>
      </c>
      <c r="O675">
        <v>37.51</v>
      </c>
      <c r="P675">
        <v>58.78</v>
      </c>
      <c r="Q675">
        <v>21.13</v>
      </c>
      <c r="R675" s="3" t="s">
        <v>470</v>
      </c>
      <c r="S675">
        <v>37.51</v>
      </c>
      <c r="T675" t="s">
        <v>468</v>
      </c>
    </row>
    <row r="676" spans="1:20" x14ac:dyDescent="0.25">
      <c r="A676">
        <v>90</v>
      </c>
      <c r="B676">
        <v>503669</v>
      </c>
      <c r="C676" t="s">
        <v>123</v>
      </c>
      <c r="D676">
        <v>2023</v>
      </c>
      <c r="E676">
        <v>57.630001068115227</v>
      </c>
      <c r="G676" t="s">
        <v>465</v>
      </c>
      <c r="H676">
        <v>33.069999694824219</v>
      </c>
      <c r="I676">
        <v>10.789999961853029</v>
      </c>
      <c r="L676" t="s">
        <v>466</v>
      </c>
      <c r="O676">
        <v>37.51</v>
      </c>
      <c r="P676">
        <v>58.78</v>
      </c>
      <c r="Q676">
        <v>21.13</v>
      </c>
      <c r="R676" s="3" t="s">
        <v>470</v>
      </c>
      <c r="S676">
        <v>37.51</v>
      </c>
      <c r="T676" t="s">
        <v>468</v>
      </c>
    </row>
    <row r="677" spans="1:20" x14ac:dyDescent="0.25">
      <c r="A677">
        <v>90</v>
      </c>
      <c r="B677">
        <v>503669</v>
      </c>
      <c r="C677" t="s">
        <v>123</v>
      </c>
      <c r="D677">
        <v>2024</v>
      </c>
      <c r="E677">
        <v>57.630001068115227</v>
      </c>
      <c r="G677" t="s">
        <v>465</v>
      </c>
      <c r="H677">
        <v>58.779998779296882</v>
      </c>
      <c r="I677">
        <v>23.059999465942379</v>
      </c>
      <c r="L677" t="s">
        <v>466</v>
      </c>
      <c r="O677">
        <v>37.51</v>
      </c>
      <c r="P677">
        <v>58.78</v>
      </c>
      <c r="Q677">
        <v>21.13</v>
      </c>
      <c r="R677" s="3" t="s">
        <v>470</v>
      </c>
      <c r="S677">
        <v>37.51</v>
      </c>
      <c r="T677" t="s">
        <v>468</v>
      </c>
    </row>
    <row r="678" spans="1:20" x14ac:dyDescent="0.25">
      <c r="A678">
        <v>91</v>
      </c>
      <c r="B678">
        <v>504067</v>
      </c>
      <c r="C678" t="s">
        <v>125</v>
      </c>
      <c r="D678">
        <v>2015</v>
      </c>
      <c r="E678">
        <v>518.3499755859375</v>
      </c>
      <c r="F678">
        <v>11.94</v>
      </c>
      <c r="G678" t="s">
        <v>465</v>
      </c>
      <c r="H678">
        <v>224</v>
      </c>
      <c r="I678">
        <v>116.8199996948242</v>
      </c>
      <c r="L678" t="s">
        <v>469</v>
      </c>
      <c r="M678">
        <v>18.760469011725299</v>
      </c>
      <c r="N678">
        <v>9.7839195724308379</v>
      </c>
      <c r="O678">
        <v>528.54999999999995</v>
      </c>
      <c r="P678">
        <v>868.95</v>
      </c>
      <c r="Q678">
        <v>423</v>
      </c>
      <c r="R678" s="2" t="s">
        <v>467</v>
      </c>
      <c r="S678">
        <v>528.54999999999995</v>
      </c>
      <c r="T678" t="s">
        <v>468</v>
      </c>
    </row>
    <row r="679" spans="1:20" x14ac:dyDescent="0.25">
      <c r="A679">
        <v>91</v>
      </c>
      <c r="B679">
        <v>504067</v>
      </c>
      <c r="C679" t="s">
        <v>125</v>
      </c>
      <c r="D679">
        <v>2016</v>
      </c>
      <c r="E679">
        <v>518.3499755859375</v>
      </c>
      <c r="F679">
        <v>12.97</v>
      </c>
      <c r="G679" t="s">
        <v>465</v>
      </c>
      <c r="H679">
        <v>227.21000671386719</v>
      </c>
      <c r="I679">
        <v>161</v>
      </c>
      <c r="L679" t="s">
        <v>469</v>
      </c>
      <c r="M679">
        <v>17.51811925318945</v>
      </c>
      <c r="N679">
        <v>12.413261372397841</v>
      </c>
      <c r="O679">
        <v>528.54999999999995</v>
      </c>
      <c r="P679">
        <v>868.95</v>
      </c>
      <c r="Q679">
        <v>423</v>
      </c>
      <c r="R679" s="2" t="s">
        <v>467</v>
      </c>
      <c r="S679">
        <v>528.54999999999995</v>
      </c>
      <c r="T679" t="s">
        <v>468</v>
      </c>
    </row>
    <row r="680" spans="1:20" x14ac:dyDescent="0.25">
      <c r="A680">
        <v>91</v>
      </c>
      <c r="B680">
        <v>504067</v>
      </c>
      <c r="C680" t="s">
        <v>125</v>
      </c>
      <c r="D680">
        <v>2017</v>
      </c>
      <c r="E680">
        <v>518.3499755859375</v>
      </c>
      <c r="F680">
        <v>10.47</v>
      </c>
      <c r="G680" t="s">
        <v>465</v>
      </c>
      <c r="H680">
        <v>191.55000305175781</v>
      </c>
      <c r="I680">
        <v>147.1000061035156</v>
      </c>
      <c r="L680" t="s">
        <v>469</v>
      </c>
      <c r="M680">
        <v>18.295129231304472</v>
      </c>
      <c r="N680">
        <v>14.04966629450961</v>
      </c>
      <c r="O680">
        <v>528.54999999999995</v>
      </c>
      <c r="P680">
        <v>868.95</v>
      </c>
      <c r="Q680">
        <v>423</v>
      </c>
      <c r="R680" s="2" t="s">
        <v>467</v>
      </c>
      <c r="S680">
        <v>528.54999999999995</v>
      </c>
      <c r="T680" t="s">
        <v>468</v>
      </c>
    </row>
    <row r="681" spans="1:20" x14ac:dyDescent="0.25">
      <c r="A681">
        <v>91</v>
      </c>
      <c r="B681">
        <v>504067</v>
      </c>
      <c r="C681" t="s">
        <v>125</v>
      </c>
      <c r="D681">
        <v>2018</v>
      </c>
      <c r="E681">
        <v>518.3499755859375</v>
      </c>
      <c r="F681">
        <v>10.74</v>
      </c>
      <c r="G681" t="s">
        <v>465</v>
      </c>
      <c r="H681">
        <v>352.39999389648438</v>
      </c>
      <c r="I681">
        <v>145.97999572753909</v>
      </c>
      <c r="L681" t="s">
        <v>469</v>
      </c>
      <c r="M681">
        <v>32.81191749501717</v>
      </c>
      <c r="N681">
        <v>13.59217837314144</v>
      </c>
      <c r="O681">
        <v>528.54999999999995</v>
      </c>
      <c r="P681">
        <v>868.95</v>
      </c>
      <c r="Q681">
        <v>423</v>
      </c>
      <c r="R681" s="2" t="s">
        <v>467</v>
      </c>
      <c r="S681">
        <v>528.54999999999995</v>
      </c>
      <c r="T681" t="s">
        <v>468</v>
      </c>
    </row>
    <row r="682" spans="1:20" x14ac:dyDescent="0.25">
      <c r="A682">
        <v>91</v>
      </c>
      <c r="B682">
        <v>504067</v>
      </c>
      <c r="C682" t="s">
        <v>125</v>
      </c>
      <c r="D682">
        <v>2019</v>
      </c>
      <c r="E682">
        <v>518.3499755859375</v>
      </c>
      <c r="F682">
        <v>13.93</v>
      </c>
      <c r="G682" t="s">
        <v>465</v>
      </c>
      <c r="H682">
        <v>271.29998779296881</v>
      </c>
      <c r="I682">
        <v>167.69999694824219</v>
      </c>
      <c r="L682" t="s">
        <v>469</v>
      </c>
      <c r="M682">
        <v>19.475950308181542</v>
      </c>
      <c r="N682">
        <v>12.03876503576757</v>
      </c>
      <c r="O682">
        <v>528.54999999999995</v>
      </c>
      <c r="P682">
        <v>868.95</v>
      </c>
      <c r="Q682">
        <v>423</v>
      </c>
      <c r="R682" s="2" t="s">
        <v>467</v>
      </c>
      <c r="S682">
        <v>528.54999999999995</v>
      </c>
      <c r="T682" t="s">
        <v>468</v>
      </c>
    </row>
    <row r="683" spans="1:20" x14ac:dyDescent="0.25">
      <c r="A683">
        <v>91</v>
      </c>
      <c r="B683">
        <v>504067</v>
      </c>
      <c r="C683" t="s">
        <v>125</v>
      </c>
      <c r="D683">
        <v>2020</v>
      </c>
      <c r="E683">
        <v>518.3499755859375</v>
      </c>
      <c r="F683">
        <v>11.69</v>
      </c>
      <c r="G683" t="s">
        <v>465</v>
      </c>
      <c r="H683">
        <v>266.89999389648438</v>
      </c>
      <c r="I683">
        <v>63.700000762939453</v>
      </c>
      <c r="L683" t="s">
        <v>469</v>
      </c>
      <c r="M683">
        <v>22.831479375233911</v>
      </c>
      <c r="N683">
        <v>5.4491018616714673</v>
      </c>
      <c r="O683">
        <v>528.54999999999995</v>
      </c>
      <c r="P683">
        <v>868.95</v>
      </c>
      <c r="Q683">
        <v>423</v>
      </c>
      <c r="R683" s="2" t="s">
        <v>467</v>
      </c>
      <c r="S683">
        <v>528.54999999999995</v>
      </c>
      <c r="T683" t="s">
        <v>468</v>
      </c>
    </row>
    <row r="684" spans="1:20" x14ac:dyDescent="0.25">
      <c r="A684">
        <v>91</v>
      </c>
      <c r="B684">
        <v>504067</v>
      </c>
      <c r="C684" t="s">
        <v>125</v>
      </c>
      <c r="D684">
        <v>2021</v>
      </c>
      <c r="E684">
        <v>518.3499755859375</v>
      </c>
      <c r="F684">
        <v>13.3</v>
      </c>
      <c r="G684" t="s">
        <v>465</v>
      </c>
      <c r="H684">
        <v>587</v>
      </c>
      <c r="I684">
        <v>222.1000061035156</v>
      </c>
      <c r="L684" t="s">
        <v>469</v>
      </c>
      <c r="M684">
        <v>44.13533834586466</v>
      </c>
      <c r="N684">
        <v>16.699248579211702</v>
      </c>
      <c r="O684">
        <v>528.54999999999995</v>
      </c>
      <c r="P684">
        <v>868.95</v>
      </c>
      <c r="Q684">
        <v>423</v>
      </c>
      <c r="R684" s="2" t="s">
        <v>467</v>
      </c>
      <c r="S684">
        <v>528.54999999999995</v>
      </c>
      <c r="T684" t="s">
        <v>468</v>
      </c>
    </row>
    <row r="685" spans="1:20" x14ac:dyDescent="0.25">
      <c r="A685">
        <v>91</v>
      </c>
      <c r="B685">
        <v>504067</v>
      </c>
      <c r="C685" t="s">
        <v>125</v>
      </c>
      <c r="D685">
        <v>2022</v>
      </c>
      <c r="E685">
        <v>518.3499755859375</v>
      </c>
      <c r="F685">
        <v>18.399999999999999</v>
      </c>
      <c r="G685" t="s">
        <v>465</v>
      </c>
      <c r="H685">
        <v>538.75</v>
      </c>
      <c r="I685">
        <v>202</v>
      </c>
      <c r="L685" t="s">
        <v>469</v>
      </c>
      <c r="M685">
        <v>29.279891304347831</v>
      </c>
      <c r="N685">
        <v>10.97826086956522</v>
      </c>
      <c r="O685">
        <v>528.54999999999995</v>
      </c>
      <c r="P685">
        <v>868.95</v>
      </c>
      <c r="Q685">
        <v>423</v>
      </c>
      <c r="R685" s="2" t="s">
        <v>467</v>
      </c>
      <c r="S685">
        <v>528.54999999999995</v>
      </c>
      <c r="T685" t="s">
        <v>468</v>
      </c>
    </row>
    <row r="686" spans="1:20" x14ac:dyDescent="0.25">
      <c r="A686">
        <v>91</v>
      </c>
      <c r="B686">
        <v>504067</v>
      </c>
      <c r="C686" t="s">
        <v>125</v>
      </c>
      <c r="D686">
        <v>2023</v>
      </c>
      <c r="E686">
        <v>518.3499755859375</v>
      </c>
      <c r="F686">
        <v>14.47</v>
      </c>
      <c r="G686" t="s">
        <v>465</v>
      </c>
      <c r="H686">
        <v>643.95001220703125</v>
      </c>
      <c r="I686">
        <v>205.55000305175781</v>
      </c>
      <c r="L686" t="s">
        <v>469</v>
      </c>
      <c r="M686">
        <v>44.502419641121712</v>
      </c>
      <c r="N686">
        <v>14.205252456928671</v>
      </c>
      <c r="O686">
        <v>528.54999999999995</v>
      </c>
      <c r="P686">
        <v>868.95</v>
      </c>
      <c r="Q686">
        <v>423</v>
      </c>
      <c r="R686" s="2" t="s">
        <v>467</v>
      </c>
      <c r="S686">
        <v>528.54999999999995</v>
      </c>
      <c r="T686" t="s">
        <v>468</v>
      </c>
    </row>
    <row r="687" spans="1:20" x14ac:dyDescent="0.25">
      <c r="A687">
        <v>91</v>
      </c>
      <c r="B687">
        <v>504067</v>
      </c>
      <c r="C687" t="s">
        <v>125</v>
      </c>
      <c r="D687">
        <v>2024</v>
      </c>
      <c r="E687">
        <v>518.3499755859375</v>
      </c>
      <c r="F687">
        <v>29.34</v>
      </c>
      <c r="G687" t="s">
        <v>465</v>
      </c>
      <c r="H687">
        <v>838.45001220703125</v>
      </c>
      <c r="I687">
        <v>512.79998779296875</v>
      </c>
      <c r="L687" t="s">
        <v>469</v>
      </c>
      <c r="M687">
        <v>28.57702836424783</v>
      </c>
      <c r="N687">
        <v>17.477845528049379</v>
      </c>
      <c r="O687">
        <v>528.54999999999995</v>
      </c>
      <c r="P687">
        <v>868.95</v>
      </c>
      <c r="Q687">
        <v>423</v>
      </c>
      <c r="R687" s="2" t="s">
        <v>467</v>
      </c>
      <c r="S687">
        <v>528.54999999999995</v>
      </c>
      <c r="T687" t="s">
        <v>468</v>
      </c>
    </row>
    <row r="688" spans="1:20" x14ac:dyDescent="0.25">
      <c r="A688">
        <v>91</v>
      </c>
      <c r="B688">
        <v>504067</v>
      </c>
      <c r="C688" t="s">
        <v>125</v>
      </c>
      <c r="D688">
        <v>2025</v>
      </c>
      <c r="E688">
        <v>518.3499755859375</v>
      </c>
      <c r="F688">
        <v>28.61</v>
      </c>
      <c r="G688" t="s">
        <v>465</v>
      </c>
      <c r="H688">
        <v>951.70001220703125</v>
      </c>
      <c r="I688">
        <v>558.5</v>
      </c>
      <c r="L688" t="s">
        <v>469</v>
      </c>
      <c r="M688">
        <v>33.264593226390467</v>
      </c>
      <c r="N688">
        <v>19.521146452289411</v>
      </c>
      <c r="O688">
        <v>528.54999999999995</v>
      </c>
      <c r="P688">
        <v>868.95</v>
      </c>
      <c r="Q688">
        <v>423</v>
      </c>
      <c r="R688" s="2" t="s">
        <v>467</v>
      </c>
      <c r="S688">
        <v>528.54999999999995</v>
      </c>
      <c r="T688" t="s">
        <v>468</v>
      </c>
    </row>
    <row r="689" spans="1:20" x14ac:dyDescent="0.25">
      <c r="A689">
        <v>91</v>
      </c>
      <c r="B689">
        <v>504067</v>
      </c>
      <c r="C689" t="s">
        <v>125</v>
      </c>
      <c r="D689">
        <v>2026</v>
      </c>
      <c r="E689">
        <v>518.3499755859375</v>
      </c>
      <c r="F689">
        <v>34.049999999999997</v>
      </c>
      <c r="G689" t="s">
        <v>465</v>
      </c>
      <c r="H689">
        <v>740.04998779296875</v>
      </c>
      <c r="I689">
        <v>423.35000610351563</v>
      </c>
      <c r="L689" t="s">
        <v>469</v>
      </c>
      <c r="M689">
        <v>21.73421403209894</v>
      </c>
      <c r="N689">
        <v>12.433186669706769</v>
      </c>
      <c r="O689">
        <v>528.54999999999995</v>
      </c>
      <c r="P689">
        <v>868.95</v>
      </c>
      <c r="Q689">
        <v>423</v>
      </c>
      <c r="R689" s="2" t="s">
        <v>467</v>
      </c>
      <c r="S689">
        <v>528.54999999999995</v>
      </c>
      <c r="T689" t="s">
        <v>468</v>
      </c>
    </row>
    <row r="690" spans="1:20" x14ac:dyDescent="0.25">
      <c r="A690">
        <v>92</v>
      </c>
      <c r="B690">
        <v>504076</v>
      </c>
      <c r="C690" t="s">
        <v>127</v>
      </c>
      <c r="D690">
        <v>2015</v>
      </c>
      <c r="E690">
        <v>54.099998474121087</v>
      </c>
      <c r="F690">
        <v>-66.290000000000006</v>
      </c>
      <c r="G690" t="s">
        <v>465</v>
      </c>
      <c r="H690">
        <v>87</v>
      </c>
      <c r="I690">
        <v>49.849998474121087</v>
      </c>
      <c r="L690" t="s">
        <v>471</v>
      </c>
      <c r="M690">
        <v>-1.312415145572484</v>
      </c>
      <c r="N690">
        <v>-0.75199877016323857</v>
      </c>
      <c r="O690">
        <v>81.63</v>
      </c>
      <c r="P690">
        <v>165</v>
      </c>
      <c r="Q690">
        <v>44</v>
      </c>
      <c r="R690" s="3" t="s">
        <v>470</v>
      </c>
      <c r="S690">
        <v>81.63</v>
      </c>
      <c r="T690" t="s">
        <v>468</v>
      </c>
    </row>
    <row r="691" spans="1:20" x14ac:dyDescent="0.25">
      <c r="A691">
        <v>92</v>
      </c>
      <c r="B691">
        <v>504076</v>
      </c>
      <c r="C691" t="s">
        <v>127</v>
      </c>
      <c r="D691">
        <v>2016</v>
      </c>
      <c r="E691">
        <v>54.099998474121087</v>
      </c>
      <c r="F691">
        <v>-45.54</v>
      </c>
      <c r="G691" t="s">
        <v>465</v>
      </c>
      <c r="H691">
        <v>72</v>
      </c>
      <c r="I691">
        <v>30.20000076293945</v>
      </c>
      <c r="L691" t="s">
        <v>471</v>
      </c>
      <c r="M691">
        <v>-1.5810276679841899</v>
      </c>
      <c r="N691">
        <v>-0.66315328860209599</v>
      </c>
      <c r="O691">
        <v>81.63</v>
      </c>
      <c r="P691">
        <v>165</v>
      </c>
      <c r="Q691">
        <v>44</v>
      </c>
      <c r="R691" s="3" t="s">
        <v>470</v>
      </c>
      <c r="S691">
        <v>81.63</v>
      </c>
      <c r="T691" t="s">
        <v>468</v>
      </c>
    </row>
    <row r="692" spans="1:20" x14ac:dyDescent="0.25">
      <c r="A692">
        <v>92</v>
      </c>
      <c r="B692">
        <v>504076</v>
      </c>
      <c r="C692" t="s">
        <v>127</v>
      </c>
      <c r="D692">
        <v>2017</v>
      </c>
      <c r="E692">
        <v>54.099998474121087</v>
      </c>
      <c r="F692">
        <v>-68.87</v>
      </c>
      <c r="G692" t="s">
        <v>465</v>
      </c>
      <c r="H692">
        <v>63.700000762939453</v>
      </c>
      <c r="I692">
        <v>36.150001525878913</v>
      </c>
      <c r="L692" t="s">
        <v>471</v>
      </c>
      <c r="M692">
        <v>-0.92493104055378905</v>
      </c>
      <c r="N692">
        <v>-0.52490201141104853</v>
      </c>
      <c r="O692">
        <v>81.63</v>
      </c>
      <c r="P692">
        <v>165</v>
      </c>
      <c r="Q692">
        <v>44</v>
      </c>
      <c r="R692" s="3" t="s">
        <v>470</v>
      </c>
      <c r="S692">
        <v>81.63</v>
      </c>
      <c r="T692" t="s">
        <v>468</v>
      </c>
    </row>
    <row r="693" spans="1:20" x14ac:dyDescent="0.25">
      <c r="A693">
        <v>92</v>
      </c>
      <c r="B693">
        <v>504076</v>
      </c>
      <c r="C693" t="s">
        <v>127</v>
      </c>
      <c r="D693">
        <v>2018</v>
      </c>
      <c r="E693">
        <v>54.099998474121087</v>
      </c>
      <c r="F693">
        <v>2.11</v>
      </c>
      <c r="G693" t="s">
        <v>465</v>
      </c>
      <c r="H693">
        <v>71.849998474121094</v>
      </c>
      <c r="I693">
        <v>15</v>
      </c>
      <c r="L693" t="s">
        <v>469</v>
      </c>
      <c r="M693">
        <v>34.052131978256448</v>
      </c>
      <c r="N693">
        <v>7.109004739336493</v>
      </c>
      <c r="O693">
        <v>81.63</v>
      </c>
      <c r="P693">
        <v>165</v>
      </c>
      <c r="Q693">
        <v>44</v>
      </c>
      <c r="R693" s="3" t="s">
        <v>470</v>
      </c>
      <c r="S693">
        <v>81.63</v>
      </c>
      <c r="T693" t="s">
        <v>468</v>
      </c>
    </row>
    <row r="694" spans="1:20" x14ac:dyDescent="0.25">
      <c r="A694">
        <v>92</v>
      </c>
      <c r="B694">
        <v>504076</v>
      </c>
      <c r="C694" t="s">
        <v>127</v>
      </c>
      <c r="D694">
        <v>2019</v>
      </c>
      <c r="E694">
        <v>54.099998474121087</v>
      </c>
      <c r="F694">
        <v>-2.7</v>
      </c>
      <c r="G694" t="s">
        <v>465</v>
      </c>
      <c r="H694">
        <v>19.10000038146973</v>
      </c>
      <c r="I694">
        <v>5.2199997901916504</v>
      </c>
      <c r="L694" t="s">
        <v>471</v>
      </c>
      <c r="M694">
        <v>-7.0740742153591576</v>
      </c>
      <c r="N694">
        <v>-1.933333255626537</v>
      </c>
      <c r="O694">
        <v>81.63</v>
      </c>
      <c r="P694">
        <v>165</v>
      </c>
      <c r="Q694">
        <v>44</v>
      </c>
      <c r="R694" s="3" t="s">
        <v>470</v>
      </c>
      <c r="S694">
        <v>81.63</v>
      </c>
      <c r="T694" t="s">
        <v>468</v>
      </c>
    </row>
    <row r="695" spans="1:20" x14ac:dyDescent="0.25">
      <c r="A695">
        <v>92</v>
      </c>
      <c r="B695">
        <v>504076</v>
      </c>
      <c r="C695" t="s">
        <v>127</v>
      </c>
      <c r="D695">
        <v>2020</v>
      </c>
      <c r="E695">
        <v>54.099998474121087</v>
      </c>
      <c r="F695">
        <v>-5.93</v>
      </c>
      <c r="G695" t="s">
        <v>465</v>
      </c>
      <c r="H695">
        <v>17.680000305175781</v>
      </c>
      <c r="I695">
        <v>2.380000114440918</v>
      </c>
      <c r="L695" t="s">
        <v>471</v>
      </c>
      <c r="M695">
        <v>-2.9814503044141292</v>
      </c>
      <c r="N695">
        <v>-0.40134909181128459</v>
      </c>
      <c r="O695">
        <v>81.63</v>
      </c>
      <c r="P695">
        <v>165</v>
      </c>
      <c r="Q695">
        <v>44</v>
      </c>
      <c r="R695" s="3" t="s">
        <v>470</v>
      </c>
      <c r="S695">
        <v>81.63</v>
      </c>
      <c r="T695" t="s">
        <v>468</v>
      </c>
    </row>
    <row r="696" spans="1:20" x14ac:dyDescent="0.25">
      <c r="A696">
        <v>92</v>
      </c>
      <c r="B696">
        <v>504076</v>
      </c>
      <c r="C696" t="s">
        <v>127</v>
      </c>
      <c r="D696">
        <v>2021</v>
      </c>
      <c r="E696">
        <v>54.099998474121087</v>
      </c>
      <c r="F696">
        <v>-1.53</v>
      </c>
      <c r="G696" t="s">
        <v>465</v>
      </c>
      <c r="H696">
        <v>15.60000038146973</v>
      </c>
      <c r="I696">
        <v>7.9000000953674316</v>
      </c>
      <c r="L696" t="s">
        <v>471</v>
      </c>
      <c r="M696">
        <v>-10.19607868069917</v>
      </c>
      <c r="N696">
        <v>-5.1633987551421123</v>
      </c>
      <c r="O696">
        <v>81.63</v>
      </c>
      <c r="P696">
        <v>165</v>
      </c>
      <c r="Q696">
        <v>44</v>
      </c>
      <c r="R696" s="3" t="s">
        <v>470</v>
      </c>
      <c r="S696">
        <v>81.63</v>
      </c>
      <c r="T696" t="s">
        <v>468</v>
      </c>
    </row>
    <row r="697" spans="1:20" x14ac:dyDescent="0.25">
      <c r="A697">
        <v>92</v>
      </c>
      <c r="B697">
        <v>504076</v>
      </c>
      <c r="C697" t="s">
        <v>127</v>
      </c>
      <c r="D697">
        <v>2022</v>
      </c>
      <c r="E697">
        <v>54.099998474121087</v>
      </c>
      <c r="F697">
        <v>0.65</v>
      </c>
      <c r="G697" t="s">
        <v>465</v>
      </c>
      <c r="H697">
        <v>22.389999389648441</v>
      </c>
      <c r="I697">
        <v>8.0200004577636719</v>
      </c>
      <c r="L697" t="s">
        <v>469</v>
      </c>
      <c r="M697">
        <v>34.446152907151443</v>
      </c>
      <c r="N697">
        <v>12.338462242713341</v>
      </c>
      <c r="O697">
        <v>81.63</v>
      </c>
      <c r="P697">
        <v>165</v>
      </c>
      <c r="Q697">
        <v>44</v>
      </c>
      <c r="R697" s="3" t="s">
        <v>470</v>
      </c>
      <c r="S697">
        <v>81.63</v>
      </c>
      <c r="T697" t="s">
        <v>468</v>
      </c>
    </row>
    <row r="698" spans="1:20" x14ac:dyDescent="0.25">
      <c r="A698">
        <v>92</v>
      </c>
      <c r="B698">
        <v>504076</v>
      </c>
      <c r="C698" t="s">
        <v>127</v>
      </c>
      <c r="D698">
        <v>2023</v>
      </c>
      <c r="E698">
        <v>54.099998474121087</v>
      </c>
      <c r="F698">
        <v>2</v>
      </c>
      <c r="G698" t="s">
        <v>465</v>
      </c>
      <c r="H698">
        <v>65.959999084472656</v>
      </c>
      <c r="I698">
        <v>13.930000305175779</v>
      </c>
      <c r="L698" t="s">
        <v>469</v>
      </c>
      <c r="M698">
        <v>32.979999542236328</v>
      </c>
      <c r="N698">
        <v>6.9650001525878897</v>
      </c>
      <c r="O698">
        <v>81.63</v>
      </c>
      <c r="P698">
        <v>165</v>
      </c>
      <c r="Q698">
        <v>44</v>
      </c>
      <c r="R698" s="3" t="s">
        <v>470</v>
      </c>
      <c r="S698">
        <v>81.63</v>
      </c>
      <c r="T698" t="s">
        <v>468</v>
      </c>
    </row>
    <row r="699" spans="1:20" x14ac:dyDescent="0.25">
      <c r="A699">
        <v>92</v>
      </c>
      <c r="B699">
        <v>504076</v>
      </c>
      <c r="C699" t="s">
        <v>127</v>
      </c>
      <c r="D699">
        <v>2024</v>
      </c>
      <c r="E699">
        <v>54.099998474121087</v>
      </c>
      <c r="F699">
        <v>3.65</v>
      </c>
      <c r="G699" t="s">
        <v>465</v>
      </c>
      <c r="H699">
        <v>165</v>
      </c>
      <c r="I699">
        <v>44</v>
      </c>
      <c r="L699" t="s">
        <v>469</v>
      </c>
      <c r="M699">
        <v>45.205479452054803</v>
      </c>
      <c r="N699">
        <v>12.054794520547951</v>
      </c>
      <c r="O699">
        <v>81.63</v>
      </c>
      <c r="P699">
        <v>165</v>
      </c>
      <c r="Q699">
        <v>44</v>
      </c>
      <c r="R699" s="3" t="s">
        <v>470</v>
      </c>
      <c r="S699">
        <v>81.63</v>
      </c>
      <c r="T699" t="s">
        <v>468</v>
      </c>
    </row>
    <row r="700" spans="1:20" x14ac:dyDescent="0.25">
      <c r="A700">
        <v>92</v>
      </c>
      <c r="B700">
        <v>504076</v>
      </c>
      <c r="C700" t="s">
        <v>127</v>
      </c>
      <c r="D700">
        <v>2025</v>
      </c>
      <c r="E700">
        <v>54.099998474121087</v>
      </c>
      <c r="F700">
        <v>7.03</v>
      </c>
      <c r="G700" t="s">
        <v>465</v>
      </c>
      <c r="H700">
        <v>133</v>
      </c>
      <c r="I700">
        <v>67.730003356933594</v>
      </c>
      <c r="L700" t="s">
        <v>469</v>
      </c>
      <c r="M700">
        <v>18.918918918918919</v>
      </c>
      <c r="N700">
        <v>9.6344243750972396</v>
      </c>
      <c r="O700">
        <v>81.63</v>
      </c>
      <c r="P700">
        <v>165</v>
      </c>
      <c r="Q700">
        <v>44</v>
      </c>
      <c r="R700" s="3" t="s">
        <v>470</v>
      </c>
      <c r="S700">
        <v>81.63</v>
      </c>
      <c r="T700" t="s">
        <v>468</v>
      </c>
    </row>
    <row r="701" spans="1:20" x14ac:dyDescent="0.25">
      <c r="A701">
        <v>92</v>
      </c>
      <c r="B701">
        <v>504076</v>
      </c>
      <c r="C701" t="s">
        <v>127</v>
      </c>
      <c r="D701">
        <v>2026</v>
      </c>
      <c r="E701">
        <v>54.099998474121087</v>
      </c>
      <c r="F701">
        <v>7.81</v>
      </c>
      <c r="G701" t="s">
        <v>465</v>
      </c>
      <c r="H701">
        <v>90.5</v>
      </c>
      <c r="I701">
        <v>48.5</v>
      </c>
      <c r="L701" t="s">
        <v>469</v>
      </c>
      <c r="M701">
        <v>11.58770806658131</v>
      </c>
      <c r="N701">
        <v>6.2099871959026904</v>
      </c>
      <c r="O701">
        <v>81.63</v>
      </c>
      <c r="P701">
        <v>165</v>
      </c>
      <c r="Q701">
        <v>44</v>
      </c>
      <c r="R701" s="3" t="s">
        <v>470</v>
      </c>
      <c r="S701">
        <v>81.63</v>
      </c>
      <c r="T701" t="s">
        <v>468</v>
      </c>
    </row>
    <row r="702" spans="1:20" x14ac:dyDescent="0.25">
      <c r="A702">
        <v>94</v>
      </c>
      <c r="B702">
        <v>504176</v>
      </c>
      <c r="C702" t="s">
        <v>129</v>
      </c>
      <c r="D702">
        <v>2015</v>
      </c>
      <c r="E702">
        <v>576.4000244140625</v>
      </c>
      <c r="F702">
        <v>-3.12</v>
      </c>
      <c r="G702" t="s">
        <v>465</v>
      </c>
      <c r="H702">
        <v>43.970001220703118</v>
      </c>
      <c r="I702">
        <v>24.440000534057621</v>
      </c>
      <c r="L702" t="s">
        <v>471</v>
      </c>
      <c r="M702">
        <v>-14.09294910919972</v>
      </c>
      <c r="N702">
        <v>-7.8333335045056476</v>
      </c>
      <c r="O702">
        <v>724.55</v>
      </c>
      <c r="P702">
        <v>1058.8</v>
      </c>
      <c r="Q702">
        <v>516.9</v>
      </c>
      <c r="R702" s="3" t="s">
        <v>470</v>
      </c>
      <c r="S702">
        <v>724.55</v>
      </c>
      <c r="T702" t="s">
        <v>468</v>
      </c>
    </row>
    <row r="703" spans="1:20" x14ac:dyDescent="0.25">
      <c r="A703">
        <v>94</v>
      </c>
      <c r="B703">
        <v>504176</v>
      </c>
      <c r="C703" t="s">
        <v>129</v>
      </c>
      <c r="D703">
        <v>2016</v>
      </c>
      <c r="E703">
        <v>576.4000244140625</v>
      </c>
      <c r="F703">
        <v>-7.64</v>
      </c>
      <c r="G703" t="s">
        <v>465</v>
      </c>
      <c r="H703">
        <v>66.900001525878906</v>
      </c>
      <c r="I703">
        <v>24.04000091552734</v>
      </c>
      <c r="L703" t="s">
        <v>471</v>
      </c>
      <c r="M703">
        <v>-8.7565447023401717</v>
      </c>
      <c r="N703">
        <v>-3.1465969784721648</v>
      </c>
      <c r="O703">
        <v>724.55</v>
      </c>
      <c r="P703">
        <v>1058.8</v>
      </c>
      <c r="Q703">
        <v>516.9</v>
      </c>
      <c r="R703" s="3" t="s">
        <v>470</v>
      </c>
      <c r="S703">
        <v>724.55</v>
      </c>
      <c r="T703" t="s">
        <v>468</v>
      </c>
    </row>
    <row r="704" spans="1:20" x14ac:dyDescent="0.25">
      <c r="A704">
        <v>94</v>
      </c>
      <c r="B704">
        <v>504176</v>
      </c>
      <c r="C704" t="s">
        <v>129</v>
      </c>
      <c r="D704">
        <v>2017</v>
      </c>
      <c r="E704">
        <v>576.4000244140625</v>
      </c>
      <c r="F704">
        <v>-0.96</v>
      </c>
      <c r="G704" t="s">
        <v>465</v>
      </c>
      <c r="H704">
        <v>83.040000915527344</v>
      </c>
      <c r="I704">
        <v>38.470001220703118</v>
      </c>
      <c r="L704" t="s">
        <v>471</v>
      </c>
      <c r="M704">
        <v>-86.500000953674316</v>
      </c>
      <c r="N704">
        <v>-40.072917938232408</v>
      </c>
      <c r="O704">
        <v>724.55</v>
      </c>
      <c r="P704">
        <v>1058.8</v>
      </c>
      <c r="Q704">
        <v>516.9</v>
      </c>
      <c r="R704" s="3" t="s">
        <v>470</v>
      </c>
      <c r="S704">
        <v>724.55</v>
      </c>
      <c r="T704" t="s">
        <v>468</v>
      </c>
    </row>
    <row r="705" spans="1:20" x14ac:dyDescent="0.25">
      <c r="A705">
        <v>94</v>
      </c>
      <c r="B705">
        <v>504176</v>
      </c>
      <c r="C705" t="s">
        <v>129</v>
      </c>
      <c r="D705">
        <v>2018</v>
      </c>
      <c r="E705">
        <v>576.4000244140625</v>
      </c>
      <c r="F705">
        <v>3.64</v>
      </c>
      <c r="G705" t="s">
        <v>465</v>
      </c>
      <c r="H705">
        <v>110</v>
      </c>
      <c r="I705">
        <v>54.700000762939453</v>
      </c>
      <c r="L705" t="s">
        <v>469</v>
      </c>
      <c r="M705">
        <v>30.219780219780219</v>
      </c>
      <c r="N705">
        <v>15.02747273707128</v>
      </c>
      <c r="O705">
        <v>724.55</v>
      </c>
      <c r="P705">
        <v>1058.8</v>
      </c>
      <c r="Q705">
        <v>516.9</v>
      </c>
      <c r="R705" s="3" t="s">
        <v>470</v>
      </c>
      <c r="S705">
        <v>724.55</v>
      </c>
      <c r="T705" t="s">
        <v>468</v>
      </c>
    </row>
    <row r="706" spans="1:20" x14ac:dyDescent="0.25">
      <c r="A706">
        <v>94</v>
      </c>
      <c r="B706">
        <v>504176</v>
      </c>
      <c r="C706" t="s">
        <v>129</v>
      </c>
      <c r="D706">
        <v>2019</v>
      </c>
      <c r="E706">
        <v>576.4000244140625</v>
      </c>
      <c r="F706">
        <v>0.87</v>
      </c>
      <c r="G706" t="s">
        <v>465</v>
      </c>
      <c r="H706">
        <v>75.199996948242188</v>
      </c>
      <c r="I706">
        <v>28.340000152587891</v>
      </c>
      <c r="L706" t="s">
        <v>484</v>
      </c>
      <c r="M706">
        <v>153.46938152702489</v>
      </c>
      <c r="N706">
        <v>57.836735005281412</v>
      </c>
      <c r="O706">
        <v>724.55</v>
      </c>
      <c r="P706">
        <v>1058.8</v>
      </c>
      <c r="Q706">
        <v>516.9</v>
      </c>
      <c r="R706" s="3" t="s">
        <v>470</v>
      </c>
      <c r="S706">
        <v>724.55</v>
      </c>
      <c r="T706" t="s">
        <v>468</v>
      </c>
    </row>
    <row r="707" spans="1:20" x14ac:dyDescent="0.25">
      <c r="A707">
        <v>94</v>
      </c>
      <c r="B707">
        <v>504176</v>
      </c>
      <c r="C707" t="s">
        <v>129</v>
      </c>
      <c r="D707">
        <v>2020</v>
      </c>
      <c r="E707">
        <v>576.4000244140625</v>
      </c>
      <c r="F707">
        <v>6.22</v>
      </c>
      <c r="G707" t="s">
        <v>465</v>
      </c>
      <c r="H707">
        <v>135.47999572753909</v>
      </c>
      <c r="I707">
        <v>33</v>
      </c>
      <c r="L707" t="s">
        <v>469</v>
      </c>
      <c r="M707">
        <v>21.781349795424291</v>
      </c>
      <c r="N707">
        <v>5.305466237942122</v>
      </c>
      <c r="O707">
        <v>724.55</v>
      </c>
      <c r="P707">
        <v>1058.8</v>
      </c>
      <c r="Q707">
        <v>516.9</v>
      </c>
      <c r="R707" s="3" t="s">
        <v>470</v>
      </c>
      <c r="S707">
        <v>724.55</v>
      </c>
      <c r="T707" t="s">
        <v>468</v>
      </c>
    </row>
    <row r="708" spans="1:20" x14ac:dyDescent="0.25">
      <c r="A708">
        <v>94</v>
      </c>
      <c r="B708">
        <v>504176</v>
      </c>
      <c r="C708" t="s">
        <v>129</v>
      </c>
      <c r="D708">
        <v>2021</v>
      </c>
      <c r="E708">
        <v>576.4000244140625</v>
      </c>
      <c r="F708">
        <v>20.37</v>
      </c>
      <c r="G708" t="s">
        <v>465</v>
      </c>
      <c r="H708">
        <v>584.29998779296875</v>
      </c>
      <c r="I708">
        <v>118.40000152587891</v>
      </c>
      <c r="L708" t="s">
        <v>469</v>
      </c>
      <c r="M708">
        <v>28.684339116002391</v>
      </c>
      <c r="N708">
        <v>5.8124693925321012</v>
      </c>
      <c r="O708">
        <v>724.55</v>
      </c>
      <c r="P708">
        <v>1058.8</v>
      </c>
      <c r="Q708">
        <v>516.9</v>
      </c>
      <c r="R708" s="3" t="s">
        <v>470</v>
      </c>
      <c r="S708">
        <v>724.55</v>
      </c>
      <c r="T708" t="s">
        <v>468</v>
      </c>
    </row>
    <row r="709" spans="1:20" x14ac:dyDescent="0.25">
      <c r="A709">
        <v>94</v>
      </c>
      <c r="B709">
        <v>504176</v>
      </c>
      <c r="C709" t="s">
        <v>129</v>
      </c>
      <c r="D709">
        <v>2022</v>
      </c>
      <c r="E709">
        <v>576.4000244140625</v>
      </c>
      <c r="F709">
        <v>19.940000000000001</v>
      </c>
      <c r="G709" t="s">
        <v>465</v>
      </c>
      <c r="H709">
        <v>506.75</v>
      </c>
      <c r="I709">
        <v>242</v>
      </c>
      <c r="L709" t="s">
        <v>469</v>
      </c>
      <c r="M709">
        <v>25.413741223671011</v>
      </c>
      <c r="N709">
        <v>12.13640922768305</v>
      </c>
      <c r="O709">
        <v>724.55</v>
      </c>
      <c r="P709">
        <v>1058.8</v>
      </c>
      <c r="Q709">
        <v>516.9</v>
      </c>
      <c r="R709" s="3" t="s">
        <v>470</v>
      </c>
      <c r="S709">
        <v>724.55</v>
      </c>
      <c r="T709" t="s">
        <v>468</v>
      </c>
    </row>
    <row r="710" spans="1:20" x14ac:dyDescent="0.25">
      <c r="A710">
        <v>94</v>
      </c>
      <c r="B710">
        <v>504176</v>
      </c>
      <c r="C710" t="s">
        <v>129</v>
      </c>
      <c r="D710">
        <v>2023</v>
      </c>
      <c r="E710">
        <v>576.4000244140625</v>
      </c>
      <c r="F710">
        <v>22.87</v>
      </c>
      <c r="G710" t="s">
        <v>465</v>
      </c>
      <c r="H710">
        <v>750</v>
      </c>
      <c r="I710">
        <v>285.85000610351563</v>
      </c>
      <c r="L710" t="s">
        <v>469</v>
      </c>
      <c r="M710">
        <v>32.794053344993443</v>
      </c>
      <c r="N710">
        <v>12.49890713176719</v>
      </c>
      <c r="O710">
        <v>724.55</v>
      </c>
      <c r="P710">
        <v>1058.8</v>
      </c>
      <c r="Q710">
        <v>516.9</v>
      </c>
      <c r="R710" s="3" t="s">
        <v>470</v>
      </c>
      <c r="S710">
        <v>724.55</v>
      </c>
      <c r="T710" t="s">
        <v>468</v>
      </c>
    </row>
    <row r="711" spans="1:20" x14ac:dyDescent="0.25">
      <c r="A711">
        <v>94</v>
      </c>
      <c r="B711">
        <v>504176</v>
      </c>
      <c r="C711" t="s">
        <v>129</v>
      </c>
      <c r="D711">
        <v>2024</v>
      </c>
      <c r="E711">
        <v>576.4000244140625</v>
      </c>
      <c r="F711">
        <v>19.14</v>
      </c>
      <c r="G711" t="s">
        <v>465</v>
      </c>
      <c r="H711">
        <v>1058.800048828125</v>
      </c>
      <c r="I711">
        <v>516.9000244140625</v>
      </c>
      <c r="L711" t="s">
        <v>469</v>
      </c>
      <c r="M711">
        <v>55.31870683532523</v>
      </c>
      <c r="N711">
        <v>27.006270868028341</v>
      </c>
      <c r="O711">
        <v>724.55</v>
      </c>
      <c r="P711">
        <v>1058.8</v>
      </c>
      <c r="Q711">
        <v>516.9</v>
      </c>
      <c r="R711" s="3" t="s">
        <v>470</v>
      </c>
      <c r="S711">
        <v>724.55</v>
      </c>
      <c r="T711" t="s">
        <v>468</v>
      </c>
    </row>
    <row r="712" spans="1:20" x14ac:dyDescent="0.25">
      <c r="A712">
        <v>94</v>
      </c>
      <c r="B712">
        <v>504176</v>
      </c>
      <c r="C712" t="s">
        <v>129</v>
      </c>
      <c r="D712">
        <v>2025</v>
      </c>
      <c r="E712">
        <v>576.4000244140625</v>
      </c>
      <c r="F712">
        <v>17.100000000000001</v>
      </c>
      <c r="G712" t="s">
        <v>465</v>
      </c>
      <c r="H712">
        <v>830.3499755859375</v>
      </c>
      <c r="I712">
        <v>420.04998779296881</v>
      </c>
      <c r="L712" t="s">
        <v>469</v>
      </c>
      <c r="M712">
        <v>48.558478104440788</v>
      </c>
      <c r="N712">
        <v>24.56432677151864</v>
      </c>
      <c r="O712">
        <v>724.55</v>
      </c>
      <c r="P712">
        <v>1058.8</v>
      </c>
      <c r="Q712">
        <v>516.9</v>
      </c>
      <c r="R712" s="3" t="s">
        <v>470</v>
      </c>
      <c r="S712">
        <v>724.55</v>
      </c>
      <c r="T712" t="s">
        <v>468</v>
      </c>
    </row>
    <row r="713" spans="1:20" x14ac:dyDescent="0.25">
      <c r="A713">
        <v>94</v>
      </c>
      <c r="B713">
        <v>504176</v>
      </c>
      <c r="C713" t="s">
        <v>129</v>
      </c>
      <c r="D713">
        <v>2026</v>
      </c>
      <c r="E713">
        <v>576.4000244140625</v>
      </c>
      <c r="F713">
        <v>17.170000000000002</v>
      </c>
      <c r="G713" t="s">
        <v>465</v>
      </c>
      <c r="H713">
        <v>675</v>
      </c>
      <c r="I713">
        <v>470</v>
      </c>
      <c r="L713" t="s">
        <v>469</v>
      </c>
      <c r="M713">
        <v>39.312754804892251</v>
      </c>
      <c r="N713">
        <v>27.373325567850902</v>
      </c>
      <c r="O713">
        <v>724.55</v>
      </c>
      <c r="P713">
        <v>1058.8</v>
      </c>
      <c r="Q713">
        <v>516.9</v>
      </c>
      <c r="R713" s="3" t="s">
        <v>470</v>
      </c>
      <c r="S713">
        <v>724.55</v>
      </c>
      <c r="T713" t="s">
        <v>468</v>
      </c>
    </row>
    <row r="714" spans="1:20" x14ac:dyDescent="0.25">
      <c r="A714">
        <v>95</v>
      </c>
      <c r="B714">
        <v>504258</v>
      </c>
      <c r="C714" t="s">
        <v>131</v>
      </c>
      <c r="D714">
        <v>2015</v>
      </c>
      <c r="E714">
        <v>780.79998779296875</v>
      </c>
      <c r="F714">
        <v>33.520000000000003</v>
      </c>
      <c r="G714" t="s">
        <v>465</v>
      </c>
      <c r="H714">
        <v>541</v>
      </c>
      <c r="I714">
        <v>283.5</v>
      </c>
      <c r="L714" t="s">
        <v>469</v>
      </c>
      <c r="M714">
        <v>16.139618138424819</v>
      </c>
      <c r="N714">
        <v>8.457637231503579</v>
      </c>
      <c r="O714">
        <v>1512.45</v>
      </c>
      <c r="P714">
        <v>1934</v>
      </c>
      <c r="Q714">
        <v>1165.55</v>
      </c>
      <c r="R714" s="3" t="s">
        <v>470</v>
      </c>
      <c r="S714">
        <v>1512.45</v>
      </c>
      <c r="T714" t="s">
        <v>468</v>
      </c>
    </row>
    <row r="715" spans="1:20" x14ac:dyDescent="0.25">
      <c r="A715">
        <v>95</v>
      </c>
      <c r="B715">
        <v>504258</v>
      </c>
      <c r="C715" t="s">
        <v>131</v>
      </c>
      <c r="D715">
        <v>2016</v>
      </c>
      <c r="E715">
        <v>780.79998779296875</v>
      </c>
      <c r="F715">
        <v>34.99</v>
      </c>
      <c r="G715" t="s">
        <v>465</v>
      </c>
      <c r="H715">
        <v>569.45001220703125</v>
      </c>
      <c r="I715">
        <v>305</v>
      </c>
      <c r="L715" t="s">
        <v>469</v>
      </c>
      <c r="M715">
        <v>16.274650248843422</v>
      </c>
      <c r="N715">
        <v>8.7167762217776499</v>
      </c>
      <c r="O715">
        <v>1512.45</v>
      </c>
      <c r="P715">
        <v>1934</v>
      </c>
      <c r="Q715">
        <v>1165.55</v>
      </c>
      <c r="R715" s="3" t="s">
        <v>470</v>
      </c>
      <c r="S715">
        <v>1512.45</v>
      </c>
      <c r="T715" t="s">
        <v>468</v>
      </c>
    </row>
    <row r="716" spans="1:20" x14ac:dyDescent="0.25">
      <c r="A716">
        <v>95</v>
      </c>
      <c r="B716">
        <v>504258</v>
      </c>
      <c r="C716" t="s">
        <v>131</v>
      </c>
      <c r="D716">
        <v>2017</v>
      </c>
      <c r="E716">
        <v>780.79998779296875</v>
      </c>
      <c r="F716">
        <v>35.799999999999997</v>
      </c>
      <c r="G716" t="s">
        <v>465</v>
      </c>
      <c r="H716">
        <v>827</v>
      </c>
      <c r="I716">
        <v>436.10000610351563</v>
      </c>
      <c r="L716" t="s">
        <v>469</v>
      </c>
      <c r="M716">
        <v>23.100558659217882</v>
      </c>
      <c r="N716">
        <v>12.18156441629932</v>
      </c>
      <c r="O716">
        <v>1512.45</v>
      </c>
      <c r="P716">
        <v>1934</v>
      </c>
      <c r="Q716">
        <v>1165.55</v>
      </c>
      <c r="R716" s="3" t="s">
        <v>470</v>
      </c>
      <c r="S716">
        <v>1512.45</v>
      </c>
      <c r="T716" t="s">
        <v>468</v>
      </c>
    </row>
    <row r="717" spans="1:20" x14ac:dyDescent="0.25">
      <c r="A717">
        <v>95</v>
      </c>
      <c r="B717">
        <v>504258</v>
      </c>
      <c r="C717" t="s">
        <v>131</v>
      </c>
      <c r="D717">
        <v>2018</v>
      </c>
      <c r="E717">
        <v>780.79998779296875</v>
      </c>
      <c r="F717">
        <v>47.76</v>
      </c>
      <c r="G717" t="s">
        <v>465</v>
      </c>
      <c r="H717">
        <v>865</v>
      </c>
      <c r="I717">
        <v>475</v>
      </c>
      <c r="L717" t="s">
        <v>469</v>
      </c>
      <c r="M717">
        <v>18.111390284757121</v>
      </c>
      <c r="N717">
        <v>9.9455611390284755</v>
      </c>
      <c r="O717">
        <v>1512.45</v>
      </c>
      <c r="P717">
        <v>1934</v>
      </c>
      <c r="Q717">
        <v>1165.55</v>
      </c>
      <c r="R717" s="3" t="s">
        <v>470</v>
      </c>
      <c r="S717">
        <v>1512.45</v>
      </c>
      <c r="T717" t="s">
        <v>468</v>
      </c>
    </row>
    <row r="718" spans="1:20" x14ac:dyDescent="0.25">
      <c r="A718">
        <v>95</v>
      </c>
      <c r="B718">
        <v>504258</v>
      </c>
      <c r="C718" t="s">
        <v>131</v>
      </c>
      <c r="D718">
        <v>2019</v>
      </c>
      <c r="E718">
        <v>780.79998779296875</v>
      </c>
      <c r="F718">
        <v>41.54</v>
      </c>
      <c r="G718" t="s">
        <v>465</v>
      </c>
      <c r="H718">
        <v>580</v>
      </c>
      <c r="I718">
        <v>285</v>
      </c>
      <c r="L718" t="s">
        <v>469</v>
      </c>
      <c r="M718">
        <v>13.96244583533943</v>
      </c>
      <c r="N718">
        <v>6.8608570052961007</v>
      </c>
      <c r="O718">
        <v>1512.45</v>
      </c>
      <c r="P718">
        <v>1934</v>
      </c>
      <c r="Q718">
        <v>1165.55</v>
      </c>
      <c r="R718" s="3" t="s">
        <v>470</v>
      </c>
      <c r="S718">
        <v>1512.45</v>
      </c>
      <c r="T718" t="s">
        <v>468</v>
      </c>
    </row>
    <row r="719" spans="1:20" x14ac:dyDescent="0.25">
      <c r="A719">
        <v>95</v>
      </c>
      <c r="B719">
        <v>504258</v>
      </c>
      <c r="C719" t="s">
        <v>131</v>
      </c>
      <c r="D719">
        <v>2020</v>
      </c>
      <c r="E719">
        <v>780.79998779296875</v>
      </c>
      <c r="F719">
        <v>1.75</v>
      </c>
      <c r="G719" t="s">
        <v>465</v>
      </c>
      <c r="H719">
        <v>361.89999389648438</v>
      </c>
      <c r="I719">
        <v>185.1499938964844</v>
      </c>
      <c r="L719" t="s">
        <v>469</v>
      </c>
      <c r="M719">
        <v>206.79999651227681</v>
      </c>
      <c r="N719">
        <v>105.79999651227681</v>
      </c>
      <c r="O719">
        <v>1512.45</v>
      </c>
      <c r="P719">
        <v>1934</v>
      </c>
      <c r="Q719">
        <v>1165.55</v>
      </c>
      <c r="R719" s="3" t="s">
        <v>470</v>
      </c>
      <c r="S719">
        <v>1512.45</v>
      </c>
      <c r="T719" t="s">
        <v>468</v>
      </c>
    </row>
    <row r="720" spans="1:20" x14ac:dyDescent="0.25">
      <c r="A720">
        <v>95</v>
      </c>
      <c r="B720">
        <v>504258</v>
      </c>
      <c r="C720" t="s">
        <v>131</v>
      </c>
      <c r="D720">
        <v>2021</v>
      </c>
      <c r="E720">
        <v>780.79998779296875</v>
      </c>
      <c r="F720">
        <v>12.45</v>
      </c>
      <c r="G720" t="s">
        <v>465</v>
      </c>
      <c r="H720">
        <v>722.25</v>
      </c>
      <c r="I720">
        <v>276.04998779296881</v>
      </c>
      <c r="L720" t="s">
        <v>469</v>
      </c>
      <c r="M720">
        <v>58.01204819277109</v>
      </c>
      <c r="N720">
        <v>22.17268978256778</v>
      </c>
      <c r="O720">
        <v>1512.45</v>
      </c>
      <c r="P720">
        <v>1934</v>
      </c>
      <c r="Q720">
        <v>1165.55</v>
      </c>
      <c r="R720" s="3" t="s">
        <v>470</v>
      </c>
      <c r="S720">
        <v>1512.45</v>
      </c>
      <c r="T720" t="s">
        <v>468</v>
      </c>
    </row>
    <row r="721" spans="1:20" x14ac:dyDescent="0.25">
      <c r="A721">
        <v>95</v>
      </c>
      <c r="B721">
        <v>504258</v>
      </c>
      <c r="C721" t="s">
        <v>131</v>
      </c>
      <c r="D721">
        <v>2022</v>
      </c>
      <c r="E721">
        <v>780.79998779296875</v>
      </c>
      <c r="F721">
        <v>63.02</v>
      </c>
      <c r="G721" t="s">
        <v>465</v>
      </c>
      <c r="H721">
        <v>1070</v>
      </c>
      <c r="I721">
        <v>501</v>
      </c>
      <c r="L721" t="s">
        <v>469</v>
      </c>
      <c r="M721">
        <v>16.978736908917799</v>
      </c>
      <c r="N721">
        <v>7.9498571881942226</v>
      </c>
      <c r="O721">
        <v>1512.45</v>
      </c>
      <c r="P721">
        <v>1934</v>
      </c>
      <c r="Q721">
        <v>1165.55</v>
      </c>
      <c r="R721" s="3" t="s">
        <v>470</v>
      </c>
      <c r="S721">
        <v>1512.45</v>
      </c>
      <c r="T721" t="s">
        <v>468</v>
      </c>
    </row>
    <row r="722" spans="1:20" x14ac:dyDescent="0.25">
      <c r="A722">
        <v>95</v>
      </c>
      <c r="B722">
        <v>504258</v>
      </c>
      <c r="C722" t="s">
        <v>131</v>
      </c>
      <c r="D722">
        <v>2023</v>
      </c>
      <c r="E722">
        <v>780.79998779296875</v>
      </c>
      <c r="F722">
        <v>81.08</v>
      </c>
      <c r="G722" t="s">
        <v>465</v>
      </c>
      <c r="H722">
        <v>2175</v>
      </c>
      <c r="I722">
        <v>720</v>
      </c>
      <c r="L722" t="s">
        <v>469</v>
      </c>
      <c r="M722">
        <v>26.825357671435619</v>
      </c>
      <c r="N722">
        <v>8.880118401578688</v>
      </c>
      <c r="O722">
        <v>1512.45</v>
      </c>
      <c r="P722">
        <v>1934</v>
      </c>
      <c r="Q722">
        <v>1165.55</v>
      </c>
      <c r="R722" s="3" t="s">
        <v>470</v>
      </c>
      <c r="S722">
        <v>1512.45</v>
      </c>
      <c r="T722" t="s">
        <v>468</v>
      </c>
    </row>
    <row r="723" spans="1:20" x14ac:dyDescent="0.25">
      <c r="A723">
        <v>95</v>
      </c>
      <c r="B723">
        <v>504258</v>
      </c>
      <c r="C723" t="s">
        <v>131</v>
      </c>
      <c r="D723">
        <v>2024</v>
      </c>
      <c r="E723">
        <v>780.79998779296875</v>
      </c>
      <c r="F723">
        <v>56.79</v>
      </c>
      <c r="G723" t="s">
        <v>465</v>
      </c>
      <c r="H723">
        <v>1934</v>
      </c>
      <c r="I723">
        <v>1165.550048828125</v>
      </c>
      <c r="L723" t="s">
        <v>469</v>
      </c>
      <c r="M723">
        <v>34.055291424546567</v>
      </c>
      <c r="N723">
        <v>20.52386069427936</v>
      </c>
      <c r="O723">
        <v>1512.45</v>
      </c>
      <c r="P723">
        <v>1934</v>
      </c>
      <c r="Q723">
        <v>1165.55</v>
      </c>
      <c r="R723" s="3" t="s">
        <v>470</v>
      </c>
      <c r="S723">
        <v>1512.45</v>
      </c>
      <c r="T723" t="s">
        <v>468</v>
      </c>
    </row>
    <row r="724" spans="1:20" x14ac:dyDescent="0.25">
      <c r="A724">
        <v>95</v>
      </c>
      <c r="B724">
        <v>504258</v>
      </c>
      <c r="C724" t="s">
        <v>131</v>
      </c>
      <c r="D724">
        <v>2025</v>
      </c>
      <c r="E724">
        <v>780.79998779296875</v>
      </c>
      <c r="F724">
        <v>14.12</v>
      </c>
      <c r="G724" t="s">
        <v>465</v>
      </c>
      <c r="H724">
        <v>1266</v>
      </c>
      <c r="I724">
        <v>646.0999755859375</v>
      </c>
      <c r="L724" t="s">
        <v>469</v>
      </c>
      <c r="M724">
        <v>89.660056657223805</v>
      </c>
      <c r="N724">
        <v>45.757788639230697</v>
      </c>
      <c r="O724">
        <v>1512.45</v>
      </c>
      <c r="P724">
        <v>1934</v>
      </c>
      <c r="Q724">
        <v>1165.55</v>
      </c>
      <c r="R724" s="3" t="s">
        <v>470</v>
      </c>
      <c r="S724">
        <v>1512.45</v>
      </c>
      <c r="T724" t="s">
        <v>468</v>
      </c>
    </row>
    <row r="725" spans="1:20" x14ac:dyDescent="0.25">
      <c r="A725">
        <v>95</v>
      </c>
      <c r="B725">
        <v>504258</v>
      </c>
      <c r="C725" t="s">
        <v>131</v>
      </c>
      <c r="D725">
        <v>2026</v>
      </c>
      <c r="E725">
        <v>780.79998779296875</v>
      </c>
      <c r="F725">
        <v>4.84</v>
      </c>
      <c r="G725" t="s">
        <v>465</v>
      </c>
      <c r="H725">
        <v>919</v>
      </c>
      <c r="I725">
        <v>690</v>
      </c>
      <c r="L725" t="s">
        <v>469</v>
      </c>
      <c r="M725">
        <v>189.87603305785129</v>
      </c>
      <c r="N725">
        <v>142.5619834710744</v>
      </c>
      <c r="O725">
        <v>1512.45</v>
      </c>
      <c r="P725">
        <v>1934</v>
      </c>
      <c r="Q725">
        <v>1165.55</v>
      </c>
      <c r="R725" s="3" t="s">
        <v>470</v>
      </c>
      <c r="S725">
        <v>1512.45</v>
      </c>
      <c r="T725" t="s">
        <v>468</v>
      </c>
    </row>
    <row r="726" spans="1:20" x14ac:dyDescent="0.25">
      <c r="A726">
        <v>96</v>
      </c>
      <c r="B726">
        <v>504286</v>
      </c>
      <c r="C726" t="s">
        <v>133</v>
      </c>
      <c r="D726">
        <v>2015</v>
      </c>
      <c r="E726">
        <v>58.549999237060547</v>
      </c>
      <c r="F726">
        <v>1.9</v>
      </c>
      <c r="G726" t="s">
        <v>465</v>
      </c>
      <c r="H726">
        <v>49</v>
      </c>
      <c r="I726">
        <v>27.35000038146973</v>
      </c>
      <c r="L726" t="s">
        <v>469</v>
      </c>
      <c r="M726">
        <v>25.789473684210531</v>
      </c>
      <c r="N726">
        <v>14.394737042878811</v>
      </c>
      <c r="O726">
        <v>12250</v>
      </c>
      <c r="P726">
        <v>14693</v>
      </c>
      <c r="Q726">
        <v>10414</v>
      </c>
      <c r="R726" s="3" t="s">
        <v>470</v>
      </c>
      <c r="S726">
        <v>12250</v>
      </c>
      <c r="T726" t="s">
        <v>468</v>
      </c>
    </row>
    <row r="727" spans="1:20" x14ac:dyDescent="0.25">
      <c r="A727">
        <v>96</v>
      </c>
      <c r="B727">
        <v>504286</v>
      </c>
      <c r="C727" t="s">
        <v>133</v>
      </c>
      <c r="D727">
        <v>2016</v>
      </c>
      <c r="E727">
        <v>58.549999237060547</v>
      </c>
      <c r="F727">
        <v>-10.54</v>
      </c>
      <c r="G727" t="s">
        <v>465</v>
      </c>
      <c r="H727">
        <v>44.599998474121087</v>
      </c>
      <c r="I727">
        <v>23.5</v>
      </c>
      <c r="L727" t="s">
        <v>471</v>
      </c>
      <c r="M727">
        <v>-4.2314989064631012</v>
      </c>
      <c r="N727">
        <v>-2.2296015180265658</v>
      </c>
      <c r="O727">
        <v>12250</v>
      </c>
      <c r="P727">
        <v>14693</v>
      </c>
      <c r="Q727">
        <v>10414</v>
      </c>
      <c r="R727" s="3" t="s">
        <v>470</v>
      </c>
      <c r="S727">
        <v>12250</v>
      </c>
      <c r="T727" t="s">
        <v>468</v>
      </c>
    </row>
    <row r="728" spans="1:20" x14ac:dyDescent="0.25">
      <c r="A728">
        <v>96</v>
      </c>
      <c r="B728">
        <v>504286</v>
      </c>
      <c r="C728" t="s">
        <v>133</v>
      </c>
      <c r="D728">
        <v>2017</v>
      </c>
      <c r="E728">
        <v>58.549999237060547</v>
      </c>
      <c r="F728">
        <v>-6.74</v>
      </c>
      <c r="G728" t="s">
        <v>465</v>
      </c>
      <c r="H728">
        <v>56.200000762939453</v>
      </c>
      <c r="I728">
        <v>34.5</v>
      </c>
      <c r="L728" t="s">
        <v>471</v>
      </c>
      <c r="M728">
        <v>-8.338279044946507</v>
      </c>
      <c r="N728">
        <v>-5.1186943620178038</v>
      </c>
      <c r="O728">
        <v>12250</v>
      </c>
      <c r="P728">
        <v>14693</v>
      </c>
      <c r="Q728">
        <v>10414</v>
      </c>
      <c r="R728" s="3" t="s">
        <v>470</v>
      </c>
      <c r="S728">
        <v>12250</v>
      </c>
      <c r="T728" t="s">
        <v>468</v>
      </c>
    </row>
    <row r="729" spans="1:20" x14ac:dyDescent="0.25">
      <c r="A729">
        <v>96</v>
      </c>
      <c r="B729">
        <v>504286</v>
      </c>
      <c r="C729" t="s">
        <v>133</v>
      </c>
      <c r="D729">
        <v>2018</v>
      </c>
      <c r="E729">
        <v>58.549999237060547</v>
      </c>
      <c r="F729">
        <v>-5.04</v>
      </c>
      <c r="G729" t="s">
        <v>465</v>
      </c>
      <c r="H729">
        <v>140</v>
      </c>
      <c r="I729">
        <v>46.549999237060547</v>
      </c>
      <c r="L729" t="s">
        <v>471</v>
      </c>
      <c r="M729">
        <v>-27.777777777777779</v>
      </c>
      <c r="N729">
        <v>-9.2361109597342352</v>
      </c>
      <c r="O729">
        <v>12250</v>
      </c>
      <c r="P729">
        <v>14693</v>
      </c>
      <c r="Q729">
        <v>10414</v>
      </c>
      <c r="R729" s="3" t="s">
        <v>470</v>
      </c>
      <c r="S729">
        <v>12250</v>
      </c>
      <c r="T729" t="s">
        <v>468</v>
      </c>
    </row>
    <row r="730" spans="1:20" x14ac:dyDescent="0.25">
      <c r="A730">
        <v>96</v>
      </c>
      <c r="B730">
        <v>504286</v>
      </c>
      <c r="C730" t="s">
        <v>133</v>
      </c>
      <c r="D730">
        <v>2019</v>
      </c>
      <c r="E730">
        <v>58.549999237060547</v>
      </c>
      <c r="F730">
        <v>-5.15</v>
      </c>
      <c r="G730" t="s">
        <v>465</v>
      </c>
      <c r="H730">
        <v>85.949996948242188</v>
      </c>
      <c r="I730">
        <v>31.5</v>
      </c>
      <c r="L730" t="s">
        <v>471</v>
      </c>
      <c r="M730">
        <v>-16.68931979577518</v>
      </c>
      <c r="N730">
        <v>-6.116504854368932</v>
      </c>
      <c r="O730">
        <v>12250</v>
      </c>
      <c r="P730">
        <v>14693</v>
      </c>
      <c r="Q730">
        <v>10414</v>
      </c>
      <c r="R730" s="3" t="s">
        <v>470</v>
      </c>
      <c r="S730">
        <v>12250</v>
      </c>
      <c r="T730" t="s">
        <v>468</v>
      </c>
    </row>
    <row r="731" spans="1:20" x14ac:dyDescent="0.25">
      <c r="A731">
        <v>96</v>
      </c>
      <c r="B731">
        <v>504286</v>
      </c>
      <c r="C731" t="s">
        <v>133</v>
      </c>
      <c r="D731">
        <v>2020</v>
      </c>
      <c r="E731">
        <v>58.549999237060547</v>
      </c>
      <c r="F731">
        <v>-11.34</v>
      </c>
      <c r="G731" t="s">
        <v>465</v>
      </c>
      <c r="H731">
        <v>45</v>
      </c>
      <c r="I731">
        <v>17</v>
      </c>
      <c r="L731" t="s">
        <v>471</v>
      </c>
      <c r="M731">
        <v>-3.9682539682539679</v>
      </c>
      <c r="N731">
        <v>-1.499118165784832</v>
      </c>
      <c r="O731">
        <v>12250</v>
      </c>
      <c r="P731">
        <v>14693</v>
      </c>
      <c r="Q731">
        <v>10414</v>
      </c>
      <c r="R731" s="3" t="s">
        <v>470</v>
      </c>
      <c r="S731">
        <v>12250</v>
      </c>
      <c r="T731" t="s">
        <v>468</v>
      </c>
    </row>
    <row r="732" spans="1:20" x14ac:dyDescent="0.25">
      <c r="A732">
        <v>96</v>
      </c>
      <c r="B732">
        <v>504286</v>
      </c>
      <c r="C732" t="s">
        <v>133</v>
      </c>
      <c r="D732">
        <v>2021</v>
      </c>
      <c r="E732">
        <v>58.549999237060547</v>
      </c>
      <c r="F732">
        <v>-6.18</v>
      </c>
      <c r="G732" t="s">
        <v>465</v>
      </c>
      <c r="H732">
        <v>76.150001525878906</v>
      </c>
      <c r="I732">
        <v>23.04999923706055</v>
      </c>
      <c r="L732" t="s">
        <v>471</v>
      </c>
      <c r="M732">
        <v>-12.32200671939788</v>
      </c>
      <c r="N732">
        <v>-3.729773339330186</v>
      </c>
      <c r="O732">
        <v>12250</v>
      </c>
      <c r="P732">
        <v>14693</v>
      </c>
      <c r="Q732">
        <v>10414</v>
      </c>
      <c r="R732" s="3" t="s">
        <v>470</v>
      </c>
      <c r="S732">
        <v>12250</v>
      </c>
      <c r="T732" t="s">
        <v>468</v>
      </c>
    </row>
    <row r="733" spans="1:20" x14ac:dyDescent="0.25">
      <c r="A733">
        <v>96</v>
      </c>
      <c r="B733">
        <v>504286</v>
      </c>
      <c r="C733" t="s">
        <v>133</v>
      </c>
      <c r="D733">
        <v>2022</v>
      </c>
      <c r="E733">
        <v>58.549999237060547</v>
      </c>
      <c r="F733">
        <v>17.760000000000002</v>
      </c>
      <c r="G733" t="s">
        <v>465</v>
      </c>
      <c r="H733">
        <v>125.5</v>
      </c>
      <c r="I733">
        <v>57.700000762939453</v>
      </c>
      <c r="L733" t="s">
        <v>469</v>
      </c>
      <c r="M733">
        <v>7.0664414414414409</v>
      </c>
      <c r="N733">
        <v>3.2488739168321761</v>
      </c>
      <c r="O733">
        <v>12250</v>
      </c>
      <c r="P733">
        <v>14693</v>
      </c>
      <c r="Q733">
        <v>10414</v>
      </c>
      <c r="R733" s="3" t="s">
        <v>470</v>
      </c>
      <c r="S733">
        <v>12250</v>
      </c>
      <c r="T733" t="s">
        <v>468</v>
      </c>
    </row>
    <row r="734" spans="1:20" x14ac:dyDescent="0.25">
      <c r="A734">
        <v>96</v>
      </c>
      <c r="B734">
        <v>504286</v>
      </c>
      <c r="C734" t="s">
        <v>133</v>
      </c>
      <c r="D734">
        <v>2023</v>
      </c>
      <c r="E734">
        <v>58.549999237060547</v>
      </c>
      <c r="F734">
        <v>-15.43</v>
      </c>
      <c r="G734" t="s">
        <v>465</v>
      </c>
      <c r="H734">
        <v>122.1999969482422</v>
      </c>
      <c r="I734">
        <v>61.200000762939453</v>
      </c>
      <c r="L734" t="s">
        <v>471</v>
      </c>
      <c r="M734">
        <v>-7.9196368728608038</v>
      </c>
      <c r="N734">
        <v>-3.966299466165875</v>
      </c>
      <c r="O734">
        <v>12250</v>
      </c>
      <c r="P734">
        <v>14693</v>
      </c>
      <c r="Q734">
        <v>10414</v>
      </c>
      <c r="R734" s="3" t="s">
        <v>470</v>
      </c>
      <c r="S734">
        <v>12250</v>
      </c>
      <c r="T734" t="s">
        <v>468</v>
      </c>
    </row>
    <row r="735" spans="1:20" x14ac:dyDescent="0.25">
      <c r="A735">
        <v>96</v>
      </c>
      <c r="B735">
        <v>504286</v>
      </c>
      <c r="C735" t="s">
        <v>133</v>
      </c>
      <c r="D735">
        <v>2024</v>
      </c>
      <c r="E735">
        <v>58.549999237060547</v>
      </c>
      <c r="F735">
        <v>-9.58</v>
      </c>
      <c r="G735" t="s">
        <v>465</v>
      </c>
      <c r="H735">
        <v>136.8500061035156</v>
      </c>
      <c r="I735">
        <v>82.599998474121094</v>
      </c>
      <c r="L735" t="s">
        <v>471</v>
      </c>
      <c r="M735">
        <v>-14.284969321870101</v>
      </c>
      <c r="N735">
        <v>-8.6221292770481313</v>
      </c>
      <c r="O735">
        <v>12250</v>
      </c>
      <c r="P735">
        <v>14693</v>
      </c>
      <c r="Q735">
        <v>10414</v>
      </c>
      <c r="R735" s="3" t="s">
        <v>470</v>
      </c>
      <c r="S735">
        <v>12250</v>
      </c>
      <c r="T735" t="s">
        <v>468</v>
      </c>
    </row>
    <row r="736" spans="1:20" x14ac:dyDescent="0.25">
      <c r="A736">
        <v>96</v>
      </c>
      <c r="B736">
        <v>504286</v>
      </c>
      <c r="C736" t="s">
        <v>133</v>
      </c>
      <c r="D736">
        <v>2025</v>
      </c>
      <c r="E736">
        <v>58.549999237060547</v>
      </c>
      <c r="F736">
        <v>-11.14</v>
      </c>
      <c r="G736" t="s">
        <v>465</v>
      </c>
      <c r="H736">
        <v>119.4499969482422</v>
      </c>
      <c r="I736">
        <v>55.159999847412109</v>
      </c>
      <c r="L736" t="s">
        <v>471</v>
      </c>
      <c r="M736">
        <v>-10.722620910973269</v>
      </c>
      <c r="N736">
        <v>-4.9515260186186811</v>
      </c>
      <c r="O736">
        <v>12250</v>
      </c>
      <c r="P736">
        <v>14693</v>
      </c>
      <c r="Q736">
        <v>10414</v>
      </c>
      <c r="R736" s="3" t="s">
        <v>470</v>
      </c>
      <c r="S736">
        <v>12250</v>
      </c>
      <c r="T736" t="s">
        <v>468</v>
      </c>
    </row>
    <row r="737" spans="1:20" x14ac:dyDescent="0.25">
      <c r="A737">
        <v>96</v>
      </c>
      <c r="B737">
        <v>504286</v>
      </c>
      <c r="C737" t="s">
        <v>133</v>
      </c>
      <c r="D737">
        <v>2026</v>
      </c>
      <c r="E737">
        <v>58.549999237060547</v>
      </c>
      <c r="F737">
        <v>-11.44</v>
      </c>
      <c r="G737" t="s">
        <v>465</v>
      </c>
      <c r="H737">
        <v>72.800003051757813</v>
      </c>
      <c r="I737">
        <v>41.029998779296882</v>
      </c>
      <c r="L737" t="s">
        <v>471</v>
      </c>
      <c r="M737">
        <v>-6.3636366303984104</v>
      </c>
      <c r="N737">
        <v>-3.5865383548336438</v>
      </c>
      <c r="O737">
        <v>12250</v>
      </c>
      <c r="P737">
        <v>14693</v>
      </c>
      <c r="Q737">
        <v>10414</v>
      </c>
      <c r="R737" s="3" t="s">
        <v>470</v>
      </c>
      <c r="S737">
        <v>12250</v>
      </c>
      <c r="T737" t="s">
        <v>468</v>
      </c>
    </row>
    <row r="738" spans="1:20" x14ac:dyDescent="0.25">
      <c r="A738">
        <v>97</v>
      </c>
      <c r="B738">
        <v>504356</v>
      </c>
      <c r="C738" t="s">
        <v>135</v>
      </c>
      <c r="D738">
        <v>2015</v>
      </c>
      <c r="E738">
        <v>10.39999961853027</v>
      </c>
      <c r="F738">
        <v>-0.28000000000000003</v>
      </c>
      <c r="G738" t="s">
        <v>465</v>
      </c>
      <c r="H738">
        <v>10</v>
      </c>
      <c r="I738">
        <v>10</v>
      </c>
      <c r="L738" t="s">
        <v>471</v>
      </c>
      <c r="M738">
        <v>-35.714285714285708</v>
      </c>
      <c r="N738">
        <v>-35.714285714285708</v>
      </c>
      <c r="O738">
        <v>9.9499999999999993</v>
      </c>
      <c r="P738">
        <v>13.26</v>
      </c>
      <c r="Q738">
        <v>7.81</v>
      </c>
      <c r="R738" s="2" t="s">
        <v>467</v>
      </c>
      <c r="S738">
        <v>9.9499999999999993</v>
      </c>
      <c r="T738" t="s">
        <v>468</v>
      </c>
    </row>
    <row r="739" spans="1:20" x14ac:dyDescent="0.25">
      <c r="A739">
        <v>97</v>
      </c>
      <c r="B739">
        <v>504356</v>
      </c>
      <c r="C739" t="s">
        <v>135</v>
      </c>
      <c r="D739">
        <v>2016</v>
      </c>
      <c r="E739">
        <v>10.39999961853027</v>
      </c>
      <c r="F739">
        <v>0.02</v>
      </c>
      <c r="G739" t="s">
        <v>465</v>
      </c>
      <c r="H739">
        <v>20.29999923706055</v>
      </c>
      <c r="I739">
        <v>10</v>
      </c>
      <c r="L739" t="s">
        <v>484</v>
      </c>
      <c r="M739">
        <v>1014.999961853027</v>
      </c>
      <c r="N739">
        <v>500</v>
      </c>
      <c r="O739">
        <v>9.9499999999999993</v>
      </c>
      <c r="P739">
        <v>13.26</v>
      </c>
      <c r="Q739">
        <v>7.81</v>
      </c>
      <c r="R739" s="2" t="s">
        <v>467</v>
      </c>
      <c r="S739">
        <v>9.9499999999999993</v>
      </c>
      <c r="T739" t="s">
        <v>468</v>
      </c>
    </row>
    <row r="740" spans="1:20" x14ac:dyDescent="0.25">
      <c r="A740">
        <v>97</v>
      </c>
      <c r="B740">
        <v>504356</v>
      </c>
      <c r="C740" t="s">
        <v>135</v>
      </c>
      <c r="D740">
        <v>2017</v>
      </c>
      <c r="E740">
        <v>10.39999961853027</v>
      </c>
      <c r="F740">
        <v>0.08</v>
      </c>
      <c r="G740" t="s">
        <v>465</v>
      </c>
      <c r="H740">
        <v>22.39999961853027</v>
      </c>
      <c r="I740">
        <v>20.29999923706055</v>
      </c>
      <c r="L740" t="s">
        <v>484</v>
      </c>
      <c r="M740">
        <v>279.99999523162842</v>
      </c>
      <c r="N740">
        <v>253.74999046325689</v>
      </c>
      <c r="O740">
        <v>9.9499999999999993</v>
      </c>
      <c r="P740">
        <v>13.26</v>
      </c>
      <c r="Q740">
        <v>7.81</v>
      </c>
      <c r="R740" s="2" t="s">
        <v>467</v>
      </c>
      <c r="S740">
        <v>9.9499999999999993</v>
      </c>
      <c r="T740" t="s">
        <v>468</v>
      </c>
    </row>
    <row r="741" spans="1:20" x14ac:dyDescent="0.25">
      <c r="A741">
        <v>97</v>
      </c>
      <c r="B741">
        <v>504356</v>
      </c>
      <c r="C741" t="s">
        <v>135</v>
      </c>
      <c r="D741">
        <v>2018</v>
      </c>
      <c r="E741">
        <v>10.39999961853027</v>
      </c>
      <c r="F741">
        <v>0.24</v>
      </c>
      <c r="G741" t="s">
        <v>465</v>
      </c>
      <c r="H741">
        <v>22.39999961853027</v>
      </c>
      <c r="I741">
        <v>10</v>
      </c>
      <c r="L741" t="s">
        <v>484</v>
      </c>
      <c r="M741">
        <v>93.33333174387613</v>
      </c>
      <c r="N741">
        <v>41.666666666666671</v>
      </c>
      <c r="O741">
        <v>9.9499999999999993</v>
      </c>
      <c r="P741">
        <v>13.26</v>
      </c>
      <c r="Q741">
        <v>7.81</v>
      </c>
      <c r="R741" s="2" t="s">
        <v>467</v>
      </c>
      <c r="S741">
        <v>9.9499999999999993</v>
      </c>
      <c r="T741" t="s">
        <v>468</v>
      </c>
    </row>
    <row r="742" spans="1:20" x14ac:dyDescent="0.25">
      <c r="A742">
        <v>97</v>
      </c>
      <c r="B742">
        <v>504356</v>
      </c>
      <c r="C742" t="s">
        <v>135</v>
      </c>
      <c r="D742">
        <v>2019</v>
      </c>
      <c r="E742">
        <v>10.39999961853027</v>
      </c>
      <c r="F742">
        <v>0.1</v>
      </c>
      <c r="G742" t="s">
        <v>465</v>
      </c>
      <c r="H742">
        <v>10</v>
      </c>
      <c r="I742">
        <v>10</v>
      </c>
      <c r="L742" t="s">
        <v>484</v>
      </c>
      <c r="M742">
        <v>100</v>
      </c>
      <c r="N742">
        <v>100</v>
      </c>
      <c r="O742">
        <v>9.9499999999999993</v>
      </c>
      <c r="P742">
        <v>13.26</v>
      </c>
      <c r="Q742">
        <v>7.81</v>
      </c>
      <c r="R742" s="2" t="s">
        <v>467</v>
      </c>
      <c r="S742">
        <v>9.9499999999999993</v>
      </c>
      <c r="T742" t="s">
        <v>468</v>
      </c>
    </row>
    <row r="743" spans="1:20" x14ac:dyDescent="0.25">
      <c r="A743">
        <v>97</v>
      </c>
      <c r="B743">
        <v>504356</v>
      </c>
      <c r="C743" t="s">
        <v>135</v>
      </c>
      <c r="D743">
        <v>2020</v>
      </c>
      <c r="E743">
        <v>10.39999961853027</v>
      </c>
      <c r="F743">
        <v>0.08</v>
      </c>
      <c r="G743" t="s">
        <v>465</v>
      </c>
      <c r="H743">
        <v>10.35000038146973</v>
      </c>
      <c r="I743">
        <v>9.8999996185302734</v>
      </c>
      <c r="L743" t="s">
        <v>484</v>
      </c>
      <c r="M743">
        <v>129.37500476837161</v>
      </c>
      <c r="N743">
        <v>123.7499952316284</v>
      </c>
      <c r="O743">
        <v>9.9499999999999993</v>
      </c>
      <c r="P743">
        <v>13.26</v>
      </c>
      <c r="Q743">
        <v>7.81</v>
      </c>
      <c r="R743" s="2" t="s">
        <v>467</v>
      </c>
      <c r="S743">
        <v>9.9499999999999993</v>
      </c>
      <c r="T743" t="s">
        <v>468</v>
      </c>
    </row>
    <row r="744" spans="1:20" x14ac:dyDescent="0.25">
      <c r="A744">
        <v>97</v>
      </c>
      <c r="B744">
        <v>504356</v>
      </c>
      <c r="C744" t="s">
        <v>135</v>
      </c>
      <c r="D744">
        <v>2021</v>
      </c>
      <c r="E744">
        <v>10.39999961853027</v>
      </c>
      <c r="F744">
        <v>-0.95</v>
      </c>
      <c r="G744" t="s">
        <v>465</v>
      </c>
      <c r="H744">
        <v>11.02000045776367</v>
      </c>
      <c r="I744">
        <v>7.5999999046325684</v>
      </c>
      <c r="L744" t="s">
        <v>471</v>
      </c>
      <c r="M744">
        <v>-11.600000481856499</v>
      </c>
      <c r="N744">
        <v>-7.99999989961323</v>
      </c>
      <c r="O744">
        <v>9.9499999999999993</v>
      </c>
      <c r="P744">
        <v>13.26</v>
      </c>
      <c r="Q744">
        <v>7.81</v>
      </c>
      <c r="R744" s="2" t="s">
        <v>467</v>
      </c>
      <c r="S744">
        <v>9.9499999999999993</v>
      </c>
      <c r="T744" t="s">
        <v>468</v>
      </c>
    </row>
    <row r="745" spans="1:20" x14ac:dyDescent="0.25">
      <c r="A745">
        <v>97</v>
      </c>
      <c r="B745">
        <v>504356</v>
      </c>
      <c r="C745" t="s">
        <v>135</v>
      </c>
      <c r="D745">
        <v>2022</v>
      </c>
      <c r="E745">
        <v>10.39999961853027</v>
      </c>
      <c r="F745">
        <v>0.28000000000000003</v>
      </c>
      <c r="G745" t="s">
        <v>465</v>
      </c>
      <c r="H745">
        <v>14.579999923706049</v>
      </c>
      <c r="I745">
        <v>7.2199997901916504</v>
      </c>
      <c r="L745" t="s">
        <v>484</v>
      </c>
      <c r="M745">
        <v>52.071428298950167</v>
      </c>
      <c r="N745">
        <v>25.785713536398749</v>
      </c>
      <c r="O745">
        <v>9.9499999999999993</v>
      </c>
      <c r="P745">
        <v>13.26</v>
      </c>
      <c r="Q745">
        <v>7.81</v>
      </c>
      <c r="R745" s="2" t="s">
        <v>467</v>
      </c>
      <c r="S745">
        <v>9.9499999999999993</v>
      </c>
      <c r="T745" t="s">
        <v>468</v>
      </c>
    </row>
    <row r="746" spans="1:20" x14ac:dyDescent="0.25">
      <c r="A746">
        <v>97</v>
      </c>
      <c r="B746">
        <v>504356</v>
      </c>
      <c r="C746" t="s">
        <v>135</v>
      </c>
      <c r="D746">
        <v>2023</v>
      </c>
      <c r="E746">
        <v>10.39999961853027</v>
      </c>
      <c r="F746">
        <v>0.4</v>
      </c>
      <c r="G746" t="s">
        <v>465</v>
      </c>
      <c r="H746">
        <v>15.989999771118161</v>
      </c>
      <c r="I746">
        <v>6.6100001335144043</v>
      </c>
      <c r="L746" t="s">
        <v>484</v>
      </c>
      <c r="M746">
        <v>39.974999427795403</v>
      </c>
      <c r="N746">
        <v>16.525000333786011</v>
      </c>
      <c r="O746">
        <v>9.9499999999999993</v>
      </c>
      <c r="P746">
        <v>13.26</v>
      </c>
      <c r="Q746">
        <v>7.81</v>
      </c>
      <c r="R746" s="2" t="s">
        <v>467</v>
      </c>
      <c r="S746">
        <v>9.9499999999999993</v>
      </c>
      <c r="T746" t="s">
        <v>468</v>
      </c>
    </row>
    <row r="747" spans="1:20" x14ac:dyDescent="0.25">
      <c r="A747">
        <v>97</v>
      </c>
      <c r="B747">
        <v>504356</v>
      </c>
      <c r="C747" t="s">
        <v>135</v>
      </c>
      <c r="D747">
        <v>2024</v>
      </c>
      <c r="E747">
        <v>10.39999961853027</v>
      </c>
      <c r="F747">
        <v>0.38</v>
      </c>
      <c r="G747" t="s">
        <v>465</v>
      </c>
      <c r="H747">
        <v>13.260000228881839</v>
      </c>
      <c r="I747">
        <v>7.809999942779541</v>
      </c>
      <c r="L747" t="s">
        <v>484</v>
      </c>
      <c r="M747">
        <v>34.894737444425893</v>
      </c>
      <c r="N747">
        <v>20.55263142836721</v>
      </c>
      <c r="O747">
        <v>9.9499999999999993</v>
      </c>
      <c r="P747">
        <v>13.26</v>
      </c>
      <c r="Q747">
        <v>7.81</v>
      </c>
      <c r="R747" s="2" t="s">
        <v>467</v>
      </c>
      <c r="S747">
        <v>9.9499999999999993</v>
      </c>
      <c r="T747" t="s">
        <v>468</v>
      </c>
    </row>
    <row r="748" spans="1:20" x14ac:dyDescent="0.25">
      <c r="A748">
        <v>97</v>
      </c>
      <c r="B748">
        <v>504356</v>
      </c>
      <c r="C748" t="s">
        <v>135</v>
      </c>
      <c r="D748">
        <v>2025</v>
      </c>
      <c r="E748">
        <v>10.39999961853027</v>
      </c>
      <c r="F748">
        <v>0.34</v>
      </c>
      <c r="G748" t="s">
        <v>465</v>
      </c>
      <c r="H748">
        <v>11.75</v>
      </c>
      <c r="I748">
        <v>8.25</v>
      </c>
      <c r="L748" t="s">
        <v>484</v>
      </c>
      <c r="M748">
        <v>34.558823529411761</v>
      </c>
      <c r="N748">
        <v>24.264705882352938</v>
      </c>
      <c r="O748">
        <v>9.9499999999999993</v>
      </c>
      <c r="P748">
        <v>13.26</v>
      </c>
      <c r="Q748">
        <v>7.81</v>
      </c>
      <c r="R748" s="2" t="s">
        <v>467</v>
      </c>
      <c r="S748">
        <v>9.9499999999999993</v>
      </c>
      <c r="T748" t="s">
        <v>468</v>
      </c>
    </row>
    <row r="749" spans="1:20" x14ac:dyDescent="0.25">
      <c r="A749">
        <v>97</v>
      </c>
      <c r="B749">
        <v>504356</v>
      </c>
      <c r="C749" t="s">
        <v>135</v>
      </c>
      <c r="D749">
        <v>2026</v>
      </c>
      <c r="E749">
        <v>10.39999961853027</v>
      </c>
      <c r="F749">
        <v>-0.95</v>
      </c>
      <c r="G749" t="s">
        <v>465</v>
      </c>
      <c r="H749">
        <v>14.689999580383301</v>
      </c>
      <c r="I749">
        <v>7.5799999237060547</v>
      </c>
      <c r="L749" t="s">
        <v>471</v>
      </c>
      <c r="M749">
        <v>-15.46315745303505</v>
      </c>
      <c r="N749">
        <v>-7.9789472881116366</v>
      </c>
      <c r="O749">
        <v>9.9499999999999993</v>
      </c>
      <c r="P749">
        <v>13.26</v>
      </c>
      <c r="Q749">
        <v>7.81</v>
      </c>
      <c r="R749" s="2" t="s">
        <v>467</v>
      </c>
      <c r="S749">
        <v>9.9499999999999993</v>
      </c>
      <c r="T749" t="s">
        <v>468</v>
      </c>
    </row>
    <row r="750" spans="1:20" x14ac:dyDescent="0.25">
      <c r="A750">
        <v>98</v>
      </c>
      <c r="B750">
        <v>504392</v>
      </c>
      <c r="C750" t="s">
        <v>137</v>
      </c>
      <c r="D750">
        <v>2015</v>
      </c>
      <c r="E750">
        <v>44.029998779296882</v>
      </c>
      <c r="F750">
        <v>0.67</v>
      </c>
      <c r="G750" t="s">
        <v>465</v>
      </c>
      <c r="H750">
        <v>569</v>
      </c>
      <c r="I750">
        <v>557.75</v>
      </c>
      <c r="L750" t="s">
        <v>469</v>
      </c>
      <c r="M750">
        <v>849.25373134328356</v>
      </c>
      <c r="N750">
        <v>832.46268656716416</v>
      </c>
      <c r="O750">
        <v>86.87</v>
      </c>
      <c r="P750">
        <v>109.15</v>
      </c>
      <c r="Q750">
        <v>58.99</v>
      </c>
      <c r="R750" s="3" t="s">
        <v>470</v>
      </c>
      <c r="S750">
        <v>86.87</v>
      </c>
      <c r="T750" t="s">
        <v>468</v>
      </c>
    </row>
    <row r="751" spans="1:20" x14ac:dyDescent="0.25">
      <c r="A751">
        <v>98</v>
      </c>
      <c r="B751">
        <v>504392</v>
      </c>
      <c r="C751" t="s">
        <v>137</v>
      </c>
      <c r="D751">
        <v>2016</v>
      </c>
      <c r="E751">
        <v>44.029998779296882</v>
      </c>
      <c r="F751">
        <v>0.17</v>
      </c>
      <c r="G751" t="s">
        <v>465</v>
      </c>
      <c r="H751">
        <v>591.70001220703125</v>
      </c>
      <c r="I751">
        <v>568.75</v>
      </c>
      <c r="L751" t="s">
        <v>484</v>
      </c>
      <c r="M751">
        <v>3480.588307100184</v>
      </c>
      <c r="N751">
        <v>3345.588235294118</v>
      </c>
      <c r="O751">
        <v>86.87</v>
      </c>
      <c r="P751">
        <v>109.15</v>
      </c>
      <c r="Q751">
        <v>58.99</v>
      </c>
      <c r="R751" s="3" t="s">
        <v>470</v>
      </c>
      <c r="S751">
        <v>86.87</v>
      </c>
      <c r="T751" t="s">
        <v>468</v>
      </c>
    </row>
    <row r="752" spans="1:20" x14ac:dyDescent="0.25">
      <c r="A752">
        <v>98</v>
      </c>
      <c r="B752">
        <v>504392</v>
      </c>
      <c r="C752" t="s">
        <v>137</v>
      </c>
      <c r="D752">
        <v>2017</v>
      </c>
      <c r="E752">
        <v>44.029998779296882</v>
      </c>
      <c r="F752">
        <v>0.02</v>
      </c>
      <c r="G752" t="s">
        <v>465</v>
      </c>
      <c r="H752">
        <v>591.70001220703125</v>
      </c>
      <c r="I752">
        <v>169</v>
      </c>
      <c r="L752" t="s">
        <v>484</v>
      </c>
      <c r="M752">
        <v>29585.000610351559</v>
      </c>
      <c r="N752">
        <v>8450</v>
      </c>
      <c r="O752">
        <v>86.87</v>
      </c>
      <c r="P752">
        <v>109.15</v>
      </c>
      <c r="Q752">
        <v>58.99</v>
      </c>
      <c r="R752" s="3" t="s">
        <v>470</v>
      </c>
      <c r="S752">
        <v>86.87</v>
      </c>
      <c r="T752" t="s">
        <v>468</v>
      </c>
    </row>
    <row r="753" spans="1:20" x14ac:dyDescent="0.25">
      <c r="A753">
        <v>98</v>
      </c>
      <c r="B753">
        <v>504392</v>
      </c>
      <c r="C753" t="s">
        <v>137</v>
      </c>
      <c r="D753">
        <v>2018</v>
      </c>
      <c r="E753">
        <v>44.029998779296882</v>
      </c>
      <c r="F753">
        <v>-0.43</v>
      </c>
      <c r="G753" t="s">
        <v>465</v>
      </c>
      <c r="H753">
        <v>175</v>
      </c>
      <c r="I753">
        <v>4.0799999237060547</v>
      </c>
      <c r="L753" t="s">
        <v>471</v>
      </c>
      <c r="M753">
        <v>-406.97674418604652</v>
      </c>
      <c r="N753">
        <v>-9.4883719155954758</v>
      </c>
      <c r="O753">
        <v>86.87</v>
      </c>
      <c r="P753">
        <v>109.15</v>
      </c>
      <c r="Q753">
        <v>58.99</v>
      </c>
      <c r="R753" s="3" t="s">
        <v>470</v>
      </c>
      <c r="S753">
        <v>86.87</v>
      </c>
      <c r="T753" t="s">
        <v>468</v>
      </c>
    </row>
    <row r="754" spans="1:20" x14ac:dyDescent="0.25">
      <c r="A754">
        <v>98</v>
      </c>
      <c r="B754">
        <v>504392</v>
      </c>
      <c r="C754" t="s">
        <v>137</v>
      </c>
      <c r="D754">
        <v>2019</v>
      </c>
      <c r="E754">
        <v>44.029998779296882</v>
      </c>
      <c r="F754">
        <v>-0.2</v>
      </c>
      <c r="G754" t="s">
        <v>465</v>
      </c>
      <c r="H754">
        <v>18.020000457763668</v>
      </c>
      <c r="I754">
        <v>3.8499999046325679</v>
      </c>
      <c r="L754" t="s">
        <v>471</v>
      </c>
      <c r="M754">
        <v>-90.100002288818331</v>
      </c>
      <c r="N754">
        <v>-19.249999523162838</v>
      </c>
      <c r="O754">
        <v>86.87</v>
      </c>
      <c r="P754">
        <v>109.15</v>
      </c>
      <c r="Q754">
        <v>58.99</v>
      </c>
      <c r="R754" s="3" t="s">
        <v>470</v>
      </c>
      <c r="S754">
        <v>86.87</v>
      </c>
      <c r="T754" t="s">
        <v>468</v>
      </c>
    </row>
    <row r="755" spans="1:20" x14ac:dyDescent="0.25">
      <c r="A755">
        <v>98</v>
      </c>
      <c r="B755">
        <v>504392</v>
      </c>
      <c r="C755" t="s">
        <v>137</v>
      </c>
      <c r="D755">
        <v>2020</v>
      </c>
      <c r="E755">
        <v>44.029998779296882</v>
      </c>
      <c r="F755">
        <v>-0.15</v>
      </c>
      <c r="G755" t="s">
        <v>465</v>
      </c>
      <c r="H755">
        <v>19.39999961853027</v>
      </c>
      <c r="I755">
        <v>9.75</v>
      </c>
      <c r="L755" t="s">
        <v>471</v>
      </c>
      <c r="M755">
        <v>-129.33333079020181</v>
      </c>
      <c r="N755">
        <v>-65</v>
      </c>
      <c r="O755">
        <v>86.87</v>
      </c>
      <c r="P755">
        <v>109.15</v>
      </c>
      <c r="Q755">
        <v>58.99</v>
      </c>
      <c r="R755" s="3" t="s">
        <v>470</v>
      </c>
      <c r="S755">
        <v>86.87</v>
      </c>
      <c r="T755" t="s">
        <v>468</v>
      </c>
    </row>
    <row r="756" spans="1:20" x14ac:dyDescent="0.25">
      <c r="A756">
        <v>98</v>
      </c>
      <c r="B756">
        <v>504392</v>
      </c>
      <c r="C756" t="s">
        <v>137</v>
      </c>
      <c r="D756">
        <v>2021</v>
      </c>
      <c r="E756">
        <v>44.029998779296882</v>
      </c>
      <c r="F756">
        <v>-0.15</v>
      </c>
      <c r="G756" t="s">
        <v>465</v>
      </c>
      <c r="H756">
        <v>38.5</v>
      </c>
      <c r="I756">
        <v>8.8000001907348633</v>
      </c>
      <c r="L756" t="s">
        <v>471</v>
      </c>
      <c r="M756">
        <v>-256.66666666666669</v>
      </c>
      <c r="N756">
        <v>-58.666667938232422</v>
      </c>
      <c r="O756">
        <v>86.87</v>
      </c>
      <c r="P756">
        <v>109.15</v>
      </c>
      <c r="Q756">
        <v>58.99</v>
      </c>
      <c r="R756" s="3" t="s">
        <v>470</v>
      </c>
      <c r="S756">
        <v>86.87</v>
      </c>
      <c r="T756" t="s">
        <v>468</v>
      </c>
    </row>
    <row r="757" spans="1:20" x14ac:dyDescent="0.25">
      <c r="A757">
        <v>98</v>
      </c>
      <c r="B757">
        <v>504392</v>
      </c>
      <c r="C757" t="s">
        <v>137</v>
      </c>
      <c r="D757">
        <v>2022</v>
      </c>
      <c r="E757">
        <v>44.029998779296882</v>
      </c>
      <c r="F757">
        <v>-0.15</v>
      </c>
      <c r="G757" t="s">
        <v>465</v>
      </c>
      <c r="H757">
        <v>131.8999938964844</v>
      </c>
      <c r="I757">
        <v>25.5</v>
      </c>
      <c r="L757" t="s">
        <v>471</v>
      </c>
      <c r="M757">
        <v>-879.33329264322936</v>
      </c>
      <c r="N757">
        <v>-170</v>
      </c>
      <c r="O757">
        <v>86.87</v>
      </c>
      <c r="P757">
        <v>109.15</v>
      </c>
      <c r="Q757">
        <v>58.99</v>
      </c>
      <c r="R757" s="3" t="s">
        <v>470</v>
      </c>
      <c r="S757">
        <v>86.87</v>
      </c>
      <c r="T757" t="s">
        <v>468</v>
      </c>
    </row>
    <row r="758" spans="1:20" x14ac:dyDescent="0.25">
      <c r="A758">
        <v>98</v>
      </c>
      <c r="B758">
        <v>504392</v>
      </c>
      <c r="C758" t="s">
        <v>137</v>
      </c>
      <c r="D758">
        <v>2023</v>
      </c>
      <c r="E758">
        <v>44.029998779296882</v>
      </c>
      <c r="F758">
        <v>-0.04</v>
      </c>
      <c r="G758" t="s">
        <v>465</v>
      </c>
      <c r="H758">
        <v>135.94999694824219</v>
      </c>
      <c r="I758">
        <v>50.659999847412109</v>
      </c>
      <c r="L758" t="s">
        <v>471</v>
      </c>
      <c r="M758">
        <v>-3398.7499237060551</v>
      </c>
      <c r="N758">
        <v>-1266.499996185303</v>
      </c>
      <c r="O758">
        <v>86.87</v>
      </c>
      <c r="P758">
        <v>109.15</v>
      </c>
      <c r="Q758">
        <v>58.99</v>
      </c>
      <c r="R758" s="3" t="s">
        <v>470</v>
      </c>
      <c r="S758">
        <v>86.87</v>
      </c>
      <c r="T758" t="s">
        <v>468</v>
      </c>
    </row>
    <row r="759" spans="1:20" x14ac:dyDescent="0.25">
      <c r="A759">
        <v>98</v>
      </c>
      <c r="B759">
        <v>504392</v>
      </c>
      <c r="C759" t="s">
        <v>137</v>
      </c>
      <c r="D759">
        <v>2024</v>
      </c>
      <c r="E759">
        <v>44.029998779296882</v>
      </c>
      <c r="F759">
        <v>-0.44</v>
      </c>
      <c r="G759" t="s">
        <v>465</v>
      </c>
      <c r="H759">
        <v>109.15000152587891</v>
      </c>
      <c r="I759">
        <v>59.25</v>
      </c>
      <c r="L759" t="s">
        <v>471</v>
      </c>
      <c r="M759">
        <v>-248.06818528608841</v>
      </c>
      <c r="N759">
        <v>-134.65909090909091</v>
      </c>
      <c r="O759">
        <v>86.87</v>
      </c>
      <c r="P759">
        <v>109.15</v>
      </c>
      <c r="Q759">
        <v>58.99</v>
      </c>
      <c r="R759" s="3" t="s">
        <v>470</v>
      </c>
      <c r="S759">
        <v>86.87</v>
      </c>
      <c r="T759" t="s">
        <v>468</v>
      </c>
    </row>
    <row r="760" spans="1:20" x14ac:dyDescent="0.25">
      <c r="A760">
        <v>98</v>
      </c>
      <c r="B760">
        <v>504392</v>
      </c>
      <c r="C760" t="s">
        <v>137</v>
      </c>
      <c r="D760">
        <v>2025</v>
      </c>
      <c r="E760">
        <v>44.029998779296882</v>
      </c>
      <c r="F760">
        <v>-0.81</v>
      </c>
      <c r="G760" t="s">
        <v>465</v>
      </c>
      <c r="H760">
        <v>73.449996948242188</v>
      </c>
      <c r="I760">
        <v>12.439999580383301</v>
      </c>
      <c r="L760" t="s">
        <v>471</v>
      </c>
      <c r="M760">
        <v>-90.679008578076775</v>
      </c>
      <c r="N760">
        <v>-15.358024173312719</v>
      </c>
      <c r="O760">
        <v>86.87</v>
      </c>
      <c r="P760">
        <v>109.15</v>
      </c>
      <c r="Q760">
        <v>58.99</v>
      </c>
      <c r="R760" s="3" t="s">
        <v>470</v>
      </c>
      <c r="S760">
        <v>86.87</v>
      </c>
      <c r="T760" t="s">
        <v>468</v>
      </c>
    </row>
    <row r="761" spans="1:20" x14ac:dyDescent="0.25">
      <c r="A761">
        <v>98</v>
      </c>
      <c r="B761">
        <v>504392</v>
      </c>
      <c r="C761" t="s">
        <v>137</v>
      </c>
      <c r="D761">
        <v>2026</v>
      </c>
      <c r="E761">
        <v>44.029998779296882</v>
      </c>
      <c r="F761">
        <v>0.28000000000000003</v>
      </c>
      <c r="G761" t="s">
        <v>465</v>
      </c>
      <c r="H761">
        <v>51.720001220703118</v>
      </c>
      <c r="I761">
        <v>17.10000038146973</v>
      </c>
      <c r="L761" t="s">
        <v>484</v>
      </c>
      <c r="M761">
        <v>184.71429007393971</v>
      </c>
      <c r="N761">
        <v>61.071429933820461</v>
      </c>
      <c r="O761">
        <v>86.87</v>
      </c>
      <c r="P761">
        <v>109.15</v>
      </c>
      <c r="Q761">
        <v>58.99</v>
      </c>
      <c r="R761" s="3" t="s">
        <v>470</v>
      </c>
      <c r="S761">
        <v>86.87</v>
      </c>
      <c r="T761" t="s">
        <v>468</v>
      </c>
    </row>
    <row r="762" spans="1:20" x14ac:dyDescent="0.25">
      <c r="A762">
        <v>99</v>
      </c>
      <c r="B762">
        <v>504605</v>
      </c>
      <c r="C762" t="s">
        <v>139</v>
      </c>
      <c r="D762">
        <v>2015</v>
      </c>
      <c r="E762">
        <v>4787.60009765625</v>
      </c>
      <c r="F762">
        <v>-39.090000000000003</v>
      </c>
      <c r="G762" t="s">
        <v>465</v>
      </c>
      <c r="H762">
        <v>665</v>
      </c>
      <c r="I762">
        <v>450</v>
      </c>
      <c r="L762" t="s">
        <v>471</v>
      </c>
      <c r="M762">
        <v>-17.012023535431059</v>
      </c>
      <c r="N762">
        <v>-11.51189562547966</v>
      </c>
      <c r="O762">
        <v>2739.9</v>
      </c>
      <c r="P762">
        <v>3998.9</v>
      </c>
      <c r="Q762">
        <v>2132</v>
      </c>
      <c r="R762" s="3" t="s">
        <v>470</v>
      </c>
      <c r="S762">
        <v>2739.9</v>
      </c>
      <c r="T762" t="s">
        <v>468</v>
      </c>
    </row>
    <row r="763" spans="1:20" x14ac:dyDescent="0.25">
      <c r="A763">
        <v>99</v>
      </c>
      <c r="B763">
        <v>504605</v>
      </c>
      <c r="C763" t="s">
        <v>139</v>
      </c>
      <c r="D763">
        <v>2016</v>
      </c>
      <c r="E763">
        <v>4787.60009765625</v>
      </c>
      <c r="F763">
        <v>-15.8</v>
      </c>
      <c r="G763" t="s">
        <v>465</v>
      </c>
      <c r="H763">
        <v>600</v>
      </c>
      <c r="I763">
        <v>287</v>
      </c>
      <c r="L763" t="s">
        <v>471</v>
      </c>
      <c r="M763">
        <v>-37.974683544303787</v>
      </c>
      <c r="N763">
        <v>-18.164556962025319</v>
      </c>
      <c r="O763">
        <v>2739.9</v>
      </c>
      <c r="P763">
        <v>3998.9</v>
      </c>
      <c r="Q763">
        <v>2132</v>
      </c>
      <c r="R763" s="3" t="s">
        <v>470</v>
      </c>
      <c r="S763">
        <v>2739.9</v>
      </c>
      <c r="T763" t="s">
        <v>468</v>
      </c>
    </row>
    <row r="764" spans="1:20" x14ac:dyDescent="0.25">
      <c r="A764">
        <v>99</v>
      </c>
      <c r="B764">
        <v>504605</v>
      </c>
      <c r="C764" t="s">
        <v>139</v>
      </c>
      <c r="D764">
        <v>2017</v>
      </c>
      <c r="E764">
        <v>4787.60009765625</v>
      </c>
      <c r="F764">
        <v>-42.58</v>
      </c>
      <c r="G764" t="s">
        <v>465</v>
      </c>
      <c r="H764">
        <v>539</v>
      </c>
      <c r="I764">
        <v>270</v>
      </c>
      <c r="L764" t="s">
        <v>471</v>
      </c>
      <c r="M764">
        <v>-12.65852512916863</v>
      </c>
      <c r="N764">
        <v>-6.3410051667449512</v>
      </c>
      <c r="O764">
        <v>2739.9</v>
      </c>
      <c r="P764">
        <v>3998.9</v>
      </c>
      <c r="Q764">
        <v>2132</v>
      </c>
      <c r="R764" s="3" t="s">
        <v>470</v>
      </c>
      <c r="S764">
        <v>2739.9</v>
      </c>
      <c r="T764" t="s">
        <v>468</v>
      </c>
    </row>
    <row r="765" spans="1:20" x14ac:dyDescent="0.25">
      <c r="A765">
        <v>99</v>
      </c>
      <c r="B765">
        <v>504605</v>
      </c>
      <c r="C765" t="s">
        <v>139</v>
      </c>
      <c r="D765">
        <v>2018</v>
      </c>
      <c r="E765">
        <v>4787.60009765625</v>
      </c>
      <c r="F765">
        <v>6.89</v>
      </c>
      <c r="G765" t="s">
        <v>465</v>
      </c>
      <c r="H765">
        <v>680</v>
      </c>
      <c r="I765">
        <v>400</v>
      </c>
      <c r="L765" t="s">
        <v>469</v>
      </c>
      <c r="M765">
        <v>98.693759071117569</v>
      </c>
      <c r="N765">
        <v>58.055152394775043</v>
      </c>
      <c r="O765">
        <v>2739.9</v>
      </c>
      <c r="P765">
        <v>3998.9</v>
      </c>
      <c r="Q765">
        <v>2132</v>
      </c>
      <c r="R765" s="3" t="s">
        <v>470</v>
      </c>
      <c r="S765">
        <v>2739.9</v>
      </c>
      <c r="T765" t="s">
        <v>468</v>
      </c>
    </row>
    <row r="766" spans="1:20" x14ac:dyDescent="0.25">
      <c r="A766">
        <v>99</v>
      </c>
      <c r="B766">
        <v>504605</v>
      </c>
      <c r="C766" t="s">
        <v>139</v>
      </c>
      <c r="D766">
        <v>2019</v>
      </c>
      <c r="E766">
        <v>4787.60009765625</v>
      </c>
      <c r="F766">
        <v>47.65</v>
      </c>
      <c r="G766" t="s">
        <v>465</v>
      </c>
      <c r="H766">
        <v>544.04998779296875</v>
      </c>
      <c r="I766">
        <v>361</v>
      </c>
      <c r="L766" t="s">
        <v>469</v>
      </c>
      <c r="M766">
        <v>11.41762828526692</v>
      </c>
      <c r="N766">
        <v>7.5760755508919209</v>
      </c>
      <c r="O766">
        <v>2739.9</v>
      </c>
      <c r="P766">
        <v>3998.9</v>
      </c>
      <c r="Q766">
        <v>2132</v>
      </c>
      <c r="R766" s="3" t="s">
        <v>470</v>
      </c>
      <c r="S766">
        <v>2739.9</v>
      </c>
      <c r="T766" t="s">
        <v>468</v>
      </c>
    </row>
    <row r="767" spans="1:20" x14ac:dyDescent="0.25">
      <c r="A767">
        <v>99</v>
      </c>
      <c r="B767">
        <v>504605</v>
      </c>
      <c r="C767" t="s">
        <v>139</v>
      </c>
      <c r="D767">
        <v>2020</v>
      </c>
      <c r="E767">
        <v>4787.60009765625</v>
      </c>
      <c r="F767">
        <v>27.14</v>
      </c>
      <c r="G767" t="s">
        <v>465</v>
      </c>
      <c r="H767">
        <v>582.8499755859375</v>
      </c>
      <c r="I767">
        <v>313.20001220703119</v>
      </c>
      <c r="L767" t="s">
        <v>469</v>
      </c>
      <c r="M767">
        <v>21.475680751139919</v>
      </c>
      <c r="N767">
        <v>11.54016257210874</v>
      </c>
      <c r="O767">
        <v>2739.9</v>
      </c>
      <c r="P767">
        <v>3998.9</v>
      </c>
      <c r="Q767">
        <v>2132</v>
      </c>
      <c r="R767" s="3" t="s">
        <v>470</v>
      </c>
      <c r="S767">
        <v>2739.9</v>
      </c>
      <c r="T767" t="s">
        <v>468</v>
      </c>
    </row>
    <row r="768" spans="1:20" x14ac:dyDescent="0.25">
      <c r="A768">
        <v>99</v>
      </c>
      <c r="B768">
        <v>504605</v>
      </c>
      <c r="C768" t="s">
        <v>139</v>
      </c>
      <c r="D768">
        <v>2021</v>
      </c>
      <c r="E768">
        <v>4787.60009765625</v>
      </c>
      <c r="F768">
        <v>54.13</v>
      </c>
      <c r="G768" t="s">
        <v>465</v>
      </c>
      <c r="H768">
        <v>807.5</v>
      </c>
      <c r="I768">
        <v>361.20001220703119</v>
      </c>
      <c r="L768" t="s">
        <v>469</v>
      </c>
      <c r="M768">
        <v>14.917790504341401</v>
      </c>
      <c r="N768">
        <v>6.672824906835972</v>
      </c>
      <c r="O768">
        <v>2739.9</v>
      </c>
      <c r="P768">
        <v>3998.9</v>
      </c>
      <c r="Q768">
        <v>2132</v>
      </c>
      <c r="R768" s="3" t="s">
        <v>470</v>
      </c>
      <c r="S768">
        <v>2739.9</v>
      </c>
      <c r="T768" t="s">
        <v>468</v>
      </c>
    </row>
    <row r="769" spans="1:20" x14ac:dyDescent="0.25">
      <c r="A769">
        <v>99</v>
      </c>
      <c r="B769">
        <v>504605</v>
      </c>
      <c r="C769" t="s">
        <v>139</v>
      </c>
      <c r="D769">
        <v>2022</v>
      </c>
      <c r="E769">
        <v>4787.60009765625</v>
      </c>
      <c r="F769">
        <v>62.28</v>
      </c>
      <c r="G769" t="s">
        <v>465</v>
      </c>
      <c r="H769">
        <v>840</v>
      </c>
      <c r="I769">
        <v>516.5</v>
      </c>
      <c r="L769" t="s">
        <v>469</v>
      </c>
      <c r="M769">
        <v>13.48747591522158</v>
      </c>
      <c r="N769">
        <v>8.2931920359666016</v>
      </c>
      <c r="O769">
        <v>2739.9</v>
      </c>
      <c r="P769">
        <v>3998.9</v>
      </c>
      <c r="Q769">
        <v>2132</v>
      </c>
      <c r="R769" s="3" t="s">
        <v>470</v>
      </c>
      <c r="S769">
        <v>2739.9</v>
      </c>
      <c r="T769" t="s">
        <v>468</v>
      </c>
    </row>
    <row r="770" spans="1:20" x14ac:dyDescent="0.25">
      <c r="A770">
        <v>99</v>
      </c>
      <c r="B770">
        <v>504605</v>
      </c>
      <c r="C770" t="s">
        <v>139</v>
      </c>
      <c r="D770">
        <v>2023</v>
      </c>
      <c r="E770">
        <v>4787.60009765625</v>
      </c>
      <c r="F770">
        <v>93.82</v>
      </c>
      <c r="G770" t="s">
        <v>465</v>
      </c>
      <c r="H770">
        <v>3445</v>
      </c>
      <c r="I770">
        <v>601.5</v>
      </c>
      <c r="L770" t="s">
        <v>469</v>
      </c>
      <c r="M770">
        <v>36.719249626945214</v>
      </c>
      <c r="N770">
        <v>6.4112129609891282</v>
      </c>
      <c r="O770">
        <v>2739.9</v>
      </c>
      <c r="P770">
        <v>3998.9</v>
      </c>
      <c r="Q770">
        <v>2132</v>
      </c>
      <c r="R770" s="3" t="s">
        <v>470</v>
      </c>
      <c r="S770">
        <v>2739.9</v>
      </c>
      <c r="T770" t="s">
        <v>468</v>
      </c>
    </row>
    <row r="771" spans="1:20" x14ac:dyDescent="0.25">
      <c r="A771">
        <v>99</v>
      </c>
      <c r="B771">
        <v>504605</v>
      </c>
      <c r="C771" t="s">
        <v>139</v>
      </c>
      <c r="D771">
        <v>2024</v>
      </c>
      <c r="E771">
        <v>4787.60009765625</v>
      </c>
      <c r="F771">
        <v>179.54</v>
      </c>
      <c r="G771" t="s">
        <v>465</v>
      </c>
      <c r="H771">
        <v>3998.89990234375</v>
      </c>
      <c r="I771">
        <v>2132</v>
      </c>
      <c r="L771" t="s">
        <v>469</v>
      </c>
      <c r="M771">
        <v>22.27303053550045</v>
      </c>
      <c r="N771">
        <v>11.874791132895179</v>
      </c>
      <c r="O771">
        <v>2739.9</v>
      </c>
      <c r="P771">
        <v>3998.9</v>
      </c>
      <c r="Q771">
        <v>2132</v>
      </c>
      <c r="R771" s="3" t="s">
        <v>470</v>
      </c>
      <c r="S771">
        <v>2739.9</v>
      </c>
      <c r="T771" t="s">
        <v>468</v>
      </c>
    </row>
    <row r="772" spans="1:20" x14ac:dyDescent="0.25">
      <c r="A772">
        <v>99</v>
      </c>
      <c r="B772">
        <v>504605</v>
      </c>
      <c r="C772" t="s">
        <v>139</v>
      </c>
      <c r="D772">
        <v>2025</v>
      </c>
      <c r="E772">
        <v>4787.60009765625</v>
      </c>
      <c r="F772">
        <v>169.97</v>
      </c>
      <c r="G772" t="s">
        <v>465</v>
      </c>
      <c r="H772">
        <v>3995</v>
      </c>
      <c r="I772">
        <v>1820.050048828125</v>
      </c>
      <c r="L772" t="s">
        <v>469</v>
      </c>
      <c r="M772">
        <v>23.504147790786611</v>
      </c>
      <c r="N772">
        <v>10.708066416591899</v>
      </c>
      <c r="O772">
        <v>2739.9</v>
      </c>
      <c r="P772">
        <v>3998.9</v>
      </c>
      <c r="Q772">
        <v>2132</v>
      </c>
      <c r="R772" s="3" t="s">
        <v>470</v>
      </c>
      <c r="S772">
        <v>2739.9</v>
      </c>
      <c r="T772" t="s">
        <v>468</v>
      </c>
    </row>
    <row r="773" spans="1:20" x14ac:dyDescent="0.25">
      <c r="A773">
        <v>99</v>
      </c>
      <c r="B773">
        <v>504605</v>
      </c>
      <c r="C773" t="s">
        <v>139</v>
      </c>
      <c r="D773">
        <v>2026</v>
      </c>
      <c r="E773">
        <v>4787.60009765625</v>
      </c>
      <c r="F773">
        <v>1417.01</v>
      </c>
      <c r="G773" t="s">
        <v>465</v>
      </c>
      <c r="H773">
        <v>5750</v>
      </c>
      <c r="I773">
        <v>2667</v>
      </c>
      <c r="L773" t="s">
        <v>469</v>
      </c>
      <c r="M773">
        <v>4.0578400999287227</v>
      </c>
      <c r="N773">
        <v>1.882132095045201</v>
      </c>
      <c r="O773">
        <v>2739.9</v>
      </c>
      <c r="P773">
        <v>3998.9</v>
      </c>
      <c r="Q773">
        <v>2132</v>
      </c>
      <c r="R773" s="3" t="s">
        <v>470</v>
      </c>
      <c r="S773">
        <v>2739.9</v>
      </c>
      <c r="T773" t="s">
        <v>468</v>
      </c>
    </row>
    <row r="774" spans="1:20" x14ac:dyDescent="0.25">
      <c r="A774">
        <v>101</v>
      </c>
      <c r="B774">
        <v>504648</v>
      </c>
      <c r="C774" t="s">
        <v>141</v>
      </c>
      <c r="D774">
        <v>2020</v>
      </c>
      <c r="E774">
        <v>49.470001220703118</v>
      </c>
      <c r="F774">
        <v>-0.34</v>
      </c>
      <c r="G774" t="s">
        <v>465</v>
      </c>
      <c r="H774">
        <v>1.889999985694885</v>
      </c>
      <c r="I774">
        <v>1.5</v>
      </c>
      <c r="L774" t="s">
        <v>471</v>
      </c>
      <c r="M774">
        <v>-5.5588234873378974</v>
      </c>
      <c r="N774">
        <v>-4.4117647058823524</v>
      </c>
      <c r="O774">
        <v>75.86</v>
      </c>
      <c r="P774">
        <v>93.99</v>
      </c>
      <c r="Q774">
        <v>39.049999999999997</v>
      </c>
      <c r="R774" s="3" t="s">
        <v>470</v>
      </c>
      <c r="S774">
        <v>75.86</v>
      </c>
      <c r="T774" t="s">
        <v>468</v>
      </c>
    </row>
    <row r="775" spans="1:20" x14ac:dyDescent="0.25">
      <c r="A775">
        <v>101</v>
      </c>
      <c r="B775">
        <v>504648</v>
      </c>
      <c r="C775" t="s">
        <v>141</v>
      </c>
      <c r="D775">
        <v>2021</v>
      </c>
      <c r="E775">
        <v>49.470001220703118</v>
      </c>
      <c r="F775">
        <v>0.28000000000000003</v>
      </c>
      <c r="G775" t="s">
        <v>465</v>
      </c>
      <c r="H775">
        <v>70.900001525878906</v>
      </c>
      <c r="I775">
        <v>1.889999985694885</v>
      </c>
      <c r="L775" t="s">
        <v>484</v>
      </c>
      <c r="M775">
        <v>253.2142911638532</v>
      </c>
      <c r="N775">
        <v>6.7499999489103031</v>
      </c>
      <c r="O775">
        <v>75.86</v>
      </c>
      <c r="P775">
        <v>93.99</v>
      </c>
      <c r="Q775">
        <v>39.049999999999997</v>
      </c>
      <c r="R775" s="3" t="s">
        <v>470</v>
      </c>
      <c r="S775">
        <v>75.86</v>
      </c>
      <c r="T775" t="s">
        <v>468</v>
      </c>
    </row>
    <row r="776" spans="1:20" x14ac:dyDescent="0.25">
      <c r="A776">
        <v>101</v>
      </c>
      <c r="B776">
        <v>504648</v>
      </c>
      <c r="C776" t="s">
        <v>141</v>
      </c>
      <c r="D776">
        <v>2022</v>
      </c>
      <c r="E776">
        <v>49.470001220703118</v>
      </c>
      <c r="F776">
        <v>-4.2300000000000004</v>
      </c>
      <c r="G776" t="s">
        <v>465</v>
      </c>
      <c r="H776">
        <v>105.1999969482422</v>
      </c>
      <c r="I776">
        <v>26.64999961853027</v>
      </c>
      <c r="L776" t="s">
        <v>471</v>
      </c>
      <c r="M776">
        <v>-24.86997563788232</v>
      </c>
      <c r="N776">
        <v>-6.3002363164374158</v>
      </c>
      <c r="O776">
        <v>75.86</v>
      </c>
      <c r="P776">
        <v>93.99</v>
      </c>
      <c r="Q776">
        <v>39.049999999999997</v>
      </c>
      <c r="R776" s="3" t="s">
        <v>470</v>
      </c>
      <c r="S776">
        <v>75.86</v>
      </c>
      <c r="T776" t="s">
        <v>468</v>
      </c>
    </row>
    <row r="777" spans="1:20" x14ac:dyDescent="0.25">
      <c r="A777">
        <v>101</v>
      </c>
      <c r="B777">
        <v>504648</v>
      </c>
      <c r="C777" t="s">
        <v>141</v>
      </c>
      <c r="D777">
        <v>2023</v>
      </c>
      <c r="E777">
        <v>49.470001220703118</v>
      </c>
      <c r="F777">
        <v>-0.62</v>
      </c>
      <c r="G777" t="s">
        <v>465</v>
      </c>
      <c r="H777">
        <v>38.849998474121087</v>
      </c>
      <c r="I777">
        <v>17.260000228881839</v>
      </c>
      <c r="L777" t="s">
        <v>471</v>
      </c>
      <c r="M777">
        <v>-62.661287861485633</v>
      </c>
      <c r="N777">
        <v>-27.838710046583611</v>
      </c>
      <c r="O777">
        <v>75.86</v>
      </c>
      <c r="P777">
        <v>93.99</v>
      </c>
      <c r="Q777">
        <v>39.049999999999997</v>
      </c>
      <c r="R777" s="3" t="s">
        <v>470</v>
      </c>
      <c r="S777">
        <v>75.86</v>
      </c>
      <c r="T777" t="s">
        <v>468</v>
      </c>
    </row>
    <row r="778" spans="1:20" x14ac:dyDescent="0.25">
      <c r="A778">
        <v>101</v>
      </c>
      <c r="B778">
        <v>504648</v>
      </c>
      <c r="C778" t="s">
        <v>141</v>
      </c>
      <c r="D778">
        <v>2024</v>
      </c>
      <c r="E778">
        <v>49.470001220703118</v>
      </c>
      <c r="F778">
        <v>-0.57999999999999996</v>
      </c>
      <c r="G778" t="s">
        <v>465</v>
      </c>
      <c r="H778">
        <v>93.989997863769531</v>
      </c>
      <c r="I778">
        <v>32.569999694824219</v>
      </c>
      <c r="L778" t="s">
        <v>471</v>
      </c>
      <c r="M778">
        <v>-162.05172045477511</v>
      </c>
      <c r="N778">
        <v>-56.155171887627972</v>
      </c>
      <c r="O778">
        <v>75.86</v>
      </c>
      <c r="P778">
        <v>93.99</v>
      </c>
      <c r="Q778">
        <v>39.049999999999997</v>
      </c>
      <c r="R778" s="3" t="s">
        <v>470</v>
      </c>
      <c r="S778">
        <v>75.86</v>
      </c>
      <c r="T778" t="s">
        <v>468</v>
      </c>
    </row>
    <row r="779" spans="1:20" x14ac:dyDescent="0.25">
      <c r="A779">
        <v>101</v>
      </c>
      <c r="B779">
        <v>504648</v>
      </c>
      <c r="C779" t="s">
        <v>141</v>
      </c>
      <c r="D779">
        <v>2025</v>
      </c>
      <c r="E779">
        <v>49.470001220703118</v>
      </c>
      <c r="F779">
        <v>-2.4500000000000002</v>
      </c>
      <c r="G779" t="s">
        <v>465</v>
      </c>
      <c r="H779">
        <v>74.5</v>
      </c>
      <c r="I779">
        <v>44.650001525878913</v>
      </c>
      <c r="L779" t="s">
        <v>471</v>
      </c>
      <c r="M779">
        <v>-30.408163265306118</v>
      </c>
      <c r="N779">
        <v>-18.224490418726081</v>
      </c>
      <c r="O779">
        <v>75.86</v>
      </c>
      <c r="P779">
        <v>93.99</v>
      </c>
      <c r="Q779">
        <v>39.049999999999997</v>
      </c>
      <c r="R779" s="3" t="s">
        <v>470</v>
      </c>
      <c r="S779">
        <v>75.86</v>
      </c>
      <c r="T779" t="s">
        <v>468</v>
      </c>
    </row>
    <row r="780" spans="1:20" x14ac:dyDescent="0.25">
      <c r="A780">
        <v>101</v>
      </c>
      <c r="B780">
        <v>504648</v>
      </c>
      <c r="C780" t="s">
        <v>141</v>
      </c>
      <c r="D780">
        <v>2026</v>
      </c>
      <c r="E780">
        <v>49.470001220703118</v>
      </c>
      <c r="F780">
        <v>-0.15</v>
      </c>
      <c r="G780" t="s">
        <v>465</v>
      </c>
      <c r="H780">
        <v>58.5</v>
      </c>
      <c r="I780">
        <v>35.560001373291023</v>
      </c>
      <c r="L780" t="s">
        <v>471</v>
      </c>
      <c r="M780">
        <v>-390</v>
      </c>
      <c r="N780">
        <v>-237.06667582194021</v>
      </c>
      <c r="O780">
        <v>75.86</v>
      </c>
      <c r="P780">
        <v>93.99</v>
      </c>
      <c r="Q780">
        <v>39.049999999999997</v>
      </c>
      <c r="R780" s="3" t="s">
        <v>470</v>
      </c>
      <c r="S780">
        <v>75.86</v>
      </c>
      <c r="T780" t="s">
        <v>468</v>
      </c>
    </row>
    <row r="781" spans="1:20" x14ac:dyDescent="0.25">
      <c r="A781">
        <v>103</v>
      </c>
      <c r="B781">
        <v>505036</v>
      </c>
      <c r="C781" t="s">
        <v>143</v>
      </c>
      <c r="D781">
        <v>2015</v>
      </c>
      <c r="E781">
        <v>2194.5</v>
      </c>
      <c r="F781">
        <v>23.76</v>
      </c>
      <c r="G781" t="s">
        <v>465</v>
      </c>
      <c r="H781">
        <v>590</v>
      </c>
      <c r="I781">
        <v>380</v>
      </c>
      <c r="L781" t="s">
        <v>469</v>
      </c>
      <c r="M781">
        <v>24.83164983164983</v>
      </c>
      <c r="N781">
        <v>15.99326599326599</v>
      </c>
      <c r="O781">
        <v>2049.5500000000002</v>
      </c>
      <c r="P781">
        <v>3449</v>
      </c>
      <c r="Q781">
        <v>1394</v>
      </c>
      <c r="R781" s="3" t="s">
        <v>470</v>
      </c>
      <c r="S781">
        <v>2049.5500000000002</v>
      </c>
      <c r="T781" t="s">
        <v>468</v>
      </c>
    </row>
    <row r="782" spans="1:20" x14ac:dyDescent="0.25">
      <c r="A782">
        <v>103</v>
      </c>
      <c r="B782">
        <v>505036</v>
      </c>
      <c r="C782" t="s">
        <v>143</v>
      </c>
      <c r="D782">
        <v>2016</v>
      </c>
      <c r="E782">
        <v>2194.5</v>
      </c>
      <c r="F782">
        <v>26.4</v>
      </c>
      <c r="G782" t="s">
        <v>465</v>
      </c>
      <c r="H782">
        <v>752</v>
      </c>
      <c r="I782">
        <v>388</v>
      </c>
      <c r="L782" t="s">
        <v>469</v>
      </c>
      <c r="M782">
        <v>28.484848484848492</v>
      </c>
      <c r="N782">
        <v>14.696969696969701</v>
      </c>
      <c r="O782">
        <v>2049.5500000000002</v>
      </c>
      <c r="P782">
        <v>3449</v>
      </c>
      <c r="Q782">
        <v>1394</v>
      </c>
      <c r="R782" s="3" t="s">
        <v>470</v>
      </c>
      <c r="S782">
        <v>2049.5500000000002</v>
      </c>
      <c r="T782" t="s">
        <v>468</v>
      </c>
    </row>
    <row r="783" spans="1:20" x14ac:dyDescent="0.25">
      <c r="A783">
        <v>103</v>
      </c>
      <c r="B783">
        <v>505036</v>
      </c>
      <c r="C783" t="s">
        <v>143</v>
      </c>
      <c r="D783">
        <v>2017</v>
      </c>
      <c r="E783">
        <v>2194.5</v>
      </c>
      <c r="F783">
        <v>32.67</v>
      </c>
      <c r="G783" t="s">
        <v>465</v>
      </c>
      <c r="H783">
        <v>1350</v>
      </c>
      <c r="I783">
        <v>557</v>
      </c>
      <c r="L783" t="s">
        <v>469</v>
      </c>
      <c r="M783">
        <v>41.322314049586772</v>
      </c>
      <c r="N783">
        <v>17.04928068564432</v>
      </c>
      <c r="O783">
        <v>2049.5500000000002</v>
      </c>
      <c r="P783">
        <v>3449</v>
      </c>
      <c r="Q783">
        <v>1394</v>
      </c>
      <c r="R783" s="3" t="s">
        <v>470</v>
      </c>
      <c r="S783">
        <v>2049.5500000000002</v>
      </c>
      <c r="T783" t="s">
        <v>468</v>
      </c>
    </row>
    <row r="784" spans="1:20" x14ac:dyDescent="0.25">
      <c r="A784">
        <v>103</v>
      </c>
      <c r="B784">
        <v>505036</v>
      </c>
      <c r="C784" t="s">
        <v>143</v>
      </c>
      <c r="D784">
        <v>2018</v>
      </c>
      <c r="E784">
        <v>2194.5</v>
      </c>
      <c r="F784">
        <v>31.39</v>
      </c>
      <c r="G784" t="s">
        <v>465</v>
      </c>
      <c r="H784">
        <v>1670</v>
      </c>
      <c r="I784">
        <v>650</v>
      </c>
      <c r="L784" t="s">
        <v>469</v>
      </c>
      <c r="M784">
        <v>53.201656578528187</v>
      </c>
      <c r="N784">
        <v>20.70723160242115</v>
      </c>
      <c r="O784">
        <v>2049.5500000000002</v>
      </c>
      <c r="P784">
        <v>3449</v>
      </c>
      <c r="Q784">
        <v>1394</v>
      </c>
      <c r="R784" s="3" t="s">
        <v>470</v>
      </c>
      <c r="S784">
        <v>2049.5500000000002</v>
      </c>
      <c r="T784" t="s">
        <v>468</v>
      </c>
    </row>
    <row r="785" spans="1:20" x14ac:dyDescent="0.25">
      <c r="A785">
        <v>103</v>
      </c>
      <c r="B785">
        <v>505036</v>
      </c>
      <c r="C785" t="s">
        <v>143</v>
      </c>
      <c r="D785">
        <v>2019</v>
      </c>
      <c r="E785">
        <v>2194.5</v>
      </c>
      <c r="F785">
        <v>32.479999999999997</v>
      </c>
      <c r="G785" t="s">
        <v>465</v>
      </c>
      <c r="H785">
        <v>704</v>
      </c>
      <c r="I785">
        <v>441</v>
      </c>
      <c r="L785" t="s">
        <v>469</v>
      </c>
      <c r="M785">
        <v>21.674876847290641</v>
      </c>
      <c r="N785">
        <v>13.57758620689655</v>
      </c>
      <c r="O785">
        <v>2049.5500000000002</v>
      </c>
      <c r="P785">
        <v>3449</v>
      </c>
      <c r="Q785">
        <v>1394</v>
      </c>
      <c r="R785" s="3" t="s">
        <v>470</v>
      </c>
      <c r="S785">
        <v>2049.5500000000002</v>
      </c>
      <c r="T785" t="s">
        <v>468</v>
      </c>
    </row>
    <row r="786" spans="1:20" x14ac:dyDescent="0.25">
      <c r="A786">
        <v>103</v>
      </c>
      <c r="B786">
        <v>505036</v>
      </c>
      <c r="C786" t="s">
        <v>143</v>
      </c>
      <c r="D786">
        <v>2020</v>
      </c>
      <c r="E786">
        <v>2194.5</v>
      </c>
      <c r="F786">
        <v>16.36</v>
      </c>
      <c r="G786" t="s">
        <v>465</v>
      </c>
      <c r="H786">
        <v>584.3499755859375</v>
      </c>
      <c r="I786">
        <v>227.30000305175781</v>
      </c>
      <c r="L786" t="s">
        <v>469</v>
      </c>
      <c r="M786">
        <v>35.718213666622098</v>
      </c>
      <c r="N786">
        <v>13.893643218322611</v>
      </c>
      <c r="O786">
        <v>2049.5500000000002</v>
      </c>
      <c r="P786">
        <v>3449</v>
      </c>
      <c r="Q786">
        <v>1394</v>
      </c>
      <c r="R786" s="3" t="s">
        <v>470</v>
      </c>
      <c r="S786">
        <v>2049.5500000000002</v>
      </c>
      <c r="T786" t="s">
        <v>468</v>
      </c>
    </row>
    <row r="787" spans="1:20" x14ac:dyDescent="0.25">
      <c r="A787">
        <v>103</v>
      </c>
      <c r="B787">
        <v>505036</v>
      </c>
      <c r="C787" t="s">
        <v>143</v>
      </c>
      <c r="D787">
        <v>2021</v>
      </c>
      <c r="E787">
        <v>2194.5</v>
      </c>
      <c r="F787">
        <v>-20.55</v>
      </c>
      <c r="G787" t="s">
        <v>465</v>
      </c>
      <c r="H787">
        <v>1197.949951171875</v>
      </c>
      <c r="I787">
        <v>360</v>
      </c>
      <c r="L787" t="s">
        <v>471</v>
      </c>
      <c r="M787">
        <v>-58.29440151687956</v>
      </c>
      <c r="N787">
        <v>-17.518248175182482</v>
      </c>
      <c r="O787">
        <v>2049.5500000000002</v>
      </c>
      <c r="P787">
        <v>3449</v>
      </c>
      <c r="Q787">
        <v>1394</v>
      </c>
      <c r="R787" s="3" t="s">
        <v>470</v>
      </c>
      <c r="S787">
        <v>2049.5500000000002</v>
      </c>
      <c r="T787" t="s">
        <v>468</v>
      </c>
    </row>
    <row r="788" spans="1:20" x14ac:dyDescent="0.25">
      <c r="A788">
        <v>103</v>
      </c>
      <c r="B788">
        <v>505036</v>
      </c>
      <c r="C788" t="s">
        <v>143</v>
      </c>
      <c r="D788">
        <v>2022</v>
      </c>
      <c r="E788">
        <v>2194.5</v>
      </c>
      <c r="F788">
        <v>5.65</v>
      </c>
      <c r="G788" t="s">
        <v>465</v>
      </c>
      <c r="H788">
        <v>1145</v>
      </c>
      <c r="I788">
        <v>705.04998779296875</v>
      </c>
      <c r="L788" t="s">
        <v>469</v>
      </c>
      <c r="M788">
        <v>202.65486725663709</v>
      </c>
      <c r="N788">
        <v>124.7876084589325</v>
      </c>
      <c r="O788">
        <v>2049.5500000000002</v>
      </c>
      <c r="P788">
        <v>3449</v>
      </c>
      <c r="Q788">
        <v>1394</v>
      </c>
      <c r="R788" s="3" t="s">
        <v>470</v>
      </c>
      <c r="S788">
        <v>2049.5500000000002</v>
      </c>
      <c r="T788" t="s">
        <v>468</v>
      </c>
    </row>
    <row r="789" spans="1:20" x14ac:dyDescent="0.25">
      <c r="A789">
        <v>103</v>
      </c>
      <c r="B789">
        <v>505036</v>
      </c>
      <c r="C789" t="s">
        <v>143</v>
      </c>
      <c r="D789">
        <v>2023</v>
      </c>
      <c r="E789">
        <v>2194.5</v>
      </c>
      <c r="F789">
        <v>45.74</v>
      </c>
      <c r="G789" t="s">
        <v>465</v>
      </c>
      <c r="H789">
        <v>1655</v>
      </c>
      <c r="I789">
        <v>661.20001220703125</v>
      </c>
      <c r="L789" t="s">
        <v>469</v>
      </c>
      <c r="M789">
        <v>36.182772190642758</v>
      </c>
      <c r="N789">
        <v>14.455618981351799</v>
      </c>
      <c r="O789">
        <v>2049.5500000000002</v>
      </c>
      <c r="P789">
        <v>3449</v>
      </c>
      <c r="Q789">
        <v>1394</v>
      </c>
      <c r="R789" s="3" t="s">
        <v>470</v>
      </c>
      <c r="S789">
        <v>2049.5500000000002</v>
      </c>
      <c r="T789" t="s">
        <v>468</v>
      </c>
    </row>
    <row r="790" spans="1:20" x14ac:dyDescent="0.25">
      <c r="A790">
        <v>103</v>
      </c>
      <c r="B790">
        <v>505036</v>
      </c>
      <c r="C790" t="s">
        <v>143</v>
      </c>
      <c r="D790">
        <v>2024</v>
      </c>
      <c r="E790">
        <v>2194.5</v>
      </c>
      <c r="F790">
        <v>63.02</v>
      </c>
      <c r="G790" t="s">
        <v>465</v>
      </c>
      <c r="H790">
        <v>3449</v>
      </c>
      <c r="I790">
        <v>1390</v>
      </c>
      <c r="L790" t="s">
        <v>469</v>
      </c>
      <c r="M790">
        <v>54.728657569025707</v>
      </c>
      <c r="N790">
        <v>22.05649000317359</v>
      </c>
      <c r="O790">
        <v>2049.5500000000002</v>
      </c>
      <c r="P790">
        <v>3449</v>
      </c>
      <c r="Q790">
        <v>1394</v>
      </c>
      <c r="R790" s="3" t="s">
        <v>470</v>
      </c>
      <c r="S790">
        <v>2049.5500000000002</v>
      </c>
      <c r="T790" t="s">
        <v>468</v>
      </c>
    </row>
    <row r="791" spans="1:20" x14ac:dyDescent="0.25">
      <c r="A791">
        <v>103</v>
      </c>
      <c r="B791">
        <v>505036</v>
      </c>
      <c r="C791" t="s">
        <v>143</v>
      </c>
      <c r="D791">
        <v>2025</v>
      </c>
      <c r="E791">
        <v>2194.5</v>
      </c>
      <c r="F791">
        <v>76.540000000000006</v>
      </c>
      <c r="G791" t="s">
        <v>465</v>
      </c>
      <c r="H791">
        <v>2349</v>
      </c>
      <c r="I791">
        <v>936</v>
      </c>
      <c r="L791" t="s">
        <v>469</v>
      </c>
      <c r="M791">
        <v>30.689835380193362</v>
      </c>
      <c r="N791">
        <v>12.228899921609621</v>
      </c>
      <c r="O791">
        <v>2049.5500000000002</v>
      </c>
      <c r="P791">
        <v>3449</v>
      </c>
      <c r="Q791">
        <v>1394</v>
      </c>
      <c r="R791" s="3" t="s">
        <v>470</v>
      </c>
      <c r="S791">
        <v>2049.5500000000002</v>
      </c>
      <c r="T791" t="s">
        <v>468</v>
      </c>
    </row>
    <row r="792" spans="1:20" x14ac:dyDescent="0.25">
      <c r="A792">
        <v>103</v>
      </c>
      <c r="B792">
        <v>505036</v>
      </c>
      <c r="C792" t="s">
        <v>143</v>
      </c>
      <c r="D792">
        <v>2026</v>
      </c>
      <c r="E792">
        <v>2194.5</v>
      </c>
      <c r="F792">
        <v>114.79</v>
      </c>
      <c r="G792" t="s">
        <v>465</v>
      </c>
      <c r="H792">
        <v>2403</v>
      </c>
      <c r="I792">
        <v>1410.5</v>
      </c>
      <c r="L792" t="s">
        <v>469</v>
      </c>
      <c r="M792">
        <v>20.933879257775072</v>
      </c>
      <c r="N792">
        <v>12.2876557191393</v>
      </c>
      <c r="O792">
        <v>2049.5500000000002</v>
      </c>
      <c r="P792">
        <v>3449</v>
      </c>
      <c r="Q792">
        <v>1394</v>
      </c>
      <c r="R792" s="3" t="s">
        <v>470</v>
      </c>
      <c r="S792">
        <v>2049.5500000000002</v>
      </c>
      <c r="T792" t="s">
        <v>468</v>
      </c>
    </row>
    <row r="793" spans="1:20" x14ac:dyDescent="0.25">
      <c r="A793">
        <v>105</v>
      </c>
      <c r="B793">
        <v>505100</v>
      </c>
      <c r="C793" t="s">
        <v>145</v>
      </c>
      <c r="D793">
        <v>2021</v>
      </c>
      <c r="E793">
        <v>15.86999988555908</v>
      </c>
      <c r="F793">
        <v>-21.67</v>
      </c>
      <c r="G793" t="s">
        <v>465</v>
      </c>
      <c r="H793">
        <v>2.7699999809265141</v>
      </c>
      <c r="I793">
        <v>2.4000000953674321</v>
      </c>
      <c r="L793" t="s">
        <v>471</v>
      </c>
      <c r="M793">
        <v>-0.12782648735240029</v>
      </c>
      <c r="N793">
        <v>-0.1107521963713628</v>
      </c>
      <c r="O793">
        <v>8.06</v>
      </c>
      <c r="P793">
        <v>9.32</v>
      </c>
      <c r="Q793">
        <v>5.14</v>
      </c>
      <c r="R793" s="3" t="s">
        <v>470</v>
      </c>
      <c r="S793">
        <v>8.06</v>
      </c>
      <c r="T793" t="s">
        <v>468</v>
      </c>
    </row>
    <row r="794" spans="1:20" x14ac:dyDescent="0.25">
      <c r="A794">
        <v>105</v>
      </c>
      <c r="B794">
        <v>505100</v>
      </c>
      <c r="C794" t="s">
        <v>145</v>
      </c>
      <c r="D794">
        <v>2022</v>
      </c>
      <c r="E794">
        <v>15.86999988555908</v>
      </c>
      <c r="F794">
        <v>54.44</v>
      </c>
      <c r="G794" t="s">
        <v>465</v>
      </c>
      <c r="H794">
        <v>3.5</v>
      </c>
      <c r="I794">
        <v>2.7699999809265141</v>
      </c>
      <c r="L794" t="s">
        <v>469</v>
      </c>
      <c r="M794">
        <v>6.4290962527553272E-2</v>
      </c>
      <c r="N794">
        <v>5.0881704278591372E-2</v>
      </c>
      <c r="O794">
        <v>8.06</v>
      </c>
      <c r="P794">
        <v>9.32</v>
      </c>
      <c r="Q794">
        <v>5.14</v>
      </c>
      <c r="R794" s="3" t="s">
        <v>470</v>
      </c>
      <c r="S794">
        <v>8.06</v>
      </c>
      <c r="T794" t="s">
        <v>468</v>
      </c>
    </row>
    <row r="795" spans="1:20" x14ac:dyDescent="0.25">
      <c r="A795">
        <v>105</v>
      </c>
      <c r="B795">
        <v>505100</v>
      </c>
      <c r="C795" t="s">
        <v>145</v>
      </c>
      <c r="D795">
        <v>2023</v>
      </c>
      <c r="E795">
        <v>15.86999988555908</v>
      </c>
      <c r="F795">
        <v>7.56</v>
      </c>
      <c r="G795" t="s">
        <v>465</v>
      </c>
      <c r="H795">
        <v>5.1399998664855957</v>
      </c>
      <c r="I795">
        <v>3.5</v>
      </c>
      <c r="L795" t="s">
        <v>469</v>
      </c>
      <c r="M795">
        <v>0.67989416223354449</v>
      </c>
      <c r="N795">
        <v>0.46296296296296302</v>
      </c>
      <c r="O795">
        <v>8.06</v>
      </c>
      <c r="P795">
        <v>9.32</v>
      </c>
      <c r="Q795">
        <v>5.14</v>
      </c>
      <c r="R795" s="3" t="s">
        <v>470</v>
      </c>
      <c r="S795">
        <v>8.06</v>
      </c>
      <c r="T795" t="s">
        <v>468</v>
      </c>
    </row>
    <row r="796" spans="1:20" x14ac:dyDescent="0.25">
      <c r="A796">
        <v>105</v>
      </c>
      <c r="B796">
        <v>505100</v>
      </c>
      <c r="C796" t="s">
        <v>145</v>
      </c>
      <c r="D796">
        <v>2024</v>
      </c>
      <c r="E796">
        <v>15.86999988555908</v>
      </c>
      <c r="F796">
        <v>-6.22</v>
      </c>
      <c r="G796" t="s">
        <v>465</v>
      </c>
      <c r="H796">
        <v>9.3199996948242188</v>
      </c>
      <c r="I796">
        <v>5.1399998664855957</v>
      </c>
      <c r="L796" t="s">
        <v>471</v>
      </c>
      <c r="M796">
        <v>-1.498392233894569</v>
      </c>
      <c r="N796">
        <v>-0.82636653802019222</v>
      </c>
      <c r="O796">
        <v>8.06</v>
      </c>
      <c r="P796">
        <v>9.32</v>
      </c>
      <c r="Q796">
        <v>5.14</v>
      </c>
      <c r="R796" s="3" t="s">
        <v>470</v>
      </c>
      <c r="S796">
        <v>8.06</v>
      </c>
      <c r="T796" t="s">
        <v>468</v>
      </c>
    </row>
    <row r="797" spans="1:20" x14ac:dyDescent="0.25">
      <c r="A797">
        <v>105</v>
      </c>
      <c r="B797">
        <v>505100</v>
      </c>
      <c r="C797" t="s">
        <v>145</v>
      </c>
      <c r="D797">
        <v>2025</v>
      </c>
      <c r="E797">
        <v>15.86999988555908</v>
      </c>
      <c r="F797">
        <v>-9.44</v>
      </c>
      <c r="G797" t="s">
        <v>465</v>
      </c>
      <c r="H797">
        <v>13.069999694824221</v>
      </c>
      <c r="I797">
        <v>9.3199996948242188</v>
      </c>
      <c r="L797" t="s">
        <v>471</v>
      </c>
      <c r="M797">
        <v>-1.384533865977142</v>
      </c>
      <c r="N797">
        <v>-0.98728810326527749</v>
      </c>
      <c r="O797">
        <v>8.06</v>
      </c>
      <c r="P797">
        <v>9.32</v>
      </c>
      <c r="Q797">
        <v>5.14</v>
      </c>
      <c r="R797" s="3" t="s">
        <v>470</v>
      </c>
      <c r="S797">
        <v>8.06</v>
      </c>
      <c r="T797" t="s">
        <v>468</v>
      </c>
    </row>
    <row r="798" spans="1:20" x14ac:dyDescent="0.25">
      <c r="A798">
        <v>105</v>
      </c>
      <c r="B798">
        <v>505100</v>
      </c>
      <c r="C798" t="s">
        <v>145</v>
      </c>
      <c r="D798">
        <v>2026</v>
      </c>
      <c r="E798">
        <v>15.86999988555908</v>
      </c>
      <c r="F798">
        <v>-16.440000000000001</v>
      </c>
      <c r="G798" t="s">
        <v>465</v>
      </c>
      <c r="H798">
        <v>15.86999988555908</v>
      </c>
      <c r="I798">
        <v>13.069999694824221</v>
      </c>
      <c r="L798" t="s">
        <v>471</v>
      </c>
      <c r="M798">
        <v>-0.96532846019215812</v>
      </c>
      <c r="N798">
        <v>-0.79501214688711797</v>
      </c>
      <c r="O798">
        <v>8.06</v>
      </c>
      <c r="P798">
        <v>9.32</v>
      </c>
      <c r="Q798">
        <v>5.14</v>
      </c>
      <c r="R798" s="3" t="s">
        <v>470</v>
      </c>
      <c r="S798">
        <v>8.06</v>
      </c>
      <c r="T798" t="s">
        <v>468</v>
      </c>
    </row>
    <row r="799" spans="1:20" x14ac:dyDescent="0.25">
      <c r="A799">
        <v>108</v>
      </c>
      <c r="B799">
        <v>505242</v>
      </c>
      <c r="C799" t="s">
        <v>147</v>
      </c>
      <c r="D799">
        <v>2015</v>
      </c>
      <c r="E799">
        <v>10552.25</v>
      </c>
      <c r="F799">
        <v>45.18</v>
      </c>
      <c r="G799" t="s">
        <v>465</v>
      </c>
      <c r="H799">
        <v>4225</v>
      </c>
      <c r="I799">
        <v>1899.900024414062</v>
      </c>
      <c r="L799" t="s">
        <v>469</v>
      </c>
      <c r="M799">
        <v>93.514829570606466</v>
      </c>
      <c r="N799">
        <v>42.05179336905848</v>
      </c>
      <c r="O799">
        <v>3002.9</v>
      </c>
      <c r="P799">
        <v>4180</v>
      </c>
      <c r="Q799">
        <v>2700</v>
      </c>
      <c r="R799" s="3" t="s">
        <v>470</v>
      </c>
      <c r="S799">
        <v>3002.9</v>
      </c>
      <c r="T799" t="s">
        <v>468</v>
      </c>
    </row>
    <row r="800" spans="1:20" x14ac:dyDescent="0.25">
      <c r="A800">
        <v>108</v>
      </c>
      <c r="B800">
        <v>505242</v>
      </c>
      <c r="C800" t="s">
        <v>147</v>
      </c>
      <c r="D800">
        <v>2016</v>
      </c>
      <c r="E800">
        <v>10552.25</v>
      </c>
      <c r="F800">
        <v>19.36</v>
      </c>
      <c r="G800" t="s">
        <v>465</v>
      </c>
      <c r="H800">
        <v>3650</v>
      </c>
      <c r="I800">
        <v>1481.75</v>
      </c>
      <c r="L800" t="s">
        <v>469</v>
      </c>
      <c r="M800">
        <v>188.5330578512397</v>
      </c>
      <c r="N800">
        <v>76.536673553719012</v>
      </c>
      <c r="O800">
        <v>3002.9</v>
      </c>
      <c r="P800">
        <v>4180</v>
      </c>
      <c r="Q800">
        <v>2700</v>
      </c>
      <c r="R800" s="3" t="s">
        <v>470</v>
      </c>
      <c r="S800">
        <v>3002.9</v>
      </c>
      <c r="T800" t="s">
        <v>468</v>
      </c>
    </row>
    <row r="801" spans="1:20" x14ac:dyDescent="0.25">
      <c r="A801">
        <v>108</v>
      </c>
      <c r="B801">
        <v>505242</v>
      </c>
      <c r="C801" t="s">
        <v>147</v>
      </c>
      <c r="D801">
        <v>2017</v>
      </c>
      <c r="E801">
        <v>10552.25</v>
      </c>
      <c r="F801">
        <v>30.94</v>
      </c>
      <c r="G801" t="s">
        <v>465</v>
      </c>
      <c r="H801">
        <v>3220</v>
      </c>
      <c r="I801">
        <v>1943.25</v>
      </c>
      <c r="L801" t="s">
        <v>469</v>
      </c>
      <c r="M801">
        <v>104.07239819004521</v>
      </c>
      <c r="N801">
        <v>62.807045895281178</v>
      </c>
      <c r="O801">
        <v>3002.9</v>
      </c>
      <c r="P801">
        <v>4180</v>
      </c>
      <c r="Q801">
        <v>2700</v>
      </c>
      <c r="R801" s="3" t="s">
        <v>470</v>
      </c>
      <c r="S801">
        <v>3002.9</v>
      </c>
      <c r="T801" t="s">
        <v>468</v>
      </c>
    </row>
    <row r="802" spans="1:20" x14ac:dyDescent="0.25">
      <c r="A802">
        <v>108</v>
      </c>
      <c r="B802">
        <v>505242</v>
      </c>
      <c r="C802" t="s">
        <v>147</v>
      </c>
      <c r="D802">
        <v>2018</v>
      </c>
      <c r="E802">
        <v>10552.25</v>
      </c>
      <c r="F802">
        <v>1.1399999999999999</v>
      </c>
      <c r="G802" t="s">
        <v>465</v>
      </c>
      <c r="H802">
        <v>2355</v>
      </c>
      <c r="I802">
        <v>1306</v>
      </c>
      <c r="L802" t="s">
        <v>469</v>
      </c>
      <c r="M802">
        <v>2065.7894736842109</v>
      </c>
      <c r="N802">
        <v>1145.614035087719</v>
      </c>
      <c r="O802">
        <v>3002.9</v>
      </c>
      <c r="P802">
        <v>4180</v>
      </c>
      <c r="Q802">
        <v>2700</v>
      </c>
      <c r="R802" s="3" t="s">
        <v>470</v>
      </c>
      <c r="S802">
        <v>3002.9</v>
      </c>
      <c r="T802" t="s">
        <v>468</v>
      </c>
    </row>
    <row r="803" spans="1:20" x14ac:dyDescent="0.25">
      <c r="A803">
        <v>108</v>
      </c>
      <c r="B803">
        <v>505242</v>
      </c>
      <c r="C803" t="s">
        <v>147</v>
      </c>
      <c r="D803">
        <v>2019</v>
      </c>
      <c r="E803">
        <v>10552.25</v>
      </c>
      <c r="F803">
        <v>43.32</v>
      </c>
      <c r="G803" t="s">
        <v>465</v>
      </c>
      <c r="H803">
        <v>1665.699951171875</v>
      </c>
      <c r="I803">
        <v>889</v>
      </c>
      <c r="L803" t="s">
        <v>469</v>
      </c>
      <c r="M803">
        <v>38.451060738039587</v>
      </c>
      <c r="N803">
        <v>20.521698984302859</v>
      </c>
      <c r="O803">
        <v>3002.9</v>
      </c>
      <c r="P803">
        <v>4180</v>
      </c>
      <c r="Q803">
        <v>2700</v>
      </c>
      <c r="R803" s="3" t="s">
        <v>470</v>
      </c>
      <c r="S803">
        <v>3002.9</v>
      </c>
      <c r="T803" t="s">
        <v>468</v>
      </c>
    </row>
    <row r="804" spans="1:20" x14ac:dyDescent="0.25">
      <c r="A804">
        <v>108</v>
      </c>
      <c r="B804">
        <v>505242</v>
      </c>
      <c r="C804" t="s">
        <v>147</v>
      </c>
      <c r="D804">
        <v>2020</v>
      </c>
      <c r="E804">
        <v>10552.25</v>
      </c>
      <c r="F804">
        <v>61.6</v>
      </c>
      <c r="G804" t="s">
        <v>465</v>
      </c>
      <c r="H804">
        <v>1285.599975585938</v>
      </c>
      <c r="I804">
        <v>424.04998779296881</v>
      </c>
      <c r="L804" t="s">
        <v>469</v>
      </c>
      <c r="M804">
        <v>20.870129473797689</v>
      </c>
      <c r="N804">
        <v>6.8839283732624814</v>
      </c>
      <c r="O804">
        <v>3002.9</v>
      </c>
      <c r="P804">
        <v>4180</v>
      </c>
      <c r="Q804">
        <v>2700</v>
      </c>
      <c r="R804" s="3" t="s">
        <v>470</v>
      </c>
      <c r="S804">
        <v>3002.9</v>
      </c>
      <c r="T804" t="s">
        <v>468</v>
      </c>
    </row>
    <row r="805" spans="1:20" x14ac:dyDescent="0.25">
      <c r="A805">
        <v>108</v>
      </c>
      <c r="B805">
        <v>505242</v>
      </c>
      <c r="C805" t="s">
        <v>147</v>
      </c>
      <c r="D805">
        <v>2021</v>
      </c>
      <c r="E805">
        <v>10552.25</v>
      </c>
      <c r="F805">
        <v>-34.49</v>
      </c>
      <c r="G805" t="s">
        <v>465</v>
      </c>
      <c r="H805">
        <v>3447.85009765625</v>
      </c>
      <c r="I805">
        <v>762.0999755859375</v>
      </c>
      <c r="L805" t="s">
        <v>471</v>
      </c>
      <c r="M805">
        <v>-99.96665983346621</v>
      </c>
      <c r="N805">
        <v>-22.096259077585891</v>
      </c>
      <c r="O805">
        <v>3002.9</v>
      </c>
      <c r="P805">
        <v>4180</v>
      </c>
      <c r="Q805">
        <v>2700</v>
      </c>
      <c r="R805" s="3" t="s">
        <v>470</v>
      </c>
      <c r="S805">
        <v>3002.9</v>
      </c>
      <c r="T805" t="s">
        <v>468</v>
      </c>
    </row>
    <row r="806" spans="1:20" x14ac:dyDescent="0.25">
      <c r="A806">
        <v>108</v>
      </c>
      <c r="B806">
        <v>505242</v>
      </c>
      <c r="C806" t="s">
        <v>147</v>
      </c>
      <c r="D806">
        <v>2022</v>
      </c>
      <c r="E806">
        <v>10552.25</v>
      </c>
      <c r="F806">
        <v>24.4</v>
      </c>
      <c r="G806" t="s">
        <v>465</v>
      </c>
      <c r="H806">
        <v>2814</v>
      </c>
      <c r="I806">
        <v>1676.650024414062</v>
      </c>
      <c r="L806" t="s">
        <v>469</v>
      </c>
      <c r="M806">
        <v>115.32786885245901</v>
      </c>
      <c r="N806">
        <v>68.715164935002548</v>
      </c>
      <c r="O806">
        <v>3002.9</v>
      </c>
      <c r="P806">
        <v>4180</v>
      </c>
      <c r="Q806">
        <v>2700</v>
      </c>
      <c r="R806" s="3" t="s">
        <v>470</v>
      </c>
      <c r="S806">
        <v>3002.9</v>
      </c>
      <c r="T806" t="s">
        <v>468</v>
      </c>
    </row>
    <row r="807" spans="1:20" x14ac:dyDescent="0.25">
      <c r="A807">
        <v>108</v>
      </c>
      <c r="B807">
        <v>505242</v>
      </c>
      <c r="C807" t="s">
        <v>147</v>
      </c>
      <c r="D807">
        <v>2023</v>
      </c>
      <c r="E807">
        <v>10552.25</v>
      </c>
      <c r="F807">
        <v>67.48</v>
      </c>
      <c r="G807" t="s">
        <v>465</v>
      </c>
      <c r="H807">
        <v>5299.9501953125</v>
      </c>
      <c r="I807">
        <v>2303.39990234375</v>
      </c>
      <c r="L807" t="s">
        <v>469</v>
      </c>
      <c r="M807">
        <v>78.541052094139005</v>
      </c>
      <c r="N807">
        <v>34.134556940482362</v>
      </c>
      <c r="O807">
        <v>3002.9</v>
      </c>
      <c r="P807">
        <v>4180</v>
      </c>
      <c r="Q807">
        <v>2700</v>
      </c>
      <c r="R807" s="3" t="s">
        <v>470</v>
      </c>
      <c r="S807">
        <v>3002.9</v>
      </c>
      <c r="T807" t="s">
        <v>468</v>
      </c>
    </row>
    <row r="808" spans="1:20" x14ac:dyDescent="0.25">
      <c r="A808">
        <v>108</v>
      </c>
      <c r="B808">
        <v>505242</v>
      </c>
      <c r="C808" t="s">
        <v>147</v>
      </c>
      <c r="D808">
        <v>2024</v>
      </c>
      <c r="E808">
        <v>10552.25</v>
      </c>
      <c r="F808">
        <v>192.09</v>
      </c>
      <c r="G808" t="s">
        <v>465</v>
      </c>
      <c r="H808">
        <v>9080.400390625</v>
      </c>
      <c r="I808">
        <v>5057.75</v>
      </c>
      <c r="L808" t="s">
        <v>469</v>
      </c>
      <c r="M808">
        <v>47.271593475063767</v>
      </c>
      <c r="N808">
        <v>26.330105679629341</v>
      </c>
      <c r="O808">
        <v>3002.9</v>
      </c>
      <c r="P808">
        <v>4180</v>
      </c>
      <c r="Q808">
        <v>2700</v>
      </c>
      <c r="R808" s="3" t="s">
        <v>470</v>
      </c>
      <c r="S808">
        <v>3002.9</v>
      </c>
      <c r="T808" t="s">
        <v>468</v>
      </c>
    </row>
    <row r="809" spans="1:20" x14ac:dyDescent="0.25">
      <c r="A809">
        <v>108</v>
      </c>
      <c r="B809">
        <v>505242</v>
      </c>
      <c r="C809" t="s">
        <v>147</v>
      </c>
      <c r="D809">
        <v>2025</v>
      </c>
      <c r="E809">
        <v>10552.25</v>
      </c>
      <c r="F809">
        <v>67.87</v>
      </c>
      <c r="G809" t="s">
        <v>465</v>
      </c>
      <c r="H809">
        <v>11500</v>
      </c>
      <c r="I809">
        <v>5437.39990234375</v>
      </c>
      <c r="L809" t="s">
        <v>469</v>
      </c>
      <c r="M809">
        <v>169.4415794902018</v>
      </c>
      <c r="N809">
        <v>80.114924154173409</v>
      </c>
      <c r="O809">
        <v>3002.9</v>
      </c>
      <c r="P809">
        <v>4180</v>
      </c>
      <c r="Q809">
        <v>2700</v>
      </c>
      <c r="R809" s="3" t="s">
        <v>470</v>
      </c>
      <c r="S809">
        <v>3002.9</v>
      </c>
      <c r="T809" t="s">
        <v>468</v>
      </c>
    </row>
    <row r="810" spans="1:20" x14ac:dyDescent="0.25">
      <c r="A810">
        <v>108</v>
      </c>
      <c r="B810">
        <v>505242</v>
      </c>
      <c r="C810" t="s">
        <v>147</v>
      </c>
      <c r="D810">
        <v>2026</v>
      </c>
      <c r="E810">
        <v>10552.25</v>
      </c>
      <c r="F810">
        <v>51.11</v>
      </c>
      <c r="G810" t="s">
        <v>465</v>
      </c>
      <c r="H810">
        <v>12870</v>
      </c>
      <c r="I810">
        <v>7700</v>
      </c>
      <c r="L810" t="s">
        <v>469</v>
      </c>
      <c r="M810">
        <v>251.80982195265111</v>
      </c>
      <c r="N810">
        <v>150.65544903150069</v>
      </c>
      <c r="O810">
        <v>3002.9</v>
      </c>
      <c r="P810">
        <v>4180</v>
      </c>
      <c r="Q810">
        <v>2700</v>
      </c>
      <c r="R810" s="3" t="s">
        <v>470</v>
      </c>
      <c r="S810">
        <v>3002.9</v>
      </c>
      <c r="T810" t="s">
        <v>468</v>
      </c>
    </row>
    <row r="811" spans="1:20" x14ac:dyDescent="0.25">
      <c r="A811">
        <v>110</v>
      </c>
      <c r="B811">
        <v>505285</v>
      </c>
      <c r="C811" t="s">
        <v>149</v>
      </c>
      <c r="D811">
        <v>2015</v>
      </c>
      <c r="E811">
        <v>1170</v>
      </c>
      <c r="F811">
        <v>21.5</v>
      </c>
      <c r="G811" t="s">
        <v>465</v>
      </c>
      <c r="H811">
        <v>195.69999694824219</v>
      </c>
      <c r="I811">
        <v>101</v>
      </c>
      <c r="L811" t="s">
        <v>469</v>
      </c>
      <c r="M811">
        <v>9.102325439453125</v>
      </c>
      <c r="N811">
        <v>4.6976744186046524</v>
      </c>
      <c r="O811">
        <v>820.95</v>
      </c>
      <c r="P811">
        <v>1133.2</v>
      </c>
      <c r="Q811">
        <v>193.1</v>
      </c>
      <c r="R811" s="3" t="s">
        <v>470</v>
      </c>
      <c r="S811">
        <v>820.95</v>
      </c>
      <c r="T811" t="s">
        <v>468</v>
      </c>
    </row>
    <row r="812" spans="1:20" x14ac:dyDescent="0.25">
      <c r="A812">
        <v>110</v>
      </c>
      <c r="B812">
        <v>505285</v>
      </c>
      <c r="C812" t="s">
        <v>149</v>
      </c>
      <c r="D812">
        <v>2016</v>
      </c>
      <c r="E812">
        <v>1170</v>
      </c>
      <c r="F812">
        <v>11.48</v>
      </c>
      <c r="G812" t="s">
        <v>465</v>
      </c>
      <c r="H812">
        <v>196.44999694824219</v>
      </c>
      <c r="I812">
        <v>151.6499938964844</v>
      </c>
      <c r="L812" t="s">
        <v>469</v>
      </c>
      <c r="M812">
        <v>17.112369072146532</v>
      </c>
      <c r="N812">
        <v>13.20992978192373</v>
      </c>
      <c r="O812">
        <v>820.95</v>
      </c>
      <c r="P812">
        <v>1133.2</v>
      </c>
      <c r="Q812">
        <v>193.1</v>
      </c>
      <c r="R812" s="3" t="s">
        <v>470</v>
      </c>
      <c r="S812">
        <v>820.95</v>
      </c>
      <c r="T812" t="s">
        <v>468</v>
      </c>
    </row>
    <row r="813" spans="1:20" x14ac:dyDescent="0.25">
      <c r="A813">
        <v>110</v>
      </c>
      <c r="B813">
        <v>505285</v>
      </c>
      <c r="C813" t="s">
        <v>149</v>
      </c>
      <c r="D813">
        <v>2017</v>
      </c>
      <c r="E813">
        <v>1170</v>
      </c>
      <c r="F813">
        <v>26.29</v>
      </c>
      <c r="G813" t="s">
        <v>465</v>
      </c>
      <c r="H813">
        <v>169.75</v>
      </c>
      <c r="I813">
        <v>157</v>
      </c>
      <c r="L813" t="s">
        <v>469</v>
      </c>
      <c r="M813">
        <v>6.456827691137315</v>
      </c>
      <c r="N813">
        <v>5.97185241536706</v>
      </c>
      <c r="O813">
        <v>820.95</v>
      </c>
      <c r="P813">
        <v>1133.2</v>
      </c>
      <c r="Q813">
        <v>193.1</v>
      </c>
      <c r="R813" s="3" t="s">
        <v>470</v>
      </c>
      <c r="S813">
        <v>820.95</v>
      </c>
      <c r="T813" t="s">
        <v>468</v>
      </c>
    </row>
    <row r="814" spans="1:20" x14ac:dyDescent="0.25">
      <c r="A814">
        <v>110</v>
      </c>
      <c r="B814">
        <v>505285</v>
      </c>
      <c r="C814" t="s">
        <v>149</v>
      </c>
      <c r="D814">
        <v>2018</v>
      </c>
      <c r="E814">
        <v>1170</v>
      </c>
      <c r="F814">
        <v>4.4000000000000004</v>
      </c>
      <c r="G814" t="s">
        <v>465</v>
      </c>
      <c r="H814">
        <v>202.30000305175781</v>
      </c>
      <c r="I814">
        <v>169.69999694824219</v>
      </c>
      <c r="L814" t="s">
        <v>469</v>
      </c>
      <c r="M814">
        <v>45.977273420854047</v>
      </c>
      <c r="N814">
        <v>38.568181124600493</v>
      </c>
      <c r="O814">
        <v>820.95</v>
      </c>
      <c r="P814">
        <v>1133.2</v>
      </c>
      <c r="Q814">
        <v>193.1</v>
      </c>
      <c r="R814" s="3" t="s">
        <v>470</v>
      </c>
      <c r="S814">
        <v>820.95</v>
      </c>
      <c r="T814" t="s">
        <v>468</v>
      </c>
    </row>
    <row r="815" spans="1:20" x14ac:dyDescent="0.25">
      <c r="A815">
        <v>110</v>
      </c>
      <c r="B815">
        <v>505285</v>
      </c>
      <c r="C815" t="s">
        <v>149</v>
      </c>
      <c r="D815">
        <v>2019</v>
      </c>
      <c r="E815">
        <v>1170</v>
      </c>
      <c r="F815">
        <v>1.59</v>
      </c>
      <c r="G815" t="s">
        <v>465</v>
      </c>
      <c r="H815">
        <v>282</v>
      </c>
      <c r="I815">
        <v>202</v>
      </c>
      <c r="L815" t="s">
        <v>469</v>
      </c>
      <c r="M815">
        <v>177.35849056603769</v>
      </c>
      <c r="N815">
        <v>127.0440251572327</v>
      </c>
      <c r="O815">
        <v>820.95</v>
      </c>
      <c r="P815">
        <v>1133.2</v>
      </c>
      <c r="Q815">
        <v>193.1</v>
      </c>
      <c r="R815" s="3" t="s">
        <v>470</v>
      </c>
      <c r="S815">
        <v>820.95</v>
      </c>
      <c r="T815" t="s">
        <v>468</v>
      </c>
    </row>
    <row r="816" spans="1:20" x14ac:dyDescent="0.25">
      <c r="A816">
        <v>110</v>
      </c>
      <c r="B816">
        <v>505285</v>
      </c>
      <c r="C816" t="s">
        <v>149</v>
      </c>
      <c r="D816">
        <v>2020</v>
      </c>
      <c r="E816">
        <v>1170</v>
      </c>
      <c r="F816">
        <v>-4.32</v>
      </c>
      <c r="G816" t="s">
        <v>465</v>
      </c>
      <c r="H816">
        <v>247</v>
      </c>
      <c r="I816">
        <v>196.8999938964844</v>
      </c>
      <c r="L816" t="s">
        <v>471</v>
      </c>
      <c r="M816">
        <v>-57.175925925925917</v>
      </c>
      <c r="N816">
        <v>-45.578702290852867</v>
      </c>
      <c r="O816">
        <v>820.95</v>
      </c>
      <c r="P816">
        <v>1133.2</v>
      </c>
      <c r="Q816">
        <v>193.1</v>
      </c>
      <c r="R816" s="3" t="s">
        <v>470</v>
      </c>
      <c r="S816">
        <v>820.95</v>
      </c>
      <c r="T816" t="s">
        <v>468</v>
      </c>
    </row>
    <row r="817" spans="1:20" x14ac:dyDescent="0.25">
      <c r="A817">
        <v>110</v>
      </c>
      <c r="B817">
        <v>505285</v>
      </c>
      <c r="C817" t="s">
        <v>149</v>
      </c>
      <c r="D817">
        <v>2021</v>
      </c>
      <c r="E817">
        <v>1170</v>
      </c>
      <c r="F817">
        <v>-2.83</v>
      </c>
      <c r="G817" t="s">
        <v>465</v>
      </c>
      <c r="H817">
        <v>202.8500061035156</v>
      </c>
      <c r="I817">
        <v>166</v>
      </c>
      <c r="L817" t="s">
        <v>471</v>
      </c>
      <c r="M817">
        <v>-71.678447386401274</v>
      </c>
      <c r="N817">
        <v>-58.657243816254407</v>
      </c>
      <c r="O817">
        <v>820.95</v>
      </c>
      <c r="P817">
        <v>1133.2</v>
      </c>
      <c r="Q817">
        <v>193.1</v>
      </c>
      <c r="R817" s="3" t="s">
        <v>470</v>
      </c>
      <c r="S817">
        <v>820.95</v>
      </c>
      <c r="T817" t="s">
        <v>468</v>
      </c>
    </row>
    <row r="818" spans="1:20" x14ac:dyDescent="0.25">
      <c r="A818">
        <v>110</v>
      </c>
      <c r="B818">
        <v>505285</v>
      </c>
      <c r="C818" t="s">
        <v>149</v>
      </c>
      <c r="D818">
        <v>2022</v>
      </c>
      <c r="E818">
        <v>1170</v>
      </c>
      <c r="F818">
        <v>-9.19</v>
      </c>
      <c r="G818" t="s">
        <v>465</v>
      </c>
      <c r="H818">
        <v>183.6000061035156</v>
      </c>
      <c r="I818">
        <v>173.5</v>
      </c>
      <c r="L818" t="s">
        <v>471</v>
      </c>
      <c r="M818">
        <v>-19.978237878510949</v>
      </c>
      <c r="N818">
        <v>-18.879216539717081</v>
      </c>
      <c r="O818">
        <v>820.95</v>
      </c>
      <c r="P818">
        <v>1133.2</v>
      </c>
      <c r="Q818">
        <v>193.1</v>
      </c>
      <c r="R818" s="3" t="s">
        <v>470</v>
      </c>
      <c r="S818">
        <v>820.95</v>
      </c>
      <c r="T818" t="s">
        <v>468</v>
      </c>
    </row>
    <row r="819" spans="1:20" x14ac:dyDescent="0.25">
      <c r="A819">
        <v>110</v>
      </c>
      <c r="B819">
        <v>505285</v>
      </c>
      <c r="C819" t="s">
        <v>149</v>
      </c>
      <c r="D819">
        <v>2023</v>
      </c>
      <c r="E819">
        <v>1170</v>
      </c>
      <c r="F819">
        <v>5.85</v>
      </c>
      <c r="G819" t="s">
        <v>465</v>
      </c>
      <c r="H819">
        <v>180</v>
      </c>
      <c r="I819">
        <v>171.5</v>
      </c>
      <c r="L819" t="s">
        <v>469</v>
      </c>
      <c r="M819">
        <v>30.76923076923077</v>
      </c>
      <c r="N819">
        <v>29.316239316239319</v>
      </c>
      <c r="O819">
        <v>820.95</v>
      </c>
      <c r="P819">
        <v>1133.2</v>
      </c>
      <c r="Q819">
        <v>193.1</v>
      </c>
      <c r="R819" s="3" t="s">
        <v>470</v>
      </c>
      <c r="S819">
        <v>820.95</v>
      </c>
      <c r="T819" t="s">
        <v>468</v>
      </c>
    </row>
    <row r="820" spans="1:20" x14ac:dyDescent="0.25">
      <c r="A820">
        <v>110</v>
      </c>
      <c r="B820">
        <v>505285</v>
      </c>
      <c r="C820" t="s">
        <v>149</v>
      </c>
      <c r="D820">
        <v>2024</v>
      </c>
      <c r="E820">
        <v>1170</v>
      </c>
      <c r="F820">
        <v>-4.32</v>
      </c>
      <c r="G820" t="s">
        <v>465</v>
      </c>
      <c r="H820">
        <v>1133.199951171875</v>
      </c>
      <c r="I820">
        <v>174</v>
      </c>
      <c r="L820" t="s">
        <v>471</v>
      </c>
      <c r="M820">
        <v>-262.3148035120081</v>
      </c>
      <c r="N820">
        <v>-40.277777777777779</v>
      </c>
      <c r="O820">
        <v>820.95</v>
      </c>
      <c r="P820">
        <v>1133.2</v>
      </c>
      <c r="Q820">
        <v>193.1</v>
      </c>
      <c r="R820" s="3" t="s">
        <v>470</v>
      </c>
      <c r="S820">
        <v>820.95</v>
      </c>
      <c r="T820" t="s">
        <v>468</v>
      </c>
    </row>
    <row r="821" spans="1:20" x14ac:dyDescent="0.25">
      <c r="A821">
        <v>110</v>
      </c>
      <c r="B821">
        <v>505285</v>
      </c>
      <c r="C821" t="s">
        <v>149</v>
      </c>
      <c r="D821">
        <v>2025</v>
      </c>
      <c r="E821">
        <v>1170</v>
      </c>
      <c r="F821">
        <v>-5.89</v>
      </c>
      <c r="G821" t="s">
        <v>465</v>
      </c>
      <c r="H821">
        <v>1040.400024414062</v>
      </c>
      <c r="I821">
        <v>682.70001220703125</v>
      </c>
      <c r="L821" t="s">
        <v>471</v>
      </c>
      <c r="M821">
        <v>-176.6383742638476</v>
      </c>
      <c r="N821">
        <v>-115.9083212575605</v>
      </c>
      <c r="O821">
        <v>820.95</v>
      </c>
      <c r="P821">
        <v>1133.2</v>
      </c>
      <c r="Q821">
        <v>193.1</v>
      </c>
      <c r="R821" s="3" t="s">
        <v>470</v>
      </c>
      <c r="S821">
        <v>820.95</v>
      </c>
      <c r="T821" t="s">
        <v>468</v>
      </c>
    </row>
    <row r="822" spans="1:20" x14ac:dyDescent="0.25">
      <c r="A822">
        <v>110</v>
      </c>
      <c r="B822">
        <v>505285</v>
      </c>
      <c r="C822" t="s">
        <v>149</v>
      </c>
      <c r="D822">
        <v>2026</v>
      </c>
      <c r="E822">
        <v>1170</v>
      </c>
      <c r="F822">
        <v>-5.34</v>
      </c>
      <c r="G822" t="s">
        <v>465</v>
      </c>
      <c r="H822">
        <v>1258.5</v>
      </c>
      <c r="I822">
        <v>707.5999755859375</v>
      </c>
      <c r="L822" t="s">
        <v>471</v>
      </c>
      <c r="M822">
        <v>-235.67415730337081</v>
      </c>
      <c r="N822">
        <v>-132.50935872395829</v>
      </c>
      <c r="O822">
        <v>820.95</v>
      </c>
      <c r="P822">
        <v>1133.2</v>
      </c>
      <c r="Q822">
        <v>193.1</v>
      </c>
      <c r="R822" s="3" t="s">
        <v>470</v>
      </c>
      <c r="S822">
        <v>820.95</v>
      </c>
      <c r="T822" t="s">
        <v>468</v>
      </c>
    </row>
    <row r="823" spans="1:20" x14ac:dyDescent="0.25">
      <c r="A823">
        <v>111</v>
      </c>
      <c r="B823">
        <v>505324</v>
      </c>
      <c r="C823" t="s">
        <v>151</v>
      </c>
      <c r="D823">
        <v>2015</v>
      </c>
      <c r="E823">
        <v>15.27999973297119</v>
      </c>
      <c r="F823">
        <v>-3.26</v>
      </c>
      <c r="G823" t="s">
        <v>465</v>
      </c>
      <c r="H823">
        <v>72.949996948242188</v>
      </c>
      <c r="I823">
        <v>29</v>
      </c>
      <c r="L823" t="s">
        <v>471</v>
      </c>
      <c r="M823">
        <v>-22.377299677374911</v>
      </c>
      <c r="N823">
        <v>-8.8957055214723937</v>
      </c>
      <c r="O823">
        <v>15.14</v>
      </c>
      <c r="P823">
        <v>24</v>
      </c>
      <c r="Q823">
        <v>9.65</v>
      </c>
      <c r="R823" s="2" t="s">
        <v>467</v>
      </c>
      <c r="S823">
        <v>15.14</v>
      </c>
      <c r="T823" t="s">
        <v>468</v>
      </c>
    </row>
    <row r="824" spans="1:20" x14ac:dyDescent="0.25">
      <c r="A824">
        <v>111</v>
      </c>
      <c r="B824">
        <v>505324</v>
      </c>
      <c r="C824" t="s">
        <v>151</v>
      </c>
      <c r="D824">
        <v>2016</v>
      </c>
      <c r="E824">
        <v>15.27999973297119</v>
      </c>
      <c r="F824">
        <v>2.1</v>
      </c>
      <c r="G824" t="s">
        <v>465</v>
      </c>
      <c r="H824">
        <v>72.400001525878906</v>
      </c>
      <c r="I824">
        <v>38.5</v>
      </c>
      <c r="L824" t="s">
        <v>469</v>
      </c>
      <c r="M824">
        <v>34.476191202799477</v>
      </c>
      <c r="N824">
        <v>18.333333333333329</v>
      </c>
      <c r="O824">
        <v>15.14</v>
      </c>
      <c r="P824">
        <v>24</v>
      </c>
      <c r="Q824">
        <v>9.65</v>
      </c>
      <c r="R824" s="2" t="s">
        <v>467</v>
      </c>
      <c r="S824">
        <v>15.14</v>
      </c>
      <c r="T824" t="s">
        <v>468</v>
      </c>
    </row>
    <row r="825" spans="1:20" x14ac:dyDescent="0.25">
      <c r="A825">
        <v>111</v>
      </c>
      <c r="B825">
        <v>505324</v>
      </c>
      <c r="C825" t="s">
        <v>151</v>
      </c>
      <c r="D825">
        <v>2017</v>
      </c>
      <c r="E825">
        <v>15.27999973297119</v>
      </c>
      <c r="F825">
        <v>-11.63</v>
      </c>
      <c r="G825" t="s">
        <v>465</v>
      </c>
      <c r="H825">
        <v>70.5</v>
      </c>
      <c r="I825">
        <v>42.799999237060547</v>
      </c>
      <c r="L825" t="s">
        <v>471</v>
      </c>
      <c r="M825">
        <v>-6.0619088564058474</v>
      </c>
      <c r="N825">
        <v>-3.6801375096354718</v>
      </c>
      <c r="O825">
        <v>15.14</v>
      </c>
      <c r="P825">
        <v>24</v>
      </c>
      <c r="Q825">
        <v>9.65</v>
      </c>
      <c r="R825" s="2" t="s">
        <v>467</v>
      </c>
      <c r="S825">
        <v>15.14</v>
      </c>
      <c r="T825" t="s">
        <v>468</v>
      </c>
    </row>
    <row r="826" spans="1:20" x14ac:dyDescent="0.25">
      <c r="A826">
        <v>111</v>
      </c>
      <c r="B826">
        <v>505324</v>
      </c>
      <c r="C826" t="s">
        <v>151</v>
      </c>
      <c r="D826">
        <v>2018</v>
      </c>
      <c r="E826">
        <v>15.27999973297119</v>
      </c>
      <c r="F826">
        <v>-4.6900000000000004</v>
      </c>
      <c r="G826" t="s">
        <v>465</v>
      </c>
      <c r="H826">
        <v>65</v>
      </c>
      <c r="I826">
        <v>29.45000076293945</v>
      </c>
      <c r="L826" t="s">
        <v>471</v>
      </c>
      <c r="M826">
        <v>-13.8592750533049</v>
      </c>
      <c r="N826">
        <v>-6.2793178599018011</v>
      </c>
      <c r="O826">
        <v>15.14</v>
      </c>
      <c r="P826">
        <v>24</v>
      </c>
      <c r="Q826">
        <v>9.65</v>
      </c>
      <c r="R826" s="2" t="s">
        <v>467</v>
      </c>
      <c r="S826">
        <v>15.14</v>
      </c>
      <c r="T826" t="s">
        <v>468</v>
      </c>
    </row>
    <row r="827" spans="1:20" x14ac:dyDescent="0.25">
      <c r="A827">
        <v>111</v>
      </c>
      <c r="B827">
        <v>505324</v>
      </c>
      <c r="C827" t="s">
        <v>151</v>
      </c>
      <c r="D827">
        <v>2019</v>
      </c>
      <c r="E827">
        <v>15.27999973297119</v>
      </c>
      <c r="F827">
        <v>-5.37</v>
      </c>
      <c r="G827" t="s">
        <v>465</v>
      </c>
      <c r="H827">
        <v>33.650001525878913</v>
      </c>
      <c r="I827">
        <v>12.30000019073486</v>
      </c>
      <c r="L827" t="s">
        <v>471</v>
      </c>
      <c r="M827">
        <v>-6.2662945113368549</v>
      </c>
      <c r="N827">
        <v>-2.2905028288146849</v>
      </c>
      <c r="O827">
        <v>15.14</v>
      </c>
      <c r="P827">
        <v>24</v>
      </c>
      <c r="Q827">
        <v>9.65</v>
      </c>
      <c r="R827" s="2" t="s">
        <v>467</v>
      </c>
      <c r="S827">
        <v>15.14</v>
      </c>
      <c r="T827" t="s">
        <v>468</v>
      </c>
    </row>
    <row r="828" spans="1:20" x14ac:dyDescent="0.25">
      <c r="A828">
        <v>111</v>
      </c>
      <c r="B828">
        <v>505324</v>
      </c>
      <c r="C828" t="s">
        <v>151</v>
      </c>
      <c r="D828">
        <v>2020</v>
      </c>
      <c r="E828">
        <v>15.27999973297119</v>
      </c>
      <c r="F828">
        <v>-11.61</v>
      </c>
      <c r="G828" t="s">
        <v>465</v>
      </c>
      <c r="H828">
        <v>19.110000610351559</v>
      </c>
      <c r="I828">
        <v>6.5</v>
      </c>
      <c r="L828" t="s">
        <v>471</v>
      </c>
      <c r="M828">
        <v>-1.645994884612537</v>
      </c>
      <c r="N828">
        <v>-0.55986218776916452</v>
      </c>
      <c r="O828">
        <v>15.14</v>
      </c>
      <c r="P828">
        <v>24</v>
      </c>
      <c r="Q828">
        <v>9.65</v>
      </c>
      <c r="R828" s="2" t="s">
        <v>467</v>
      </c>
      <c r="S828">
        <v>15.14</v>
      </c>
      <c r="T828" t="s">
        <v>468</v>
      </c>
    </row>
    <row r="829" spans="1:20" x14ac:dyDescent="0.25">
      <c r="A829">
        <v>111</v>
      </c>
      <c r="B829">
        <v>505324</v>
      </c>
      <c r="C829" t="s">
        <v>151</v>
      </c>
      <c r="D829">
        <v>2021</v>
      </c>
      <c r="E829">
        <v>15.27999973297119</v>
      </c>
      <c r="F829">
        <v>-9.44</v>
      </c>
      <c r="G829" t="s">
        <v>465</v>
      </c>
      <c r="H829">
        <v>22.39999961853027</v>
      </c>
      <c r="I829">
        <v>10</v>
      </c>
      <c r="L829" t="s">
        <v>471</v>
      </c>
      <c r="M829">
        <v>-2.372881315522275</v>
      </c>
      <c r="N829">
        <v>-1.0593220338983049</v>
      </c>
      <c r="O829">
        <v>15.14</v>
      </c>
      <c r="P829">
        <v>24</v>
      </c>
      <c r="Q829">
        <v>9.65</v>
      </c>
      <c r="R829" s="2" t="s">
        <v>467</v>
      </c>
      <c r="S829">
        <v>15.14</v>
      </c>
      <c r="T829" t="s">
        <v>468</v>
      </c>
    </row>
    <row r="830" spans="1:20" x14ac:dyDescent="0.25">
      <c r="A830">
        <v>111</v>
      </c>
      <c r="B830">
        <v>505324</v>
      </c>
      <c r="C830" t="s">
        <v>151</v>
      </c>
      <c r="D830">
        <v>2022</v>
      </c>
      <c r="E830">
        <v>15.27999973297119</v>
      </c>
      <c r="F830">
        <v>-4.59</v>
      </c>
      <c r="G830" t="s">
        <v>465</v>
      </c>
      <c r="H830">
        <v>22.95000076293945</v>
      </c>
      <c r="I830">
        <v>12.02000045776367</v>
      </c>
      <c r="L830" t="s">
        <v>471</v>
      </c>
      <c r="M830">
        <v>-5.0000001662177453</v>
      </c>
      <c r="N830">
        <v>-2.618736483172913</v>
      </c>
      <c r="O830">
        <v>15.14</v>
      </c>
      <c r="P830">
        <v>24</v>
      </c>
      <c r="Q830">
        <v>9.65</v>
      </c>
      <c r="R830" s="2" t="s">
        <v>467</v>
      </c>
      <c r="S830">
        <v>15.14</v>
      </c>
      <c r="T830" t="s">
        <v>468</v>
      </c>
    </row>
    <row r="831" spans="1:20" x14ac:dyDescent="0.25">
      <c r="A831">
        <v>111</v>
      </c>
      <c r="B831">
        <v>505324</v>
      </c>
      <c r="C831" t="s">
        <v>151</v>
      </c>
      <c r="D831">
        <v>2023</v>
      </c>
      <c r="E831">
        <v>15.27999973297119</v>
      </c>
      <c r="F831">
        <v>-3.63</v>
      </c>
      <c r="G831" t="s">
        <v>465</v>
      </c>
      <c r="H831">
        <v>28.85000038146973</v>
      </c>
      <c r="I831">
        <v>14.25</v>
      </c>
      <c r="L831" t="s">
        <v>471</v>
      </c>
      <c r="M831">
        <v>-7.947658507291937</v>
      </c>
      <c r="N831">
        <v>-3.9256198347107438</v>
      </c>
      <c r="O831">
        <v>15.14</v>
      </c>
      <c r="P831">
        <v>24</v>
      </c>
      <c r="Q831">
        <v>9.65</v>
      </c>
      <c r="R831" s="2" t="s">
        <v>467</v>
      </c>
      <c r="S831">
        <v>15.14</v>
      </c>
      <c r="T831" t="s">
        <v>468</v>
      </c>
    </row>
    <row r="832" spans="1:20" x14ac:dyDescent="0.25">
      <c r="A832">
        <v>111</v>
      </c>
      <c r="B832">
        <v>505324</v>
      </c>
      <c r="C832" t="s">
        <v>151</v>
      </c>
      <c r="D832">
        <v>2024</v>
      </c>
      <c r="E832">
        <v>15.27999973297119</v>
      </c>
      <c r="G832" t="s">
        <v>465</v>
      </c>
      <c r="H832">
        <v>34.880001068115227</v>
      </c>
      <c r="I832">
        <v>18.35000038146973</v>
      </c>
      <c r="L832" t="s">
        <v>466</v>
      </c>
      <c r="O832">
        <v>15.14</v>
      </c>
      <c r="P832">
        <v>24</v>
      </c>
      <c r="Q832">
        <v>9.65</v>
      </c>
      <c r="R832" s="2" t="s">
        <v>467</v>
      </c>
      <c r="S832">
        <v>15.14</v>
      </c>
      <c r="T832" t="s">
        <v>468</v>
      </c>
    </row>
    <row r="833" spans="1:20" x14ac:dyDescent="0.25">
      <c r="A833">
        <v>111</v>
      </c>
      <c r="B833">
        <v>505324</v>
      </c>
      <c r="C833" t="s">
        <v>151</v>
      </c>
      <c r="D833">
        <v>2025</v>
      </c>
      <c r="E833">
        <v>15.27999973297119</v>
      </c>
      <c r="G833" t="s">
        <v>465</v>
      </c>
      <c r="H833">
        <v>25.690000534057621</v>
      </c>
      <c r="I833">
        <v>14</v>
      </c>
      <c r="L833" t="s">
        <v>466</v>
      </c>
      <c r="O833">
        <v>15.14</v>
      </c>
      <c r="P833">
        <v>24</v>
      </c>
      <c r="Q833">
        <v>9.65</v>
      </c>
      <c r="R833" s="2" t="s">
        <v>467</v>
      </c>
      <c r="S833">
        <v>15.14</v>
      </c>
      <c r="T833" t="s">
        <v>468</v>
      </c>
    </row>
    <row r="834" spans="1:20" x14ac:dyDescent="0.25">
      <c r="A834">
        <v>111</v>
      </c>
      <c r="B834">
        <v>505324</v>
      </c>
      <c r="C834" t="s">
        <v>151</v>
      </c>
      <c r="D834">
        <v>2026</v>
      </c>
      <c r="E834">
        <v>15.27999973297119</v>
      </c>
      <c r="G834" t="s">
        <v>465</v>
      </c>
      <c r="H834">
        <v>18.75</v>
      </c>
      <c r="I834">
        <v>9.25</v>
      </c>
      <c r="L834" t="s">
        <v>466</v>
      </c>
      <c r="O834">
        <v>15.14</v>
      </c>
      <c r="P834">
        <v>24</v>
      </c>
      <c r="Q834">
        <v>9.65</v>
      </c>
      <c r="R834" s="2" t="s">
        <v>467</v>
      </c>
      <c r="S834">
        <v>15.14</v>
      </c>
      <c r="T834" t="s">
        <v>468</v>
      </c>
    </row>
    <row r="835" spans="1:20" x14ac:dyDescent="0.25">
      <c r="A835">
        <v>112</v>
      </c>
      <c r="B835">
        <v>505355</v>
      </c>
      <c r="C835" t="s">
        <v>153</v>
      </c>
      <c r="D835">
        <v>2015</v>
      </c>
      <c r="E835">
        <v>1008.150024414062</v>
      </c>
      <c r="F835">
        <v>15.82</v>
      </c>
      <c r="G835" t="s">
        <v>465</v>
      </c>
      <c r="H835">
        <v>360</v>
      </c>
      <c r="I835">
        <v>240</v>
      </c>
      <c r="L835" t="s">
        <v>469</v>
      </c>
      <c r="M835">
        <v>22.756005056890011</v>
      </c>
      <c r="N835">
        <v>15.170670037926669</v>
      </c>
      <c r="O835">
        <v>1074.5</v>
      </c>
      <c r="P835">
        <v>1638.9</v>
      </c>
      <c r="Q835">
        <v>996</v>
      </c>
      <c r="R835" s="3" t="s">
        <v>470</v>
      </c>
      <c r="S835">
        <v>1074.5</v>
      </c>
      <c r="T835" t="s">
        <v>468</v>
      </c>
    </row>
    <row r="836" spans="1:20" x14ac:dyDescent="0.25">
      <c r="A836">
        <v>112</v>
      </c>
      <c r="B836">
        <v>505355</v>
      </c>
      <c r="C836" t="s">
        <v>153</v>
      </c>
      <c r="D836">
        <v>2016</v>
      </c>
      <c r="E836">
        <v>1008.150024414062</v>
      </c>
      <c r="F836">
        <v>20.45</v>
      </c>
      <c r="G836" t="s">
        <v>465</v>
      </c>
      <c r="H836">
        <v>418</v>
      </c>
      <c r="I836">
        <v>280</v>
      </c>
      <c r="L836" t="s">
        <v>469</v>
      </c>
      <c r="M836">
        <v>20.440097799511001</v>
      </c>
      <c r="N836">
        <v>13.691931540342299</v>
      </c>
      <c r="O836">
        <v>1074.5</v>
      </c>
      <c r="P836">
        <v>1638.9</v>
      </c>
      <c r="Q836">
        <v>996</v>
      </c>
      <c r="R836" s="3" t="s">
        <v>470</v>
      </c>
      <c r="S836">
        <v>1074.5</v>
      </c>
      <c r="T836" t="s">
        <v>468</v>
      </c>
    </row>
    <row r="837" spans="1:20" x14ac:dyDescent="0.25">
      <c r="A837">
        <v>112</v>
      </c>
      <c r="B837">
        <v>505355</v>
      </c>
      <c r="C837" t="s">
        <v>153</v>
      </c>
      <c r="D837">
        <v>2017</v>
      </c>
      <c r="E837">
        <v>1008.150024414062</v>
      </c>
      <c r="F837">
        <v>24.11</v>
      </c>
      <c r="G837" t="s">
        <v>465</v>
      </c>
      <c r="H837">
        <v>590.8499755859375</v>
      </c>
      <c r="I837">
        <v>392</v>
      </c>
      <c r="L837" t="s">
        <v>469</v>
      </c>
      <c r="M837">
        <v>24.506427855078289</v>
      </c>
      <c r="N837">
        <v>16.258813770219831</v>
      </c>
      <c r="O837">
        <v>1074.5</v>
      </c>
      <c r="P837">
        <v>1638.9</v>
      </c>
      <c r="Q837">
        <v>996</v>
      </c>
      <c r="R837" s="3" t="s">
        <v>470</v>
      </c>
      <c r="S837">
        <v>1074.5</v>
      </c>
      <c r="T837" t="s">
        <v>468</v>
      </c>
    </row>
    <row r="838" spans="1:20" x14ac:dyDescent="0.25">
      <c r="A838">
        <v>112</v>
      </c>
      <c r="B838">
        <v>505355</v>
      </c>
      <c r="C838" t="s">
        <v>153</v>
      </c>
      <c r="D838">
        <v>2018</v>
      </c>
      <c r="E838">
        <v>1008.150024414062</v>
      </c>
      <c r="F838">
        <v>25.36</v>
      </c>
      <c r="G838" t="s">
        <v>465</v>
      </c>
      <c r="H838">
        <v>647.20001220703125</v>
      </c>
      <c r="I838">
        <v>405</v>
      </c>
      <c r="L838" t="s">
        <v>469</v>
      </c>
      <c r="M838">
        <v>25.52050521321101</v>
      </c>
      <c r="N838">
        <v>15.970031545741319</v>
      </c>
      <c r="O838">
        <v>1074.5</v>
      </c>
      <c r="P838">
        <v>1638.9</v>
      </c>
      <c r="Q838">
        <v>996</v>
      </c>
      <c r="R838" s="3" t="s">
        <v>470</v>
      </c>
      <c r="S838">
        <v>1074.5</v>
      </c>
      <c r="T838" t="s">
        <v>468</v>
      </c>
    </row>
    <row r="839" spans="1:20" x14ac:dyDescent="0.25">
      <c r="A839">
        <v>112</v>
      </c>
      <c r="B839">
        <v>505355</v>
      </c>
      <c r="C839" t="s">
        <v>153</v>
      </c>
      <c r="D839">
        <v>2019</v>
      </c>
      <c r="E839">
        <v>1008.150024414062</v>
      </c>
      <c r="F839">
        <v>25.61</v>
      </c>
      <c r="G839" t="s">
        <v>465</v>
      </c>
      <c r="H839">
        <v>712</v>
      </c>
      <c r="I839">
        <v>426</v>
      </c>
      <c r="L839" t="s">
        <v>469</v>
      </c>
      <c r="M839">
        <v>27.801639984381101</v>
      </c>
      <c r="N839">
        <v>16.63412729402577</v>
      </c>
      <c r="O839">
        <v>1074.5</v>
      </c>
      <c r="P839">
        <v>1638.9</v>
      </c>
      <c r="Q839">
        <v>996</v>
      </c>
      <c r="R839" s="3" t="s">
        <v>470</v>
      </c>
      <c r="S839">
        <v>1074.5</v>
      </c>
      <c r="T839" t="s">
        <v>468</v>
      </c>
    </row>
    <row r="840" spans="1:20" x14ac:dyDescent="0.25">
      <c r="A840">
        <v>112</v>
      </c>
      <c r="B840">
        <v>505355</v>
      </c>
      <c r="C840" t="s">
        <v>153</v>
      </c>
      <c r="D840">
        <v>2020</v>
      </c>
      <c r="E840">
        <v>1008.150024414062</v>
      </c>
      <c r="F840">
        <v>33.19</v>
      </c>
      <c r="G840" t="s">
        <v>465</v>
      </c>
      <c r="H840">
        <v>816.9000244140625</v>
      </c>
      <c r="I840">
        <v>381.10000610351563</v>
      </c>
      <c r="L840" t="s">
        <v>469</v>
      </c>
      <c r="M840">
        <v>24.612835926907579</v>
      </c>
      <c r="N840">
        <v>11.48237439299535</v>
      </c>
      <c r="O840">
        <v>1074.5</v>
      </c>
      <c r="P840">
        <v>1638.9</v>
      </c>
      <c r="Q840">
        <v>996</v>
      </c>
      <c r="R840" s="3" t="s">
        <v>470</v>
      </c>
      <c r="S840">
        <v>1074.5</v>
      </c>
      <c r="T840" t="s">
        <v>468</v>
      </c>
    </row>
    <row r="841" spans="1:20" x14ac:dyDescent="0.25">
      <c r="A841">
        <v>112</v>
      </c>
      <c r="B841">
        <v>505355</v>
      </c>
      <c r="C841" t="s">
        <v>153</v>
      </c>
      <c r="D841">
        <v>2021</v>
      </c>
      <c r="E841">
        <v>1008.150024414062</v>
      </c>
      <c r="F841">
        <v>24.48</v>
      </c>
      <c r="G841" t="s">
        <v>465</v>
      </c>
      <c r="H841">
        <v>697</v>
      </c>
      <c r="I841">
        <v>463.5</v>
      </c>
      <c r="L841" t="s">
        <v>469</v>
      </c>
      <c r="M841">
        <v>28.472222222222221</v>
      </c>
      <c r="N841">
        <v>18.933823529411761</v>
      </c>
      <c r="O841">
        <v>1074.5</v>
      </c>
      <c r="P841">
        <v>1638.9</v>
      </c>
      <c r="Q841">
        <v>996</v>
      </c>
      <c r="R841" s="3" t="s">
        <v>470</v>
      </c>
      <c r="S841">
        <v>1074.5</v>
      </c>
      <c r="T841" t="s">
        <v>468</v>
      </c>
    </row>
    <row r="842" spans="1:20" x14ac:dyDescent="0.25">
      <c r="A842">
        <v>112</v>
      </c>
      <c r="B842">
        <v>505355</v>
      </c>
      <c r="C842" t="s">
        <v>153</v>
      </c>
      <c r="D842">
        <v>2022</v>
      </c>
      <c r="E842">
        <v>1008.150024414062</v>
      </c>
      <c r="F842">
        <v>26.85</v>
      </c>
      <c r="G842" t="s">
        <v>465</v>
      </c>
      <c r="H842">
        <v>686.4000244140625</v>
      </c>
      <c r="I842">
        <v>505.29998779296881</v>
      </c>
      <c r="L842" t="s">
        <v>469</v>
      </c>
      <c r="M842">
        <v>25.56424671933194</v>
      </c>
      <c r="N842">
        <v>18.81936639824837</v>
      </c>
      <c r="O842">
        <v>1074.5</v>
      </c>
      <c r="P842">
        <v>1638.9</v>
      </c>
      <c r="Q842">
        <v>996</v>
      </c>
      <c r="R842" s="3" t="s">
        <v>470</v>
      </c>
      <c r="S842">
        <v>1074.5</v>
      </c>
      <c r="T842" t="s">
        <v>468</v>
      </c>
    </row>
    <row r="843" spans="1:20" x14ac:dyDescent="0.25">
      <c r="A843">
        <v>112</v>
      </c>
      <c r="B843">
        <v>505355</v>
      </c>
      <c r="C843" t="s">
        <v>153</v>
      </c>
      <c r="D843">
        <v>2023</v>
      </c>
      <c r="E843">
        <v>1008.150024414062</v>
      </c>
      <c r="F843">
        <v>41.25</v>
      </c>
      <c r="G843" t="s">
        <v>465</v>
      </c>
      <c r="H843">
        <v>923</v>
      </c>
      <c r="I843">
        <v>505.25</v>
      </c>
      <c r="L843" t="s">
        <v>469</v>
      </c>
      <c r="M843">
        <v>22.375757575757579</v>
      </c>
      <c r="N843">
        <v>12.24848484848485</v>
      </c>
      <c r="O843">
        <v>1074.5</v>
      </c>
      <c r="P843">
        <v>1638.9</v>
      </c>
      <c r="Q843">
        <v>996</v>
      </c>
      <c r="R843" s="3" t="s">
        <v>470</v>
      </c>
      <c r="S843">
        <v>1074.5</v>
      </c>
      <c r="T843" t="s">
        <v>468</v>
      </c>
    </row>
    <row r="844" spans="1:20" x14ac:dyDescent="0.25">
      <c r="A844">
        <v>112</v>
      </c>
      <c r="B844">
        <v>505355</v>
      </c>
      <c r="C844" t="s">
        <v>153</v>
      </c>
      <c r="D844">
        <v>2024</v>
      </c>
      <c r="E844">
        <v>1008.150024414062</v>
      </c>
      <c r="F844">
        <v>51.49</v>
      </c>
      <c r="G844" t="s">
        <v>465</v>
      </c>
      <c r="H844">
        <v>1081</v>
      </c>
      <c r="I844">
        <v>755.0999755859375</v>
      </c>
      <c r="L844" t="s">
        <v>469</v>
      </c>
      <c r="M844">
        <v>20.994367838415229</v>
      </c>
      <c r="N844">
        <v>14.66498301778865</v>
      </c>
      <c r="O844">
        <v>1074.5</v>
      </c>
      <c r="P844">
        <v>1638.9</v>
      </c>
      <c r="Q844">
        <v>996</v>
      </c>
      <c r="R844" s="3" t="s">
        <v>470</v>
      </c>
      <c r="S844">
        <v>1074.5</v>
      </c>
      <c r="T844" t="s">
        <v>468</v>
      </c>
    </row>
    <row r="845" spans="1:20" x14ac:dyDescent="0.25">
      <c r="A845">
        <v>112</v>
      </c>
      <c r="B845">
        <v>505355</v>
      </c>
      <c r="C845" t="s">
        <v>153</v>
      </c>
      <c r="D845">
        <v>2025</v>
      </c>
      <c r="E845">
        <v>1008.150024414062</v>
      </c>
      <c r="F845">
        <v>53.25</v>
      </c>
      <c r="G845" t="s">
        <v>465</v>
      </c>
      <c r="H845">
        <v>1638.849975585938</v>
      </c>
      <c r="I845">
        <v>841.95001220703125</v>
      </c>
      <c r="L845" t="s">
        <v>469</v>
      </c>
      <c r="M845">
        <v>30.77652536311621</v>
      </c>
      <c r="N845">
        <v>15.81126783487383</v>
      </c>
      <c r="O845">
        <v>1074.5</v>
      </c>
      <c r="P845">
        <v>1638.9</v>
      </c>
      <c r="Q845">
        <v>996</v>
      </c>
      <c r="R845" s="3" t="s">
        <v>470</v>
      </c>
      <c r="S845">
        <v>1074.5</v>
      </c>
      <c r="T845" t="s">
        <v>468</v>
      </c>
    </row>
    <row r="846" spans="1:20" x14ac:dyDescent="0.25">
      <c r="A846">
        <v>112</v>
      </c>
      <c r="B846">
        <v>505355</v>
      </c>
      <c r="C846" t="s">
        <v>153</v>
      </c>
      <c r="D846">
        <v>2026</v>
      </c>
      <c r="E846">
        <v>1008.150024414062</v>
      </c>
      <c r="F846">
        <v>58.58</v>
      </c>
      <c r="G846" t="s">
        <v>465</v>
      </c>
      <c r="H846">
        <v>1330.949951171875</v>
      </c>
      <c r="I846">
        <v>1000</v>
      </c>
      <c r="L846" t="s">
        <v>469</v>
      </c>
      <c r="M846">
        <v>22.72021084281111</v>
      </c>
      <c r="N846">
        <v>17.070672584499832</v>
      </c>
      <c r="O846">
        <v>1074.5</v>
      </c>
      <c r="P846">
        <v>1638.9</v>
      </c>
      <c r="Q846">
        <v>996</v>
      </c>
      <c r="R846" s="3" t="s">
        <v>470</v>
      </c>
      <c r="S846">
        <v>1074.5</v>
      </c>
      <c r="T846" t="s">
        <v>468</v>
      </c>
    </row>
    <row r="847" spans="1:20" x14ac:dyDescent="0.25">
      <c r="A847">
        <v>115</v>
      </c>
      <c r="B847">
        <v>505520</v>
      </c>
      <c r="C847" t="s">
        <v>155</v>
      </c>
      <c r="D847">
        <v>2023</v>
      </c>
      <c r="E847">
        <v>106.40000152587891</v>
      </c>
      <c r="F847">
        <v>-0.56999999999999995</v>
      </c>
      <c r="G847" t="s">
        <v>465</v>
      </c>
      <c r="H847">
        <v>2.0999999046325679</v>
      </c>
      <c r="I847">
        <v>2.0999999046325679</v>
      </c>
      <c r="L847" t="s">
        <v>471</v>
      </c>
      <c r="M847">
        <v>-3.684210359004505</v>
      </c>
      <c r="N847">
        <v>-3.684210359004505</v>
      </c>
      <c r="O847">
        <v>2.1</v>
      </c>
      <c r="P847">
        <v>6.38</v>
      </c>
      <c r="Q847">
        <v>2.1</v>
      </c>
      <c r="R847" s="3" t="s">
        <v>470</v>
      </c>
      <c r="S847">
        <v>2.1</v>
      </c>
      <c r="T847" t="s">
        <v>468</v>
      </c>
    </row>
    <row r="848" spans="1:20" x14ac:dyDescent="0.25">
      <c r="A848">
        <v>115</v>
      </c>
      <c r="B848">
        <v>505520</v>
      </c>
      <c r="C848" t="s">
        <v>155</v>
      </c>
      <c r="D848">
        <v>2024</v>
      </c>
      <c r="E848">
        <v>106.40000152587891</v>
      </c>
      <c r="F848">
        <v>6.32</v>
      </c>
      <c r="G848" t="s">
        <v>465</v>
      </c>
      <c r="H848">
        <v>5.690000057220459</v>
      </c>
      <c r="I848">
        <v>2.0999999046325679</v>
      </c>
      <c r="L848" t="s">
        <v>469</v>
      </c>
      <c r="M848">
        <v>0.90031646475007254</v>
      </c>
      <c r="N848">
        <v>0.33227846592287458</v>
      </c>
      <c r="O848">
        <v>2.1</v>
      </c>
      <c r="P848">
        <v>6.38</v>
      </c>
      <c r="Q848">
        <v>2.1</v>
      </c>
      <c r="R848" s="3" t="s">
        <v>470</v>
      </c>
      <c r="S848">
        <v>2.1</v>
      </c>
      <c r="T848" t="s">
        <v>468</v>
      </c>
    </row>
    <row r="849" spans="1:20" x14ac:dyDescent="0.25">
      <c r="A849">
        <v>115</v>
      </c>
      <c r="B849">
        <v>505520</v>
      </c>
      <c r="C849" t="s">
        <v>155</v>
      </c>
      <c r="D849">
        <v>2025</v>
      </c>
      <c r="E849">
        <v>106.40000152587891</v>
      </c>
      <c r="F849">
        <v>-50.13</v>
      </c>
      <c r="G849" t="s">
        <v>465</v>
      </c>
      <c r="H849">
        <v>101.3399963378906</v>
      </c>
      <c r="I849">
        <v>5.8000001907348633</v>
      </c>
      <c r="L849" t="s">
        <v>471</v>
      </c>
      <c r="M849">
        <v>-2.02154391258509</v>
      </c>
      <c r="N849">
        <v>-0.1156991859312759</v>
      </c>
      <c r="O849">
        <v>2.1</v>
      </c>
      <c r="P849">
        <v>6.38</v>
      </c>
      <c r="Q849">
        <v>2.1</v>
      </c>
      <c r="R849" s="3" t="s">
        <v>470</v>
      </c>
      <c r="S849">
        <v>2.1</v>
      </c>
      <c r="T849" t="s">
        <v>468</v>
      </c>
    </row>
    <row r="850" spans="1:20" x14ac:dyDescent="0.25">
      <c r="A850">
        <v>115</v>
      </c>
      <c r="B850">
        <v>505520</v>
      </c>
      <c r="C850" t="s">
        <v>155</v>
      </c>
      <c r="D850">
        <v>2026</v>
      </c>
      <c r="E850">
        <v>106.40000152587891</v>
      </c>
      <c r="G850" t="s">
        <v>465</v>
      </c>
      <c r="H850">
        <v>106.40000152587891</v>
      </c>
      <c r="I850">
        <v>101.3399963378906</v>
      </c>
      <c r="L850" t="s">
        <v>466</v>
      </c>
      <c r="O850">
        <v>2.1</v>
      </c>
      <c r="P850">
        <v>6.38</v>
      </c>
      <c r="Q850">
        <v>2.1</v>
      </c>
      <c r="R850" s="3" t="s">
        <v>470</v>
      </c>
      <c r="S850">
        <v>2.1</v>
      </c>
      <c r="T850" t="s">
        <v>468</v>
      </c>
    </row>
    <row r="851" spans="1:20" x14ac:dyDescent="0.25">
      <c r="A851">
        <v>117</v>
      </c>
      <c r="B851">
        <v>505850</v>
      </c>
      <c r="C851" t="s">
        <v>157</v>
      </c>
      <c r="D851">
        <v>2015</v>
      </c>
      <c r="E851">
        <v>221.55000305175781</v>
      </c>
      <c r="F851">
        <v>3.27</v>
      </c>
      <c r="G851" t="s">
        <v>465</v>
      </c>
      <c r="H851">
        <v>44</v>
      </c>
      <c r="I851">
        <v>23.183332443237301</v>
      </c>
      <c r="L851" t="s">
        <v>469</v>
      </c>
      <c r="M851">
        <v>13.455657492354741</v>
      </c>
      <c r="N851">
        <v>7.0897041110817431</v>
      </c>
      <c r="O851">
        <v>124.1</v>
      </c>
      <c r="P851">
        <v>169.15</v>
      </c>
      <c r="Q851">
        <v>90</v>
      </c>
      <c r="R851" s="3" t="s">
        <v>470</v>
      </c>
      <c r="S851">
        <v>124.1</v>
      </c>
      <c r="T851" t="s">
        <v>468</v>
      </c>
    </row>
    <row r="852" spans="1:20" x14ac:dyDescent="0.25">
      <c r="A852">
        <v>117</v>
      </c>
      <c r="B852">
        <v>505850</v>
      </c>
      <c r="C852" t="s">
        <v>157</v>
      </c>
      <c r="D852">
        <v>2016</v>
      </c>
      <c r="E852">
        <v>221.55000305175781</v>
      </c>
      <c r="F852">
        <v>0.88</v>
      </c>
      <c r="G852" t="s">
        <v>465</v>
      </c>
      <c r="H852">
        <v>93.099998474121094</v>
      </c>
      <c r="I852">
        <v>40.099998474121087</v>
      </c>
      <c r="L852" t="s">
        <v>469</v>
      </c>
      <c r="M852">
        <v>105.79545281150121</v>
      </c>
      <c r="N852">
        <v>45.568180084228509</v>
      </c>
      <c r="O852">
        <v>124.1</v>
      </c>
      <c r="P852">
        <v>169.15</v>
      </c>
      <c r="Q852">
        <v>90</v>
      </c>
      <c r="R852" s="3" t="s">
        <v>470</v>
      </c>
      <c r="S852">
        <v>124.1</v>
      </c>
      <c r="T852" t="s">
        <v>468</v>
      </c>
    </row>
    <row r="853" spans="1:20" x14ac:dyDescent="0.25">
      <c r="A853">
        <v>117</v>
      </c>
      <c r="B853">
        <v>505850</v>
      </c>
      <c r="C853" t="s">
        <v>157</v>
      </c>
      <c r="D853">
        <v>2017</v>
      </c>
      <c r="E853">
        <v>221.55000305175781</v>
      </c>
      <c r="F853">
        <v>2.5099999999999998</v>
      </c>
      <c r="G853" t="s">
        <v>465</v>
      </c>
      <c r="H853">
        <v>99.150001525878906</v>
      </c>
      <c r="I853">
        <v>15.69999980926514</v>
      </c>
      <c r="L853" t="s">
        <v>469</v>
      </c>
      <c r="M853">
        <v>39.501992639792398</v>
      </c>
      <c r="N853">
        <v>6.2549800036912906</v>
      </c>
      <c r="O853">
        <v>124.1</v>
      </c>
      <c r="P853">
        <v>169.15</v>
      </c>
      <c r="Q853">
        <v>90</v>
      </c>
      <c r="R853" s="3" t="s">
        <v>470</v>
      </c>
      <c r="S853">
        <v>124.1</v>
      </c>
      <c r="T853" t="s">
        <v>468</v>
      </c>
    </row>
    <row r="854" spans="1:20" x14ac:dyDescent="0.25">
      <c r="A854">
        <v>117</v>
      </c>
      <c r="B854">
        <v>505850</v>
      </c>
      <c r="C854" t="s">
        <v>157</v>
      </c>
      <c r="D854">
        <v>2018</v>
      </c>
      <c r="E854">
        <v>221.55000305175781</v>
      </c>
      <c r="F854">
        <v>4.3499999999999996</v>
      </c>
      <c r="G854" t="s">
        <v>465</v>
      </c>
      <c r="H854">
        <v>65</v>
      </c>
      <c r="I854">
        <v>33</v>
      </c>
      <c r="L854" t="s">
        <v>469</v>
      </c>
      <c r="M854">
        <v>14.942528735632189</v>
      </c>
      <c r="N854">
        <v>7.5862068965517251</v>
      </c>
      <c r="O854">
        <v>124.1</v>
      </c>
      <c r="P854">
        <v>169.15</v>
      </c>
      <c r="Q854">
        <v>90</v>
      </c>
      <c r="R854" s="3" t="s">
        <v>470</v>
      </c>
      <c r="S854">
        <v>124.1</v>
      </c>
      <c r="T854" t="s">
        <v>468</v>
      </c>
    </row>
    <row r="855" spans="1:20" x14ac:dyDescent="0.25">
      <c r="A855">
        <v>117</v>
      </c>
      <c r="B855">
        <v>505850</v>
      </c>
      <c r="C855" t="s">
        <v>157</v>
      </c>
      <c r="D855">
        <v>2019</v>
      </c>
      <c r="E855">
        <v>221.55000305175781</v>
      </c>
      <c r="F855">
        <v>3.71</v>
      </c>
      <c r="G855" t="s">
        <v>465</v>
      </c>
      <c r="H855">
        <v>65</v>
      </c>
      <c r="I855">
        <v>32</v>
      </c>
      <c r="L855" t="s">
        <v>469</v>
      </c>
      <c r="M855">
        <v>17.520215633423181</v>
      </c>
      <c r="N855">
        <v>8.625336927223719</v>
      </c>
      <c r="O855">
        <v>124.1</v>
      </c>
      <c r="P855">
        <v>169.15</v>
      </c>
      <c r="Q855">
        <v>90</v>
      </c>
      <c r="R855" s="3" t="s">
        <v>470</v>
      </c>
      <c r="S855">
        <v>124.1</v>
      </c>
      <c r="T855" t="s">
        <v>468</v>
      </c>
    </row>
    <row r="856" spans="1:20" x14ac:dyDescent="0.25">
      <c r="A856">
        <v>117</v>
      </c>
      <c r="B856">
        <v>505850</v>
      </c>
      <c r="C856" t="s">
        <v>157</v>
      </c>
      <c r="D856">
        <v>2020</v>
      </c>
      <c r="E856">
        <v>221.55000305175781</v>
      </c>
      <c r="F856">
        <v>7.31</v>
      </c>
      <c r="G856" t="s">
        <v>465</v>
      </c>
      <c r="H856">
        <v>63</v>
      </c>
      <c r="I856">
        <v>25.70000076293945</v>
      </c>
      <c r="L856" t="s">
        <v>466</v>
      </c>
      <c r="O856">
        <v>124.1</v>
      </c>
      <c r="P856">
        <v>169.15</v>
      </c>
      <c r="Q856">
        <v>90</v>
      </c>
      <c r="R856" s="3" t="s">
        <v>470</v>
      </c>
      <c r="S856">
        <v>124.1</v>
      </c>
      <c r="T856" t="s">
        <v>468</v>
      </c>
    </row>
    <row r="857" spans="1:20" x14ac:dyDescent="0.25">
      <c r="A857">
        <v>117</v>
      </c>
      <c r="B857">
        <v>505850</v>
      </c>
      <c r="C857" t="s">
        <v>157</v>
      </c>
      <c r="D857">
        <v>2021</v>
      </c>
      <c r="E857">
        <v>221.55000305175781</v>
      </c>
      <c r="F857">
        <v>4.13</v>
      </c>
      <c r="G857" t="s">
        <v>465</v>
      </c>
      <c r="H857">
        <v>100</v>
      </c>
      <c r="I857">
        <v>55.049999237060547</v>
      </c>
      <c r="L857" t="s">
        <v>466</v>
      </c>
      <c r="O857">
        <v>124.1</v>
      </c>
      <c r="P857">
        <v>169.15</v>
      </c>
      <c r="Q857">
        <v>90</v>
      </c>
      <c r="R857" s="3" t="s">
        <v>470</v>
      </c>
      <c r="S857">
        <v>124.1</v>
      </c>
      <c r="T857" t="s">
        <v>468</v>
      </c>
    </row>
    <row r="858" spans="1:20" x14ac:dyDescent="0.25">
      <c r="A858">
        <v>117</v>
      </c>
      <c r="B858">
        <v>505850</v>
      </c>
      <c r="C858" t="s">
        <v>157</v>
      </c>
      <c r="D858">
        <v>2022</v>
      </c>
      <c r="E858">
        <v>221.55000305175781</v>
      </c>
      <c r="F858">
        <v>23.72</v>
      </c>
      <c r="G858" t="s">
        <v>465</v>
      </c>
      <c r="H858">
        <v>148.69999694824219</v>
      </c>
      <c r="I858">
        <v>82</v>
      </c>
      <c r="L858" t="s">
        <v>466</v>
      </c>
      <c r="O858">
        <v>124.1</v>
      </c>
      <c r="P858">
        <v>169.15</v>
      </c>
      <c r="Q858">
        <v>90</v>
      </c>
      <c r="R858" s="3" t="s">
        <v>470</v>
      </c>
      <c r="S858">
        <v>124.1</v>
      </c>
      <c r="T858" t="s">
        <v>468</v>
      </c>
    </row>
    <row r="859" spans="1:20" x14ac:dyDescent="0.25">
      <c r="A859">
        <v>117</v>
      </c>
      <c r="B859">
        <v>505850</v>
      </c>
      <c r="C859" t="s">
        <v>157</v>
      </c>
      <c r="D859">
        <v>2023</v>
      </c>
      <c r="E859">
        <v>221.55000305175781</v>
      </c>
      <c r="F859">
        <v>6.57</v>
      </c>
      <c r="G859" t="s">
        <v>465</v>
      </c>
      <c r="H859">
        <v>135.8500061035156</v>
      </c>
      <c r="I859">
        <v>90</v>
      </c>
      <c r="L859" t="s">
        <v>466</v>
      </c>
      <c r="O859">
        <v>124.1</v>
      </c>
      <c r="P859">
        <v>169.15</v>
      </c>
      <c r="Q859">
        <v>90</v>
      </c>
      <c r="R859" s="3" t="s">
        <v>470</v>
      </c>
      <c r="S859">
        <v>124.1</v>
      </c>
      <c r="T859" t="s">
        <v>468</v>
      </c>
    </row>
    <row r="860" spans="1:20" x14ac:dyDescent="0.25">
      <c r="A860">
        <v>117</v>
      </c>
      <c r="B860">
        <v>505850</v>
      </c>
      <c r="C860" t="s">
        <v>157</v>
      </c>
      <c r="D860">
        <v>2024</v>
      </c>
      <c r="E860">
        <v>221.55000305175781</v>
      </c>
      <c r="F860">
        <v>4.29</v>
      </c>
      <c r="G860" t="s">
        <v>465</v>
      </c>
      <c r="H860">
        <v>169.1499938964844</v>
      </c>
      <c r="I860">
        <v>99.800003051757813</v>
      </c>
      <c r="L860" t="s">
        <v>466</v>
      </c>
      <c r="O860">
        <v>124.1</v>
      </c>
      <c r="P860">
        <v>169.15</v>
      </c>
      <c r="Q860">
        <v>90</v>
      </c>
      <c r="R860" s="3" t="s">
        <v>470</v>
      </c>
      <c r="S860">
        <v>124.1</v>
      </c>
      <c r="T860" t="s">
        <v>468</v>
      </c>
    </row>
    <row r="861" spans="1:20" x14ac:dyDescent="0.25">
      <c r="A861">
        <v>117</v>
      </c>
      <c r="B861">
        <v>505850</v>
      </c>
      <c r="C861" t="s">
        <v>157</v>
      </c>
      <c r="D861">
        <v>2025</v>
      </c>
      <c r="E861">
        <v>221.55000305175781</v>
      </c>
      <c r="F861">
        <v>5.8</v>
      </c>
      <c r="G861" t="s">
        <v>465</v>
      </c>
      <c r="H861">
        <v>219.30000305175781</v>
      </c>
      <c r="I861">
        <v>147</v>
      </c>
      <c r="L861" t="s">
        <v>466</v>
      </c>
      <c r="O861">
        <v>124.1</v>
      </c>
      <c r="P861">
        <v>169.15</v>
      </c>
      <c r="Q861">
        <v>90</v>
      </c>
      <c r="R861" s="3" t="s">
        <v>470</v>
      </c>
      <c r="S861">
        <v>124.1</v>
      </c>
      <c r="T861" t="s">
        <v>468</v>
      </c>
    </row>
    <row r="862" spans="1:20" x14ac:dyDescent="0.25">
      <c r="A862">
        <v>117</v>
      </c>
      <c r="B862">
        <v>505850</v>
      </c>
      <c r="C862" t="s">
        <v>157</v>
      </c>
      <c r="D862">
        <v>2026</v>
      </c>
      <c r="E862">
        <v>221.55000305175781</v>
      </c>
      <c r="F862">
        <v>6.28</v>
      </c>
      <c r="G862" t="s">
        <v>465</v>
      </c>
      <c r="H862">
        <v>267.35000610351563</v>
      </c>
      <c r="I862">
        <v>152.94999694824219</v>
      </c>
      <c r="L862" t="s">
        <v>466</v>
      </c>
      <c r="O862">
        <v>124.1</v>
      </c>
      <c r="P862">
        <v>169.15</v>
      </c>
      <c r="Q862">
        <v>90</v>
      </c>
      <c r="R862" s="3" t="s">
        <v>470</v>
      </c>
      <c r="S862">
        <v>124.1</v>
      </c>
      <c r="T862" t="s">
        <v>468</v>
      </c>
    </row>
    <row r="863" spans="1:20" x14ac:dyDescent="0.25">
      <c r="A863">
        <v>120</v>
      </c>
      <c r="B863">
        <v>506161</v>
      </c>
      <c r="C863" t="s">
        <v>159</v>
      </c>
      <c r="D863">
        <v>2026</v>
      </c>
      <c r="E863">
        <v>4.7800002098083496</v>
      </c>
      <c r="F863">
        <v>-2.17</v>
      </c>
      <c r="G863" t="s">
        <v>465</v>
      </c>
      <c r="H863">
        <v>4.7800002098083496</v>
      </c>
      <c r="I863">
        <v>4.7800002098083496</v>
      </c>
      <c r="L863" t="s">
        <v>471</v>
      </c>
      <c r="M863">
        <v>-2.2027650736444011</v>
      </c>
      <c r="N863">
        <v>-2.2027650736444011</v>
      </c>
      <c r="O863">
        <v>3.19</v>
      </c>
      <c r="P863">
        <v>4.78</v>
      </c>
      <c r="Q863">
        <v>3.19</v>
      </c>
      <c r="R863" s="3" t="s">
        <v>470</v>
      </c>
      <c r="S863">
        <v>3.19</v>
      </c>
      <c r="T863" t="s">
        <v>468</v>
      </c>
    </row>
    <row r="864" spans="1:20" x14ac:dyDescent="0.25">
      <c r="A864">
        <v>121</v>
      </c>
      <c r="B864">
        <v>506196</v>
      </c>
      <c r="C864" t="s">
        <v>161</v>
      </c>
      <c r="D864">
        <v>2026</v>
      </c>
      <c r="E864">
        <v>85</v>
      </c>
      <c r="F864">
        <v>4.4000000000000004</v>
      </c>
      <c r="G864" t="s">
        <v>465</v>
      </c>
      <c r="H864">
        <v>85</v>
      </c>
      <c r="I864">
        <v>85</v>
      </c>
      <c r="L864" t="s">
        <v>469</v>
      </c>
      <c r="M864">
        <v>19.31818181818182</v>
      </c>
      <c r="N864">
        <v>19.31818181818182</v>
      </c>
      <c r="O864">
        <v>4.25</v>
      </c>
      <c r="P864">
        <v>85</v>
      </c>
      <c r="Q864">
        <v>4.25</v>
      </c>
      <c r="R864" s="3" t="s">
        <v>470</v>
      </c>
      <c r="S864">
        <v>4.25</v>
      </c>
      <c r="T864" t="s">
        <v>468</v>
      </c>
    </row>
    <row r="865" spans="1:20" x14ac:dyDescent="0.25">
      <c r="A865">
        <v>122</v>
      </c>
      <c r="B865">
        <v>506222</v>
      </c>
      <c r="C865" t="s">
        <v>163</v>
      </c>
      <c r="D865">
        <v>2015</v>
      </c>
      <c r="E865">
        <v>2478.300048828125</v>
      </c>
      <c r="F865">
        <v>10.76</v>
      </c>
      <c r="G865" t="s">
        <v>465</v>
      </c>
      <c r="H865">
        <v>945</v>
      </c>
      <c r="I865">
        <v>548</v>
      </c>
      <c r="L865" t="s">
        <v>469</v>
      </c>
      <c r="M865">
        <v>87.825278810408918</v>
      </c>
      <c r="N865">
        <v>50.929368029739777</v>
      </c>
      <c r="O865">
        <v>130</v>
      </c>
      <c r="P865">
        <v>212.8</v>
      </c>
      <c r="Q865">
        <v>102.55</v>
      </c>
      <c r="R865" s="3" t="s">
        <v>470</v>
      </c>
      <c r="S865">
        <v>130</v>
      </c>
      <c r="T865" t="s">
        <v>468</v>
      </c>
    </row>
    <row r="866" spans="1:20" x14ac:dyDescent="0.25">
      <c r="A866">
        <v>122</v>
      </c>
      <c r="B866">
        <v>506222</v>
      </c>
      <c r="C866" t="s">
        <v>163</v>
      </c>
      <c r="D866">
        <v>2016</v>
      </c>
      <c r="E866">
        <v>2478.300048828125</v>
      </c>
      <c r="F866">
        <v>24.73</v>
      </c>
      <c r="G866" t="s">
        <v>465</v>
      </c>
      <c r="H866">
        <v>773</v>
      </c>
      <c r="I866">
        <v>475</v>
      </c>
      <c r="L866" t="s">
        <v>466</v>
      </c>
      <c r="O866">
        <v>130</v>
      </c>
      <c r="P866">
        <v>212.8</v>
      </c>
      <c r="Q866">
        <v>102.55</v>
      </c>
      <c r="R866" s="3" t="s">
        <v>470</v>
      </c>
      <c r="S866">
        <v>130</v>
      </c>
      <c r="T866" t="s">
        <v>468</v>
      </c>
    </row>
    <row r="867" spans="1:20" x14ac:dyDescent="0.25">
      <c r="A867">
        <v>122</v>
      </c>
      <c r="B867">
        <v>506222</v>
      </c>
      <c r="C867" t="s">
        <v>163</v>
      </c>
      <c r="D867">
        <v>2017</v>
      </c>
      <c r="E867">
        <v>2478.300048828125</v>
      </c>
      <c r="F867">
        <v>-0.91</v>
      </c>
      <c r="G867" t="s">
        <v>465</v>
      </c>
      <c r="H867">
        <v>1168.800048828125</v>
      </c>
      <c r="I867">
        <v>586.1500244140625</v>
      </c>
      <c r="L867" t="s">
        <v>466</v>
      </c>
      <c r="O867">
        <v>130</v>
      </c>
      <c r="P867">
        <v>212.8</v>
      </c>
      <c r="Q867">
        <v>102.55</v>
      </c>
      <c r="R867" s="3" t="s">
        <v>470</v>
      </c>
      <c r="S867">
        <v>130</v>
      </c>
      <c r="T867" t="s">
        <v>468</v>
      </c>
    </row>
    <row r="868" spans="1:20" x14ac:dyDescent="0.25">
      <c r="A868">
        <v>122</v>
      </c>
      <c r="B868">
        <v>506222</v>
      </c>
      <c r="C868" t="s">
        <v>163</v>
      </c>
      <c r="D868">
        <v>2018</v>
      </c>
      <c r="E868">
        <v>2478.300048828125</v>
      </c>
      <c r="F868">
        <v>-40.090000000000003</v>
      </c>
      <c r="G868" t="s">
        <v>465</v>
      </c>
      <c r="H868">
        <v>1150</v>
      </c>
      <c r="I868">
        <v>622.20001220703125</v>
      </c>
      <c r="L868" t="s">
        <v>466</v>
      </c>
      <c r="O868">
        <v>130</v>
      </c>
      <c r="P868">
        <v>212.8</v>
      </c>
      <c r="Q868">
        <v>102.55</v>
      </c>
      <c r="R868" s="3" t="s">
        <v>470</v>
      </c>
      <c r="S868">
        <v>130</v>
      </c>
      <c r="T868" t="s">
        <v>468</v>
      </c>
    </row>
    <row r="869" spans="1:20" x14ac:dyDescent="0.25">
      <c r="A869">
        <v>122</v>
      </c>
      <c r="B869">
        <v>506222</v>
      </c>
      <c r="C869" t="s">
        <v>163</v>
      </c>
      <c r="D869">
        <v>2019</v>
      </c>
      <c r="E869">
        <v>2478.300048828125</v>
      </c>
      <c r="F869">
        <v>13.66</v>
      </c>
      <c r="G869" t="s">
        <v>465</v>
      </c>
      <c r="H869">
        <v>723.45001220703125</v>
      </c>
      <c r="I869">
        <v>365</v>
      </c>
      <c r="L869" t="s">
        <v>466</v>
      </c>
      <c r="O869">
        <v>130</v>
      </c>
      <c r="P869">
        <v>212.8</v>
      </c>
      <c r="Q869">
        <v>102.55</v>
      </c>
      <c r="R869" s="3" t="s">
        <v>470</v>
      </c>
      <c r="S869">
        <v>130</v>
      </c>
      <c r="T869" t="s">
        <v>468</v>
      </c>
    </row>
    <row r="870" spans="1:20" x14ac:dyDescent="0.25">
      <c r="A870">
        <v>122</v>
      </c>
      <c r="B870">
        <v>506222</v>
      </c>
      <c r="C870" t="s">
        <v>163</v>
      </c>
      <c r="D870">
        <v>2020</v>
      </c>
      <c r="E870">
        <v>2478.300048828125</v>
      </c>
      <c r="F870">
        <v>20.14</v>
      </c>
      <c r="G870" t="s">
        <v>465</v>
      </c>
      <c r="H870">
        <v>920</v>
      </c>
      <c r="I870">
        <v>460.10000610351563</v>
      </c>
      <c r="L870" t="s">
        <v>466</v>
      </c>
      <c r="O870">
        <v>130</v>
      </c>
      <c r="P870">
        <v>212.8</v>
      </c>
      <c r="Q870">
        <v>102.55</v>
      </c>
      <c r="R870" s="3" t="s">
        <v>470</v>
      </c>
      <c r="S870">
        <v>130</v>
      </c>
      <c r="T870" t="s">
        <v>468</v>
      </c>
    </row>
    <row r="871" spans="1:20" x14ac:dyDescent="0.25">
      <c r="A871">
        <v>122</v>
      </c>
      <c r="B871">
        <v>506222</v>
      </c>
      <c r="C871" t="s">
        <v>163</v>
      </c>
      <c r="D871">
        <v>2021</v>
      </c>
      <c r="E871">
        <v>2478.300048828125</v>
      </c>
      <c r="F871">
        <v>-6.78</v>
      </c>
      <c r="G871" t="s">
        <v>465</v>
      </c>
      <c r="H871">
        <v>1886.800048828125</v>
      </c>
      <c r="I871">
        <v>821.0999755859375</v>
      </c>
      <c r="L871" t="s">
        <v>466</v>
      </c>
      <c r="O871">
        <v>130</v>
      </c>
      <c r="P871">
        <v>212.8</v>
      </c>
      <c r="Q871">
        <v>102.55</v>
      </c>
      <c r="R871" s="3" t="s">
        <v>470</v>
      </c>
      <c r="S871">
        <v>130</v>
      </c>
      <c r="T871" t="s">
        <v>468</v>
      </c>
    </row>
    <row r="872" spans="1:20" x14ac:dyDescent="0.25">
      <c r="A872">
        <v>122</v>
      </c>
      <c r="B872">
        <v>506222</v>
      </c>
      <c r="C872" t="s">
        <v>163</v>
      </c>
      <c r="D872">
        <v>2022</v>
      </c>
      <c r="E872">
        <v>2478.300048828125</v>
      </c>
      <c r="F872">
        <v>-29.41</v>
      </c>
      <c r="G872" t="s">
        <v>465</v>
      </c>
      <c r="H872">
        <v>1456</v>
      </c>
      <c r="I872">
        <v>706.70001220703125</v>
      </c>
      <c r="L872" t="s">
        <v>466</v>
      </c>
      <c r="O872">
        <v>130</v>
      </c>
      <c r="P872">
        <v>212.8</v>
      </c>
      <c r="Q872">
        <v>102.55</v>
      </c>
      <c r="R872" s="3" t="s">
        <v>470</v>
      </c>
      <c r="S872">
        <v>130</v>
      </c>
      <c r="T872" t="s">
        <v>468</v>
      </c>
    </row>
    <row r="873" spans="1:20" x14ac:dyDescent="0.25">
      <c r="A873">
        <v>122</v>
      </c>
      <c r="B873">
        <v>506222</v>
      </c>
      <c r="C873" t="s">
        <v>163</v>
      </c>
      <c r="D873">
        <v>2023</v>
      </c>
      <c r="E873">
        <v>2478.300048828125</v>
      </c>
      <c r="F873">
        <v>-9.02</v>
      </c>
      <c r="G873" t="s">
        <v>465</v>
      </c>
      <c r="H873">
        <v>1565.050048828125</v>
      </c>
      <c r="I873">
        <v>692.0999755859375</v>
      </c>
      <c r="L873" t="s">
        <v>466</v>
      </c>
      <c r="O873">
        <v>130</v>
      </c>
      <c r="P873">
        <v>212.8</v>
      </c>
      <c r="Q873">
        <v>102.55</v>
      </c>
      <c r="R873" s="3" t="s">
        <v>470</v>
      </c>
      <c r="S873">
        <v>130</v>
      </c>
      <c r="T873" t="s">
        <v>468</v>
      </c>
    </row>
    <row r="874" spans="1:20" x14ac:dyDescent="0.25">
      <c r="A874">
        <v>122</v>
      </c>
      <c r="B874">
        <v>506222</v>
      </c>
      <c r="C874" t="s">
        <v>163</v>
      </c>
      <c r="D874">
        <v>2024</v>
      </c>
      <c r="E874">
        <v>2478.300048828125</v>
      </c>
      <c r="F874">
        <v>98.47</v>
      </c>
      <c r="G874" t="s">
        <v>465</v>
      </c>
      <c r="H874">
        <v>3096.75</v>
      </c>
      <c r="I874">
        <v>1250.050048828125</v>
      </c>
      <c r="L874" t="s">
        <v>469</v>
      </c>
      <c r="M874">
        <v>31.448664567888699</v>
      </c>
      <c r="N874">
        <v>12.694729855063731</v>
      </c>
      <c r="O874">
        <v>130</v>
      </c>
      <c r="P874">
        <v>212.8</v>
      </c>
      <c r="Q874">
        <v>102.55</v>
      </c>
      <c r="R874" s="3" t="s">
        <v>470</v>
      </c>
      <c r="S874">
        <v>130</v>
      </c>
      <c r="T874" t="s">
        <v>468</v>
      </c>
    </row>
    <row r="875" spans="1:20" x14ac:dyDescent="0.25">
      <c r="A875">
        <v>122</v>
      </c>
      <c r="B875">
        <v>506222</v>
      </c>
      <c r="C875" t="s">
        <v>163</v>
      </c>
      <c r="D875">
        <v>2025</v>
      </c>
      <c r="E875">
        <v>2478.300048828125</v>
      </c>
      <c r="F875">
        <v>133.72</v>
      </c>
      <c r="G875" t="s">
        <v>465</v>
      </c>
      <c r="H875">
        <v>3523.949951171875</v>
      </c>
      <c r="I875">
        <v>1960</v>
      </c>
      <c r="L875" t="s">
        <v>469</v>
      </c>
      <c r="M875">
        <v>26.353200352766041</v>
      </c>
      <c r="N875">
        <v>14.657493269518399</v>
      </c>
      <c r="O875">
        <v>130</v>
      </c>
      <c r="P875">
        <v>212.8</v>
      </c>
      <c r="Q875">
        <v>102.55</v>
      </c>
      <c r="R875" s="3" t="s">
        <v>470</v>
      </c>
      <c r="S875">
        <v>130</v>
      </c>
      <c r="T875" t="s">
        <v>468</v>
      </c>
    </row>
    <row r="876" spans="1:20" x14ac:dyDescent="0.25">
      <c r="A876">
        <v>122</v>
      </c>
      <c r="B876">
        <v>506222</v>
      </c>
      <c r="C876" t="s">
        <v>163</v>
      </c>
      <c r="D876">
        <v>2026</v>
      </c>
      <c r="E876">
        <v>2478.300048828125</v>
      </c>
      <c r="F876">
        <v>103.98</v>
      </c>
      <c r="G876" t="s">
        <v>465</v>
      </c>
      <c r="H876">
        <v>2522</v>
      </c>
      <c r="I876">
        <v>1773</v>
      </c>
      <c r="L876" t="s">
        <v>469</v>
      </c>
      <c r="M876">
        <v>24.254664358530491</v>
      </c>
      <c r="N876">
        <v>17.05135603000577</v>
      </c>
      <c r="O876">
        <v>130</v>
      </c>
      <c r="P876">
        <v>212.8</v>
      </c>
      <c r="Q876">
        <v>102.55</v>
      </c>
      <c r="R876" s="3" t="s">
        <v>470</v>
      </c>
      <c r="S876">
        <v>130</v>
      </c>
      <c r="T876" t="s">
        <v>468</v>
      </c>
    </row>
    <row r="877" spans="1:20" x14ac:dyDescent="0.25">
      <c r="A877">
        <v>125</v>
      </c>
      <c r="B877">
        <v>506260</v>
      </c>
      <c r="C877" t="s">
        <v>165</v>
      </c>
      <c r="D877">
        <v>2015</v>
      </c>
      <c r="E877">
        <v>80.720001220703125</v>
      </c>
      <c r="F877">
        <v>2.19</v>
      </c>
      <c r="G877" t="s">
        <v>465</v>
      </c>
      <c r="H877">
        <v>103.6875</v>
      </c>
      <c r="L877" t="s">
        <v>469</v>
      </c>
      <c r="M877">
        <v>47.345890410958908</v>
      </c>
      <c r="O877">
        <v>223.15</v>
      </c>
      <c r="P877">
        <v>265</v>
      </c>
      <c r="Q877">
        <v>155.1</v>
      </c>
      <c r="R877" s="3" t="s">
        <v>470</v>
      </c>
      <c r="S877">
        <v>223.15</v>
      </c>
      <c r="T877" t="s">
        <v>468</v>
      </c>
    </row>
    <row r="878" spans="1:20" x14ac:dyDescent="0.25">
      <c r="A878">
        <v>125</v>
      </c>
      <c r="B878">
        <v>506260</v>
      </c>
      <c r="C878" t="s">
        <v>165</v>
      </c>
      <c r="D878">
        <v>2016</v>
      </c>
      <c r="E878">
        <v>80.720001220703125</v>
      </c>
      <c r="F878">
        <v>2.57</v>
      </c>
      <c r="G878" t="s">
        <v>465</v>
      </c>
      <c r="H878">
        <v>85.5</v>
      </c>
      <c r="I878">
        <v>39.75</v>
      </c>
      <c r="L878" t="s">
        <v>469</v>
      </c>
      <c r="M878">
        <v>33.268482490272383</v>
      </c>
      <c r="N878">
        <v>15.466926070038911</v>
      </c>
      <c r="O878">
        <v>223.15</v>
      </c>
      <c r="P878">
        <v>265</v>
      </c>
      <c r="Q878">
        <v>155.1</v>
      </c>
      <c r="R878" s="3" t="s">
        <v>470</v>
      </c>
      <c r="S878">
        <v>223.15</v>
      </c>
      <c r="T878" t="s">
        <v>468</v>
      </c>
    </row>
    <row r="879" spans="1:20" x14ac:dyDescent="0.25">
      <c r="A879">
        <v>125</v>
      </c>
      <c r="B879">
        <v>506260</v>
      </c>
      <c r="C879" t="s">
        <v>165</v>
      </c>
      <c r="D879">
        <v>2017</v>
      </c>
      <c r="E879">
        <v>80.720001220703125</v>
      </c>
      <c r="F879">
        <v>2</v>
      </c>
      <c r="G879" t="s">
        <v>465</v>
      </c>
      <c r="H879">
        <v>57.474998474121087</v>
      </c>
      <c r="I879">
        <v>40.25</v>
      </c>
      <c r="L879" t="s">
        <v>469</v>
      </c>
      <c r="M879">
        <v>28.73749923706054</v>
      </c>
      <c r="N879">
        <v>20.125</v>
      </c>
      <c r="O879">
        <v>223.15</v>
      </c>
      <c r="P879">
        <v>265</v>
      </c>
      <c r="Q879">
        <v>155.1</v>
      </c>
      <c r="R879" s="3" t="s">
        <v>470</v>
      </c>
      <c r="S879">
        <v>223.15</v>
      </c>
      <c r="T879" t="s">
        <v>468</v>
      </c>
    </row>
    <row r="880" spans="1:20" x14ac:dyDescent="0.25">
      <c r="A880">
        <v>125</v>
      </c>
      <c r="B880">
        <v>506260</v>
      </c>
      <c r="C880" t="s">
        <v>165</v>
      </c>
      <c r="D880">
        <v>2018</v>
      </c>
      <c r="E880">
        <v>80.720001220703125</v>
      </c>
      <c r="F880">
        <v>1.65</v>
      </c>
      <c r="G880" t="s">
        <v>465</v>
      </c>
      <c r="H880">
        <v>48.724998474121087</v>
      </c>
      <c r="I880">
        <v>31.67499923706055</v>
      </c>
      <c r="L880" t="s">
        <v>469</v>
      </c>
      <c r="M880">
        <v>29.53030210552793</v>
      </c>
      <c r="N880">
        <v>19.196969234582149</v>
      </c>
      <c r="O880">
        <v>223.15</v>
      </c>
      <c r="P880">
        <v>265</v>
      </c>
      <c r="Q880">
        <v>155.1</v>
      </c>
      <c r="R880" s="3" t="s">
        <v>470</v>
      </c>
      <c r="S880">
        <v>223.15</v>
      </c>
      <c r="T880" t="s">
        <v>468</v>
      </c>
    </row>
    <row r="881" spans="1:20" x14ac:dyDescent="0.25">
      <c r="A881">
        <v>125</v>
      </c>
      <c r="B881">
        <v>506260</v>
      </c>
      <c r="C881" t="s">
        <v>165</v>
      </c>
      <c r="D881">
        <v>2019</v>
      </c>
      <c r="E881">
        <v>80.720001220703125</v>
      </c>
      <c r="F881">
        <v>2.33</v>
      </c>
      <c r="G881" t="s">
        <v>465</v>
      </c>
      <c r="H881">
        <v>41.424999237060547</v>
      </c>
      <c r="I881">
        <v>25.3125</v>
      </c>
      <c r="L881" t="s">
        <v>469</v>
      </c>
      <c r="M881">
        <v>17.778969629639722</v>
      </c>
      <c r="N881">
        <v>10.8637339055794</v>
      </c>
      <c r="O881">
        <v>223.15</v>
      </c>
      <c r="P881">
        <v>265</v>
      </c>
      <c r="Q881">
        <v>155.1</v>
      </c>
      <c r="R881" s="3" t="s">
        <v>470</v>
      </c>
      <c r="S881">
        <v>223.15</v>
      </c>
      <c r="T881" t="s">
        <v>468</v>
      </c>
    </row>
    <row r="882" spans="1:20" x14ac:dyDescent="0.25">
      <c r="A882">
        <v>125</v>
      </c>
      <c r="B882">
        <v>506260</v>
      </c>
      <c r="C882" t="s">
        <v>165</v>
      </c>
      <c r="D882">
        <v>2020</v>
      </c>
      <c r="E882">
        <v>80.720001220703125</v>
      </c>
      <c r="F882">
        <v>1.43</v>
      </c>
      <c r="G882" t="s">
        <v>465</v>
      </c>
      <c r="H882">
        <v>109.34999847412109</v>
      </c>
      <c r="I882">
        <v>24.35000038146973</v>
      </c>
      <c r="L882" t="s">
        <v>469</v>
      </c>
      <c r="M882">
        <v>76.468530401483292</v>
      </c>
      <c r="N882">
        <v>17.027972294734081</v>
      </c>
      <c r="O882">
        <v>223.15</v>
      </c>
      <c r="P882">
        <v>265</v>
      </c>
      <c r="Q882">
        <v>155.1</v>
      </c>
      <c r="R882" s="3" t="s">
        <v>470</v>
      </c>
      <c r="S882">
        <v>223.15</v>
      </c>
      <c r="T882" t="s">
        <v>468</v>
      </c>
    </row>
    <row r="883" spans="1:20" x14ac:dyDescent="0.25">
      <c r="A883">
        <v>125</v>
      </c>
      <c r="B883">
        <v>506260</v>
      </c>
      <c r="C883" t="s">
        <v>165</v>
      </c>
      <c r="D883">
        <v>2021</v>
      </c>
      <c r="E883">
        <v>80.720001220703125</v>
      </c>
      <c r="F883">
        <v>2.84</v>
      </c>
      <c r="G883" t="s">
        <v>465</v>
      </c>
      <c r="H883">
        <v>83.224998474121094</v>
      </c>
      <c r="I883">
        <v>45</v>
      </c>
      <c r="L883" t="s">
        <v>469</v>
      </c>
      <c r="M883">
        <v>29.30457692750743</v>
      </c>
      <c r="N883">
        <v>15.84507042253521</v>
      </c>
      <c r="O883">
        <v>223.15</v>
      </c>
      <c r="P883">
        <v>265</v>
      </c>
      <c r="Q883">
        <v>155.1</v>
      </c>
      <c r="R883" s="3" t="s">
        <v>470</v>
      </c>
      <c r="S883">
        <v>223.15</v>
      </c>
      <c r="T883" t="s">
        <v>468</v>
      </c>
    </row>
    <row r="884" spans="1:20" x14ac:dyDescent="0.25">
      <c r="A884">
        <v>125</v>
      </c>
      <c r="B884">
        <v>506260</v>
      </c>
      <c r="C884" t="s">
        <v>165</v>
      </c>
      <c r="D884">
        <v>2022</v>
      </c>
      <c r="E884">
        <v>80.720001220703125</v>
      </c>
      <c r="F884">
        <v>3.05</v>
      </c>
      <c r="G884" t="s">
        <v>465</v>
      </c>
      <c r="H884">
        <v>64.724998474121094</v>
      </c>
      <c r="I884">
        <v>41.25</v>
      </c>
      <c r="L884" t="s">
        <v>469</v>
      </c>
      <c r="M884">
        <v>21.221310975121671</v>
      </c>
      <c r="N884">
        <v>13.52459016393443</v>
      </c>
      <c r="O884">
        <v>223.15</v>
      </c>
      <c r="P884">
        <v>265</v>
      </c>
      <c r="Q884">
        <v>155.1</v>
      </c>
      <c r="R884" s="3" t="s">
        <v>470</v>
      </c>
      <c r="S884">
        <v>223.15</v>
      </c>
      <c r="T884" t="s">
        <v>468</v>
      </c>
    </row>
    <row r="885" spans="1:20" x14ac:dyDescent="0.25">
      <c r="A885">
        <v>125</v>
      </c>
      <c r="B885">
        <v>506260</v>
      </c>
      <c r="C885" t="s">
        <v>165</v>
      </c>
      <c r="D885">
        <v>2023</v>
      </c>
      <c r="E885">
        <v>80.720001220703125</v>
      </c>
      <c r="F885">
        <v>3.61</v>
      </c>
      <c r="G885" t="s">
        <v>465</v>
      </c>
      <c r="H885">
        <v>86</v>
      </c>
      <c r="I885">
        <v>38.5</v>
      </c>
      <c r="L885" t="s">
        <v>469</v>
      </c>
      <c r="M885">
        <v>23.822714681440441</v>
      </c>
      <c r="N885">
        <v>10.66481994459834</v>
      </c>
      <c r="O885">
        <v>223.15</v>
      </c>
      <c r="P885">
        <v>265</v>
      </c>
      <c r="Q885">
        <v>155.1</v>
      </c>
      <c r="R885" s="3" t="s">
        <v>470</v>
      </c>
      <c r="S885">
        <v>223.15</v>
      </c>
      <c r="T885" t="s">
        <v>468</v>
      </c>
    </row>
    <row r="886" spans="1:20" x14ac:dyDescent="0.25">
      <c r="A886">
        <v>125</v>
      </c>
      <c r="B886">
        <v>506260</v>
      </c>
      <c r="C886" t="s">
        <v>165</v>
      </c>
      <c r="D886">
        <v>2024</v>
      </c>
      <c r="E886">
        <v>80.720001220703125</v>
      </c>
      <c r="F886">
        <v>5.99</v>
      </c>
      <c r="G886" t="s">
        <v>465</v>
      </c>
      <c r="H886">
        <v>132.5</v>
      </c>
      <c r="I886">
        <v>72.824996948242188</v>
      </c>
      <c r="L886" t="s">
        <v>469</v>
      </c>
      <c r="M886">
        <v>22.120200333889819</v>
      </c>
      <c r="N886">
        <v>12.15776242875496</v>
      </c>
      <c r="O886">
        <v>223.15</v>
      </c>
      <c r="P886">
        <v>265</v>
      </c>
      <c r="Q886">
        <v>155.1</v>
      </c>
      <c r="R886" s="3" t="s">
        <v>470</v>
      </c>
      <c r="S886">
        <v>223.15</v>
      </c>
      <c r="T886" t="s">
        <v>468</v>
      </c>
    </row>
    <row r="887" spans="1:20" x14ac:dyDescent="0.25">
      <c r="A887">
        <v>125</v>
      </c>
      <c r="B887">
        <v>506260</v>
      </c>
      <c r="C887" t="s">
        <v>165</v>
      </c>
      <c r="D887">
        <v>2025</v>
      </c>
      <c r="E887">
        <v>80.720001220703125</v>
      </c>
      <c r="F887">
        <v>4.7300000000000004</v>
      </c>
      <c r="G887" t="s">
        <v>465</v>
      </c>
      <c r="H887">
        <v>116.5500030517578</v>
      </c>
      <c r="I887">
        <v>74.025001525878906</v>
      </c>
      <c r="L887" t="s">
        <v>469</v>
      </c>
      <c r="M887">
        <v>24.640592611365278</v>
      </c>
      <c r="N887">
        <v>15.650106030841201</v>
      </c>
      <c r="O887">
        <v>223.15</v>
      </c>
      <c r="P887">
        <v>265</v>
      </c>
      <c r="Q887">
        <v>155.1</v>
      </c>
      <c r="R887" s="3" t="s">
        <v>470</v>
      </c>
      <c r="S887">
        <v>223.15</v>
      </c>
      <c r="T887" t="s">
        <v>468</v>
      </c>
    </row>
    <row r="888" spans="1:20" x14ac:dyDescent="0.25">
      <c r="A888">
        <v>125</v>
      </c>
      <c r="B888">
        <v>506260</v>
      </c>
      <c r="C888" t="s">
        <v>165</v>
      </c>
      <c r="D888">
        <v>2026</v>
      </c>
      <c r="E888">
        <v>80.720001220703125</v>
      </c>
      <c r="F888">
        <v>4.0999999999999996</v>
      </c>
      <c r="G888" t="s">
        <v>465</v>
      </c>
      <c r="H888">
        <v>89.660003662109375</v>
      </c>
      <c r="I888">
        <v>66.720001220703125</v>
      </c>
      <c r="L888" t="s">
        <v>469</v>
      </c>
      <c r="M888">
        <v>21.868293576124241</v>
      </c>
      <c r="N888">
        <v>16.273171029439791</v>
      </c>
      <c r="O888">
        <v>223.15</v>
      </c>
      <c r="P888">
        <v>265</v>
      </c>
      <c r="Q888">
        <v>155.1</v>
      </c>
      <c r="R888" s="3" t="s">
        <v>470</v>
      </c>
      <c r="S888">
        <v>223.15</v>
      </c>
      <c r="T888" t="s">
        <v>468</v>
      </c>
    </row>
    <row r="889" spans="1:20" x14ac:dyDescent="0.25">
      <c r="A889">
        <v>126</v>
      </c>
      <c r="B889">
        <v>506285</v>
      </c>
      <c r="C889" t="s">
        <v>167</v>
      </c>
      <c r="D889">
        <v>2015</v>
      </c>
      <c r="E889">
        <v>4233.5498046875</v>
      </c>
      <c r="F889">
        <v>104.59</v>
      </c>
      <c r="G889" t="s">
        <v>465</v>
      </c>
      <c r="H889">
        <v>4234</v>
      </c>
      <c r="I889">
        <v>3192.800048828125</v>
      </c>
      <c r="L889" t="s">
        <v>469</v>
      </c>
      <c r="M889">
        <v>40.481881633043308</v>
      </c>
      <c r="N889">
        <v>30.526819474406011</v>
      </c>
      <c r="O889">
        <v>4239.2</v>
      </c>
      <c r="P889">
        <v>6509.5</v>
      </c>
      <c r="Q889">
        <v>4030</v>
      </c>
      <c r="R889" s="2" t="s">
        <v>467</v>
      </c>
      <c r="S889">
        <v>4239.2</v>
      </c>
      <c r="T889" t="s">
        <v>468</v>
      </c>
    </row>
    <row r="890" spans="1:20" x14ac:dyDescent="0.25">
      <c r="A890">
        <v>126</v>
      </c>
      <c r="B890">
        <v>506285</v>
      </c>
      <c r="C890" t="s">
        <v>167</v>
      </c>
      <c r="D890">
        <v>2016</v>
      </c>
      <c r="E890">
        <v>4233.5498046875</v>
      </c>
      <c r="F890">
        <v>89.13</v>
      </c>
      <c r="G890" t="s">
        <v>465</v>
      </c>
      <c r="H890">
        <v>4627</v>
      </c>
      <c r="I890">
        <v>3115</v>
      </c>
      <c r="L890" t="s">
        <v>469</v>
      </c>
      <c r="M890">
        <v>51.912936160664202</v>
      </c>
      <c r="N890">
        <v>34.94895097049254</v>
      </c>
      <c r="O890">
        <v>4239.2</v>
      </c>
      <c r="P890">
        <v>6509.5</v>
      </c>
      <c r="Q890">
        <v>4030</v>
      </c>
      <c r="R890" s="2" t="s">
        <v>467</v>
      </c>
      <c r="S890">
        <v>4239.2</v>
      </c>
      <c r="T890" t="s">
        <v>468</v>
      </c>
    </row>
    <row r="891" spans="1:20" x14ac:dyDescent="0.25">
      <c r="A891">
        <v>126</v>
      </c>
      <c r="B891">
        <v>506285</v>
      </c>
      <c r="C891" t="s">
        <v>167</v>
      </c>
      <c r="D891">
        <v>2017</v>
      </c>
      <c r="E891">
        <v>4233.5498046875</v>
      </c>
      <c r="F891">
        <v>82.31</v>
      </c>
      <c r="G891" t="s">
        <v>465</v>
      </c>
      <c r="H891">
        <v>5050</v>
      </c>
      <c r="I891">
        <v>3685</v>
      </c>
      <c r="L891" t="s">
        <v>469</v>
      </c>
      <c r="M891">
        <v>61.353419997570157</v>
      </c>
      <c r="N891">
        <v>44.76977281010813</v>
      </c>
      <c r="O891">
        <v>4239.2</v>
      </c>
      <c r="P891">
        <v>6509.5</v>
      </c>
      <c r="Q891">
        <v>4030</v>
      </c>
      <c r="R891" s="2" t="s">
        <v>467</v>
      </c>
      <c r="S891">
        <v>4239.2</v>
      </c>
      <c r="T891" t="s">
        <v>468</v>
      </c>
    </row>
    <row r="892" spans="1:20" x14ac:dyDescent="0.25">
      <c r="A892">
        <v>126</v>
      </c>
      <c r="B892">
        <v>506285</v>
      </c>
      <c r="C892" t="s">
        <v>167</v>
      </c>
      <c r="D892">
        <v>2018</v>
      </c>
      <c r="E892">
        <v>4233.5498046875</v>
      </c>
      <c r="F892">
        <v>87.41</v>
      </c>
      <c r="G892" t="s">
        <v>465</v>
      </c>
      <c r="H892">
        <v>4879.89990234375</v>
      </c>
      <c r="I892">
        <v>3700</v>
      </c>
      <c r="L892" t="s">
        <v>469</v>
      </c>
      <c r="M892">
        <v>55.82770738295104</v>
      </c>
      <c r="N892">
        <v>42.329252945887198</v>
      </c>
      <c r="O892">
        <v>4239.2</v>
      </c>
      <c r="P892">
        <v>6509.5</v>
      </c>
      <c r="Q892">
        <v>4030</v>
      </c>
      <c r="R892" s="2" t="s">
        <v>467</v>
      </c>
      <c r="S892">
        <v>4239.2</v>
      </c>
      <c r="T892" t="s">
        <v>468</v>
      </c>
    </row>
    <row r="893" spans="1:20" x14ac:dyDescent="0.25">
      <c r="A893">
        <v>126</v>
      </c>
      <c r="B893">
        <v>506285</v>
      </c>
      <c r="C893" t="s">
        <v>167</v>
      </c>
      <c r="D893">
        <v>2019</v>
      </c>
      <c r="E893">
        <v>4233.5498046875</v>
      </c>
      <c r="F893">
        <v>98.18</v>
      </c>
      <c r="G893" t="s">
        <v>465</v>
      </c>
      <c r="H893">
        <v>4440</v>
      </c>
      <c r="I893">
        <v>2952</v>
      </c>
      <c r="L893" t="s">
        <v>469</v>
      </c>
      <c r="M893">
        <v>45.223059686290483</v>
      </c>
      <c r="N893">
        <v>30.06722346710124</v>
      </c>
      <c r="O893">
        <v>4239.2</v>
      </c>
      <c r="P893">
        <v>6509.5</v>
      </c>
      <c r="Q893">
        <v>4030</v>
      </c>
      <c r="R893" s="2" t="s">
        <v>467</v>
      </c>
      <c r="S893">
        <v>4239.2</v>
      </c>
      <c r="T893" t="s">
        <v>468</v>
      </c>
    </row>
    <row r="894" spans="1:20" x14ac:dyDescent="0.25">
      <c r="A894">
        <v>126</v>
      </c>
      <c r="B894">
        <v>506285</v>
      </c>
      <c r="C894" t="s">
        <v>167</v>
      </c>
      <c r="D894">
        <v>2020</v>
      </c>
      <c r="E894">
        <v>4233.5498046875</v>
      </c>
      <c r="F894">
        <v>105.58</v>
      </c>
      <c r="G894" t="s">
        <v>465</v>
      </c>
      <c r="H894">
        <v>6550</v>
      </c>
      <c r="I894">
        <v>2980.800048828125</v>
      </c>
      <c r="L894" t="s">
        <v>469</v>
      </c>
      <c r="M894">
        <v>62.038264822883121</v>
      </c>
      <c r="N894">
        <v>28.23262027683392</v>
      </c>
      <c r="O894">
        <v>4239.2</v>
      </c>
      <c r="P894">
        <v>6509.5</v>
      </c>
      <c r="Q894">
        <v>4030</v>
      </c>
      <c r="R894" s="2" t="s">
        <v>467</v>
      </c>
      <c r="S894">
        <v>4239.2</v>
      </c>
      <c r="T894" t="s">
        <v>468</v>
      </c>
    </row>
    <row r="895" spans="1:20" x14ac:dyDescent="0.25">
      <c r="A895">
        <v>126</v>
      </c>
      <c r="B895">
        <v>506285</v>
      </c>
      <c r="C895" t="s">
        <v>167</v>
      </c>
      <c r="D895">
        <v>2021</v>
      </c>
      <c r="E895">
        <v>4233.5498046875</v>
      </c>
      <c r="F895">
        <v>109.72</v>
      </c>
      <c r="G895" t="s">
        <v>465</v>
      </c>
      <c r="H895">
        <v>6127.4501953125</v>
      </c>
      <c r="I895">
        <v>4519.89990234375</v>
      </c>
      <c r="L895" t="s">
        <v>469</v>
      </c>
      <c r="M895">
        <v>55.846246767339593</v>
      </c>
      <c r="N895">
        <v>41.19485875267727</v>
      </c>
      <c r="O895">
        <v>4239.2</v>
      </c>
      <c r="P895">
        <v>6509.5</v>
      </c>
      <c r="Q895">
        <v>4030</v>
      </c>
      <c r="R895" s="2" t="s">
        <v>467</v>
      </c>
      <c r="S895">
        <v>4239.2</v>
      </c>
      <c r="T895" t="s">
        <v>468</v>
      </c>
    </row>
    <row r="896" spans="1:20" x14ac:dyDescent="0.25">
      <c r="A896">
        <v>126</v>
      </c>
      <c r="B896">
        <v>506285</v>
      </c>
      <c r="C896" t="s">
        <v>167</v>
      </c>
      <c r="D896">
        <v>2022</v>
      </c>
      <c r="E896">
        <v>4233.5498046875</v>
      </c>
      <c r="F896">
        <v>143.58000000000001</v>
      </c>
      <c r="G896" t="s">
        <v>465</v>
      </c>
      <c r="H896">
        <v>5661.7001953125</v>
      </c>
      <c r="I896">
        <v>4101.2001953125</v>
      </c>
      <c r="L896" t="s">
        <v>469</v>
      </c>
      <c r="M896">
        <v>39.432373556989127</v>
      </c>
      <c r="N896">
        <v>28.56386819412522</v>
      </c>
      <c r="O896">
        <v>4239.2</v>
      </c>
      <c r="P896">
        <v>6509.5</v>
      </c>
      <c r="Q896">
        <v>4030</v>
      </c>
      <c r="R896" s="2" t="s">
        <v>467</v>
      </c>
      <c r="S896">
        <v>4239.2</v>
      </c>
      <c r="T896" t="s">
        <v>468</v>
      </c>
    </row>
    <row r="897" spans="1:20" x14ac:dyDescent="0.25">
      <c r="A897">
        <v>126</v>
      </c>
      <c r="B897">
        <v>506285</v>
      </c>
      <c r="C897" t="s">
        <v>167</v>
      </c>
      <c r="D897">
        <v>2023</v>
      </c>
      <c r="E897">
        <v>4233.5498046875</v>
      </c>
      <c r="F897">
        <v>168.71</v>
      </c>
      <c r="G897" t="s">
        <v>465</v>
      </c>
      <c r="H897">
        <v>5771.5498046875</v>
      </c>
      <c r="I897">
        <v>3922.449951171875</v>
      </c>
      <c r="L897" t="s">
        <v>469</v>
      </c>
      <c r="M897">
        <v>34.209885630297549</v>
      </c>
      <c r="N897">
        <v>23.249658889051481</v>
      </c>
      <c r="O897">
        <v>4239.2</v>
      </c>
      <c r="P897">
        <v>6509.5</v>
      </c>
      <c r="Q897">
        <v>4030</v>
      </c>
      <c r="R897" s="2" t="s">
        <v>467</v>
      </c>
      <c r="S897">
        <v>4239.2</v>
      </c>
      <c r="T897" t="s">
        <v>468</v>
      </c>
    </row>
    <row r="898" spans="1:20" x14ac:dyDescent="0.25">
      <c r="A898">
        <v>126</v>
      </c>
      <c r="B898">
        <v>506285</v>
      </c>
      <c r="C898" t="s">
        <v>167</v>
      </c>
      <c r="D898">
        <v>2024</v>
      </c>
      <c r="E898">
        <v>4233.5498046875</v>
      </c>
      <c r="F898">
        <v>164.77</v>
      </c>
      <c r="G898" t="s">
        <v>465</v>
      </c>
      <c r="H898">
        <v>7189.89990234375</v>
      </c>
      <c r="I898">
        <v>4925.5</v>
      </c>
      <c r="L898" t="s">
        <v>469</v>
      </c>
      <c r="M898">
        <v>43.635976830392373</v>
      </c>
      <c r="N898">
        <v>29.893184438914851</v>
      </c>
      <c r="O898">
        <v>4239.2</v>
      </c>
      <c r="P898">
        <v>6509.5</v>
      </c>
      <c r="Q898">
        <v>4030</v>
      </c>
      <c r="R898" s="2" t="s">
        <v>467</v>
      </c>
      <c r="S898">
        <v>4239.2</v>
      </c>
      <c r="T898" t="s">
        <v>468</v>
      </c>
    </row>
    <row r="899" spans="1:20" x14ac:dyDescent="0.25">
      <c r="A899">
        <v>126</v>
      </c>
      <c r="B899">
        <v>506285</v>
      </c>
      <c r="C899" t="s">
        <v>167</v>
      </c>
      <c r="D899">
        <v>2025</v>
      </c>
      <c r="E899">
        <v>4233.5498046875</v>
      </c>
      <c r="F899">
        <v>126.38</v>
      </c>
      <c r="G899" t="s">
        <v>465</v>
      </c>
      <c r="H899">
        <v>6539.9501953125</v>
      </c>
      <c r="I899">
        <v>4220.0498046875</v>
      </c>
      <c r="L899" t="s">
        <v>469</v>
      </c>
      <c r="M899">
        <v>51.748300326891133</v>
      </c>
      <c r="N899">
        <v>33.391753479090838</v>
      </c>
      <c r="O899">
        <v>4239.2</v>
      </c>
      <c r="P899">
        <v>6509.5</v>
      </c>
      <c r="Q899">
        <v>4030</v>
      </c>
      <c r="R899" s="2" t="s">
        <v>467</v>
      </c>
      <c r="S899">
        <v>4239.2</v>
      </c>
      <c r="T899" t="s">
        <v>468</v>
      </c>
    </row>
    <row r="900" spans="1:20" x14ac:dyDescent="0.25">
      <c r="A900">
        <v>126</v>
      </c>
      <c r="B900">
        <v>506285</v>
      </c>
      <c r="C900" t="s">
        <v>167</v>
      </c>
      <c r="D900">
        <v>2026</v>
      </c>
      <c r="E900">
        <v>4233.5498046875</v>
      </c>
      <c r="F900">
        <v>153.35</v>
      </c>
      <c r="G900" t="s">
        <v>465</v>
      </c>
      <c r="H900">
        <v>5055</v>
      </c>
      <c r="I900">
        <v>4030</v>
      </c>
      <c r="L900" t="s">
        <v>469</v>
      </c>
      <c r="M900">
        <v>32.963808281708509</v>
      </c>
      <c r="N900">
        <v>26.279752200847739</v>
      </c>
      <c r="O900">
        <v>4239.2</v>
      </c>
      <c r="P900">
        <v>6509.5</v>
      </c>
      <c r="Q900">
        <v>4030</v>
      </c>
      <c r="R900" s="2" t="s">
        <v>467</v>
      </c>
      <c r="S900">
        <v>4239.2</v>
      </c>
      <c r="T900" t="s">
        <v>468</v>
      </c>
    </row>
    <row r="901" spans="1:20" x14ac:dyDescent="0.25">
      <c r="A901">
        <v>127</v>
      </c>
      <c r="B901">
        <v>506390</v>
      </c>
      <c r="C901" t="s">
        <v>169</v>
      </c>
      <c r="D901">
        <v>2015</v>
      </c>
      <c r="E901">
        <v>359.5</v>
      </c>
      <c r="G901" t="s">
        <v>465</v>
      </c>
      <c r="H901">
        <v>1185</v>
      </c>
      <c r="I901">
        <v>714</v>
      </c>
      <c r="L901" t="s">
        <v>466</v>
      </c>
      <c r="O901">
        <f>IFERROR(VLOOKUP(B901,BSE_500_LIVE!A:E,3,FALSE),"")</f>
        <v>0</v>
      </c>
      <c r="P901">
        <f>IFERROR(VLOOKUP(B901,BSE_500_LIVE!A:E,4,FALSE),"")</f>
        <v>0</v>
      </c>
      <c r="Q901">
        <f>IFERROR(VLOOKUP(B901,BSE_500_LIVE!A:E,5,FALSE),"")</f>
        <v>0</v>
      </c>
      <c r="R901" t="str">
        <f t="shared" ref="R901:R912" si="10">IF(OR(E901="",O901=""),"PENDING_FETCH",IF(ABS(E901-O901)/E901&gt;0.005,"MISMATCH_NEEDS_CORRECTION","VERIFIED_OK"))</f>
        <v>MISMATCH_NEEDS_CORRECTION</v>
      </c>
      <c r="S901">
        <f t="shared" ref="S901:S912" si="11">IF(O901&lt;&gt;"",O901,E901)</f>
        <v>0</v>
      </c>
      <c r="T901">
        <f>IFERROR(VLOOKUP(B901,BSE_500_LIVE!A:F,6,FALSE),"")</f>
        <v>0</v>
      </c>
    </row>
    <row r="902" spans="1:20" x14ac:dyDescent="0.25">
      <c r="A902">
        <v>127</v>
      </c>
      <c r="B902">
        <v>506390</v>
      </c>
      <c r="C902" t="s">
        <v>169</v>
      </c>
      <c r="D902">
        <v>2016</v>
      </c>
      <c r="E902">
        <v>359.5</v>
      </c>
      <c r="G902" t="s">
        <v>465</v>
      </c>
      <c r="H902">
        <v>838</v>
      </c>
      <c r="I902">
        <v>587.25</v>
      </c>
      <c r="L902" t="s">
        <v>466</v>
      </c>
      <c r="O902">
        <f>IFERROR(VLOOKUP(B902,BSE_500_LIVE!A:E,3,FALSE),"")</f>
        <v>0</v>
      </c>
      <c r="P902">
        <f>IFERROR(VLOOKUP(B902,BSE_500_LIVE!A:E,4,FALSE),"")</f>
        <v>0</v>
      </c>
      <c r="Q902">
        <f>IFERROR(VLOOKUP(B902,BSE_500_LIVE!A:E,5,FALSE),"")</f>
        <v>0</v>
      </c>
      <c r="R902" t="str">
        <f t="shared" si="10"/>
        <v>MISMATCH_NEEDS_CORRECTION</v>
      </c>
      <c r="S902">
        <f t="shared" si="11"/>
        <v>0</v>
      </c>
      <c r="T902">
        <f>IFERROR(VLOOKUP(B902,BSE_500_LIVE!A:F,6,FALSE),"")</f>
        <v>0</v>
      </c>
    </row>
    <row r="903" spans="1:20" x14ac:dyDescent="0.25">
      <c r="A903">
        <v>127</v>
      </c>
      <c r="B903">
        <v>506390</v>
      </c>
      <c r="C903" t="s">
        <v>169</v>
      </c>
      <c r="D903">
        <v>2017</v>
      </c>
      <c r="E903">
        <v>359.5</v>
      </c>
      <c r="G903" t="s">
        <v>465</v>
      </c>
      <c r="H903">
        <v>751</v>
      </c>
      <c r="I903">
        <v>553.5</v>
      </c>
      <c r="L903" t="s">
        <v>466</v>
      </c>
      <c r="O903">
        <f>IFERROR(VLOOKUP(B903,BSE_500_LIVE!A:E,3,FALSE),"")</f>
        <v>0</v>
      </c>
      <c r="P903">
        <f>IFERROR(VLOOKUP(B903,BSE_500_LIVE!A:E,4,FALSE),"")</f>
        <v>0</v>
      </c>
      <c r="Q903">
        <f>IFERROR(VLOOKUP(B903,BSE_500_LIVE!A:E,5,FALSE),"")</f>
        <v>0</v>
      </c>
      <c r="R903" t="str">
        <f t="shared" si="10"/>
        <v>MISMATCH_NEEDS_CORRECTION</v>
      </c>
      <c r="S903">
        <f t="shared" si="11"/>
        <v>0</v>
      </c>
      <c r="T903">
        <f>IFERROR(VLOOKUP(B903,BSE_500_LIVE!A:F,6,FALSE),"")</f>
        <v>0</v>
      </c>
    </row>
    <row r="904" spans="1:20" x14ac:dyDescent="0.25">
      <c r="A904">
        <v>127</v>
      </c>
      <c r="B904">
        <v>506390</v>
      </c>
      <c r="C904" t="s">
        <v>169</v>
      </c>
      <c r="D904">
        <v>2018</v>
      </c>
      <c r="E904">
        <v>359.5</v>
      </c>
      <c r="G904" t="s">
        <v>465</v>
      </c>
      <c r="H904">
        <v>667</v>
      </c>
      <c r="I904">
        <v>375</v>
      </c>
      <c r="L904" t="s">
        <v>466</v>
      </c>
      <c r="O904">
        <f>IFERROR(VLOOKUP(B904,BSE_500_LIVE!A:E,3,FALSE),"")</f>
        <v>0</v>
      </c>
      <c r="P904">
        <f>IFERROR(VLOOKUP(B904,BSE_500_LIVE!A:E,4,FALSE),"")</f>
        <v>0</v>
      </c>
      <c r="Q904">
        <f>IFERROR(VLOOKUP(B904,BSE_500_LIVE!A:E,5,FALSE),"")</f>
        <v>0</v>
      </c>
      <c r="R904" t="str">
        <f t="shared" si="10"/>
        <v>MISMATCH_NEEDS_CORRECTION</v>
      </c>
      <c r="S904">
        <f t="shared" si="11"/>
        <v>0</v>
      </c>
      <c r="T904">
        <f>IFERROR(VLOOKUP(B904,BSE_500_LIVE!A:F,6,FALSE),"")</f>
        <v>0</v>
      </c>
    </row>
    <row r="905" spans="1:20" x14ac:dyDescent="0.25">
      <c r="A905">
        <v>127</v>
      </c>
      <c r="B905">
        <v>506390</v>
      </c>
      <c r="C905" t="s">
        <v>169</v>
      </c>
      <c r="D905">
        <v>2019</v>
      </c>
      <c r="E905">
        <v>359.5</v>
      </c>
      <c r="G905" t="s">
        <v>465</v>
      </c>
      <c r="H905">
        <v>420</v>
      </c>
      <c r="I905">
        <v>265.10000610351563</v>
      </c>
      <c r="L905" t="s">
        <v>466</v>
      </c>
      <c r="O905">
        <f>IFERROR(VLOOKUP(B905,BSE_500_LIVE!A:E,3,FALSE),"")</f>
        <v>0</v>
      </c>
      <c r="P905">
        <f>IFERROR(VLOOKUP(B905,BSE_500_LIVE!A:E,4,FALSE),"")</f>
        <v>0</v>
      </c>
      <c r="Q905">
        <f>IFERROR(VLOOKUP(B905,BSE_500_LIVE!A:E,5,FALSE),"")</f>
        <v>0</v>
      </c>
      <c r="R905" t="str">
        <f t="shared" si="10"/>
        <v>MISMATCH_NEEDS_CORRECTION</v>
      </c>
      <c r="S905">
        <f t="shared" si="11"/>
        <v>0</v>
      </c>
      <c r="T905">
        <f>IFERROR(VLOOKUP(B905,BSE_500_LIVE!A:F,6,FALSE),"")</f>
        <v>0</v>
      </c>
    </row>
    <row r="906" spans="1:20" x14ac:dyDescent="0.25">
      <c r="A906">
        <v>127</v>
      </c>
      <c r="B906">
        <v>506390</v>
      </c>
      <c r="C906" t="s">
        <v>169</v>
      </c>
      <c r="D906">
        <v>2020</v>
      </c>
      <c r="E906">
        <v>359.5</v>
      </c>
      <c r="G906" t="s">
        <v>465</v>
      </c>
      <c r="H906">
        <v>608</v>
      </c>
      <c r="I906">
        <v>192</v>
      </c>
      <c r="L906" t="s">
        <v>466</v>
      </c>
      <c r="O906">
        <f>IFERROR(VLOOKUP(B906,BSE_500_LIVE!A:E,3,FALSE),"")</f>
        <v>0</v>
      </c>
      <c r="P906">
        <f>IFERROR(VLOOKUP(B906,BSE_500_LIVE!A:E,4,FALSE),"")</f>
        <v>0</v>
      </c>
      <c r="Q906">
        <f>IFERROR(VLOOKUP(B906,BSE_500_LIVE!A:E,5,FALSE),"")</f>
        <v>0</v>
      </c>
      <c r="R906" t="str">
        <f t="shared" si="10"/>
        <v>MISMATCH_NEEDS_CORRECTION</v>
      </c>
      <c r="S906">
        <f t="shared" si="11"/>
        <v>0</v>
      </c>
      <c r="T906">
        <f>IFERROR(VLOOKUP(B906,BSE_500_LIVE!A:F,6,FALSE),"")</f>
        <v>0</v>
      </c>
    </row>
    <row r="907" spans="1:20" x14ac:dyDescent="0.25">
      <c r="A907">
        <v>127</v>
      </c>
      <c r="B907">
        <v>506390</v>
      </c>
      <c r="C907" t="s">
        <v>169</v>
      </c>
      <c r="D907">
        <v>2021</v>
      </c>
      <c r="E907">
        <v>359.5</v>
      </c>
      <c r="G907" t="s">
        <v>465</v>
      </c>
      <c r="H907">
        <v>642.20001220703125</v>
      </c>
      <c r="I907">
        <v>340.75</v>
      </c>
      <c r="L907" t="s">
        <v>466</v>
      </c>
      <c r="O907">
        <f>IFERROR(VLOOKUP(B907,BSE_500_LIVE!A:E,3,FALSE),"")</f>
        <v>0</v>
      </c>
      <c r="P907">
        <f>IFERROR(VLOOKUP(B907,BSE_500_LIVE!A:E,4,FALSE),"")</f>
        <v>0</v>
      </c>
      <c r="Q907">
        <f>IFERROR(VLOOKUP(B907,BSE_500_LIVE!A:E,5,FALSE),"")</f>
        <v>0</v>
      </c>
      <c r="R907" t="str">
        <f t="shared" si="10"/>
        <v>MISMATCH_NEEDS_CORRECTION</v>
      </c>
      <c r="S907">
        <f t="shared" si="11"/>
        <v>0</v>
      </c>
      <c r="T907">
        <f>IFERROR(VLOOKUP(B907,BSE_500_LIVE!A:F,6,FALSE),"")</f>
        <v>0</v>
      </c>
    </row>
    <row r="908" spans="1:20" x14ac:dyDescent="0.25">
      <c r="A908">
        <v>127</v>
      </c>
      <c r="B908">
        <v>506390</v>
      </c>
      <c r="C908" t="s">
        <v>169</v>
      </c>
      <c r="D908">
        <v>2022</v>
      </c>
      <c r="E908">
        <v>359.5</v>
      </c>
      <c r="G908" t="s">
        <v>465</v>
      </c>
      <c r="H908">
        <v>529.29998779296875</v>
      </c>
      <c r="I908">
        <v>355.75</v>
      </c>
      <c r="L908" t="s">
        <v>466</v>
      </c>
      <c r="O908">
        <f>IFERROR(VLOOKUP(B908,BSE_500_LIVE!A:E,3,FALSE),"")</f>
        <v>0</v>
      </c>
      <c r="P908">
        <f>IFERROR(VLOOKUP(B908,BSE_500_LIVE!A:E,4,FALSE),"")</f>
        <v>0</v>
      </c>
      <c r="Q908">
        <f>IFERROR(VLOOKUP(B908,BSE_500_LIVE!A:E,5,FALSE),"")</f>
        <v>0</v>
      </c>
      <c r="R908" t="str">
        <f t="shared" si="10"/>
        <v>MISMATCH_NEEDS_CORRECTION</v>
      </c>
      <c r="S908">
        <f t="shared" si="11"/>
        <v>0</v>
      </c>
      <c r="T908">
        <f>IFERROR(VLOOKUP(B908,BSE_500_LIVE!A:F,6,FALSE),"")</f>
        <v>0</v>
      </c>
    </row>
    <row r="909" spans="1:20" x14ac:dyDescent="0.25">
      <c r="A909">
        <v>127</v>
      </c>
      <c r="B909">
        <v>506390</v>
      </c>
      <c r="C909" t="s">
        <v>169</v>
      </c>
      <c r="D909">
        <v>2023</v>
      </c>
      <c r="E909">
        <v>359.5</v>
      </c>
      <c r="G909" t="s">
        <v>465</v>
      </c>
      <c r="H909">
        <v>653.95001220703125</v>
      </c>
      <c r="I909">
        <v>258</v>
      </c>
      <c r="L909" t="s">
        <v>466</v>
      </c>
      <c r="O909">
        <f>IFERROR(VLOOKUP(B909,BSE_500_LIVE!A:E,3,FALSE),"")</f>
        <v>0</v>
      </c>
      <c r="P909">
        <f>IFERROR(VLOOKUP(B909,BSE_500_LIVE!A:E,4,FALSE),"")</f>
        <v>0</v>
      </c>
      <c r="Q909">
        <f>IFERROR(VLOOKUP(B909,BSE_500_LIVE!A:E,5,FALSE),"")</f>
        <v>0</v>
      </c>
      <c r="R909" t="str">
        <f t="shared" si="10"/>
        <v>MISMATCH_NEEDS_CORRECTION</v>
      </c>
      <c r="S909">
        <f t="shared" si="11"/>
        <v>0</v>
      </c>
      <c r="T909">
        <f>IFERROR(VLOOKUP(B909,BSE_500_LIVE!A:F,6,FALSE),"")</f>
        <v>0</v>
      </c>
    </row>
    <row r="910" spans="1:20" x14ac:dyDescent="0.25">
      <c r="A910">
        <v>127</v>
      </c>
      <c r="B910">
        <v>506390</v>
      </c>
      <c r="C910" t="s">
        <v>169</v>
      </c>
      <c r="D910">
        <v>2024</v>
      </c>
      <c r="E910">
        <v>359.5</v>
      </c>
      <c r="G910" t="s">
        <v>465</v>
      </c>
      <c r="H910">
        <v>733.25</v>
      </c>
      <c r="I910">
        <v>355.14999389648438</v>
      </c>
      <c r="L910" t="s">
        <v>466</v>
      </c>
      <c r="O910">
        <f>IFERROR(VLOOKUP(B910,BSE_500_LIVE!A:E,3,FALSE),"")</f>
        <v>0</v>
      </c>
      <c r="P910">
        <f>IFERROR(VLOOKUP(B910,BSE_500_LIVE!A:E,4,FALSE),"")</f>
        <v>0</v>
      </c>
      <c r="Q910">
        <f>IFERROR(VLOOKUP(B910,BSE_500_LIVE!A:E,5,FALSE),"")</f>
        <v>0</v>
      </c>
      <c r="R910" t="str">
        <f t="shared" si="10"/>
        <v>MISMATCH_NEEDS_CORRECTION</v>
      </c>
      <c r="S910">
        <f t="shared" si="11"/>
        <v>0</v>
      </c>
      <c r="T910">
        <f>IFERROR(VLOOKUP(B910,BSE_500_LIVE!A:F,6,FALSE),"")</f>
        <v>0</v>
      </c>
    </row>
    <row r="911" spans="1:20" x14ac:dyDescent="0.25">
      <c r="A911">
        <v>127</v>
      </c>
      <c r="B911">
        <v>506390</v>
      </c>
      <c r="C911" t="s">
        <v>169</v>
      </c>
      <c r="D911">
        <v>2025</v>
      </c>
      <c r="E911">
        <v>359.5</v>
      </c>
      <c r="G911" t="s">
        <v>465</v>
      </c>
      <c r="H911">
        <v>619.79998779296875</v>
      </c>
      <c r="I911">
        <v>427.89999389648438</v>
      </c>
      <c r="L911" t="s">
        <v>466</v>
      </c>
      <c r="O911">
        <f>IFERROR(VLOOKUP(B911,BSE_500_LIVE!A:E,3,FALSE),"")</f>
        <v>0</v>
      </c>
      <c r="P911">
        <f>IFERROR(VLOOKUP(B911,BSE_500_LIVE!A:E,4,FALSE),"")</f>
        <v>0</v>
      </c>
      <c r="Q911">
        <f>IFERROR(VLOOKUP(B911,BSE_500_LIVE!A:E,5,FALSE),"")</f>
        <v>0</v>
      </c>
      <c r="R911" t="str">
        <f t="shared" si="10"/>
        <v>MISMATCH_NEEDS_CORRECTION</v>
      </c>
      <c r="S911">
        <f t="shared" si="11"/>
        <v>0</v>
      </c>
      <c r="T911">
        <f>IFERROR(VLOOKUP(B911,BSE_500_LIVE!A:F,6,FALSE),"")</f>
        <v>0</v>
      </c>
    </row>
    <row r="912" spans="1:20" x14ac:dyDescent="0.25">
      <c r="A912">
        <v>127</v>
      </c>
      <c r="B912">
        <v>506390</v>
      </c>
      <c r="C912" t="s">
        <v>169</v>
      </c>
      <c r="D912">
        <v>2026</v>
      </c>
      <c r="E912">
        <v>359.5</v>
      </c>
      <c r="G912" t="s">
        <v>465</v>
      </c>
      <c r="H912">
        <v>477.60000610351563</v>
      </c>
      <c r="I912">
        <v>269.5</v>
      </c>
      <c r="L912" t="s">
        <v>466</v>
      </c>
      <c r="O912">
        <f>IFERROR(VLOOKUP(B912,BSE_500_LIVE!A:E,3,FALSE),"")</f>
        <v>0</v>
      </c>
      <c r="P912">
        <f>IFERROR(VLOOKUP(B912,BSE_500_LIVE!A:E,4,FALSE),"")</f>
        <v>0</v>
      </c>
      <c r="Q912">
        <f>IFERROR(VLOOKUP(B912,BSE_500_LIVE!A:E,5,FALSE),"")</f>
        <v>0</v>
      </c>
      <c r="R912" t="str">
        <f t="shared" si="10"/>
        <v>MISMATCH_NEEDS_CORRECTION</v>
      </c>
      <c r="S912">
        <f t="shared" si="11"/>
        <v>0</v>
      </c>
      <c r="T912">
        <f>IFERROR(VLOOKUP(B912,BSE_500_LIVE!A:F,6,FALSE),"")</f>
        <v>0</v>
      </c>
    </row>
    <row r="913" spans="1:20" x14ac:dyDescent="0.25">
      <c r="A913">
        <v>128</v>
      </c>
      <c r="B913">
        <v>506395</v>
      </c>
      <c r="C913" t="s">
        <v>171</v>
      </c>
      <c r="D913">
        <v>2015</v>
      </c>
      <c r="E913">
        <v>2003.949951171875</v>
      </c>
      <c r="F913">
        <v>13.8</v>
      </c>
      <c r="G913" t="s">
        <v>465</v>
      </c>
      <c r="H913">
        <v>309.79998779296881</v>
      </c>
      <c r="I913">
        <v>150.80000305175781</v>
      </c>
      <c r="L913" t="s">
        <v>469</v>
      </c>
      <c r="M913">
        <v>22.449274477751359</v>
      </c>
      <c r="N913">
        <v>10.92753645302593</v>
      </c>
      <c r="O913">
        <v>2028</v>
      </c>
      <c r="P913">
        <v>2718.9</v>
      </c>
      <c r="Q913">
        <v>1706.5</v>
      </c>
      <c r="R913" s="2" t="s">
        <v>467</v>
      </c>
      <c r="S913">
        <v>2028</v>
      </c>
      <c r="T913" t="s">
        <v>468</v>
      </c>
    </row>
    <row r="914" spans="1:20" x14ac:dyDescent="0.25">
      <c r="A914">
        <v>128</v>
      </c>
      <c r="B914">
        <v>506395</v>
      </c>
      <c r="C914" t="s">
        <v>171</v>
      </c>
      <c r="D914">
        <v>2016</v>
      </c>
      <c r="E914">
        <v>2003.949951171875</v>
      </c>
      <c r="F914">
        <v>12.27</v>
      </c>
      <c r="G914" t="s">
        <v>465</v>
      </c>
      <c r="H914">
        <v>299.25</v>
      </c>
      <c r="I914">
        <v>146.3500061035156</v>
      </c>
      <c r="L914" t="s">
        <v>469</v>
      </c>
      <c r="M914">
        <v>24.388753056234719</v>
      </c>
      <c r="N914">
        <v>11.927465860107221</v>
      </c>
      <c r="O914">
        <v>2028</v>
      </c>
      <c r="P914">
        <v>2718.9</v>
      </c>
      <c r="Q914">
        <v>1706.5</v>
      </c>
      <c r="R914" s="2" t="s">
        <v>467</v>
      </c>
      <c r="S914">
        <v>2028</v>
      </c>
      <c r="T914" t="s">
        <v>468</v>
      </c>
    </row>
    <row r="915" spans="1:20" x14ac:dyDescent="0.25">
      <c r="A915">
        <v>128</v>
      </c>
      <c r="B915">
        <v>506395</v>
      </c>
      <c r="C915" t="s">
        <v>171</v>
      </c>
      <c r="D915">
        <v>2017</v>
      </c>
      <c r="E915">
        <v>2003.949951171875</v>
      </c>
      <c r="F915">
        <v>16.350000000000001</v>
      </c>
      <c r="G915" t="s">
        <v>465</v>
      </c>
      <c r="H915">
        <v>580</v>
      </c>
      <c r="I915">
        <v>298</v>
      </c>
      <c r="L915" t="s">
        <v>469</v>
      </c>
      <c r="M915">
        <v>35.474006116207953</v>
      </c>
      <c r="N915">
        <v>18.226299694189599</v>
      </c>
      <c r="O915">
        <v>2028</v>
      </c>
      <c r="P915">
        <v>2718.9</v>
      </c>
      <c r="Q915">
        <v>1706.5</v>
      </c>
      <c r="R915" s="2" t="s">
        <v>467</v>
      </c>
      <c r="S915">
        <v>2028</v>
      </c>
      <c r="T915" t="s">
        <v>468</v>
      </c>
    </row>
    <row r="916" spans="1:20" x14ac:dyDescent="0.25">
      <c r="A916">
        <v>128</v>
      </c>
      <c r="B916">
        <v>506395</v>
      </c>
      <c r="C916" t="s">
        <v>171</v>
      </c>
      <c r="D916">
        <v>2018</v>
      </c>
      <c r="E916">
        <v>2003.949951171875</v>
      </c>
      <c r="F916">
        <v>23.64</v>
      </c>
      <c r="G916" t="s">
        <v>465</v>
      </c>
      <c r="H916">
        <v>585.9000244140625</v>
      </c>
      <c r="I916">
        <v>340</v>
      </c>
      <c r="L916" t="s">
        <v>469</v>
      </c>
      <c r="M916">
        <v>24.78426499213462</v>
      </c>
      <c r="N916">
        <v>14.3824027072758</v>
      </c>
      <c r="O916">
        <v>2028</v>
      </c>
      <c r="P916">
        <v>2718.9</v>
      </c>
      <c r="Q916">
        <v>1706.5</v>
      </c>
      <c r="R916" s="2" t="s">
        <v>467</v>
      </c>
      <c r="S916">
        <v>2028</v>
      </c>
      <c r="T916" t="s">
        <v>468</v>
      </c>
    </row>
    <row r="917" spans="1:20" x14ac:dyDescent="0.25">
      <c r="A917">
        <v>128</v>
      </c>
      <c r="B917">
        <v>506395</v>
      </c>
      <c r="C917" t="s">
        <v>171</v>
      </c>
      <c r="D917">
        <v>2019</v>
      </c>
      <c r="E917">
        <v>2003.949951171875</v>
      </c>
      <c r="F917">
        <v>24.63</v>
      </c>
      <c r="G917" t="s">
        <v>465</v>
      </c>
      <c r="H917">
        <v>534.4000244140625</v>
      </c>
      <c r="I917">
        <v>336.5</v>
      </c>
      <c r="L917" t="s">
        <v>469</v>
      </c>
      <c r="M917">
        <v>21.697118327814149</v>
      </c>
      <c r="N917">
        <v>13.6622005684125</v>
      </c>
      <c r="O917">
        <v>2028</v>
      </c>
      <c r="P917">
        <v>2718.9</v>
      </c>
      <c r="Q917">
        <v>1706.5</v>
      </c>
      <c r="R917" s="2" t="s">
        <v>467</v>
      </c>
      <c r="S917">
        <v>2028</v>
      </c>
      <c r="T917" t="s">
        <v>468</v>
      </c>
    </row>
    <row r="918" spans="1:20" x14ac:dyDescent="0.25">
      <c r="A918">
        <v>128</v>
      </c>
      <c r="B918">
        <v>506395</v>
      </c>
      <c r="C918" t="s">
        <v>171</v>
      </c>
      <c r="D918">
        <v>2020</v>
      </c>
      <c r="E918">
        <v>2003.949951171875</v>
      </c>
      <c r="F918">
        <v>36.36</v>
      </c>
      <c r="G918" t="s">
        <v>465</v>
      </c>
      <c r="H918">
        <v>880</v>
      </c>
      <c r="I918">
        <v>444.20001220703119</v>
      </c>
      <c r="L918" t="s">
        <v>469</v>
      </c>
      <c r="M918">
        <v>24.2024202420242</v>
      </c>
      <c r="N918">
        <v>12.21672200789415</v>
      </c>
      <c r="O918">
        <v>2028</v>
      </c>
      <c r="P918">
        <v>2718.9</v>
      </c>
      <c r="Q918">
        <v>1706.5</v>
      </c>
      <c r="R918" s="2" t="s">
        <v>467</v>
      </c>
      <c r="S918">
        <v>2028</v>
      </c>
      <c r="T918" t="s">
        <v>468</v>
      </c>
    </row>
    <row r="919" spans="1:20" x14ac:dyDescent="0.25">
      <c r="A919">
        <v>128</v>
      </c>
      <c r="B919">
        <v>506395</v>
      </c>
      <c r="C919" t="s">
        <v>171</v>
      </c>
      <c r="D919">
        <v>2021</v>
      </c>
      <c r="E919">
        <v>2003.949951171875</v>
      </c>
      <c r="F919">
        <v>45.3</v>
      </c>
      <c r="G919" t="s">
        <v>465</v>
      </c>
      <c r="H919">
        <v>955.95001220703125</v>
      </c>
      <c r="I919">
        <v>709.54998779296875</v>
      </c>
      <c r="L919" t="s">
        <v>469</v>
      </c>
      <c r="M919">
        <v>21.102649276093409</v>
      </c>
      <c r="N919">
        <v>15.66335513891763</v>
      </c>
      <c r="O919">
        <v>2028</v>
      </c>
      <c r="P919">
        <v>2718.9</v>
      </c>
      <c r="Q919">
        <v>1706.5</v>
      </c>
      <c r="R919" s="2" t="s">
        <v>467</v>
      </c>
      <c r="S919">
        <v>2028</v>
      </c>
      <c r="T919" t="s">
        <v>468</v>
      </c>
    </row>
    <row r="920" spans="1:20" x14ac:dyDescent="0.25">
      <c r="A920">
        <v>128</v>
      </c>
      <c r="B920">
        <v>506395</v>
      </c>
      <c r="C920" t="s">
        <v>171</v>
      </c>
      <c r="D920">
        <v>2022</v>
      </c>
      <c r="E920">
        <v>2003.949951171875</v>
      </c>
      <c r="F920">
        <v>52.08</v>
      </c>
      <c r="G920" t="s">
        <v>465</v>
      </c>
      <c r="H920">
        <v>1094.400024414062</v>
      </c>
      <c r="I920">
        <v>730</v>
      </c>
      <c r="L920" t="s">
        <v>469</v>
      </c>
      <c r="M920">
        <v>21.013825353572621</v>
      </c>
      <c r="N920">
        <v>14.016897081413211</v>
      </c>
      <c r="O920">
        <v>2028</v>
      </c>
      <c r="P920">
        <v>2718.9</v>
      </c>
      <c r="Q920">
        <v>1706.5</v>
      </c>
      <c r="R920" s="2" t="s">
        <v>467</v>
      </c>
      <c r="S920">
        <v>2028</v>
      </c>
      <c r="T920" t="s">
        <v>468</v>
      </c>
    </row>
    <row r="921" spans="1:20" x14ac:dyDescent="0.25">
      <c r="A921">
        <v>128</v>
      </c>
      <c r="B921">
        <v>506395</v>
      </c>
      <c r="C921" t="s">
        <v>171</v>
      </c>
      <c r="D921">
        <v>2023</v>
      </c>
      <c r="E921">
        <v>2003.949951171875</v>
      </c>
      <c r="F921">
        <v>68.459999999999994</v>
      </c>
      <c r="G921" t="s">
        <v>465</v>
      </c>
      <c r="H921">
        <v>1287.949951171875</v>
      </c>
      <c r="I921">
        <v>838.95001220703125</v>
      </c>
      <c r="L921" t="s">
        <v>469</v>
      </c>
      <c r="M921">
        <v>18.813174863743431</v>
      </c>
      <c r="N921">
        <v>12.25460140530282</v>
      </c>
      <c r="O921">
        <v>2028</v>
      </c>
      <c r="P921">
        <v>2718.9</v>
      </c>
      <c r="Q921">
        <v>1706.5</v>
      </c>
      <c r="R921" s="2" t="s">
        <v>467</v>
      </c>
      <c r="S921">
        <v>2028</v>
      </c>
      <c r="T921" t="s">
        <v>468</v>
      </c>
    </row>
    <row r="922" spans="1:20" x14ac:dyDescent="0.25">
      <c r="A922">
        <v>128</v>
      </c>
      <c r="B922">
        <v>506395</v>
      </c>
      <c r="C922" t="s">
        <v>171</v>
      </c>
      <c r="D922">
        <v>2024</v>
      </c>
      <c r="E922">
        <v>2003.949951171875</v>
      </c>
      <c r="F922">
        <v>55.78</v>
      </c>
      <c r="G922" t="s">
        <v>465</v>
      </c>
      <c r="H922">
        <v>1890</v>
      </c>
      <c r="I922">
        <v>1025.050048828125</v>
      </c>
      <c r="L922" t="s">
        <v>469</v>
      </c>
      <c r="M922">
        <v>33.883112226604517</v>
      </c>
      <c r="N922">
        <v>18.376659175835869</v>
      </c>
      <c r="O922">
        <v>2028</v>
      </c>
      <c r="P922">
        <v>2718.9</v>
      </c>
      <c r="Q922">
        <v>1706.5</v>
      </c>
      <c r="R922" s="2" t="s">
        <v>467</v>
      </c>
      <c r="S922">
        <v>2028</v>
      </c>
      <c r="T922" t="s">
        <v>468</v>
      </c>
    </row>
    <row r="923" spans="1:20" x14ac:dyDescent="0.25">
      <c r="A923">
        <v>128</v>
      </c>
      <c r="B923">
        <v>506395</v>
      </c>
      <c r="C923" t="s">
        <v>171</v>
      </c>
      <c r="D923">
        <v>2025</v>
      </c>
      <c r="E923">
        <v>2003.949951171875</v>
      </c>
      <c r="F923">
        <v>70.14</v>
      </c>
      <c r="G923" t="s">
        <v>465</v>
      </c>
      <c r="H923">
        <v>2720</v>
      </c>
      <c r="I923">
        <v>1590</v>
      </c>
      <c r="L923" t="s">
        <v>469</v>
      </c>
      <c r="M923">
        <v>38.779583689763328</v>
      </c>
      <c r="N923">
        <v>22.668947818648419</v>
      </c>
      <c r="O923">
        <v>2028</v>
      </c>
      <c r="P923">
        <v>2718.9</v>
      </c>
      <c r="Q923">
        <v>1706.5</v>
      </c>
      <c r="R923" s="2" t="s">
        <v>467</v>
      </c>
      <c r="S923">
        <v>2028</v>
      </c>
      <c r="T923" t="s">
        <v>468</v>
      </c>
    </row>
    <row r="924" spans="1:20" x14ac:dyDescent="0.25">
      <c r="A924">
        <v>128</v>
      </c>
      <c r="B924">
        <v>506395</v>
      </c>
      <c r="C924" t="s">
        <v>171</v>
      </c>
      <c r="D924">
        <v>2026</v>
      </c>
      <c r="E924">
        <v>2003.949951171875</v>
      </c>
      <c r="F924">
        <v>66.31</v>
      </c>
      <c r="G924" t="s">
        <v>465</v>
      </c>
      <c r="H924">
        <v>2398</v>
      </c>
      <c r="I924">
        <v>1709.5</v>
      </c>
      <c r="L924" t="s">
        <v>469</v>
      </c>
      <c r="M924">
        <v>36.163474589051432</v>
      </c>
      <c r="N924">
        <v>25.780425275222441</v>
      </c>
      <c r="O924">
        <v>2028</v>
      </c>
      <c r="P924">
        <v>2718.9</v>
      </c>
      <c r="Q924">
        <v>1706.5</v>
      </c>
      <c r="R924" s="2" t="s">
        <v>467</v>
      </c>
      <c r="S924">
        <v>2028</v>
      </c>
      <c r="T924" t="s">
        <v>468</v>
      </c>
    </row>
    <row r="925" spans="1:20" x14ac:dyDescent="0.25">
      <c r="A925">
        <v>129</v>
      </c>
      <c r="B925">
        <v>506405</v>
      </c>
      <c r="C925" t="s">
        <v>173</v>
      </c>
      <c r="D925">
        <v>2015</v>
      </c>
      <c r="E925">
        <v>272.14999389648438</v>
      </c>
      <c r="G925" t="s">
        <v>465</v>
      </c>
      <c r="H925">
        <v>85.650001525878906</v>
      </c>
      <c r="I925">
        <v>12.89999961853027</v>
      </c>
      <c r="L925" t="s">
        <v>466</v>
      </c>
      <c r="O925">
        <f>IFERROR(VLOOKUP(B925,BSE_500_LIVE!A:E,3,FALSE),"")</f>
        <v>0</v>
      </c>
      <c r="P925">
        <f>IFERROR(VLOOKUP(B925,BSE_500_LIVE!A:E,4,FALSE),"")</f>
        <v>0</v>
      </c>
      <c r="Q925">
        <f>IFERROR(VLOOKUP(B925,BSE_500_LIVE!A:E,5,FALSE),"")</f>
        <v>0</v>
      </c>
      <c r="R925" t="str">
        <f t="shared" ref="R925:R936" si="12">IF(OR(E925="",O925=""),"PENDING_FETCH",IF(ABS(E925-O925)/E925&gt;0.005,"MISMATCH_NEEDS_CORRECTION","VERIFIED_OK"))</f>
        <v>MISMATCH_NEEDS_CORRECTION</v>
      </c>
      <c r="S925">
        <f t="shared" ref="S925:S936" si="13">IF(O925&lt;&gt;"",O925,E925)</f>
        <v>0</v>
      </c>
      <c r="T925">
        <f>IFERROR(VLOOKUP(B925,BSE_500_LIVE!A:F,6,FALSE),"")</f>
        <v>0</v>
      </c>
    </row>
    <row r="926" spans="1:20" x14ac:dyDescent="0.25">
      <c r="A926">
        <v>129</v>
      </c>
      <c r="B926">
        <v>506405</v>
      </c>
      <c r="C926" t="s">
        <v>173</v>
      </c>
      <c r="D926">
        <v>2016</v>
      </c>
      <c r="E926">
        <v>272.14999389648438</v>
      </c>
      <c r="G926" t="s">
        <v>465</v>
      </c>
      <c r="H926">
        <v>124.8000030517578</v>
      </c>
      <c r="I926">
        <v>41.400001525878913</v>
      </c>
      <c r="L926" t="s">
        <v>466</v>
      </c>
      <c r="O926">
        <f>IFERROR(VLOOKUP(B926,BSE_500_LIVE!A:E,3,FALSE),"")</f>
        <v>0</v>
      </c>
      <c r="P926">
        <f>IFERROR(VLOOKUP(B926,BSE_500_LIVE!A:E,4,FALSE),"")</f>
        <v>0</v>
      </c>
      <c r="Q926">
        <f>IFERROR(VLOOKUP(B926,BSE_500_LIVE!A:E,5,FALSE),"")</f>
        <v>0</v>
      </c>
      <c r="R926" t="str">
        <f t="shared" si="12"/>
        <v>MISMATCH_NEEDS_CORRECTION</v>
      </c>
      <c r="S926">
        <f t="shared" si="13"/>
        <v>0</v>
      </c>
      <c r="T926">
        <f>IFERROR(VLOOKUP(B926,BSE_500_LIVE!A:F,6,FALSE),"")</f>
        <v>0</v>
      </c>
    </row>
    <row r="927" spans="1:20" x14ac:dyDescent="0.25">
      <c r="A927">
        <v>129</v>
      </c>
      <c r="B927">
        <v>506405</v>
      </c>
      <c r="C927" t="s">
        <v>173</v>
      </c>
      <c r="D927">
        <v>2017</v>
      </c>
      <c r="E927">
        <v>272.14999389648438</v>
      </c>
      <c r="F927">
        <v>7.8</v>
      </c>
      <c r="G927" t="s">
        <v>465</v>
      </c>
      <c r="H927">
        <v>148</v>
      </c>
      <c r="I927">
        <v>90.550003051757813</v>
      </c>
      <c r="L927" t="s">
        <v>469</v>
      </c>
      <c r="M927">
        <v>18.974358974358971</v>
      </c>
      <c r="N927">
        <v>11.608974750225361</v>
      </c>
      <c r="O927">
        <f>IFERROR(VLOOKUP(B927,BSE_500_LIVE!A:E,3,FALSE),"")</f>
        <v>0</v>
      </c>
      <c r="P927">
        <f>IFERROR(VLOOKUP(B927,BSE_500_LIVE!A:E,4,FALSE),"")</f>
        <v>0</v>
      </c>
      <c r="Q927">
        <f>IFERROR(VLOOKUP(B927,BSE_500_LIVE!A:E,5,FALSE),"")</f>
        <v>0</v>
      </c>
      <c r="R927" t="str">
        <f t="shared" si="12"/>
        <v>MISMATCH_NEEDS_CORRECTION</v>
      </c>
      <c r="S927">
        <f t="shared" si="13"/>
        <v>0</v>
      </c>
      <c r="T927">
        <f>IFERROR(VLOOKUP(B927,BSE_500_LIVE!A:F,6,FALSE),"")</f>
        <v>0</v>
      </c>
    </row>
    <row r="928" spans="1:20" x14ac:dyDescent="0.25">
      <c r="A928">
        <v>129</v>
      </c>
      <c r="B928">
        <v>506405</v>
      </c>
      <c r="C928" t="s">
        <v>173</v>
      </c>
      <c r="D928">
        <v>2018</v>
      </c>
      <c r="E928">
        <v>272.14999389648438</v>
      </c>
      <c r="F928">
        <v>4.93</v>
      </c>
      <c r="G928" t="s">
        <v>465</v>
      </c>
      <c r="H928">
        <v>209.8999938964844</v>
      </c>
      <c r="I928">
        <v>92.150001525878906</v>
      </c>
      <c r="L928" t="s">
        <v>469</v>
      </c>
      <c r="M928">
        <v>42.576063670686487</v>
      </c>
      <c r="N928">
        <v>18.691683879488622</v>
      </c>
      <c r="O928">
        <f>IFERROR(VLOOKUP(B928,BSE_500_LIVE!A:E,3,FALSE),"")</f>
        <v>0</v>
      </c>
      <c r="P928">
        <f>IFERROR(VLOOKUP(B928,BSE_500_LIVE!A:E,4,FALSE),"")</f>
        <v>0</v>
      </c>
      <c r="Q928">
        <f>IFERROR(VLOOKUP(B928,BSE_500_LIVE!A:E,5,FALSE),"")</f>
        <v>0</v>
      </c>
      <c r="R928" t="str">
        <f t="shared" si="12"/>
        <v>MISMATCH_NEEDS_CORRECTION</v>
      </c>
      <c r="S928">
        <f t="shared" si="13"/>
        <v>0</v>
      </c>
      <c r="T928">
        <f>IFERROR(VLOOKUP(B928,BSE_500_LIVE!A:F,6,FALSE),"")</f>
        <v>0</v>
      </c>
    </row>
    <row r="929" spans="1:20" x14ac:dyDescent="0.25">
      <c r="A929">
        <v>129</v>
      </c>
      <c r="B929">
        <v>506405</v>
      </c>
      <c r="C929" t="s">
        <v>173</v>
      </c>
      <c r="D929">
        <v>2019</v>
      </c>
      <c r="E929">
        <v>272.14999389648438</v>
      </c>
      <c r="F929">
        <v>18.5</v>
      </c>
      <c r="G929" t="s">
        <v>465</v>
      </c>
      <c r="H929">
        <v>195.3999938964844</v>
      </c>
      <c r="I929">
        <v>90.099998474121094</v>
      </c>
      <c r="L929" t="s">
        <v>469</v>
      </c>
      <c r="M929">
        <v>10.562161832242399</v>
      </c>
      <c r="N929">
        <v>4.8702701877903296</v>
      </c>
      <c r="O929">
        <f>IFERROR(VLOOKUP(B929,BSE_500_LIVE!A:E,3,FALSE),"")</f>
        <v>0</v>
      </c>
      <c r="P929">
        <f>IFERROR(VLOOKUP(B929,BSE_500_LIVE!A:E,4,FALSE),"")</f>
        <v>0</v>
      </c>
      <c r="Q929">
        <f>IFERROR(VLOOKUP(B929,BSE_500_LIVE!A:E,5,FALSE),"")</f>
        <v>0</v>
      </c>
      <c r="R929" t="str">
        <f t="shared" si="12"/>
        <v>MISMATCH_NEEDS_CORRECTION</v>
      </c>
      <c r="S929">
        <f t="shared" si="13"/>
        <v>0</v>
      </c>
      <c r="T929">
        <f>IFERROR(VLOOKUP(B929,BSE_500_LIVE!A:F,6,FALSE),"")</f>
        <v>0</v>
      </c>
    </row>
    <row r="930" spans="1:20" x14ac:dyDescent="0.25">
      <c r="A930">
        <v>129</v>
      </c>
      <c r="B930">
        <v>506405</v>
      </c>
      <c r="C930" t="s">
        <v>173</v>
      </c>
      <c r="D930">
        <v>2020</v>
      </c>
      <c r="E930">
        <v>272.14999389648438</v>
      </c>
      <c r="F930">
        <v>12.61</v>
      </c>
      <c r="G930" t="s">
        <v>465</v>
      </c>
      <c r="H930">
        <v>224.69999694824219</v>
      </c>
      <c r="I930">
        <v>52.049999237060547</v>
      </c>
      <c r="L930" t="s">
        <v>469</v>
      </c>
      <c r="M930">
        <v>17.819190876149261</v>
      </c>
      <c r="N930">
        <v>4.127676386761344</v>
      </c>
      <c r="O930">
        <f>IFERROR(VLOOKUP(B930,BSE_500_LIVE!A:E,3,FALSE),"")</f>
        <v>0</v>
      </c>
      <c r="P930">
        <f>IFERROR(VLOOKUP(B930,BSE_500_LIVE!A:E,4,FALSE),"")</f>
        <v>0</v>
      </c>
      <c r="Q930">
        <f>IFERROR(VLOOKUP(B930,BSE_500_LIVE!A:E,5,FALSE),"")</f>
        <v>0</v>
      </c>
      <c r="R930" t="str">
        <f t="shared" si="12"/>
        <v>MISMATCH_NEEDS_CORRECTION</v>
      </c>
      <c r="S930">
        <f t="shared" si="13"/>
        <v>0</v>
      </c>
      <c r="T930">
        <f>IFERROR(VLOOKUP(B930,BSE_500_LIVE!A:F,6,FALSE),"")</f>
        <v>0</v>
      </c>
    </row>
    <row r="931" spans="1:20" x14ac:dyDescent="0.25">
      <c r="A931">
        <v>129</v>
      </c>
      <c r="B931">
        <v>506405</v>
      </c>
      <c r="C931" t="s">
        <v>173</v>
      </c>
      <c r="D931">
        <v>2021</v>
      </c>
      <c r="E931">
        <v>272.14999389648438</v>
      </c>
      <c r="F931">
        <v>13.06</v>
      </c>
      <c r="G931" t="s">
        <v>465</v>
      </c>
      <c r="H931">
        <v>434.35000610351563</v>
      </c>
      <c r="I931">
        <v>176</v>
      </c>
      <c r="L931" t="s">
        <v>469</v>
      </c>
      <c r="M931">
        <v>33.258040283577003</v>
      </c>
      <c r="N931">
        <v>13.476263399693719</v>
      </c>
      <c r="O931">
        <f>IFERROR(VLOOKUP(B931,BSE_500_LIVE!A:E,3,FALSE),"")</f>
        <v>0</v>
      </c>
      <c r="P931">
        <f>IFERROR(VLOOKUP(B931,BSE_500_LIVE!A:E,4,FALSE),"")</f>
        <v>0</v>
      </c>
      <c r="Q931">
        <f>IFERROR(VLOOKUP(B931,BSE_500_LIVE!A:E,5,FALSE),"")</f>
        <v>0</v>
      </c>
      <c r="R931" t="str">
        <f t="shared" si="12"/>
        <v>MISMATCH_NEEDS_CORRECTION</v>
      </c>
      <c r="S931">
        <f t="shared" si="13"/>
        <v>0</v>
      </c>
      <c r="T931">
        <f>IFERROR(VLOOKUP(B931,BSE_500_LIVE!A:F,6,FALSE),"")</f>
        <v>0</v>
      </c>
    </row>
    <row r="932" spans="1:20" x14ac:dyDescent="0.25">
      <c r="A932">
        <v>129</v>
      </c>
      <c r="B932">
        <v>506405</v>
      </c>
      <c r="C932" t="s">
        <v>173</v>
      </c>
      <c r="D932">
        <v>2022</v>
      </c>
      <c r="E932">
        <v>272.14999389648438</v>
      </c>
      <c r="F932">
        <v>8.56</v>
      </c>
      <c r="G932" t="s">
        <v>465</v>
      </c>
      <c r="H932">
        <v>478.85000610351563</v>
      </c>
      <c r="I932">
        <v>230.55000305175781</v>
      </c>
      <c r="L932" t="s">
        <v>469</v>
      </c>
      <c r="M932">
        <v>55.940421273775193</v>
      </c>
      <c r="N932">
        <v>26.93341157146703</v>
      </c>
      <c r="O932">
        <f>IFERROR(VLOOKUP(B932,BSE_500_LIVE!A:E,3,FALSE),"")</f>
        <v>0</v>
      </c>
      <c r="P932">
        <f>IFERROR(VLOOKUP(B932,BSE_500_LIVE!A:E,4,FALSE),"")</f>
        <v>0</v>
      </c>
      <c r="Q932">
        <f>IFERROR(VLOOKUP(B932,BSE_500_LIVE!A:E,5,FALSE),"")</f>
        <v>0</v>
      </c>
      <c r="R932" t="str">
        <f t="shared" si="12"/>
        <v>MISMATCH_NEEDS_CORRECTION</v>
      </c>
      <c r="S932">
        <f t="shared" si="13"/>
        <v>0</v>
      </c>
      <c r="T932">
        <f>IFERROR(VLOOKUP(B932,BSE_500_LIVE!A:F,6,FALSE),"")</f>
        <v>0</v>
      </c>
    </row>
    <row r="933" spans="1:20" x14ac:dyDescent="0.25">
      <c r="A933">
        <v>129</v>
      </c>
      <c r="B933">
        <v>506405</v>
      </c>
      <c r="C933" t="s">
        <v>173</v>
      </c>
      <c r="D933">
        <v>2023</v>
      </c>
      <c r="E933">
        <v>272.14999389648438</v>
      </c>
      <c r="F933">
        <v>2.78</v>
      </c>
      <c r="G933" t="s">
        <v>465</v>
      </c>
      <c r="H933">
        <v>365.10000610351563</v>
      </c>
      <c r="I933">
        <v>228</v>
      </c>
      <c r="L933" t="s">
        <v>469</v>
      </c>
      <c r="M933">
        <v>131.3309374473078</v>
      </c>
      <c r="N933">
        <v>82.014388489208642</v>
      </c>
      <c r="O933">
        <f>IFERROR(VLOOKUP(B933,BSE_500_LIVE!A:E,3,FALSE),"")</f>
        <v>0</v>
      </c>
      <c r="P933">
        <f>IFERROR(VLOOKUP(B933,BSE_500_LIVE!A:E,4,FALSE),"")</f>
        <v>0</v>
      </c>
      <c r="Q933">
        <f>IFERROR(VLOOKUP(B933,BSE_500_LIVE!A:E,5,FALSE),"")</f>
        <v>0</v>
      </c>
      <c r="R933" t="str">
        <f t="shared" si="12"/>
        <v>MISMATCH_NEEDS_CORRECTION</v>
      </c>
      <c r="S933">
        <f t="shared" si="13"/>
        <v>0</v>
      </c>
      <c r="T933">
        <f>IFERROR(VLOOKUP(B933,BSE_500_LIVE!A:F,6,FALSE),"")</f>
        <v>0</v>
      </c>
    </row>
    <row r="934" spans="1:20" x14ac:dyDescent="0.25">
      <c r="A934">
        <v>129</v>
      </c>
      <c r="B934">
        <v>506405</v>
      </c>
      <c r="C934" t="s">
        <v>173</v>
      </c>
      <c r="D934">
        <v>2024</v>
      </c>
      <c r="E934">
        <v>272.14999389648438</v>
      </c>
      <c r="F934">
        <v>4.6500000000000004</v>
      </c>
      <c r="G934" t="s">
        <v>465</v>
      </c>
      <c r="H934">
        <v>452</v>
      </c>
      <c r="I934">
        <v>245</v>
      </c>
      <c r="L934" t="s">
        <v>469</v>
      </c>
      <c r="M934">
        <v>97.204301075268816</v>
      </c>
      <c r="N934">
        <v>52.688172043010752</v>
      </c>
      <c r="O934">
        <f>IFERROR(VLOOKUP(B934,BSE_500_LIVE!A:E,3,FALSE),"")</f>
        <v>0</v>
      </c>
      <c r="P934">
        <f>IFERROR(VLOOKUP(B934,BSE_500_LIVE!A:E,4,FALSE),"")</f>
        <v>0</v>
      </c>
      <c r="Q934">
        <f>IFERROR(VLOOKUP(B934,BSE_500_LIVE!A:E,5,FALSE),"")</f>
        <v>0</v>
      </c>
      <c r="R934" t="str">
        <f t="shared" si="12"/>
        <v>MISMATCH_NEEDS_CORRECTION</v>
      </c>
      <c r="S934">
        <f t="shared" si="13"/>
        <v>0</v>
      </c>
      <c r="T934">
        <f>IFERROR(VLOOKUP(B934,BSE_500_LIVE!A:F,6,FALSE),"")</f>
        <v>0</v>
      </c>
    </row>
    <row r="935" spans="1:20" x14ac:dyDescent="0.25">
      <c r="A935">
        <v>129</v>
      </c>
      <c r="B935">
        <v>506405</v>
      </c>
      <c r="C935" t="s">
        <v>173</v>
      </c>
      <c r="D935">
        <v>2025</v>
      </c>
      <c r="E935">
        <v>272.14999389648438</v>
      </c>
      <c r="F935">
        <v>8.6300000000000008</v>
      </c>
      <c r="G935" t="s">
        <v>465</v>
      </c>
      <c r="H935">
        <v>393</v>
      </c>
      <c r="I935">
        <v>230.19999694824219</v>
      </c>
      <c r="L935" t="s">
        <v>469</v>
      </c>
      <c r="M935">
        <v>45.538818076477398</v>
      </c>
      <c r="N935">
        <v>26.674391303388429</v>
      </c>
      <c r="O935">
        <f>IFERROR(VLOOKUP(B935,BSE_500_LIVE!A:E,3,FALSE),"")</f>
        <v>0</v>
      </c>
      <c r="P935">
        <f>IFERROR(VLOOKUP(B935,BSE_500_LIVE!A:E,4,FALSE),"")</f>
        <v>0</v>
      </c>
      <c r="Q935">
        <f>IFERROR(VLOOKUP(B935,BSE_500_LIVE!A:E,5,FALSE),"")</f>
        <v>0</v>
      </c>
      <c r="R935" t="str">
        <f t="shared" si="12"/>
        <v>MISMATCH_NEEDS_CORRECTION</v>
      </c>
      <c r="S935">
        <f t="shared" si="13"/>
        <v>0</v>
      </c>
      <c r="T935">
        <f>IFERROR(VLOOKUP(B935,BSE_500_LIVE!A:F,6,FALSE),"")</f>
        <v>0</v>
      </c>
    </row>
    <row r="936" spans="1:20" x14ac:dyDescent="0.25">
      <c r="A936">
        <v>129</v>
      </c>
      <c r="B936">
        <v>506405</v>
      </c>
      <c r="C936" t="s">
        <v>173</v>
      </c>
      <c r="D936">
        <v>2026</v>
      </c>
      <c r="E936">
        <v>272.14999389648438</v>
      </c>
      <c r="F936">
        <v>10.96</v>
      </c>
      <c r="G936" t="s">
        <v>465</v>
      </c>
      <c r="H936">
        <v>332.89999389648438</v>
      </c>
      <c r="I936">
        <v>195</v>
      </c>
      <c r="L936" t="s">
        <v>469</v>
      </c>
      <c r="M936">
        <v>30.374087034350762</v>
      </c>
      <c r="N936">
        <v>17.79197080291971</v>
      </c>
      <c r="O936">
        <f>IFERROR(VLOOKUP(B936,BSE_500_LIVE!A:E,3,FALSE),"")</f>
        <v>0</v>
      </c>
      <c r="P936">
        <f>IFERROR(VLOOKUP(B936,BSE_500_LIVE!A:E,4,FALSE),"")</f>
        <v>0</v>
      </c>
      <c r="Q936">
        <f>IFERROR(VLOOKUP(B936,BSE_500_LIVE!A:E,5,FALSE),"")</f>
        <v>0</v>
      </c>
      <c r="R936" t="str">
        <f t="shared" si="12"/>
        <v>MISMATCH_NEEDS_CORRECTION</v>
      </c>
      <c r="S936">
        <f t="shared" si="13"/>
        <v>0</v>
      </c>
      <c r="T936">
        <f>IFERROR(VLOOKUP(B936,BSE_500_LIVE!A:F,6,FALSE),"")</f>
        <v>0</v>
      </c>
    </row>
    <row r="937" spans="1:20" x14ac:dyDescent="0.25">
      <c r="A937">
        <v>130</v>
      </c>
      <c r="B937">
        <v>506480</v>
      </c>
      <c r="C937" t="s">
        <v>175</v>
      </c>
      <c r="D937">
        <v>2015</v>
      </c>
      <c r="E937">
        <v>395.20001220703119</v>
      </c>
      <c r="F937">
        <v>8.39</v>
      </c>
      <c r="G937" t="s">
        <v>465</v>
      </c>
      <c r="H937">
        <v>188.30000305175781</v>
      </c>
      <c r="I937">
        <v>120.90000152587891</v>
      </c>
      <c r="L937" t="s">
        <v>469</v>
      </c>
      <c r="M937">
        <v>22.443385345859099</v>
      </c>
      <c r="N937">
        <v>14.410012100819889</v>
      </c>
      <c r="O937">
        <v>830</v>
      </c>
      <c r="P937">
        <v>1022.1</v>
      </c>
      <c r="Q937">
        <v>661.15</v>
      </c>
      <c r="R937" s="3" t="s">
        <v>470</v>
      </c>
      <c r="S937">
        <v>830</v>
      </c>
      <c r="T937" t="s">
        <v>468</v>
      </c>
    </row>
    <row r="938" spans="1:20" x14ac:dyDescent="0.25">
      <c r="A938">
        <v>130</v>
      </c>
      <c r="B938">
        <v>506480</v>
      </c>
      <c r="C938" t="s">
        <v>175</v>
      </c>
      <c r="D938">
        <v>2016</v>
      </c>
      <c r="E938">
        <v>395.20001220703119</v>
      </c>
      <c r="F938">
        <v>5.43</v>
      </c>
      <c r="G938" t="s">
        <v>465</v>
      </c>
      <c r="H938">
        <v>375</v>
      </c>
      <c r="I938">
        <v>120</v>
      </c>
      <c r="L938" t="s">
        <v>469</v>
      </c>
      <c r="M938">
        <v>69.060773480662988</v>
      </c>
      <c r="N938">
        <v>22.099447513812159</v>
      </c>
      <c r="O938">
        <v>830</v>
      </c>
      <c r="P938">
        <v>1022.1</v>
      </c>
      <c r="Q938">
        <v>661.15</v>
      </c>
      <c r="R938" s="3" t="s">
        <v>470</v>
      </c>
      <c r="S938">
        <v>830</v>
      </c>
      <c r="T938" t="s">
        <v>468</v>
      </c>
    </row>
    <row r="939" spans="1:20" x14ac:dyDescent="0.25">
      <c r="A939">
        <v>130</v>
      </c>
      <c r="B939">
        <v>506480</v>
      </c>
      <c r="C939" t="s">
        <v>175</v>
      </c>
      <c r="D939">
        <v>2017</v>
      </c>
      <c r="E939">
        <v>395.20001220703119</v>
      </c>
      <c r="F939">
        <v>6.59</v>
      </c>
      <c r="G939" t="s">
        <v>465</v>
      </c>
      <c r="H939">
        <v>614</v>
      </c>
      <c r="I939">
        <v>264.5</v>
      </c>
      <c r="L939" t="s">
        <v>469</v>
      </c>
      <c r="M939">
        <v>93.171471927162372</v>
      </c>
      <c r="N939">
        <v>40.13657056145675</v>
      </c>
      <c r="O939">
        <v>830</v>
      </c>
      <c r="P939">
        <v>1022.1</v>
      </c>
      <c r="Q939">
        <v>661.15</v>
      </c>
      <c r="R939" s="3" t="s">
        <v>470</v>
      </c>
      <c r="S939">
        <v>830</v>
      </c>
      <c r="T939" t="s">
        <v>468</v>
      </c>
    </row>
    <row r="940" spans="1:20" x14ac:dyDescent="0.25">
      <c r="A940">
        <v>130</v>
      </c>
      <c r="B940">
        <v>506480</v>
      </c>
      <c r="C940" t="s">
        <v>175</v>
      </c>
      <c r="D940">
        <v>2018</v>
      </c>
      <c r="E940">
        <v>395.20001220703119</v>
      </c>
      <c r="F940">
        <v>6.88</v>
      </c>
      <c r="G940" t="s">
        <v>465</v>
      </c>
      <c r="H940">
        <v>700</v>
      </c>
      <c r="I940">
        <v>261.25</v>
      </c>
      <c r="L940" t="s">
        <v>469</v>
      </c>
      <c r="M940">
        <v>101.7441860465116</v>
      </c>
      <c r="N940">
        <v>37.972383720930232</v>
      </c>
      <c r="O940">
        <v>830</v>
      </c>
      <c r="P940">
        <v>1022.1</v>
      </c>
      <c r="Q940">
        <v>661.15</v>
      </c>
      <c r="R940" s="3" t="s">
        <v>470</v>
      </c>
      <c r="S940">
        <v>830</v>
      </c>
      <c r="T940" t="s">
        <v>468</v>
      </c>
    </row>
    <row r="941" spans="1:20" x14ac:dyDescent="0.25">
      <c r="A941">
        <v>130</v>
      </c>
      <c r="B941">
        <v>506480</v>
      </c>
      <c r="C941" t="s">
        <v>175</v>
      </c>
      <c r="D941">
        <v>2019</v>
      </c>
      <c r="E941">
        <v>395.20001220703119</v>
      </c>
      <c r="F941">
        <v>8.18</v>
      </c>
      <c r="G941" t="s">
        <v>465</v>
      </c>
      <c r="H941">
        <v>359.54998779296881</v>
      </c>
      <c r="I941">
        <v>219.05000305175781</v>
      </c>
      <c r="L941" t="s">
        <v>469</v>
      </c>
      <c r="M941">
        <v>43.954766233859267</v>
      </c>
      <c r="N941">
        <v>26.778728979432501</v>
      </c>
      <c r="O941">
        <v>830</v>
      </c>
      <c r="P941">
        <v>1022.1</v>
      </c>
      <c r="Q941">
        <v>661.15</v>
      </c>
      <c r="R941" s="3" t="s">
        <v>470</v>
      </c>
      <c r="S941">
        <v>830</v>
      </c>
      <c r="T941" t="s">
        <v>468</v>
      </c>
    </row>
    <row r="942" spans="1:20" x14ac:dyDescent="0.25">
      <c r="A942">
        <v>130</v>
      </c>
      <c r="B942">
        <v>506480</v>
      </c>
      <c r="C942" t="s">
        <v>175</v>
      </c>
      <c r="D942">
        <v>2020</v>
      </c>
      <c r="E942">
        <v>395.20001220703119</v>
      </c>
      <c r="F942">
        <v>10.01</v>
      </c>
      <c r="G942" t="s">
        <v>465</v>
      </c>
      <c r="H942">
        <v>297</v>
      </c>
      <c r="I942">
        <v>111</v>
      </c>
      <c r="L942" t="s">
        <v>469</v>
      </c>
      <c r="M942">
        <v>29.670329670329672</v>
      </c>
      <c r="N942">
        <v>11.08891108891109</v>
      </c>
      <c r="O942">
        <v>830</v>
      </c>
      <c r="P942">
        <v>1022.1</v>
      </c>
      <c r="Q942">
        <v>661.15</v>
      </c>
      <c r="R942" s="3" t="s">
        <v>470</v>
      </c>
      <c r="S942">
        <v>830</v>
      </c>
      <c r="T942" t="s">
        <v>468</v>
      </c>
    </row>
    <row r="943" spans="1:20" x14ac:dyDescent="0.25">
      <c r="A943">
        <v>130</v>
      </c>
      <c r="B943">
        <v>506480</v>
      </c>
      <c r="C943" t="s">
        <v>175</v>
      </c>
      <c r="D943">
        <v>2021</v>
      </c>
      <c r="E943">
        <v>395.20001220703119</v>
      </c>
      <c r="F943">
        <v>15.88</v>
      </c>
      <c r="G943" t="s">
        <v>465</v>
      </c>
      <c r="H943">
        <v>386</v>
      </c>
      <c r="I943">
        <v>190</v>
      </c>
      <c r="L943" t="s">
        <v>469</v>
      </c>
      <c r="M943">
        <v>24.30730478589421</v>
      </c>
      <c r="N943">
        <v>11.9647355163728</v>
      </c>
      <c r="O943">
        <v>830</v>
      </c>
      <c r="P943">
        <v>1022.1</v>
      </c>
      <c r="Q943">
        <v>661.15</v>
      </c>
      <c r="R943" s="3" t="s">
        <v>470</v>
      </c>
      <c r="S943">
        <v>830</v>
      </c>
      <c r="T943" t="s">
        <v>468</v>
      </c>
    </row>
    <row r="944" spans="1:20" x14ac:dyDescent="0.25">
      <c r="A944">
        <v>130</v>
      </c>
      <c r="B944">
        <v>506480</v>
      </c>
      <c r="C944" t="s">
        <v>175</v>
      </c>
      <c r="D944">
        <v>2022</v>
      </c>
      <c r="E944">
        <v>395.20001220703119</v>
      </c>
      <c r="F944">
        <v>35.520000000000003</v>
      </c>
      <c r="G944" t="s">
        <v>465</v>
      </c>
      <c r="H944">
        <v>419</v>
      </c>
      <c r="I944">
        <v>213</v>
      </c>
      <c r="L944" t="s">
        <v>469</v>
      </c>
      <c r="M944">
        <v>11.796171171171171</v>
      </c>
      <c r="N944">
        <v>5.996621621621621</v>
      </c>
      <c r="O944">
        <v>830</v>
      </c>
      <c r="P944">
        <v>1022.1</v>
      </c>
      <c r="Q944">
        <v>661.15</v>
      </c>
      <c r="R944" s="3" t="s">
        <v>470</v>
      </c>
      <c r="S944">
        <v>830</v>
      </c>
      <c r="T944" t="s">
        <v>468</v>
      </c>
    </row>
    <row r="945" spans="1:20" x14ac:dyDescent="0.25">
      <c r="A945">
        <v>130</v>
      </c>
      <c r="B945">
        <v>506480</v>
      </c>
      <c r="C945" t="s">
        <v>175</v>
      </c>
      <c r="D945">
        <v>2023</v>
      </c>
      <c r="E945">
        <v>395.20001220703119</v>
      </c>
      <c r="F945">
        <v>42.59</v>
      </c>
      <c r="G945" t="s">
        <v>465</v>
      </c>
      <c r="H945">
        <v>640</v>
      </c>
      <c r="I945">
        <v>278.25</v>
      </c>
      <c r="L945" t="s">
        <v>469</v>
      </c>
      <c r="M945">
        <v>15.0270016435783</v>
      </c>
      <c r="N945">
        <v>6.5332237614463482</v>
      </c>
      <c r="O945">
        <v>830</v>
      </c>
      <c r="P945">
        <v>1022.1</v>
      </c>
      <c r="Q945">
        <v>661.15</v>
      </c>
      <c r="R945" s="3" t="s">
        <v>470</v>
      </c>
      <c r="S945">
        <v>830</v>
      </c>
      <c r="T945" t="s">
        <v>468</v>
      </c>
    </row>
    <row r="946" spans="1:20" x14ac:dyDescent="0.25">
      <c r="A946">
        <v>130</v>
      </c>
      <c r="B946">
        <v>506480</v>
      </c>
      <c r="C946" t="s">
        <v>175</v>
      </c>
      <c r="D946">
        <v>2024</v>
      </c>
      <c r="E946">
        <v>395.20001220703119</v>
      </c>
      <c r="F946">
        <v>9.73</v>
      </c>
      <c r="G946" t="s">
        <v>465</v>
      </c>
      <c r="H946">
        <v>548.5</v>
      </c>
      <c r="I946">
        <v>330</v>
      </c>
      <c r="L946" t="s">
        <v>469</v>
      </c>
      <c r="M946">
        <v>56.372045220966079</v>
      </c>
      <c r="N946">
        <v>33.915724563206567</v>
      </c>
      <c r="O946">
        <v>830</v>
      </c>
      <c r="P946">
        <v>1022.1</v>
      </c>
      <c r="Q946">
        <v>661.15</v>
      </c>
      <c r="R946" s="3" t="s">
        <v>470</v>
      </c>
      <c r="S946">
        <v>830</v>
      </c>
      <c r="T946" t="s">
        <v>468</v>
      </c>
    </row>
    <row r="947" spans="1:20" x14ac:dyDescent="0.25">
      <c r="A947">
        <v>130</v>
      </c>
      <c r="B947">
        <v>506480</v>
      </c>
      <c r="C947" t="s">
        <v>175</v>
      </c>
      <c r="D947">
        <v>2025</v>
      </c>
      <c r="E947">
        <v>395.20001220703119</v>
      </c>
      <c r="F947">
        <v>31.71</v>
      </c>
      <c r="G947" t="s">
        <v>465</v>
      </c>
      <c r="H947">
        <v>417</v>
      </c>
      <c r="I947">
        <v>245.25</v>
      </c>
      <c r="L947" t="s">
        <v>469</v>
      </c>
      <c r="M947">
        <v>13.150425733207189</v>
      </c>
      <c r="N947">
        <v>7.734153263954588</v>
      </c>
      <c r="O947">
        <v>830</v>
      </c>
      <c r="P947">
        <v>1022.1</v>
      </c>
      <c r="Q947">
        <v>661.15</v>
      </c>
      <c r="R947" s="3" t="s">
        <v>470</v>
      </c>
      <c r="S947">
        <v>830</v>
      </c>
      <c r="T947" t="s">
        <v>468</v>
      </c>
    </row>
    <row r="948" spans="1:20" x14ac:dyDescent="0.25">
      <c r="A948">
        <v>130</v>
      </c>
      <c r="B948">
        <v>506480</v>
      </c>
      <c r="C948" t="s">
        <v>175</v>
      </c>
      <c r="D948">
        <v>2026</v>
      </c>
      <c r="E948">
        <v>395.20001220703119</v>
      </c>
      <c r="F948">
        <v>307.01</v>
      </c>
      <c r="G948" t="s">
        <v>465</v>
      </c>
      <c r="H948">
        <v>460</v>
      </c>
      <c r="I948">
        <v>223.6000061035156</v>
      </c>
      <c r="L948" t="s">
        <v>469</v>
      </c>
      <c r="M948">
        <v>1.4983225302107419</v>
      </c>
      <c r="N948">
        <v>0.72831505847860201</v>
      </c>
      <c r="O948">
        <v>830</v>
      </c>
      <c r="P948">
        <v>1022.1</v>
      </c>
      <c r="Q948">
        <v>661.15</v>
      </c>
      <c r="R948" s="3" t="s">
        <v>470</v>
      </c>
      <c r="S948">
        <v>830</v>
      </c>
      <c r="T948" t="s">
        <v>468</v>
      </c>
    </row>
    <row r="949" spans="1:20" x14ac:dyDescent="0.25">
      <c r="A949">
        <v>131</v>
      </c>
      <c r="B949">
        <v>506520</v>
      </c>
      <c r="C949" t="s">
        <v>177</v>
      </c>
      <c r="D949">
        <v>2015</v>
      </c>
      <c r="E949">
        <v>6</v>
      </c>
      <c r="F949">
        <v>-9.73</v>
      </c>
      <c r="G949" t="s">
        <v>465</v>
      </c>
      <c r="H949">
        <v>17.60000038146973</v>
      </c>
      <c r="I949">
        <v>5.2100000381469727</v>
      </c>
      <c r="L949" t="s">
        <v>471</v>
      </c>
      <c r="M949">
        <v>-1.808838682576539</v>
      </c>
      <c r="N949">
        <v>-0.53545735232754088</v>
      </c>
      <c r="O949">
        <v>9.3000000000000007</v>
      </c>
      <c r="P949">
        <v>13.4</v>
      </c>
      <c r="Q949">
        <v>7.79</v>
      </c>
      <c r="R949" s="3" t="s">
        <v>470</v>
      </c>
      <c r="S949">
        <v>9.3000000000000007</v>
      </c>
      <c r="T949" t="s">
        <v>468</v>
      </c>
    </row>
    <row r="950" spans="1:20" x14ac:dyDescent="0.25">
      <c r="A950">
        <v>131</v>
      </c>
      <c r="B950">
        <v>506520</v>
      </c>
      <c r="C950" t="s">
        <v>177</v>
      </c>
      <c r="D950">
        <v>2016</v>
      </c>
      <c r="E950">
        <v>6</v>
      </c>
      <c r="F950">
        <v>6.64</v>
      </c>
      <c r="G950" t="s">
        <v>465</v>
      </c>
      <c r="H950">
        <v>17.79000091552734</v>
      </c>
      <c r="I950">
        <v>6.6999998092651367</v>
      </c>
      <c r="L950" t="s">
        <v>469</v>
      </c>
      <c r="M950">
        <v>2.6792170053505031</v>
      </c>
      <c r="N950">
        <v>1.0090361158531831</v>
      </c>
      <c r="O950">
        <v>9.3000000000000007</v>
      </c>
      <c r="P950">
        <v>13.4</v>
      </c>
      <c r="Q950">
        <v>7.79</v>
      </c>
      <c r="R950" s="3" t="s">
        <v>470</v>
      </c>
      <c r="S950">
        <v>9.3000000000000007</v>
      </c>
      <c r="T950" t="s">
        <v>468</v>
      </c>
    </row>
    <row r="951" spans="1:20" x14ac:dyDescent="0.25">
      <c r="A951">
        <v>131</v>
      </c>
      <c r="B951">
        <v>506520</v>
      </c>
      <c r="C951" t="s">
        <v>177</v>
      </c>
      <c r="D951">
        <v>2017</v>
      </c>
      <c r="E951">
        <v>6</v>
      </c>
      <c r="F951">
        <v>0.21</v>
      </c>
      <c r="G951" t="s">
        <v>465</v>
      </c>
      <c r="H951">
        <v>20.85000038146973</v>
      </c>
      <c r="I951">
        <v>9.0900001525878906</v>
      </c>
      <c r="L951" t="s">
        <v>484</v>
      </c>
      <c r="M951">
        <v>99.285716102236819</v>
      </c>
      <c r="N951">
        <v>43.285715012323287</v>
      </c>
      <c r="O951">
        <v>9.3000000000000007</v>
      </c>
      <c r="P951">
        <v>13.4</v>
      </c>
      <c r="Q951">
        <v>7.79</v>
      </c>
      <c r="R951" s="3" t="s">
        <v>470</v>
      </c>
      <c r="S951">
        <v>9.3000000000000007</v>
      </c>
      <c r="T951" t="s">
        <v>468</v>
      </c>
    </row>
    <row r="952" spans="1:20" x14ac:dyDescent="0.25">
      <c r="A952">
        <v>131</v>
      </c>
      <c r="B952">
        <v>506520</v>
      </c>
      <c r="C952" t="s">
        <v>177</v>
      </c>
      <c r="D952">
        <v>2018</v>
      </c>
      <c r="E952">
        <v>6</v>
      </c>
      <c r="F952">
        <v>-0.28000000000000003</v>
      </c>
      <c r="G952" t="s">
        <v>465</v>
      </c>
      <c r="H952">
        <v>24.89999961853027</v>
      </c>
      <c r="I952">
        <v>9.2200002670288086</v>
      </c>
      <c r="L952" t="s">
        <v>471</v>
      </c>
      <c r="M952">
        <v>-88.928570066179532</v>
      </c>
      <c r="N952">
        <v>-32.92857238224574</v>
      </c>
      <c r="O952">
        <v>9.3000000000000007</v>
      </c>
      <c r="P952">
        <v>13.4</v>
      </c>
      <c r="Q952">
        <v>7.79</v>
      </c>
      <c r="R952" s="3" t="s">
        <v>470</v>
      </c>
      <c r="S952">
        <v>9.3000000000000007</v>
      </c>
      <c r="T952" t="s">
        <v>468</v>
      </c>
    </row>
    <row r="953" spans="1:20" x14ac:dyDescent="0.25">
      <c r="A953">
        <v>131</v>
      </c>
      <c r="B953">
        <v>506520</v>
      </c>
      <c r="C953" t="s">
        <v>177</v>
      </c>
      <c r="D953">
        <v>2019</v>
      </c>
      <c r="E953">
        <v>6</v>
      </c>
      <c r="F953">
        <v>-1.6</v>
      </c>
      <c r="G953" t="s">
        <v>465</v>
      </c>
      <c r="H953">
        <v>10.5</v>
      </c>
      <c r="I953">
        <v>3.1500000953674321</v>
      </c>
      <c r="L953" t="s">
        <v>471</v>
      </c>
      <c r="M953">
        <v>-6.5625</v>
      </c>
      <c r="N953">
        <v>-1.968750059604645</v>
      </c>
      <c r="O953">
        <v>9.3000000000000007</v>
      </c>
      <c r="P953">
        <v>13.4</v>
      </c>
      <c r="Q953">
        <v>7.79</v>
      </c>
      <c r="R953" s="3" t="s">
        <v>470</v>
      </c>
      <c r="S953">
        <v>9.3000000000000007</v>
      </c>
      <c r="T953" t="s">
        <v>468</v>
      </c>
    </row>
    <row r="954" spans="1:20" x14ac:dyDescent="0.25">
      <c r="A954">
        <v>131</v>
      </c>
      <c r="B954">
        <v>506520</v>
      </c>
      <c r="C954" t="s">
        <v>177</v>
      </c>
      <c r="D954">
        <v>2020</v>
      </c>
      <c r="E954">
        <v>6</v>
      </c>
      <c r="F954">
        <v>-0.33</v>
      </c>
      <c r="G954" t="s">
        <v>465</v>
      </c>
      <c r="H954">
        <v>5.940000057220459</v>
      </c>
      <c r="I954">
        <v>2.2100000381469731</v>
      </c>
      <c r="L954" t="s">
        <v>471</v>
      </c>
      <c r="M954">
        <v>-18.000000173395328</v>
      </c>
      <c r="N954">
        <v>-6.6969698125665849</v>
      </c>
      <c r="O954">
        <v>9.3000000000000007</v>
      </c>
      <c r="P954">
        <v>13.4</v>
      </c>
      <c r="Q954">
        <v>7.79</v>
      </c>
      <c r="R954" s="3" t="s">
        <v>470</v>
      </c>
      <c r="S954">
        <v>9.3000000000000007</v>
      </c>
      <c r="T954" t="s">
        <v>468</v>
      </c>
    </row>
    <row r="955" spans="1:20" x14ac:dyDescent="0.25">
      <c r="A955">
        <v>131</v>
      </c>
      <c r="B955">
        <v>506520</v>
      </c>
      <c r="C955" t="s">
        <v>177</v>
      </c>
      <c r="D955">
        <v>2021</v>
      </c>
      <c r="E955">
        <v>6</v>
      </c>
      <c r="F955">
        <v>-0.08</v>
      </c>
      <c r="G955" t="s">
        <v>465</v>
      </c>
      <c r="H955">
        <v>9.5299997329711914</v>
      </c>
      <c r="I955">
        <v>3.1400001049041748</v>
      </c>
      <c r="L955" t="s">
        <v>471</v>
      </c>
      <c r="M955">
        <v>-119.12499666213991</v>
      </c>
      <c r="N955">
        <v>-39.250001311302192</v>
      </c>
      <c r="O955">
        <v>9.3000000000000007</v>
      </c>
      <c r="P955">
        <v>13.4</v>
      </c>
      <c r="Q955">
        <v>7.79</v>
      </c>
      <c r="R955" s="3" t="s">
        <v>470</v>
      </c>
      <c r="S955">
        <v>9.3000000000000007</v>
      </c>
      <c r="T955" t="s">
        <v>468</v>
      </c>
    </row>
    <row r="956" spans="1:20" x14ac:dyDescent="0.25">
      <c r="A956">
        <v>131</v>
      </c>
      <c r="B956">
        <v>506520</v>
      </c>
      <c r="C956" t="s">
        <v>177</v>
      </c>
      <c r="D956">
        <v>2022</v>
      </c>
      <c r="E956">
        <v>6</v>
      </c>
      <c r="F956">
        <v>-0.12</v>
      </c>
      <c r="G956" t="s">
        <v>465</v>
      </c>
      <c r="H956">
        <v>10.510000228881839</v>
      </c>
      <c r="I956">
        <v>4.6100001335144043</v>
      </c>
      <c r="L956" t="s">
        <v>471</v>
      </c>
      <c r="M956">
        <v>-87.583335240682004</v>
      </c>
      <c r="N956">
        <v>-38.416667779286698</v>
      </c>
      <c r="O956">
        <v>9.3000000000000007</v>
      </c>
      <c r="P956">
        <v>13.4</v>
      </c>
      <c r="Q956">
        <v>7.79</v>
      </c>
      <c r="R956" s="3" t="s">
        <v>470</v>
      </c>
      <c r="S956">
        <v>9.3000000000000007</v>
      </c>
      <c r="T956" t="s">
        <v>468</v>
      </c>
    </row>
    <row r="957" spans="1:20" x14ac:dyDescent="0.25">
      <c r="A957">
        <v>131</v>
      </c>
      <c r="B957">
        <v>506520</v>
      </c>
      <c r="C957" t="s">
        <v>177</v>
      </c>
      <c r="D957">
        <v>2023</v>
      </c>
      <c r="E957">
        <v>6</v>
      </c>
      <c r="F957">
        <v>-7.0000000000000007E-2</v>
      </c>
      <c r="G957" t="s">
        <v>465</v>
      </c>
      <c r="H957">
        <v>12.86999988555908</v>
      </c>
      <c r="I957">
        <v>4.6500000953674316</v>
      </c>
      <c r="L957" t="s">
        <v>471</v>
      </c>
      <c r="M957">
        <v>-183.85714122227259</v>
      </c>
      <c r="N957">
        <v>-66.428572790963301</v>
      </c>
      <c r="O957">
        <v>9.3000000000000007</v>
      </c>
      <c r="P957">
        <v>13.4</v>
      </c>
      <c r="Q957">
        <v>7.79</v>
      </c>
      <c r="R957" s="3" t="s">
        <v>470</v>
      </c>
      <c r="S957">
        <v>9.3000000000000007</v>
      </c>
      <c r="T957" t="s">
        <v>468</v>
      </c>
    </row>
    <row r="958" spans="1:20" x14ac:dyDescent="0.25">
      <c r="A958">
        <v>131</v>
      </c>
      <c r="B958">
        <v>506520</v>
      </c>
      <c r="C958" t="s">
        <v>177</v>
      </c>
      <c r="D958">
        <v>2024</v>
      </c>
      <c r="E958">
        <v>6</v>
      </c>
      <c r="G958" t="s">
        <v>465</v>
      </c>
      <c r="H958">
        <v>13.75</v>
      </c>
      <c r="I958">
        <v>7.7899999618530273</v>
      </c>
      <c r="L958" t="s">
        <v>466</v>
      </c>
      <c r="O958">
        <v>9.3000000000000007</v>
      </c>
      <c r="P958">
        <v>13.4</v>
      </c>
      <c r="Q958">
        <v>7.79</v>
      </c>
      <c r="R958" s="3" t="s">
        <v>470</v>
      </c>
      <c r="S958">
        <v>9.3000000000000007</v>
      </c>
      <c r="T958" t="s">
        <v>468</v>
      </c>
    </row>
    <row r="959" spans="1:20" x14ac:dyDescent="0.25">
      <c r="A959">
        <v>131</v>
      </c>
      <c r="B959">
        <v>506520</v>
      </c>
      <c r="C959" t="s">
        <v>177</v>
      </c>
      <c r="D959">
        <v>2025</v>
      </c>
      <c r="E959">
        <v>6</v>
      </c>
      <c r="G959" t="s">
        <v>465</v>
      </c>
      <c r="H959">
        <v>10.590000152587891</v>
      </c>
      <c r="I959">
        <v>5.7199997901916504</v>
      </c>
      <c r="L959" t="s">
        <v>466</v>
      </c>
      <c r="O959">
        <v>9.3000000000000007</v>
      </c>
      <c r="P959">
        <v>13.4</v>
      </c>
      <c r="Q959">
        <v>7.79</v>
      </c>
      <c r="R959" s="3" t="s">
        <v>470</v>
      </c>
      <c r="S959">
        <v>9.3000000000000007</v>
      </c>
      <c r="T959" t="s">
        <v>468</v>
      </c>
    </row>
    <row r="960" spans="1:20" x14ac:dyDescent="0.25">
      <c r="A960">
        <v>131</v>
      </c>
      <c r="B960">
        <v>506520</v>
      </c>
      <c r="C960" t="s">
        <v>177</v>
      </c>
      <c r="D960">
        <v>2026</v>
      </c>
      <c r="E960">
        <v>6</v>
      </c>
      <c r="G960" t="s">
        <v>465</v>
      </c>
      <c r="H960">
        <v>8.1499996185302734</v>
      </c>
      <c r="I960">
        <v>5.0100002288818359</v>
      </c>
      <c r="L960" t="s">
        <v>466</v>
      </c>
      <c r="O960">
        <v>9.3000000000000007</v>
      </c>
      <c r="P960">
        <v>13.4</v>
      </c>
      <c r="Q960">
        <v>7.79</v>
      </c>
      <c r="R960" s="3" t="s">
        <v>470</v>
      </c>
      <c r="S960">
        <v>9.3000000000000007</v>
      </c>
      <c r="T960" t="s">
        <v>468</v>
      </c>
    </row>
    <row r="961" spans="1:20" x14ac:dyDescent="0.25">
      <c r="A961">
        <v>132</v>
      </c>
      <c r="B961">
        <v>506532</v>
      </c>
      <c r="C961" t="s">
        <v>179</v>
      </c>
      <c r="D961">
        <v>2015</v>
      </c>
      <c r="E961">
        <v>1908.550048828125</v>
      </c>
      <c r="F961">
        <v>-1.56</v>
      </c>
      <c r="G961" t="s">
        <v>465</v>
      </c>
      <c r="H961">
        <v>191.6000061035156</v>
      </c>
      <c r="I961">
        <v>118.09999847412109</v>
      </c>
      <c r="L961" t="s">
        <v>471</v>
      </c>
      <c r="M961">
        <v>-122.8205167330228</v>
      </c>
      <c r="N961">
        <v>-75.705127227000702</v>
      </c>
      <c r="O961">
        <v>802</v>
      </c>
      <c r="P961">
        <v>1175</v>
      </c>
      <c r="Q961">
        <v>700</v>
      </c>
      <c r="R961" s="3" t="s">
        <v>470</v>
      </c>
      <c r="S961">
        <v>802</v>
      </c>
      <c r="T961" t="s">
        <v>468</v>
      </c>
    </row>
    <row r="962" spans="1:20" x14ac:dyDescent="0.25">
      <c r="A962">
        <v>132</v>
      </c>
      <c r="B962">
        <v>506532</v>
      </c>
      <c r="C962" t="s">
        <v>179</v>
      </c>
      <c r="D962">
        <v>2016</v>
      </c>
      <c r="E962">
        <v>1908.550048828125</v>
      </c>
      <c r="F962">
        <v>11.82</v>
      </c>
      <c r="G962" t="s">
        <v>465</v>
      </c>
      <c r="H962">
        <v>245</v>
      </c>
      <c r="I962">
        <v>136.5</v>
      </c>
      <c r="L962" t="s">
        <v>469</v>
      </c>
      <c r="M962">
        <v>20.727580372250419</v>
      </c>
      <c r="N962">
        <v>11.54822335025381</v>
      </c>
      <c r="O962">
        <v>802</v>
      </c>
      <c r="P962">
        <v>1175</v>
      </c>
      <c r="Q962">
        <v>700</v>
      </c>
      <c r="R962" s="3" t="s">
        <v>470</v>
      </c>
      <c r="S962">
        <v>802</v>
      </c>
      <c r="T962" t="s">
        <v>468</v>
      </c>
    </row>
    <row r="963" spans="1:20" x14ac:dyDescent="0.25">
      <c r="A963">
        <v>132</v>
      </c>
      <c r="B963">
        <v>506532</v>
      </c>
      <c r="C963" t="s">
        <v>179</v>
      </c>
      <c r="D963">
        <v>2017</v>
      </c>
      <c r="E963">
        <v>1908.550048828125</v>
      </c>
      <c r="F963">
        <v>15.61</v>
      </c>
      <c r="G963" t="s">
        <v>465</v>
      </c>
      <c r="H963">
        <v>278.5</v>
      </c>
      <c r="I963">
        <v>170.8999938964844</v>
      </c>
      <c r="L963" t="s">
        <v>469</v>
      </c>
      <c r="M963">
        <v>17.84112748238309</v>
      </c>
      <c r="N963">
        <v>10.94810979477799</v>
      </c>
      <c r="O963">
        <v>802</v>
      </c>
      <c r="P963">
        <v>1175</v>
      </c>
      <c r="Q963">
        <v>700</v>
      </c>
      <c r="R963" s="3" t="s">
        <v>470</v>
      </c>
      <c r="S963">
        <v>802</v>
      </c>
      <c r="T963" t="s">
        <v>468</v>
      </c>
    </row>
    <row r="964" spans="1:20" x14ac:dyDescent="0.25">
      <c r="A964">
        <v>132</v>
      </c>
      <c r="B964">
        <v>506532</v>
      </c>
      <c r="C964" t="s">
        <v>179</v>
      </c>
      <c r="D964">
        <v>2018</v>
      </c>
      <c r="E964">
        <v>1908.550048828125</v>
      </c>
      <c r="F964">
        <v>4.9000000000000004</v>
      </c>
      <c r="G964" t="s">
        <v>465</v>
      </c>
      <c r="H964">
        <v>284.89999389648438</v>
      </c>
      <c r="I964">
        <v>119.9499969482422</v>
      </c>
      <c r="L964" t="s">
        <v>469</v>
      </c>
      <c r="M964">
        <v>58.142855897241702</v>
      </c>
      <c r="N964">
        <v>24.47959121392698</v>
      </c>
      <c r="O964">
        <v>802</v>
      </c>
      <c r="P964">
        <v>1175</v>
      </c>
      <c r="Q964">
        <v>700</v>
      </c>
      <c r="R964" s="3" t="s">
        <v>470</v>
      </c>
      <c r="S964">
        <v>802</v>
      </c>
      <c r="T964" t="s">
        <v>468</v>
      </c>
    </row>
    <row r="965" spans="1:20" x14ac:dyDescent="0.25">
      <c r="A965">
        <v>132</v>
      </c>
      <c r="B965">
        <v>506532</v>
      </c>
      <c r="C965" t="s">
        <v>179</v>
      </c>
      <c r="D965">
        <v>2019</v>
      </c>
      <c r="E965">
        <v>1908.550048828125</v>
      </c>
      <c r="F965">
        <v>3.82</v>
      </c>
      <c r="G965" t="s">
        <v>465</v>
      </c>
      <c r="H965">
        <v>144.5</v>
      </c>
      <c r="I965">
        <v>88</v>
      </c>
      <c r="L965" t="s">
        <v>469</v>
      </c>
      <c r="M965">
        <v>37.827225130890056</v>
      </c>
      <c r="N965">
        <v>23.03664921465969</v>
      </c>
      <c r="O965">
        <v>802</v>
      </c>
      <c r="P965">
        <v>1175</v>
      </c>
      <c r="Q965">
        <v>700</v>
      </c>
      <c r="R965" s="3" t="s">
        <v>470</v>
      </c>
      <c r="S965">
        <v>802</v>
      </c>
      <c r="T965" t="s">
        <v>468</v>
      </c>
    </row>
    <row r="966" spans="1:20" x14ac:dyDescent="0.25">
      <c r="A966">
        <v>132</v>
      </c>
      <c r="B966">
        <v>506532</v>
      </c>
      <c r="C966" t="s">
        <v>179</v>
      </c>
      <c r="D966">
        <v>2020</v>
      </c>
      <c r="E966">
        <v>1908.550048828125</v>
      </c>
      <c r="F966">
        <v>12.38</v>
      </c>
      <c r="G966" t="s">
        <v>465</v>
      </c>
      <c r="H966">
        <v>195</v>
      </c>
      <c r="I966">
        <v>72.300003051757813</v>
      </c>
      <c r="L966" t="s">
        <v>469</v>
      </c>
      <c r="M966">
        <v>15.751211631663971</v>
      </c>
      <c r="N966">
        <v>5.8400648668625044</v>
      </c>
      <c r="O966">
        <v>802</v>
      </c>
      <c r="P966">
        <v>1175</v>
      </c>
      <c r="Q966">
        <v>700</v>
      </c>
      <c r="R966" s="3" t="s">
        <v>470</v>
      </c>
      <c r="S966">
        <v>802</v>
      </c>
      <c r="T966" t="s">
        <v>468</v>
      </c>
    </row>
    <row r="967" spans="1:20" x14ac:dyDescent="0.25">
      <c r="A967">
        <v>132</v>
      </c>
      <c r="B967">
        <v>506532</v>
      </c>
      <c r="C967" t="s">
        <v>179</v>
      </c>
      <c r="D967">
        <v>2021</v>
      </c>
      <c r="E967">
        <v>1908.550048828125</v>
      </c>
      <c r="F967">
        <v>19.149999999999999</v>
      </c>
      <c r="G967" t="s">
        <v>465</v>
      </c>
      <c r="H967">
        <v>338</v>
      </c>
      <c r="I967">
        <v>155.6000061035156</v>
      </c>
      <c r="L967" t="s">
        <v>469</v>
      </c>
      <c r="M967">
        <v>17.650130548302869</v>
      </c>
      <c r="N967">
        <v>8.1253266894786211</v>
      </c>
      <c r="O967">
        <v>802</v>
      </c>
      <c r="P967">
        <v>1175</v>
      </c>
      <c r="Q967">
        <v>700</v>
      </c>
      <c r="R967" s="3" t="s">
        <v>470</v>
      </c>
      <c r="S967">
        <v>802</v>
      </c>
      <c r="T967" t="s">
        <v>468</v>
      </c>
    </row>
    <row r="968" spans="1:20" x14ac:dyDescent="0.25">
      <c r="A968">
        <v>132</v>
      </c>
      <c r="B968">
        <v>506532</v>
      </c>
      <c r="C968" t="s">
        <v>179</v>
      </c>
      <c r="D968">
        <v>2022</v>
      </c>
      <c r="E968">
        <v>1908.550048828125</v>
      </c>
      <c r="F968">
        <v>36.26</v>
      </c>
      <c r="G968" t="s">
        <v>465</v>
      </c>
      <c r="H968">
        <v>785</v>
      </c>
      <c r="I968">
        <v>230.05000305175781</v>
      </c>
      <c r="L968" t="s">
        <v>469</v>
      </c>
      <c r="M968">
        <v>21.649200220628789</v>
      </c>
      <c r="N968">
        <v>6.3444567857627643</v>
      </c>
      <c r="O968">
        <v>802</v>
      </c>
      <c r="P968">
        <v>1175</v>
      </c>
      <c r="Q968">
        <v>700</v>
      </c>
      <c r="R968" s="3" t="s">
        <v>470</v>
      </c>
      <c r="S968">
        <v>802</v>
      </c>
      <c r="T968" t="s">
        <v>468</v>
      </c>
    </row>
    <row r="969" spans="1:20" x14ac:dyDescent="0.25">
      <c r="A969">
        <v>132</v>
      </c>
      <c r="B969">
        <v>506532</v>
      </c>
      <c r="C969" t="s">
        <v>179</v>
      </c>
      <c r="D969">
        <v>2023</v>
      </c>
      <c r="E969">
        <v>1908.550048828125</v>
      </c>
      <c r="F969">
        <v>77.44</v>
      </c>
      <c r="G969" t="s">
        <v>465</v>
      </c>
      <c r="H969">
        <v>1000</v>
      </c>
      <c r="I969">
        <v>560</v>
      </c>
      <c r="L969" t="s">
        <v>469</v>
      </c>
      <c r="M969">
        <v>12.91322314049587</v>
      </c>
      <c r="N969">
        <v>7.2314049586776861</v>
      </c>
      <c r="O969">
        <v>802</v>
      </c>
      <c r="P969">
        <v>1175</v>
      </c>
      <c r="Q969">
        <v>700</v>
      </c>
      <c r="R969" s="3" t="s">
        <v>470</v>
      </c>
      <c r="S969">
        <v>802</v>
      </c>
      <c r="T969" t="s">
        <v>468</v>
      </c>
    </row>
    <row r="970" spans="1:20" x14ac:dyDescent="0.25">
      <c r="A970">
        <v>132</v>
      </c>
      <c r="B970">
        <v>506532</v>
      </c>
      <c r="C970" t="s">
        <v>179</v>
      </c>
      <c r="D970">
        <v>2024</v>
      </c>
      <c r="E970">
        <v>1908.550048828125</v>
      </c>
      <c r="F970">
        <v>91.02</v>
      </c>
      <c r="G970" t="s">
        <v>465</v>
      </c>
      <c r="H970">
        <v>1184</v>
      </c>
      <c r="I970">
        <v>745</v>
      </c>
      <c r="L970" t="s">
        <v>469</v>
      </c>
      <c r="M970">
        <v>13.008130081300809</v>
      </c>
      <c r="N970">
        <v>8.1850142825752581</v>
      </c>
      <c r="O970">
        <v>802</v>
      </c>
      <c r="P970">
        <v>1175</v>
      </c>
      <c r="Q970">
        <v>700</v>
      </c>
      <c r="R970" s="3" t="s">
        <v>470</v>
      </c>
      <c r="S970">
        <v>802</v>
      </c>
      <c r="T970" t="s">
        <v>468</v>
      </c>
    </row>
    <row r="971" spans="1:20" x14ac:dyDescent="0.25">
      <c r="A971">
        <v>132</v>
      </c>
      <c r="B971">
        <v>506532</v>
      </c>
      <c r="C971" t="s">
        <v>179</v>
      </c>
      <c r="D971">
        <v>2025</v>
      </c>
      <c r="E971">
        <v>1908.550048828125</v>
      </c>
      <c r="F971">
        <v>92.45</v>
      </c>
      <c r="G971" t="s">
        <v>465</v>
      </c>
      <c r="H971">
        <v>1005</v>
      </c>
      <c r="I971">
        <v>640</v>
      </c>
      <c r="L971" t="s">
        <v>469</v>
      </c>
      <c r="M971">
        <v>10.87074094104922</v>
      </c>
      <c r="N971">
        <v>6.9226608977825848</v>
      </c>
      <c r="O971">
        <v>802</v>
      </c>
      <c r="P971">
        <v>1175</v>
      </c>
      <c r="Q971">
        <v>700</v>
      </c>
      <c r="R971" s="3" t="s">
        <v>470</v>
      </c>
      <c r="S971">
        <v>802</v>
      </c>
      <c r="T971" t="s">
        <v>468</v>
      </c>
    </row>
    <row r="972" spans="1:20" x14ac:dyDescent="0.25">
      <c r="A972">
        <v>132</v>
      </c>
      <c r="B972">
        <v>506532</v>
      </c>
      <c r="C972" t="s">
        <v>179</v>
      </c>
      <c r="D972">
        <v>2026</v>
      </c>
      <c r="E972">
        <v>1908.550048828125</v>
      </c>
      <c r="F972">
        <v>107.1</v>
      </c>
      <c r="G972" t="s">
        <v>465</v>
      </c>
      <c r="H972">
        <v>2088</v>
      </c>
      <c r="I972">
        <v>765.04998779296875</v>
      </c>
      <c r="L972" t="s">
        <v>469</v>
      </c>
      <c r="M972">
        <v>19.495798319327729</v>
      </c>
      <c r="N972">
        <v>7.14332388228729</v>
      </c>
      <c r="O972">
        <v>802</v>
      </c>
      <c r="P972">
        <v>1175</v>
      </c>
      <c r="Q972">
        <v>700</v>
      </c>
      <c r="R972" s="3" t="s">
        <v>470</v>
      </c>
      <c r="S972">
        <v>802</v>
      </c>
      <c r="T972" t="s">
        <v>468</v>
      </c>
    </row>
    <row r="973" spans="1:20" x14ac:dyDescent="0.25">
      <c r="A973">
        <v>135</v>
      </c>
      <c r="B973">
        <v>506808</v>
      </c>
      <c r="C973" t="s">
        <v>181</v>
      </c>
      <c r="D973">
        <v>2015</v>
      </c>
      <c r="E973">
        <v>60.099998474121087</v>
      </c>
      <c r="F973">
        <v>-11.57</v>
      </c>
      <c r="G973" t="s">
        <v>465</v>
      </c>
      <c r="H973">
        <v>6.4200000762939453</v>
      </c>
      <c r="I973">
        <v>3</v>
      </c>
      <c r="L973" t="s">
        <v>471</v>
      </c>
      <c r="M973">
        <v>-0.55488332552238073</v>
      </c>
      <c r="N973">
        <v>-0.25929127052722561</v>
      </c>
      <c r="O973">
        <v>84.67</v>
      </c>
      <c r="P973">
        <v>114.9</v>
      </c>
      <c r="Q973">
        <v>68</v>
      </c>
      <c r="R973" s="3" t="s">
        <v>470</v>
      </c>
      <c r="S973">
        <v>84.67</v>
      </c>
      <c r="T973" t="s">
        <v>468</v>
      </c>
    </row>
    <row r="974" spans="1:20" x14ac:dyDescent="0.25">
      <c r="A974">
        <v>135</v>
      </c>
      <c r="B974">
        <v>506808</v>
      </c>
      <c r="C974" t="s">
        <v>181</v>
      </c>
      <c r="D974">
        <v>2016</v>
      </c>
      <c r="E974">
        <v>60.099998474121087</v>
      </c>
      <c r="F974">
        <v>22.74</v>
      </c>
      <c r="G974" t="s">
        <v>465</v>
      </c>
      <c r="H974">
        <v>14.27999973297119</v>
      </c>
      <c r="I974">
        <v>5.0500001907348633</v>
      </c>
      <c r="L974" t="s">
        <v>469</v>
      </c>
      <c r="M974">
        <v>0.62796832598817898</v>
      </c>
      <c r="N974">
        <v>0.22207564603055691</v>
      </c>
      <c r="O974">
        <v>84.67</v>
      </c>
      <c r="P974">
        <v>114.9</v>
      </c>
      <c r="Q974">
        <v>68</v>
      </c>
      <c r="R974" s="3" t="s">
        <v>470</v>
      </c>
      <c r="S974">
        <v>84.67</v>
      </c>
      <c r="T974" t="s">
        <v>468</v>
      </c>
    </row>
    <row r="975" spans="1:20" x14ac:dyDescent="0.25">
      <c r="A975">
        <v>135</v>
      </c>
      <c r="B975">
        <v>506808</v>
      </c>
      <c r="C975" t="s">
        <v>181</v>
      </c>
      <c r="D975">
        <v>2017</v>
      </c>
      <c r="E975">
        <v>60.099998474121087</v>
      </c>
      <c r="F975">
        <v>-23.82</v>
      </c>
      <c r="G975" t="s">
        <v>465</v>
      </c>
      <c r="H975">
        <v>18.559999465942379</v>
      </c>
      <c r="I975">
        <v>8.25</v>
      </c>
      <c r="L975" t="s">
        <v>471</v>
      </c>
      <c r="M975">
        <v>-0.7791771396281435</v>
      </c>
      <c r="N975">
        <v>-0.34634760705289669</v>
      </c>
      <c r="O975">
        <v>84.67</v>
      </c>
      <c r="P975">
        <v>114.9</v>
      </c>
      <c r="Q975">
        <v>68</v>
      </c>
      <c r="R975" s="3" t="s">
        <v>470</v>
      </c>
      <c r="S975">
        <v>84.67</v>
      </c>
      <c r="T975" t="s">
        <v>468</v>
      </c>
    </row>
    <row r="976" spans="1:20" x14ac:dyDescent="0.25">
      <c r="A976">
        <v>135</v>
      </c>
      <c r="B976">
        <v>506808</v>
      </c>
      <c r="C976" t="s">
        <v>181</v>
      </c>
      <c r="D976">
        <v>2018</v>
      </c>
      <c r="E976">
        <v>60.099998474121087</v>
      </c>
      <c r="F976">
        <v>-30.25</v>
      </c>
      <c r="G976" t="s">
        <v>465</v>
      </c>
      <c r="H976">
        <v>18.110000610351559</v>
      </c>
      <c r="I976">
        <v>3.619999885559082</v>
      </c>
      <c r="L976" t="s">
        <v>471</v>
      </c>
      <c r="M976">
        <v>-0.59867770612732429</v>
      </c>
      <c r="N976">
        <v>-0.1196694177044325</v>
      </c>
      <c r="O976">
        <v>84.67</v>
      </c>
      <c r="P976">
        <v>114.9</v>
      </c>
      <c r="Q976">
        <v>68</v>
      </c>
      <c r="R976" s="3" t="s">
        <v>470</v>
      </c>
      <c r="S976">
        <v>84.67</v>
      </c>
      <c r="T976" t="s">
        <v>468</v>
      </c>
    </row>
    <row r="977" spans="1:20" x14ac:dyDescent="0.25">
      <c r="A977">
        <v>135</v>
      </c>
      <c r="B977">
        <v>506808</v>
      </c>
      <c r="C977" t="s">
        <v>181</v>
      </c>
      <c r="D977">
        <v>2019</v>
      </c>
      <c r="E977">
        <v>60.099998474121087</v>
      </c>
      <c r="F977">
        <v>-25.62</v>
      </c>
      <c r="G977" t="s">
        <v>465</v>
      </c>
      <c r="H977">
        <v>5.8299999237060547</v>
      </c>
      <c r="I977">
        <v>2.5799999237060551</v>
      </c>
      <c r="L977" t="s">
        <v>471</v>
      </c>
      <c r="M977">
        <v>-0.2275565934311497</v>
      </c>
      <c r="N977">
        <v>-0.1007025731345064</v>
      </c>
      <c r="O977">
        <v>84.67</v>
      </c>
      <c r="P977">
        <v>114.9</v>
      </c>
      <c r="Q977">
        <v>68</v>
      </c>
      <c r="R977" s="3" t="s">
        <v>470</v>
      </c>
      <c r="S977">
        <v>84.67</v>
      </c>
      <c r="T977" t="s">
        <v>468</v>
      </c>
    </row>
    <row r="978" spans="1:20" x14ac:dyDescent="0.25">
      <c r="A978">
        <v>135</v>
      </c>
      <c r="B978">
        <v>506808</v>
      </c>
      <c r="C978" t="s">
        <v>181</v>
      </c>
      <c r="D978">
        <v>2020</v>
      </c>
      <c r="E978">
        <v>60.099998474121087</v>
      </c>
      <c r="F978">
        <v>-1.94</v>
      </c>
      <c r="G978" t="s">
        <v>465</v>
      </c>
      <c r="H978">
        <v>9.0900001525878906</v>
      </c>
      <c r="I978">
        <v>2.8299999237060551</v>
      </c>
      <c r="L978" t="s">
        <v>471</v>
      </c>
      <c r="M978">
        <v>-4.6855670889628307</v>
      </c>
      <c r="N978">
        <v>-1.458762847271162</v>
      </c>
      <c r="O978">
        <v>84.67</v>
      </c>
      <c r="P978">
        <v>114.9</v>
      </c>
      <c r="Q978">
        <v>68</v>
      </c>
      <c r="R978" s="3" t="s">
        <v>470</v>
      </c>
      <c r="S978">
        <v>84.67</v>
      </c>
      <c r="T978" t="s">
        <v>468</v>
      </c>
    </row>
    <row r="979" spans="1:20" x14ac:dyDescent="0.25">
      <c r="A979">
        <v>135</v>
      </c>
      <c r="B979">
        <v>506808</v>
      </c>
      <c r="C979" t="s">
        <v>181</v>
      </c>
      <c r="D979">
        <v>2021</v>
      </c>
      <c r="E979">
        <v>60.099998474121087</v>
      </c>
      <c r="F979">
        <v>-4.76</v>
      </c>
      <c r="G979" t="s">
        <v>465</v>
      </c>
      <c r="H979">
        <v>42.099998474121087</v>
      </c>
      <c r="I979">
        <v>6.5</v>
      </c>
      <c r="L979" t="s">
        <v>471</v>
      </c>
      <c r="M979">
        <v>-8.8445374945632533</v>
      </c>
      <c r="N979">
        <v>-1.365546218487395</v>
      </c>
      <c r="O979">
        <v>84.67</v>
      </c>
      <c r="P979">
        <v>114.9</v>
      </c>
      <c r="Q979">
        <v>68</v>
      </c>
      <c r="R979" s="3" t="s">
        <v>470</v>
      </c>
      <c r="S979">
        <v>84.67</v>
      </c>
      <c r="T979" t="s">
        <v>468</v>
      </c>
    </row>
    <row r="980" spans="1:20" x14ac:dyDescent="0.25">
      <c r="A980">
        <v>135</v>
      </c>
      <c r="B980">
        <v>506808</v>
      </c>
      <c r="C980" t="s">
        <v>181</v>
      </c>
      <c r="D980">
        <v>2022</v>
      </c>
      <c r="E980">
        <v>60.099998474121087</v>
      </c>
      <c r="F980">
        <v>-2.79</v>
      </c>
      <c r="G980" t="s">
        <v>465</v>
      </c>
      <c r="H980">
        <v>78.900001525878906</v>
      </c>
      <c r="I980">
        <v>20.10000038146973</v>
      </c>
      <c r="L980" t="s">
        <v>471</v>
      </c>
      <c r="M980">
        <v>-28.279570439383122</v>
      </c>
      <c r="N980">
        <v>-7.2043012119963192</v>
      </c>
      <c r="O980">
        <v>84.67</v>
      </c>
      <c r="P980">
        <v>114.9</v>
      </c>
      <c r="Q980">
        <v>68</v>
      </c>
      <c r="R980" s="3" t="s">
        <v>470</v>
      </c>
      <c r="S980">
        <v>84.67</v>
      </c>
      <c r="T980" t="s">
        <v>468</v>
      </c>
    </row>
    <row r="981" spans="1:20" x14ac:dyDescent="0.25">
      <c r="A981">
        <v>135</v>
      </c>
      <c r="B981">
        <v>506808</v>
      </c>
      <c r="C981" t="s">
        <v>181</v>
      </c>
      <c r="D981">
        <v>2023</v>
      </c>
      <c r="E981">
        <v>60.099998474121087</v>
      </c>
      <c r="F981">
        <v>8.3000000000000007</v>
      </c>
      <c r="G981" t="s">
        <v>465</v>
      </c>
      <c r="H981">
        <v>111.19000244140619</v>
      </c>
      <c r="I981">
        <v>46</v>
      </c>
      <c r="L981" t="s">
        <v>469</v>
      </c>
      <c r="M981">
        <v>13.396385836314</v>
      </c>
      <c r="N981">
        <v>5.5421686746987948</v>
      </c>
      <c r="O981">
        <v>84.67</v>
      </c>
      <c r="P981">
        <v>114.9</v>
      </c>
      <c r="Q981">
        <v>68</v>
      </c>
      <c r="R981" s="3" t="s">
        <v>470</v>
      </c>
      <c r="S981">
        <v>84.67</v>
      </c>
      <c r="T981" t="s">
        <v>468</v>
      </c>
    </row>
    <row r="982" spans="1:20" x14ac:dyDescent="0.25">
      <c r="A982">
        <v>135</v>
      </c>
      <c r="B982">
        <v>506808</v>
      </c>
      <c r="C982" t="s">
        <v>181</v>
      </c>
      <c r="D982">
        <v>2024</v>
      </c>
      <c r="E982">
        <v>60.099998474121087</v>
      </c>
      <c r="F982">
        <v>5.71</v>
      </c>
      <c r="G982" t="s">
        <v>465</v>
      </c>
      <c r="H982">
        <v>117</v>
      </c>
      <c r="I982">
        <v>68</v>
      </c>
      <c r="L982" t="s">
        <v>469</v>
      </c>
      <c r="M982">
        <v>20.490367775831871</v>
      </c>
      <c r="N982">
        <v>11.908931698774079</v>
      </c>
      <c r="O982">
        <v>84.67</v>
      </c>
      <c r="P982">
        <v>114.9</v>
      </c>
      <c r="Q982">
        <v>68</v>
      </c>
      <c r="R982" s="3" t="s">
        <v>470</v>
      </c>
      <c r="S982">
        <v>84.67</v>
      </c>
      <c r="T982" t="s">
        <v>468</v>
      </c>
    </row>
    <row r="983" spans="1:20" x14ac:dyDescent="0.25">
      <c r="A983">
        <v>135</v>
      </c>
      <c r="B983">
        <v>506808</v>
      </c>
      <c r="C983" t="s">
        <v>181</v>
      </c>
      <c r="D983">
        <v>2025</v>
      </c>
      <c r="E983">
        <v>60.099998474121087</v>
      </c>
      <c r="F983">
        <v>5.0999999999999996</v>
      </c>
      <c r="G983" t="s">
        <v>465</v>
      </c>
      <c r="H983">
        <v>107.6999969482422</v>
      </c>
      <c r="I983">
        <v>46.5</v>
      </c>
      <c r="L983" t="s">
        <v>469</v>
      </c>
      <c r="M983">
        <v>21.117646460439651</v>
      </c>
      <c r="N983">
        <v>9.1176470588235308</v>
      </c>
      <c r="O983">
        <v>84.67</v>
      </c>
      <c r="P983">
        <v>114.9</v>
      </c>
      <c r="Q983">
        <v>68</v>
      </c>
      <c r="R983" s="3" t="s">
        <v>470</v>
      </c>
      <c r="S983">
        <v>84.67</v>
      </c>
      <c r="T983" t="s">
        <v>468</v>
      </c>
    </row>
    <row r="984" spans="1:20" x14ac:dyDescent="0.25">
      <c r="A984">
        <v>135</v>
      </c>
      <c r="B984">
        <v>506808</v>
      </c>
      <c r="C984" t="s">
        <v>181</v>
      </c>
      <c r="D984">
        <v>2026</v>
      </c>
      <c r="E984">
        <v>60.099998474121087</v>
      </c>
      <c r="F984">
        <v>3</v>
      </c>
      <c r="G984" t="s">
        <v>465</v>
      </c>
      <c r="H984">
        <v>68.25</v>
      </c>
      <c r="I984">
        <v>41.5</v>
      </c>
      <c r="L984" t="s">
        <v>469</v>
      </c>
      <c r="M984">
        <v>22.75</v>
      </c>
      <c r="N984">
        <v>13.83333333333333</v>
      </c>
      <c r="O984">
        <v>84.67</v>
      </c>
      <c r="P984">
        <v>114.9</v>
      </c>
      <c r="Q984">
        <v>68</v>
      </c>
      <c r="R984" s="3" t="s">
        <v>470</v>
      </c>
      <c r="S984">
        <v>84.67</v>
      </c>
      <c r="T984" t="s">
        <v>468</v>
      </c>
    </row>
    <row r="985" spans="1:20" x14ac:dyDescent="0.25">
      <c r="A985">
        <v>137</v>
      </c>
      <c r="B985">
        <v>507265</v>
      </c>
      <c r="C985" t="s">
        <v>183</v>
      </c>
      <c r="D985">
        <v>2015</v>
      </c>
      <c r="E985">
        <v>180</v>
      </c>
      <c r="G985" t="s">
        <v>465</v>
      </c>
      <c r="H985">
        <v>102.25</v>
      </c>
      <c r="I985">
        <v>45.849998474121087</v>
      </c>
      <c r="L985" t="s">
        <v>466</v>
      </c>
      <c r="O985">
        <v>247.35</v>
      </c>
      <c r="P985">
        <v>321.75</v>
      </c>
      <c r="Q985">
        <v>95.4</v>
      </c>
      <c r="R985" s="3" t="s">
        <v>470</v>
      </c>
      <c r="S985">
        <v>247.35</v>
      </c>
      <c r="T985" t="s">
        <v>468</v>
      </c>
    </row>
    <row r="986" spans="1:20" x14ac:dyDescent="0.25">
      <c r="A986">
        <v>137</v>
      </c>
      <c r="B986">
        <v>507265</v>
      </c>
      <c r="C986" t="s">
        <v>183</v>
      </c>
      <c r="D986">
        <v>2016</v>
      </c>
      <c r="E986">
        <v>180</v>
      </c>
      <c r="G986" t="s">
        <v>465</v>
      </c>
      <c r="H986">
        <v>50</v>
      </c>
      <c r="I986">
        <v>36.900001525878913</v>
      </c>
      <c r="L986" t="s">
        <v>466</v>
      </c>
      <c r="O986">
        <v>247.35</v>
      </c>
      <c r="P986">
        <v>321.75</v>
      </c>
      <c r="Q986">
        <v>95.4</v>
      </c>
      <c r="R986" s="3" t="s">
        <v>470</v>
      </c>
      <c r="S986">
        <v>247.35</v>
      </c>
      <c r="T986" t="s">
        <v>468</v>
      </c>
    </row>
    <row r="987" spans="1:20" x14ac:dyDescent="0.25">
      <c r="A987">
        <v>137</v>
      </c>
      <c r="B987">
        <v>507265</v>
      </c>
      <c r="C987" t="s">
        <v>183</v>
      </c>
      <c r="D987">
        <v>2017</v>
      </c>
      <c r="E987">
        <v>180</v>
      </c>
      <c r="G987" t="s">
        <v>465</v>
      </c>
      <c r="H987">
        <v>53.5</v>
      </c>
      <c r="I987">
        <v>34.674999237060547</v>
      </c>
      <c r="L987" t="s">
        <v>466</v>
      </c>
      <c r="O987">
        <v>247.35</v>
      </c>
      <c r="P987">
        <v>321.75</v>
      </c>
      <c r="Q987">
        <v>95.4</v>
      </c>
      <c r="R987" s="3" t="s">
        <v>470</v>
      </c>
      <c r="S987">
        <v>247.35</v>
      </c>
      <c r="T987" t="s">
        <v>468</v>
      </c>
    </row>
    <row r="988" spans="1:20" x14ac:dyDescent="0.25">
      <c r="A988">
        <v>137</v>
      </c>
      <c r="B988">
        <v>507265</v>
      </c>
      <c r="C988" t="s">
        <v>183</v>
      </c>
      <c r="D988">
        <v>2018</v>
      </c>
      <c r="E988">
        <v>180</v>
      </c>
      <c r="G988" t="s">
        <v>465</v>
      </c>
      <c r="H988">
        <v>62.950000762939453</v>
      </c>
      <c r="I988">
        <v>36.75</v>
      </c>
      <c r="L988" t="s">
        <v>466</v>
      </c>
      <c r="O988">
        <v>247.35</v>
      </c>
      <c r="P988">
        <v>321.75</v>
      </c>
      <c r="Q988">
        <v>95.4</v>
      </c>
      <c r="R988" s="3" t="s">
        <v>470</v>
      </c>
      <c r="S988">
        <v>247.35</v>
      </c>
      <c r="T988" t="s">
        <v>468</v>
      </c>
    </row>
    <row r="989" spans="1:20" x14ac:dyDescent="0.25">
      <c r="A989">
        <v>137</v>
      </c>
      <c r="B989">
        <v>507265</v>
      </c>
      <c r="C989" t="s">
        <v>183</v>
      </c>
      <c r="D989">
        <v>2019</v>
      </c>
      <c r="E989">
        <v>180</v>
      </c>
      <c r="G989" t="s">
        <v>465</v>
      </c>
      <c r="H989">
        <v>61</v>
      </c>
      <c r="I989">
        <v>40.625</v>
      </c>
      <c r="L989" t="s">
        <v>466</v>
      </c>
      <c r="O989">
        <v>247.35</v>
      </c>
      <c r="P989">
        <v>321.75</v>
      </c>
      <c r="Q989">
        <v>95.4</v>
      </c>
      <c r="R989" s="3" t="s">
        <v>470</v>
      </c>
      <c r="S989">
        <v>247.35</v>
      </c>
      <c r="T989" t="s">
        <v>468</v>
      </c>
    </row>
    <row r="990" spans="1:20" x14ac:dyDescent="0.25">
      <c r="A990">
        <v>137</v>
      </c>
      <c r="B990">
        <v>507265</v>
      </c>
      <c r="C990" t="s">
        <v>183</v>
      </c>
      <c r="D990">
        <v>2020</v>
      </c>
      <c r="E990">
        <v>180</v>
      </c>
      <c r="G990" t="s">
        <v>465</v>
      </c>
      <c r="H990">
        <v>53.700000762939453</v>
      </c>
      <c r="I990">
        <v>39.799999237060547</v>
      </c>
      <c r="L990" t="s">
        <v>466</v>
      </c>
      <c r="O990">
        <v>247.35</v>
      </c>
      <c r="P990">
        <v>321.75</v>
      </c>
      <c r="Q990">
        <v>95.4</v>
      </c>
      <c r="R990" s="3" t="s">
        <v>470</v>
      </c>
      <c r="S990">
        <v>247.35</v>
      </c>
      <c r="T990" t="s">
        <v>468</v>
      </c>
    </row>
    <row r="991" spans="1:20" x14ac:dyDescent="0.25">
      <c r="A991">
        <v>137</v>
      </c>
      <c r="B991">
        <v>507265</v>
      </c>
      <c r="C991" t="s">
        <v>183</v>
      </c>
      <c r="D991">
        <v>2021</v>
      </c>
      <c r="E991">
        <v>180</v>
      </c>
      <c r="G991" t="s">
        <v>465</v>
      </c>
      <c r="H991">
        <v>114.3000030517578</v>
      </c>
      <c r="I991">
        <v>43.650001525878913</v>
      </c>
      <c r="L991" t="s">
        <v>466</v>
      </c>
      <c r="O991">
        <v>247.35</v>
      </c>
      <c r="P991">
        <v>321.75</v>
      </c>
      <c r="Q991">
        <v>95.4</v>
      </c>
      <c r="R991" s="3" t="s">
        <v>470</v>
      </c>
      <c r="S991">
        <v>247.35</v>
      </c>
      <c r="T991" t="s">
        <v>468</v>
      </c>
    </row>
    <row r="992" spans="1:20" x14ac:dyDescent="0.25">
      <c r="A992">
        <v>137</v>
      </c>
      <c r="B992">
        <v>507265</v>
      </c>
      <c r="C992" t="s">
        <v>183</v>
      </c>
      <c r="D992">
        <v>2022</v>
      </c>
      <c r="E992">
        <v>180</v>
      </c>
      <c r="G992" t="s">
        <v>465</v>
      </c>
      <c r="H992">
        <v>118.3000030517578</v>
      </c>
      <c r="I992">
        <v>61.299999237060547</v>
      </c>
      <c r="L992" t="s">
        <v>466</v>
      </c>
      <c r="O992">
        <v>247.35</v>
      </c>
      <c r="P992">
        <v>321.75</v>
      </c>
      <c r="Q992">
        <v>95.4</v>
      </c>
      <c r="R992" s="3" t="s">
        <v>470</v>
      </c>
      <c r="S992">
        <v>247.35</v>
      </c>
      <c r="T992" t="s">
        <v>468</v>
      </c>
    </row>
    <row r="993" spans="1:20" x14ac:dyDescent="0.25">
      <c r="A993">
        <v>137</v>
      </c>
      <c r="B993">
        <v>507265</v>
      </c>
      <c r="C993" t="s">
        <v>183</v>
      </c>
      <c r="D993">
        <v>2023</v>
      </c>
      <c r="E993">
        <v>180</v>
      </c>
      <c r="G993" t="s">
        <v>465</v>
      </c>
      <c r="H993">
        <v>192.55000305175781</v>
      </c>
      <c r="I993">
        <v>68.599998474121094</v>
      </c>
      <c r="L993" t="s">
        <v>466</v>
      </c>
      <c r="O993">
        <v>247.35</v>
      </c>
      <c r="P993">
        <v>321.75</v>
      </c>
      <c r="Q993">
        <v>95.4</v>
      </c>
      <c r="R993" s="3" t="s">
        <v>470</v>
      </c>
      <c r="S993">
        <v>247.35</v>
      </c>
      <c r="T993" t="s">
        <v>468</v>
      </c>
    </row>
    <row r="994" spans="1:20" x14ac:dyDescent="0.25">
      <c r="A994">
        <v>137</v>
      </c>
      <c r="B994">
        <v>507265</v>
      </c>
      <c r="C994" t="s">
        <v>183</v>
      </c>
      <c r="D994">
        <v>2024</v>
      </c>
      <c r="E994">
        <v>180</v>
      </c>
      <c r="F994">
        <v>-6.49</v>
      </c>
      <c r="G994" t="s">
        <v>465</v>
      </c>
      <c r="H994">
        <v>321.75</v>
      </c>
      <c r="I994">
        <v>95.400001525878906</v>
      </c>
      <c r="L994" t="s">
        <v>471</v>
      </c>
      <c r="M994">
        <v>-49.576271186440678</v>
      </c>
      <c r="N994">
        <v>-14.699537985497519</v>
      </c>
      <c r="O994">
        <v>247.35</v>
      </c>
      <c r="P994">
        <v>321.75</v>
      </c>
      <c r="Q994">
        <v>95.4</v>
      </c>
      <c r="R994" s="3" t="s">
        <v>470</v>
      </c>
      <c r="S994">
        <v>247.35</v>
      </c>
      <c r="T994" t="s">
        <v>468</v>
      </c>
    </row>
    <row r="995" spans="1:20" x14ac:dyDescent="0.25">
      <c r="A995">
        <v>137</v>
      </c>
      <c r="B995">
        <v>507265</v>
      </c>
      <c r="C995" t="s">
        <v>183</v>
      </c>
      <c r="D995">
        <v>2025</v>
      </c>
      <c r="E995">
        <v>180</v>
      </c>
      <c r="F995">
        <v>-7.19</v>
      </c>
      <c r="G995" t="s">
        <v>465</v>
      </c>
      <c r="H995">
        <v>292.5</v>
      </c>
      <c r="I995">
        <v>159</v>
      </c>
      <c r="L995" t="s">
        <v>471</v>
      </c>
      <c r="M995">
        <v>-40.681502086230871</v>
      </c>
      <c r="N995">
        <v>-22.114047287899862</v>
      </c>
      <c r="O995">
        <v>247.35</v>
      </c>
      <c r="P995">
        <v>321.75</v>
      </c>
      <c r="Q995">
        <v>95.4</v>
      </c>
      <c r="R995" s="3" t="s">
        <v>470</v>
      </c>
      <c r="S995">
        <v>247.35</v>
      </c>
      <c r="T995" t="s">
        <v>468</v>
      </c>
    </row>
    <row r="996" spans="1:20" x14ac:dyDescent="0.25">
      <c r="A996">
        <v>137</v>
      </c>
      <c r="B996">
        <v>507265</v>
      </c>
      <c r="C996" t="s">
        <v>183</v>
      </c>
      <c r="D996">
        <v>2026</v>
      </c>
      <c r="E996">
        <v>180</v>
      </c>
      <c r="F996">
        <v>-5.7</v>
      </c>
      <c r="G996" t="s">
        <v>465</v>
      </c>
      <c r="H996">
        <v>233</v>
      </c>
      <c r="I996">
        <v>151</v>
      </c>
      <c r="L996" t="s">
        <v>471</v>
      </c>
      <c r="M996">
        <v>-40.877192982456137</v>
      </c>
      <c r="N996">
        <v>-26.491228070175438</v>
      </c>
      <c r="O996">
        <v>247.35</v>
      </c>
      <c r="P996">
        <v>321.75</v>
      </c>
      <c r="Q996">
        <v>95.4</v>
      </c>
      <c r="R996" s="3" t="s">
        <v>470</v>
      </c>
      <c r="S996">
        <v>247.35</v>
      </c>
      <c r="T996" t="s">
        <v>468</v>
      </c>
    </row>
    <row r="997" spans="1:20" x14ac:dyDescent="0.25">
      <c r="A997">
        <v>138</v>
      </c>
      <c r="B997">
        <v>507300</v>
      </c>
      <c r="C997" t="s">
        <v>185</v>
      </c>
      <c r="D997">
        <v>2015</v>
      </c>
      <c r="E997">
        <v>980</v>
      </c>
      <c r="F997">
        <v>-422</v>
      </c>
      <c r="G997" t="s">
        <v>465</v>
      </c>
      <c r="H997">
        <v>864</v>
      </c>
      <c r="I997">
        <v>561.79998779296875</v>
      </c>
      <c r="L997" t="s">
        <v>471</v>
      </c>
      <c r="M997">
        <v>-2.0473933649289102</v>
      </c>
      <c r="N997">
        <v>-1.3312795919264659</v>
      </c>
      <c r="O997">
        <v>2215.6</v>
      </c>
      <c r="P997">
        <v>2450.9499999999998</v>
      </c>
      <c r="Q997">
        <v>729.55</v>
      </c>
      <c r="R997" s="3" t="s">
        <v>470</v>
      </c>
      <c r="S997">
        <v>2215.6</v>
      </c>
      <c r="T997" t="s">
        <v>468</v>
      </c>
    </row>
    <row r="998" spans="1:20" x14ac:dyDescent="0.25">
      <c r="A998">
        <v>138</v>
      </c>
      <c r="B998">
        <v>507300</v>
      </c>
      <c r="C998" t="s">
        <v>185</v>
      </c>
      <c r="D998">
        <v>2016</v>
      </c>
      <c r="E998">
        <v>980</v>
      </c>
      <c r="F998">
        <v>164</v>
      </c>
      <c r="G998" t="s">
        <v>465</v>
      </c>
      <c r="H998">
        <v>1301.599975585938</v>
      </c>
      <c r="I998">
        <v>674</v>
      </c>
      <c r="L998" t="s">
        <v>469</v>
      </c>
      <c r="M998">
        <v>7.9365852169874263</v>
      </c>
      <c r="N998">
        <v>4.1097560975609753</v>
      </c>
      <c r="O998">
        <v>2215.6</v>
      </c>
      <c r="P998">
        <v>2450.9499999999998</v>
      </c>
      <c r="Q998">
        <v>729.55</v>
      </c>
      <c r="R998" s="3" t="s">
        <v>470</v>
      </c>
      <c r="S998">
        <v>2215.6</v>
      </c>
      <c r="T998" t="s">
        <v>468</v>
      </c>
    </row>
    <row r="999" spans="1:20" x14ac:dyDescent="0.25">
      <c r="A999">
        <v>138</v>
      </c>
      <c r="B999">
        <v>507300</v>
      </c>
      <c r="C999" t="s">
        <v>185</v>
      </c>
      <c r="D999">
        <v>2017</v>
      </c>
      <c r="E999">
        <v>980</v>
      </c>
      <c r="F999">
        <v>-253.67</v>
      </c>
      <c r="G999" t="s">
        <v>465</v>
      </c>
      <c r="H999">
        <v>1059.800048828125</v>
      </c>
      <c r="I999">
        <v>630</v>
      </c>
      <c r="L999" t="s">
        <v>471</v>
      </c>
      <c r="M999">
        <v>-4.1778690772583484</v>
      </c>
      <c r="N999">
        <v>-2.4835416091772782</v>
      </c>
      <c r="O999">
        <v>2215.6</v>
      </c>
      <c r="P999">
        <v>2450.9499999999998</v>
      </c>
      <c r="Q999">
        <v>729.55</v>
      </c>
      <c r="R999" s="3" t="s">
        <v>470</v>
      </c>
      <c r="S999">
        <v>2215.6</v>
      </c>
      <c r="T999" t="s">
        <v>468</v>
      </c>
    </row>
    <row r="1000" spans="1:20" x14ac:dyDescent="0.25">
      <c r="A1000">
        <v>138</v>
      </c>
      <c r="B1000">
        <v>507300</v>
      </c>
      <c r="C1000" t="s">
        <v>185</v>
      </c>
      <c r="D1000">
        <v>2018</v>
      </c>
      <c r="E1000">
        <v>980</v>
      </c>
      <c r="F1000">
        <v>-124</v>
      </c>
      <c r="G1000" t="s">
        <v>465</v>
      </c>
      <c r="H1000">
        <v>812.25</v>
      </c>
      <c r="I1000">
        <v>326.39999389648438</v>
      </c>
      <c r="L1000" t="s">
        <v>471</v>
      </c>
      <c r="M1000">
        <v>-6.550403225806452</v>
      </c>
      <c r="N1000">
        <v>-2.6322580152942292</v>
      </c>
      <c r="O1000">
        <v>2215.6</v>
      </c>
      <c r="P1000">
        <v>2450.9499999999998</v>
      </c>
      <c r="Q1000">
        <v>729.55</v>
      </c>
      <c r="R1000" s="3" t="s">
        <v>470</v>
      </c>
      <c r="S1000">
        <v>2215.6</v>
      </c>
      <c r="T1000" t="s">
        <v>468</v>
      </c>
    </row>
    <row r="1001" spans="1:20" x14ac:dyDescent="0.25">
      <c r="A1001">
        <v>138</v>
      </c>
      <c r="B1001">
        <v>507300</v>
      </c>
      <c r="C1001" t="s">
        <v>185</v>
      </c>
      <c r="D1001">
        <v>2019</v>
      </c>
      <c r="E1001">
        <v>980</v>
      </c>
      <c r="F1001">
        <v>664.33</v>
      </c>
      <c r="G1001" t="s">
        <v>465</v>
      </c>
      <c r="H1001">
        <v>630</v>
      </c>
      <c r="I1001">
        <v>328.39999389648438</v>
      </c>
      <c r="L1001" t="s">
        <v>469</v>
      </c>
      <c r="M1001">
        <v>0.94832387518251471</v>
      </c>
      <c r="N1001">
        <v>0.49433262670131461</v>
      </c>
      <c r="O1001">
        <v>2215.6</v>
      </c>
      <c r="P1001">
        <v>2450.9499999999998</v>
      </c>
      <c r="Q1001">
        <v>729.55</v>
      </c>
      <c r="R1001" s="3" t="s">
        <v>470</v>
      </c>
      <c r="S1001">
        <v>2215.6</v>
      </c>
      <c r="T1001" t="s">
        <v>468</v>
      </c>
    </row>
    <row r="1002" spans="1:20" x14ac:dyDescent="0.25">
      <c r="A1002">
        <v>138</v>
      </c>
      <c r="B1002">
        <v>507300</v>
      </c>
      <c r="C1002" t="s">
        <v>185</v>
      </c>
      <c r="D1002">
        <v>2020</v>
      </c>
      <c r="E1002">
        <v>980</v>
      </c>
      <c r="F1002">
        <v>-152.33000000000001</v>
      </c>
      <c r="G1002" t="s">
        <v>465</v>
      </c>
      <c r="H1002">
        <v>449</v>
      </c>
      <c r="I1002">
        <v>233.46000671386719</v>
      </c>
      <c r="L1002" t="s">
        <v>471</v>
      </c>
      <c r="M1002">
        <v>-2.9475480863913872</v>
      </c>
      <c r="N1002">
        <v>-1.532593755096614</v>
      </c>
      <c r="O1002">
        <v>2215.6</v>
      </c>
      <c r="P1002">
        <v>2450.9499999999998</v>
      </c>
      <c r="Q1002">
        <v>729.55</v>
      </c>
      <c r="R1002" s="3" t="s">
        <v>470</v>
      </c>
      <c r="S1002">
        <v>2215.6</v>
      </c>
      <c r="T1002" t="s">
        <v>468</v>
      </c>
    </row>
    <row r="1003" spans="1:20" x14ac:dyDescent="0.25">
      <c r="A1003">
        <v>138</v>
      </c>
      <c r="B1003">
        <v>507300</v>
      </c>
      <c r="C1003" t="s">
        <v>185</v>
      </c>
      <c r="D1003">
        <v>2021</v>
      </c>
      <c r="E1003">
        <v>980</v>
      </c>
      <c r="F1003">
        <v>-97.33</v>
      </c>
      <c r="G1003" t="s">
        <v>465</v>
      </c>
      <c r="H1003">
        <v>620</v>
      </c>
      <c r="I1003">
        <v>326</v>
      </c>
      <c r="L1003" t="s">
        <v>471</v>
      </c>
      <c r="M1003">
        <v>-6.3700811671632591</v>
      </c>
      <c r="N1003">
        <v>-3.3494297749922941</v>
      </c>
      <c r="O1003">
        <v>2215.6</v>
      </c>
      <c r="P1003">
        <v>2450.9499999999998</v>
      </c>
      <c r="Q1003">
        <v>729.55</v>
      </c>
      <c r="R1003" s="3" t="s">
        <v>470</v>
      </c>
      <c r="S1003">
        <v>2215.6</v>
      </c>
      <c r="T1003" t="s">
        <v>468</v>
      </c>
    </row>
    <row r="1004" spans="1:20" x14ac:dyDescent="0.25">
      <c r="A1004">
        <v>138</v>
      </c>
      <c r="B1004">
        <v>507300</v>
      </c>
      <c r="C1004" t="s">
        <v>185</v>
      </c>
      <c r="D1004">
        <v>2022</v>
      </c>
      <c r="E1004">
        <v>980</v>
      </c>
      <c r="F1004">
        <v>65</v>
      </c>
      <c r="G1004" t="s">
        <v>465</v>
      </c>
      <c r="H1004">
        <v>1230.75</v>
      </c>
      <c r="I1004">
        <v>414.25</v>
      </c>
      <c r="L1004" t="s">
        <v>469</v>
      </c>
      <c r="M1004">
        <v>18.93461538461538</v>
      </c>
      <c r="N1004">
        <v>6.3730769230769226</v>
      </c>
      <c r="O1004">
        <v>2215.6</v>
      </c>
      <c r="P1004">
        <v>2450.9499999999998</v>
      </c>
      <c r="Q1004">
        <v>729.55</v>
      </c>
      <c r="R1004" s="3" t="s">
        <v>470</v>
      </c>
      <c r="S1004">
        <v>2215.6</v>
      </c>
      <c r="T1004" t="s">
        <v>468</v>
      </c>
    </row>
    <row r="1005" spans="1:20" x14ac:dyDescent="0.25">
      <c r="A1005">
        <v>138</v>
      </c>
      <c r="B1005">
        <v>507300</v>
      </c>
      <c r="C1005" t="s">
        <v>185</v>
      </c>
      <c r="D1005">
        <v>2023</v>
      </c>
      <c r="E1005">
        <v>980</v>
      </c>
      <c r="F1005">
        <v>-85.33</v>
      </c>
      <c r="G1005" t="s">
        <v>465</v>
      </c>
      <c r="H1005">
        <v>1157.25</v>
      </c>
      <c r="I1005">
        <v>596.20001220703125</v>
      </c>
      <c r="L1005" t="s">
        <v>471</v>
      </c>
      <c r="M1005">
        <v>-13.56205320520333</v>
      </c>
      <c r="N1005">
        <v>-6.9869918224192107</v>
      </c>
      <c r="O1005">
        <v>2215.6</v>
      </c>
      <c r="P1005">
        <v>2450.9499999999998</v>
      </c>
      <c r="Q1005">
        <v>729.55</v>
      </c>
      <c r="R1005" s="3" t="s">
        <v>470</v>
      </c>
      <c r="S1005">
        <v>2215.6</v>
      </c>
      <c r="T1005" t="s">
        <v>468</v>
      </c>
    </row>
    <row r="1006" spans="1:20" x14ac:dyDescent="0.25">
      <c r="A1006">
        <v>138</v>
      </c>
      <c r="B1006">
        <v>507300</v>
      </c>
      <c r="C1006" t="s">
        <v>185</v>
      </c>
      <c r="D1006">
        <v>2024</v>
      </c>
      <c r="E1006">
        <v>980</v>
      </c>
      <c r="F1006">
        <v>509.12</v>
      </c>
      <c r="G1006" t="s">
        <v>465</v>
      </c>
      <c r="H1006">
        <v>2450.949951171875</v>
      </c>
      <c r="I1006">
        <v>729.54998779296875</v>
      </c>
      <c r="L1006" t="s">
        <v>469</v>
      </c>
      <c r="M1006">
        <v>4.8140908846084907</v>
      </c>
      <c r="N1006">
        <v>1.4329627352941721</v>
      </c>
      <c r="O1006">
        <v>2215.6</v>
      </c>
      <c r="P1006">
        <v>2450.9499999999998</v>
      </c>
      <c r="Q1006">
        <v>729.55</v>
      </c>
      <c r="R1006" s="3" t="s">
        <v>470</v>
      </c>
      <c r="S1006">
        <v>2215.6</v>
      </c>
      <c r="T1006" t="s">
        <v>468</v>
      </c>
    </row>
    <row r="1007" spans="1:20" x14ac:dyDescent="0.25">
      <c r="A1007">
        <v>138</v>
      </c>
      <c r="B1007">
        <v>507300</v>
      </c>
      <c r="C1007" t="s">
        <v>185</v>
      </c>
      <c r="D1007">
        <v>2025</v>
      </c>
      <c r="E1007">
        <v>980</v>
      </c>
      <c r="F1007">
        <v>-59.71</v>
      </c>
      <c r="G1007" t="s">
        <v>465</v>
      </c>
      <c r="H1007">
        <v>1470</v>
      </c>
      <c r="I1007">
        <v>900</v>
      </c>
      <c r="L1007" t="s">
        <v>471</v>
      </c>
      <c r="M1007">
        <v>-24.618991793669402</v>
      </c>
      <c r="N1007">
        <v>-15.072852118573101</v>
      </c>
      <c r="O1007">
        <v>2215.6</v>
      </c>
      <c r="P1007">
        <v>2450.9499999999998</v>
      </c>
      <c r="Q1007">
        <v>729.55</v>
      </c>
      <c r="R1007" s="3" t="s">
        <v>470</v>
      </c>
      <c r="S1007">
        <v>2215.6</v>
      </c>
      <c r="T1007" t="s">
        <v>468</v>
      </c>
    </row>
    <row r="1008" spans="1:20" x14ac:dyDescent="0.25">
      <c r="A1008">
        <v>138</v>
      </c>
      <c r="B1008">
        <v>507300</v>
      </c>
      <c r="C1008" t="s">
        <v>185</v>
      </c>
      <c r="D1008">
        <v>2026</v>
      </c>
      <c r="E1008">
        <v>980</v>
      </c>
      <c r="F1008">
        <v>-143.24</v>
      </c>
      <c r="G1008" t="s">
        <v>465</v>
      </c>
      <c r="H1008">
        <v>1144</v>
      </c>
      <c r="I1008">
        <v>812.04998779296875</v>
      </c>
      <c r="L1008" t="s">
        <v>471</v>
      </c>
      <c r="M1008">
        <v>-7.986595922926556</v>
      </c>
      <c r="N1008">
        <v>-5.6691565749299686</v>
      </c>
      <c r="O1008">
        <v>2215.6</v>
      </c>
      <c r="P1008">
        <v>2450.9499999999998</v>
      </c>
      <c r="Q1008">
        <v>729.55</v>
      </c>
      <c r="R1008" s="3" t="s">
        <v>470</v>
      </c>
      <c r="S1008">
        <v>2215.6</v>
      </c>
      <c r="T1008" t="s">
        <v>468</v>
      </c>
    </row>
    <row r="1009" spans="1:20" x14ac:dyDescent="0.25">
      <c r="A1009">
        <v>139</v>
      </c>
      <c r="B1009">
        <v>507438</v>
      </c>
      <c r="C1009" t="s">
        <v>187</v>
      </c>
      <c r="D1009">
        <v>2015</v>
      </c>
      <c r="E1009">
        <v>1031.849975585938</v>
      </c>
      <c r="G1009" t="s">
        <v>465</v>
      </c>
      <c r="H1009">
        <v>482.79998779296881</v>
      </c>
      <c r="I1009">
        <v>230</v>
      </c>
      <c r="L1009" t="s">
        <v>466</v>
      </c>
      <c r="O1009">
        <v>1322.9</v>
      </c>
      <c r="P1009">
        <v>2019.8</v>
      </c>
      <c r="Q1009">
        <v>883.2</v>
      </c>
      <c r="R1009" s="3" t="s">
        <v>470</v>
      </c>
      <c r="S1009">
        <v>1322.9</v>
      </c>
      <c r="T1009" t="s">
        <v>468</v>
      </c>
    </row>
    <row r="1010" spans="1:20" x14ac:dyDescent="0.25">
      <c r="A1010">
        <v>139</v>
      </c>
      <c r="B1010">
        <v>507438</v>
      </c>
      <c r="C1010" t="s">
        <v>187</v>
      </c>
      <c r="D1010">
        <v>2016</v>
      </c>
      <c r="E1010">
        <v>1031.849975585938</v>
      </c>
      <c r="G1010" t="s">
        <v>465</v>
      </c>
      <c r="H1010">
        <v>518.9000244140625</v>
      </c>
      <c r="I1010">
        <v>327.20001220703119</v>
      </c>
      <c r="L1010" t="s">
        <v>466</v>
      </c>
      <c r="O1010">
        <v>1322.9</v>
      </c>
      <c r="P1010">
        <v>2019.8</v>
      </c>
      <c r="Q1010">
        <v>883.2</v>
      </c>
      <c r="R1010" s="3" t="s">
        <v>470</v>
      </c>
      <c r="S1010">
        <v>1322.9</v>
      </c>
      <c r="T1010" t="s">
        <v>468</v>
      </c>
    </row>
    <row r="1011" spans="1:20" x14ac:dyDescent="0.25">
      <c r="A1011">
        <v>139</v>
      </c>
      <c r="B1011">
        <v>507438</v>
      </c>
      <c r="C1011" t="s">
        <v>187</v>
      </c>
      <c r="D1011">
        <v>2017</v>
      </c>
      <c r="E1011">
        <v>1031.849975585938</v>
      </c>
      <c r="G1011" t="s">
        <v>465</v>
      </c>
      <c r="H1011">
        <v>938.9000244140625</v>
      </c>
      <c r="I1011">
        <v>366</v>
      </c>
      <c r="L1011" t="s">
        <v>466</v>
      </c>
      <c r="O1011">
        <v>1322.9</v>
      </c>
      <c r="P1011">
        <v>2019.8</v>
      </c>
      <c r="Q1011">
        <v>883.2</v>
      </c>
      <c r="R1011" s="3" t="s">
        <v>470</v>
      </c>
      <c r="S1011">
        <v>1322.9</v>
      </c>
      <c r="T1011" t="s">
        <v>468</v>
      </c>
    </row>
    <row r="1012" spans="1:20" x14ac:dyDescent="0.25">
      <c r="A1012">
        <v>139</v>
      </c>
      <c r="B1012">
        <v>507438</v>
      </c>
      <c r="C1012" t="s">
        <v>187</v>
      </c>
      <c r="D1012">
        <v>2018</v>
      </c>
      <c r="E1012">
        <v>1031.849975585938</v>
      </c>
      <c r="F1012">
        <v>30.56</v>
      </c>
      <c r="G1012" t="s">
        <v>465</v>
      </c>
      <c r="H1012">
        <v>885.5999755859375</v>
      </c>
      <c r="I1012">
        <v>452.54998779296881</v>
      </c>
      <c r="L1012" t="s">
        <v>469</v>
      </c>
      <c r="M1012">
        <v>28.979056792733559</v>
      </c>
      <c r="N1012">
        <v>14.808572898984581</v>
      </c>
      <c r="O1012">
        <v>1322.9</v>
      </c>
      <c r="P1012">
        <v>2019.8</v>
      </c>
      <c r="Q1012">
        <v>883.2</v>
      </c>
      <c r="R1012" s="3" t="s">
        <v>470</v>
      </c>
      <c r="S1012">
        <v>1322.9</v>
      </c>
      <c r="T1012" t="s">
        <v>468</v>
      </c>
    </row>
    <row r="1013" spans="1:20" x14ac:dyDescent="0.25">
      <c r="A1013">
        <v>139</v>
      </c>
      <c r="B1013">
        <v>507438</v>
      </c>
      <c r="C1013" t="s">
        <v>187</v>
      </c>
      <c r="D1013">
        <v>2019</v>
      </c>
      <c r="E1013">
        <v>1031.849975585938</v>
      </c>
      <c r="F1013">
        <v>33.479999999999997</v>
      </c>
      <c r="G1013" t="s">
        <v>465</v>
      </c>
      <c r="H1013">
        <v>705</v>
      </c>
      <c r="I1013">
        <v>241.05000305175781</v>
      </c>
      <c r="L1013" t="s">
        <v>469</v>
      </c>
      <c r="M1013">
        <v>21.057347670250898</v>
      </c>
      <c r="N1013">
        <v>7.1998208796821332</v>
      </c>
      <c r="O1013">
        <v>1322.9</v>
      </c>
      <c r="P1013">
        <v>2019.8</v>
      </c>
      <c r="Q1013">
        <v>883.2</v>
      </c>
      <c r="R1013" s="3" t="s">
        <v>470</v>
      </c>
      <c r="S1013">
        <v>1322.9</v>
      </c>
      <c r="T1013" t="s">
        <v>468</v>
      </c>
    </row>
    <row r="1014" spans="1:20" x14ac:dyDescent="0.25">
      <c r="A1014">
        <v>139</v>
      </c>
      <c r="B1014">
        <v>507438</v>
      </c>
      <c r="C1014" t="s">
        <v>187</v>
      </c>
      <c r="D1014">
        <v>2020</v>
      </c>
      <c r="E1014">
        <v>1031.849975585938</v>
      </c>
      <c r="F1014">
        <v>23.69</v>
      </c>
      <c r="G1014" t="s">
        <v>465</v>
      </c>
      <c r="H1014">
        <v>625.20001220703125</v>
      </c>
      <c r="I1014">
        <v>147.30000305175781</v>
      </c>
      <c r="L1014" t="s">
        <v>469</v>
      </c>
      <c r="M1014">
        <v>26.390882744070549</v>
      </c>
      <c r="N1014">
        <v>6.217813552205901</v>
      </c>
      <c r="O1014">
        <v>1322.9</v>
      </c>
      <c r="P1014">
        <v>2019.8</v>
      </c>
      <c r="Q1014">
        <v>883.2</v>
      </c>
      <c r="R1014" s="3" t="s">
        <v>470</v>
      </c>
      <c r="S1014">
        <v>1322.9</v>
      </c>
      <c r="T1014" t="s">
        <v>468</v>
      </c>
    </row>
    <row r="1015" spans="1:20" x14ac:dyDescent="0.25">
      <c r="A1015">
        <v>139</v>
      </c>
      <c r="B1015">
        <v>507438</v>
      </c>
      <c r="C1015" t="s">
        <v>187</v>
      </c>
      <c r="D1015">
        <v>2021</v>
      </c>
      <c r="E1015">
        <v>1031.849975585938</v>
      </c>
      <c r="F1015">
        <v>49.51</v>
      </c>
      <c r="G1015" t="s">
        <v>465</v>
      </c>
      <c r="H1015">
        <v>759</v>
      </c>
      <c r="I1015">
        <v>365.39999389648438</v>
      </c>
      <c r="L1015" t="s">
        <v>469</v>
      </c>
      <c r="M1015">
        <v>15.33023631589578</v>
      </c>
      <c r="N1015">
        <v>7.3803270833464829</v>
      </c>
      <c r="O1015">
        <v>1322.9</v>
      </c>
      <c r="P1015">
        <v>2019.8</v>
      </c>
      <c r="Q1015">
        <v>883.2</v>
      </c>
      <c r="R1015" s="3" t="s">
        <v>470</v>
      </c>
      <c r="S1015">
        <v>1322.9</v>
      </c>
      <c r="T1015" t="s">
        <v>468</v>
      </c>
    </row>
    <row r="1016" spans="1:20" x14ac:dyDescent="0.25">
      <c r="A1016">
        <v>139</v>
      </c>
      <c r="B1016">
        <v>507438</v>
      </c>
      <c r="C1016" t="s">
        <v>187</v>
      </c>
      <c r="D1016">
        <v>2022</v>
      </c>
      <c r="E1016">
        <v>1031.849975585938</v>
      </c>
      <c r="F1016">
        <v>62.5</v>
      </c>
      <c r="G1016" t="s">
        <v>465</v>
      </c>
      <c r="H1016">
        <v>866.25</v>
      </c>
      <c r="I1016">
        <v>506.35000610351563</v>
      </c>
      <c r="L1016" t="s">
        <v>469</v>
      </c>
      <c r="M1016">
        <v>13.86</v>
      </c>
      <c r="N1016">
        <v>8.1016000976562506</v>
      </c>
      <c r="O1016">
        <v>1322.9</v>
      </c>
      <c r="P1016">
        <v>2019.8</v>
      </c>
      <c r="Q1016">
        <v>883.2</v>
      </c>
      <c r="R1016" s="3" t="s">
        <v>470</v>
      </c>
      <c r="S1016">
        <v>1322.9</v>
      </c>
      <c r="T1016" t="s">
        <v>468</v>
      </c>
    </row>
    <row r="1017" spans="1:20" x14ac:dyDescent="0.25">
      <c r="A1017">
        <v>139</v>
      </c>
      <c r="B1017">
        <v>507438</v>
      </c>
      <c r="C1017" t="s">
        <v>187</v>
      </c>
      <c r="D1017">
        <v>2023</v>
      </c>
      <c r="E1017">
        <v>1031.849975585938</v>
      </c>
      <c r="F1017">
        <v>52.45</v>
      </c>
      <c r="G1017" t="s">
        <v>465</v>
      </c>
      <c r="H1017">
        <v>584.54998779296875</v>
      </c>
      <c r="I1017">
        <v>415</v>
      </c>
      <c r="L1017" t="s">
        <v>469</v>
      </c>
      <c r="M1017">
        <v>11.14489967193458</v>
      </c>
      <c r="N1017">
        <v>7.912297426120114</v>
      </c>
      <c r="O1017">
        <v>1322.9</v>
      </c>
      <c r="P1017">
        <v>2019.8</v>
      </c>
      <c r="Q1017">
        <v>883.2</v>
      </c>
      <c r="R1017" s="3" t="s">
        <v>470</v>
      </c>
      <c r="S1017">
        <v>1322.9</v>
      </c>
      <c r="T1017" t="s">
        <v>468</v>
      </c>
    </row>
    <row r="1018" spans="1:20" x14ac:dyDescent="0.25">
      <c r="A1018">
        <v>139</v>
      </c>
      <c r="B1018">
        <v>507438</v>
      </c>
      <c r="C1018" t="s">
        <v>187</v>
      </c>
      <c r="D1018">
        <v>2024</v>
      </c>
      <c r="E1018">
        <v>1031.849975585938</v>
      </c>
      <c r="F1018">
        <v>-8.6300000000000008</v>
      </c>
      <c r="G1018" t="s">
        <v>465</v>
      </c>
      <c r="H1018">
        <v>652.5</v>
      </c>
      <c r="I1018">
        <v>390.25</v>
      </c>
      <c r="L1018" t="s">
        <v>471</v>
      </c>
      <c r="M1018">
        <v>-75.608342989571256</v>
      </c>
      <c r="N1018">
        <v>-45.220162224797207</v>
      </c>
      <c r="O1018">
        <v>1322.9</v>
      </c>
      <c r="P1018">
        <v>2019.8</v>
      </c>
      <c r="Q1018">
        <v>883.2</v>
      </c>
      <c r="R1018" s="3" t="s">
        <v>470</v>
      </c>
      <c r="S1018">
        <v>1322.9</v>
      </c>
      <c r="T1018" t="s">
        <v>468</v>
      </c>
    </row>
    <row r="1019" spans="1:20" x14ac:dyDescent="0.25">
      <c r="A1019">
        <v>139</v>
      </c>
      <c r="B1019">
        <v>507438</v>
      </c>
      <c r="C1019" t="s">
        <v>187</v>
      </c>
      <c r="D1019">
        <v>2025</v>
      </c>
      <c r="E1019">
        <v>1031.849975585938</v>
      </c>
      <c r="F1019">
        <v>23.85</v>
      </c>
      <c r="G1019" t="s">
        <v>465</v>
      </c>
      <c r="H1019">
        <v>1639.25</v>
      </c>
      <c r="I1019">
        <v>436.95001220703119</v>
      </c>
      <c r="L1019" t="s">
        <v>469</v>
      </c>
      <c r="M1019">
        <v>68.731656184486368</v>
      </c>
      <c r="N1019">
        <v>18.320755228806341</v>
      </c>
      <c r="O1019">
        <v>1322.9</v>
      </c>
      <c r="P1019">
        <v>2019.8</v>
      </c>
      <c r="Q1019">
        <v>883.2</v>
      </c>
      <c r="R1019" s="3" t="s">
        <v>470</v>
      </c>
      <c r="S1019">
        <v>1322.9</v>
      </c>
      <c r="T1019" t="s">
        <v>468</v>
      </c>
    </row>
    <row r="1020" spans="1:20" x14ac:dyDescent="0.25">
      <c r="A1020">
        <v>139</v>
      </c>
      <c r="B1020">
        <v>507438</v>
      </c>
      <c r="C1020" t="s">
        <v>187</v>
      </c>
      <c r="D1020">
        <v>2026</v>
      </c>
      <c r="E1020">
        <v>1031.849975585938</v>
      </c>
      <c r="F1020">
        <v>60.3</v>
      </c>
      <c r="G1020" t="s">
        <v>465</v>
      </c>
      <c r="H1020">
        <v>1795</v>
      </c>
      <c r="I1020">
        <v>677.04998779296875</v>
      </c>
      <c r="L1020" t="s">
        <v>469</v>
      </c>
      <c r="M1020">
        <v>29.767827529021559</v>
      </c>
      <c r="N1020">
        <v>11.22802633155835</v>
      </c>
      <c r="O1020">
        <v>1322.9</v>
      </c>
      <c r="P1020">
        <v>2019.8</v>
      </c>
      <c r="Q1020">
        <v>883.2</v>
      </c>
      <c r="R1020" s="3" t="s">
        <v>470</v>
      </c>
      <c r="S1020">
        <v>1322.9</v>
      </c>
      <c r="T1020" t="s">
        <v>468</v>
      </c>
    </row>
    <row r="1021" spans="1:20" x14ac:dyDescent="0.25">
      <c r="A1021">
        <v>146</v>
      </c>
      <c r="B1021">
        <v>507960</v>
      </c>
      <c r="C1021" t="s">
        <v>189</v>
      </c>
      <c r="D1021">
        <v>2015</v>
      </c>
      <c r="E1021">
        <v>189.8999938964844</v>
      </c>
      <c r="F1021">
        <v>7.21</v>
      </c>
      <c r="G1021" t="s">
        <v>465</v>
      </c>
      <c r="H1021">
        <v>158.80000305175781</v>
      </c>
      <c r="I1021">
        <v>106</v>
      </c>
      <c r="L1021" t="s">
        <v>469</v>
      </c>
      <c r="M1021">
        <v>22.024965749203581</v>
      </c>
      <c r="N1021">
        <v>14.70180305131762</v>
      </c>
      <c r="O1021">
        <v>216.45</v>
      </c>
      <c r="P1021">
        <v>341.2</v>
      </c>
      <c r="Q1021">
        <v>158</v>
      </c>
      <c r="R1021" s="3" t="s">
        <v>470</v>
      </c>
      <c r="S1021">
        <v>216.45</v>
      </c>
      <c r="T1021" t="s">
        <v>468</v>
      </c>
    </row>
    <row r="1022" spans="1:20" x14ac:dyDescent="0.25">
      <c r="A1022">
        <v>146</v>
      </c>
      <c r="B1022">
        <v>507960</v>
      </c>
      <c r="C1022" t="s">
        <v>189</v>
      </c>
      <c r="D1022">
        <v>2016</v>
      </c>
      <c r="E1022">
        <v>189.8999938964844</v>
      </c>
      <c r="F1022">
        <v>8.58</v>
      </c>
      <c r="G1022" t="s">
        <v>465</v>
      </c>
      <c r="H1022">
        <v>144.69999694824219</v>
      </c>
      <c r="I1022">
        <v>101.90000152587891</v>
      </c>
      <c r="L1022" t="s">
        <v>469</v>
      </c>
      <c r="M1022">
        <v>16.86480150911914</v>
      </c>
      <c r="N1022">
        <v>11.876457054298241</v>
      </c>
      <c r="O1022">
        <v>216.45</v>
      </c>
      <c r="P1022">
        <v>341.2</v>
      </c>
      <c r="Q1022">
        <v>158</v>
      </c>
      <c r="R1022" s="3" t="s">
        <v>470</v>
      </c>
      <c r="S1022">
        <v>216.45</v>
      </c>
      <c r="T1022" t="s">
        <v>468</v>
      </c>
    </row>
    <row r="1023" spans="1:20" x14ac:dyDescent="0.25">
      <c r="A1023">
        <v>146</v>
      </c>
      <c r="B1023">
        <v>507960</v>
      </c>
      <c r="C1023" t="s">
        <v>189</v>
      </c>
      <c r="D1023">
        <v>2017</v>
      </c>
      <c r="E1023">
        <v>189.8999938964844</v>
      </c>
      <c r="F1023">
        <v>10.19</v>
      </c>
      <c r="G1023" t="s">
        <v>465</v>
      </c>
      <c r="H1023">
        <v>161</v>
      </c>
      <c r="I1023">
        <v>110.4499969482422</v>
      </c>
      <c r="L1023" t="s">
        <v>469</v>
      </c>
      <c r="M1023">
        <v>15.79980372914622</v>
      </c>
      <c r="N1023">
        <v>10.839057600416311</v>
      </c>
      <c r="O1023">
        <v>216.45</v>
      </c>
      <c r="P1023">
        <v>341.2</v>
      </c>
      <c r="Q1023">
        <v>158</v>
      </c>
      <c r="R1023" s="3" t="s">
        <v>470</v>
      </c>
      <c r="S1023">
        <v>216.45</v>
      </c>
      <c r="T1023" t="s">
        <v>468</v>
      </c>
    </row>
    <row r="1024" spans="1:20" x14ac:dyDescent="0.25">
      <c r="A1024">
        <v>146</v>
      </c>
      <c r="B1024">
        <v>507960</v>
      </c>
      <c r="C1024" t="s">
        <v>189</v>
      </c>
      <c r="D1024">
        <v>2018</v>
      </c>
      <c r="E1024">
        <v>189.8999938964844</v>
      </c>
      <c r="F1024">
        <v>8.9</v>
      </c>
      <c r="G1024" t="s">
        <v>465</v>
      </c>
      <c r="H1024">
        <v>140</v>
      </c>
      <c r="I1024">
        <v>105.0500030517578</v>
      </c>
      <c r="L1024" t="s">
        <v>469</v>
      </c>
      <c r="M1024">
        <v>15.730337078651679</v>
      </c>
      <c r="N1024">
        <v>11.803371129410991</v>
      </c>
      <c r="O1024">
        <v>216.45</v>
      </c>
      <c r="P1024">
        <v>341.2</v>
      </c>
      <c r="Q1024">
        <v>158</v>
      </c>
      <c r="R1024" s="3" t="s">
        <v>470</v>
      </c>
      <c r="S1024">
        <v>216.45</v>
      </c>
      <c r="T1024" t="s">
        <v>468</v>
      </c>
    </row>
    <row r="1025" spans="1:20" x14ac:dyDescent="0.25">
      <c r="A1025">
        <v>146</v>
      </c>
      <c r="B1025">
        <v>507960</v>
      </c>
      <c r="C1025" t="s">
        <v>189</v>
      </c>
      <c r="D1025">
        <v>2019</v>
      </c>
      <c r="E1025">
        <v>189.8999938964844</v>
      </c>
      <c r="F1025">
        <v>10.77</v>
      </c>
      <c r="G1025" t="s">
        <v>465</v>
      </c>
      <c r="H1025">
        <v>114.84999847412109</v>
      </c>
      <c r="I1025">
        <v>98</v>
      </c>
      <c r="L1025" t="s">
        <v>469</v>
      </c>
      <c r="M1025">
        <v>10.663881009667699</v>
      </c>
      <c r="N1025">
        <v>9.0993500464252559</v>
      </c>
      <c r="O1025">
        <v>216.45</v>
      </c>
      <c r="P1025">
        <v>341.2</v>
      </c>
      <c r="Q1025">
        <v>158</v>
      </c>
      <c r="R1025" s="3" t="s">
        <v>470</v>
      </c>
      <c r="S1025">
        <v>216.45</v>
      </c>
      <c r="T1025" t="s">
        <v>468</v>
      </c>
    </row>
    <row r="1026" spans="1:20" x14ac:dyDescent="0.25">
      <c r="A1026">
        <v>146</v>
      </c>
      <c r="B1026">
        <v>507960</v>
      </c>
      <c r="C1026" t="s">
        <v>189</v>
      </c>
      <c r="D1026">
        <v>2020</v>
      </c>
      <c r="E1026">
        <v>189.8999938964844</v>
      </c>
      <c r="F1026">
        <v>11.35</v>
      </c>
      <c r="G1026" t="s">
        <v>465</v>
      </c>
      <c r="H1026">
        <v>118.90000152587891</v>
      </c>
      <c r="I1026">
        <v>71</v>
      </c>
      <c r="L1026" t="s">
        <v>469</v>
      </c>
      <c r="M1026">
        <v>10.4757710595488</v>
      </c>
      <c r="N1026">
        <v>6.2555066079295152</v>
      </c>
      <c r="O1026">
        <v>216.45</v>
      </c>
      <c r="P1026">
        <v>341.2</v>
      </c>
      <c r="Q1026">
        <v>158</v>
      </c>
      <c r="R1026" s="3" t="s">
        <v>470</v>
      </c>
      <c r="S1026">
        <v>216.45</v>
      </c>
      <c r="T1026" t="s">
        <v>468</v>
      </c>
    </row>
    <row r="1027" spans="1:20" x14ac:dyDescent="0.25">
      <c r="A1027">
        <v>146</v>
      </c>
      <c r="B1027">
        <v>507960</v>
      </c>
      <c r="C1027" t="s">
        <v>189</v>
      </c>
      <c r="D1027">
        <v>2021</v>
      </c>
      <c r="E1027">
        <v>189.8999938964844</v>
      </c>
      <c r="F1027">
        <v>5.99</v>
      </c>
      <c r="G1027" t="s">
        <v>465</v>
      </c>
      <c r="H1027">
        <v>204.44999694824219</v>
      </c>
      <c r="I1027">
        <v>95.199996948242188</v>
      </c>
      <c r="L1027" t="s">
        <v>469</v>
      </c>
      <c r="M1027">
        <v>34.13188596798701</v>
      </c>
      <c r="N1027">
        <v>15.893154749289179</v>
      </c>
      <c r="O1027">
        <v>216.45</v>
      </c>
      <c r="P1027">
        <v>341.2</v>
      </c>
      <c r="Q1027">
        <v>158</v>
      </c>
      <c r="R1027" s="3" t="s">
        <v>470</v>
      </c>
      <c r="S1027">
        <v>216.45</v>
      </c>
      <c r="T1027" t="s">
        <v>468</v>
      </c>
    </row>
    <row r="1028" spans="1:20" x14ac:dyDescent="0.25">
      <c r="A1028">
        <v>146</v>
      </c>
      <c r="B1028">
        <v>507960</v>
      </c>
      <c r="C1028" t="s">
        <v>189</v>
      </c>
      <c r="D1028">
        <v>2022</v>
      </c>
      <c r="E1028">
        <v>189.8999938964844</v>
      </c>
      <c r="F1028">
        <v>7.18</v>
      </c>
      <c r="G1028" t="s">
        <v>465</v>
      </c>
      <c r="H1028">
        <v>169.94999694824219</v>
      </c>
      <c r="I1028">
        <v>108.9499969482422</v>
      </c>
      <c r="L1028" t="s">
        <v>469</v>
      </c>
      <c r="M1028">
        <v>23.66991600950448</v>
      </c>
      <c r="N1028">
        <v>15.17409428248499</v>
      </c>
      <c r="O1028">
        <v>216.45</v>
      </c>
      <c r="P1028">
        <v>341.2</v>
      </c>
      <c r="Q1028">
        <v>158</v>
      </c>
      <c r="R1028" s="3" t="s">
        <v>470</v>
      </c>
      <c r="S1028">
        <v>216.45</v>
      </c>
      <c r="T1028" t="s">
        <v>468</v>
      </c>
    </row>
    <row r="1029" spans="1:20" x14ac:dyDescent="0.25">
      <c r="A1029">
        <v>146</v>
      </c>
      <c r="B1029">
        <v>507960</v>
      </c>
      <c r="C1029" t="s">
        <v>189</v>
      </c>
      <c r="D1029">
        <v>2023</v>
      </c>
      <c r="E1029">
        <v>189.8999938964844</v>
      </c>
      <c r="F1029">
        <v>11.22</v>
      </c>
      <c r="G1029" t="s">
        <v>465</v>
      </c>
      <c r="H1029">
        <v>170.80000305175781</v>
      </c>
      <c r="I1029">
        <v>124.1999969482422</v>
      </c>
      <c r="L1029" t="s">
        <v>469</v>
      </c>
      <c r="M1029">
        <v>15.222816671279659</v>
      </c>
      <c r="N1029">
        <v>11.069518444584871</v>
      </c>
      <c r="O1029">
        <v>216.45</v>
      </c>
      <c r="P1029">
        <v>341.2</v>
      </c>
      <c r="Q1029">
        <v>158</v>
      </c>
      <c r="R1029" s="3" t="s">
        <v>470</v>
      </c>
      <c r="S1029">
        <v>216.45</v>
      </c>
      <c r="T1029" t="s">
        <v>468</v>
      </c>
    </row>
    <row r="1030" spans="1:20" x14ac:dyDescent="0.25">
      <c r="A1030">
        <v>146</v>
      </c>
      <c r="B1030">
        <v>507960</v>
      </c>
      <c r="C1030" t="s">
        <v>189</v>
      </c>
      <c r="D1030">
        <v>2024</v>
      </c>
      <c r="E1030">
        <v>189.8999938964844</v>
      </c>
      <c r="F1030">
        <v>12.46</v>
      </c>
      <c r="G1030" t="s">
        <v>465</v>
      </c>
      <c r="H1030">
        <v>341.20001220703119</v>
      </c>
      <c r="I1030">
        <v>158</v>
      </c>
      <c r="L1030" t="s">
        <v>469</v>
      </c>
      <c r="M1030">
        <v>27.383628588044239</v>
      </c>
      <c r="N1030">
        <v>12.680577849117171</v>
      </c>
      <c r="O1030">
        <v>216.45</v>
      </c>
      <c r="P1030">
        <v>341.2</v>
      </c>
      <c r="Q1030">
        <v>158</v>
      </c>
      <c r="R1030" s="3" t="s">
        <v>470</v>
      </c>
      <c r="S1030">
        <v>216.45</v>
      </c>
      <c r="T1030" t="s">
        <v>468</v>
      </c>
    </row>
    <row r="1031" spans="1:20" x14ac:dyDescent="0.25">
      <c r="A1031">
        <v>146</v>
      </c>
      <c r="B1031">
        <v>507960</v>
      </c>
      <c r="C1031" t="s">
        <v>189</v>
      </c>
      <c r="D1031">
        <v>2025</v>
      </c>
      <c r="E1031">
        <v>189.8999938964844</v>
      </c>
      <c r="F1031">
        <v>13.99</v>
      </c>
      <c r="G1031" t="s">
        <v>465</v>
      </c>
      <c r="H1031">
        <v>375</v>
      </c>
      <c r="I1031">
        <v>196.1000061035156</v>
      </c>
      <c r="L1031" t="s">
        <v>469</v>
      </c>
      <c r="M1031">
        <v>26.804860614724799</v>
      </c>
      <c r="N1031">
        <v>14.01715554707045</v>
      </c>
      <c r="O1031">
        <v>216.45</v>
      </c>
      <c r="P1031">
        <v>341.2</v>
      </c>
      <c r="Q1031">
        <v>158</v>
      </c>
      <c r="R1031" s="3" t="s">
        <v>470</v>
      </c>
      <c r="S1031">
        <v>216.45</v>
      </c>
      <c r="T1031" t="s">
        <v>468</v>
      </c>
    </row>
    <row r="1032" spans="1:20" x14ac:dyDescent="0.25">
      <c r="A1032">
        <v>146</v>
      </c>
      <c r="B1032">
        <v>507960</v>
      </c>
      <c r="C1032" t="s">
        <v>189</v>
      </c>
      <c r="D1032">
        <v>2026</v>
      </c>
      <c r="E1032">
        <v>189.8999938964844</v>
      </c>
      <c r="F1032">
        <v>14.94</v>
      </c>
      <c r="G1032" t="s">
        <v>465</v>
      </c>
      <c r="H1032">
        <v>232</v>
      </c>
      <c r="I1032">
        <v>165.5</v>
      </c>
      <c r="L1032" t="s">
        <v>469</v>
      </c>
      <c r="M1032">
        <v>15.52878179384204</v>
      </c>
      <c r="N1032">
        <v>11.077643908969209</v>
      </c>
      <c r="O1032">
        <v>216.45</v>
      </c>
      <c r="P1032">
        <v>341.2</v>
      </c>
      <c r="Q1032">
        <v>158</v>
      </c>
      <c r="R1032" s="3" t="s">
        <v>470</v>
      </c>
      <c r="S1032">
        <v>216.45</v>
      </c>
      <c r="T1032" t="s">
        <v>468</v>
      </c>
    </row>
    <row r="1033" spans="1:20" x14ac:dyDescent="0.25">
      <c r="A1033">
        <v>147</v>
      </c>
      <c r="B1033">
        <v>508136</v>
      </c>
      <c r="C1033" t="s">
        <v>191</v>
      </c>
      <c r="D1033">
        <v>2015</v>
      </c>
      <c r="E1033">
        <v>460.70001220703119</v>
      </c>
      <c r="F1033">
        <v>31.29</v>
      </c>
      <c r="G1033" t="s">
        <v>465</v>
      </c>
      <c r="H1033">
        <v>265.29998779296881</v>
      </c>
      <c r="I1033">
        <v>110.90000152587891</v>
      </c>
      <c r="L1033" t="s">
        <v>469</v>
      </c>
      <c r="M1033">
        <v>8.4787468134537818</v>
      </c>
      <c r="N1033">
        <v>3.5442633916867661</v>
      </c>
      <c r="O1033">
        <v>573</v>
      </c>
      <c r="P1033">
        <v>734.4</v>
      </c>
      <c r="Q1033">
        <v>375</v>
      </c>
      <c r="R1033" s="3" t="s">
        <v>470</v>
      </c>
      <c r="S1033">
        <v>573</v>
      </c>
      <c r="T1033" t="s">
        <v>468</v>
      </c>
    </row>
    <row r="1034" spans="1:20" x14ac:dyDescent="0.25">
      <c r="A1034">
        <v>147</v>
      </c>
      <c r="B1034">
        <v>508136</v>
      </c>
      <c r="C1034" t="s">
        <v>191</v>
      </c>
      <c r="D1034">
        <v>2016</v>
      </c>
      <c r="E1034">
        <v>460.70001220703119</v>
      </c>
      <c r="F1034">
        <v>31.65</v>
      </c>
      <c r="G1034" t="s">
        <v>465</v>
      </c>
      <c r="H1034">
        <v>239.8999938964844</v>
      </c>
      <c r="I1034">
        <v>145</v>
      </c>
      <c r="L1034" t="s">
        <v>469</v>
      </c>
      <c r="M1034">
        <v>7.5797786381195706</v>
      </c>
      <c r="N1034">
        <v>4.5813586097946288</v>
      </c>
      <c r="O1034">
        <v>573</v>
      </c>
      <c r="P1034">
        <v>734.4</v>
      </c>
      <c r="Q1034">
        <v>375</v>
      </c>
      <c r="R1034" s="3" t="s">
        <v>470</v>
      </c>
      <c r="S1034">
        <v>573</v>
      </c>
      <c r="T1034" t="s">
        <v>468</v>
      </c>
    </row>
    <row r="1035" spans="1:20" x14ac:dyDescent="0.25">
      <c r="A1035">
        <v>147</v>
      </c>
      <c r="B1035">
        <v>508136</v>
      </c>
      <c r="C1035" t="s">
        <v>191</v>
      </c>
      <c r="D1035">
        <v>2017</v>
      </c>
      <c r="E1035">
        <v>460.70001220703119</v>
      </c>
      <c r="F1035">
        <v>18.97</v>
      </c>
      <c r="G1035" t="s">
        <v>465</v>
      </c>
      <c r="H1035">
        <v>374</v>
      </c>
      <c r="I1035">
        <v>181.55000305175781</v>
      </c>
      <c r="L1035" t="s">
        <v>469</v>
      </c>
      <c r="M1035">
        <v>19.71534001054296</v>
      </c>
      <c r="N1035">
        <v>9.5703744360441654</v>
      </c>
      <c r="O1035">
        <v>573</v>
      </c>
      <c r="P1035">
        <v>734.4</v>
      </c>
      <c r="Q1035">
        <v>375</v>
      </c>
      <c r="R1035" s="3" t="s">
        <v>470</v>
      </c>
      <c r="S1035">
        <v>573</v>
      </c>
      <c r="T1035" t="s">
        <v>468</v>
      </c>
    </row>
    <row r="1036" spans="1:20" x14ac:dyDescent="0.25">
      <c r="A1036">
        <v>147</v>
      </c>
      <c r="B1036">
        <v>508136</v>
      </c>
      <c r="C1036" t="s">
        <v>191</v>
      </c>
      <c r="D1036">
        <v>2018</v>
      </c>
      <c r="E1036">
        <v>460.70001220703119</v>
      </c>
      <c r="F1036">
        <v>29.97</v>
      </c>
      <c r="G1036" t="s">
        <v>465</v>
      </c>
      <c r="H1036">
        <v>333</v>
      </c>
      <c r="I1036">
        <v>171.05000305175781</v>
      </c>
      <c r="L1036" t="s">
        <v>469</v>
      </c>
      <c r="M1036">
        <v>11.111111111111111</v>
      </c>
      <c r="N1036">
        <v>5.7073741425344622</v>
      </c>
      <c r="O1036">
        <v>573</v>
      </c>
      <c r="P1036">
        <v>734.4</v>
      </c>
      <c r="Q1036">
        <v>375</v>
      </c>
      <c r="R1036" s="3" t="s">
        <v>470</v>
      </c>
      <c r="S1036">
        <v>573</v>
      </c>
      <c r="T1036" t="s">
        <v>468</v>
      </c>
    </row>
    <row r="1037" spans="1:20" x14ac:dyDescent="0.25">
      <c r="A1037">
        <v>147</v>
      </c>
      <c r="B1037">
        <v>508136</v>
      </c>
      <c r="C1037" t="s">
        <v>191</v>
      </c>
      <c r="D1037">
        <v>2019</v>
      </c>
      <c r="E1037">
        <v>460.70001220703119</v>
      </c>
      <c r="F1037">
        <v>16.190000000000001</v>
      </c>
      <c r="G1037" t="s">
        <v>465</v>
      </c>
      <c r="H1037">
        <v>230</v>
      </c>
      <c r="I1037">
        <v>110</v>
      </c>
      <c r="L1037" t="s">
        <v>469</v>
      </c>
      <c r="M1037">
        <v>14.20630018529957</v>
      </c>
      <c r="N1037">
        <v>6.7943174799258799</v>
      </c>
      <c r="O1037">
        <v>573</v>
      </c>
      <c r="P1037">
        <v>734.4</v>
      </c>
      <c r="Q1037">
        <v>375</v>
      </c>
      <c r="R1037" s="3" t="s">
        <v>470</v>
      </c>
      <c r="S1037">
        <v>573</v>
      </c>
      <c r="T1037" t="s">
        <v>468</v>
      </c>
    </row>
    <row r="1038" spans="1:20" x14ac:dyDescent="0.25">
      <c r="A1038">
        <v>147</v>
      </c>
      <c r="B1038">
        <v>508136</v>
      </c>
      <c r="C1038" t="s">
        <v>191</v>
      </c>
      <c r="D1038">
        <v>2020</v>
      </c>
      <c r="E1038">
        <v>460.70001220703119</v>
      </c>
      <c r="F1038">
        <v>13.1</v>
      </c>
      <c r="G1038" t="s">
        <v>465</v>
      </c>
      <c r="H1038">
        <v>218</v>
      </c>
      <c r="I1038">
        <v>89.800003051757813</v>
      </c>
      <c r="L1038" t="s">
        <v>469</v>
      </c>
      <c r="M1038">
        <v>16.641221374045799</v>
      </c>
      <c r="N1038">
        <v>6.8549620650196808</v>
      </c>
      <c r="O1038">
        <v>573</v>
      </c>
      <c r="P1038">
        <v>734.4</v>
      </c>
      <c r="Q1038">
        <v>375</v>
      </c>
      <c r="R1038" s="3" t="s">
        <v>470</v>
      </c>
      <c r="S1038">
        <v>573</v>
      </c>
      <c r="T1038" t="s">
        <v>468</v>
      </c>
    </row>
    <row r="1039" spans="1:20" x14ac:dyDescent="0.25">
      <c r="A1039">
        <v>147</v>
      </c>
      <c r="B1039">
        <v>508136</v>
      </c>
      <c r="C1039" t="s">
        <v>191</v>
      </c>
      <c r="D1039">
        <v>2021</v>
      </c>
      <c r="E1039">
        <v>460.70001220703119</v>
      </c>
      <c r="F1039">
        <v>46.16</v>
      </c>
      <c r="G1039" t="s">
        <v>465</v>
      </c>
      <c r="H1039">
        <v>292</v>
      </c>
      <c r="I1039">
        <v>123</v>
      </c>
      <c r="L1039" t="s">
        <v>469</v>
      </c>
      <c r="M1039">
        <v>6.3258232235701906</v>
      </c>
      <c r="N1039">
        <v>2.6646447140381291</v>
      </c>
      <c r="O1039">
        <v>573</v>
      </c>
      <c r="P1039">
        <v>734.4</v>
      </c>
      <c r="Q1039">
        <v>375</v>
      </c>
      <c r="R1039" s="3" t="s">
        <v>470</v>
      </c>
      <c r="S1039">
        <v>573</v>
      </c>
      <c r="T1039" t="s">
        <v>468</v>
      </c>
    </row>
    <row r="1040" spans="1:20" x14ac:dyDescent="0.25">
      <c r="A1040">
        <v>147</v>
      </c>
      <c r="B1040">
        <v>508136</v>
      </c>
      <c r="C1040" t="s">
        <v>191</v>
      </c>
      <c r="D1040">
        <v>2022</v>
      </c>
      <c r="E1040">
        <v>460.70001220703119</v>
      </c>
      <c r="F1040">
        <v>77.709999999999994</v>
      </c>
      <c r="G1040" t="s">
        <v>465</v>
      </c>
      <c r="H1040">
        <v>383</v>
      </c>
      <c r="I1040">
        <v>206</v>
      </c>
      <c r="L1040" t="s">
        <v>469</v>
      </c>
      <c r="M1040">
        <v>4.9285806202547926</v>
      </c>
      <c r="N1040">
        <v>2.6508814824346931</v>
      </c>
      <c r="O1040">
        <v>573</v>
      </c>
      <c r="P1040">
        <v>734.4</v>
      </c>
      <c r="Q1040">
        <v>375</v>
      </c>
      <c r="R1040" s="3" t="s">
        <v>470</v>
      </c>
      <c r="S1040">
        <v>573</v>
      </c>
      <c r="T1040" t="s">
        <v>468</v>
      </c>
    </row>
    <row r="1041" spans="1:20" x14ac:dyDescent="0.25">
      <c r="A1041">
        <v>147</v>
      </c>
      <c r="B1041">
        <v>508136</v>
      </c>
      <c r="C1041" t="s">
        <v>191</v>
      </c>
      <c r="D1041">
        <v>2023</v>
      </c>
      <c r="E1041">
        <v>460.70001220703119</v>
      </c>
      <c r="F1041">
        <v>36.840000000000003</v>
      </c>
      <c r="G1041" t="s">
        <v>465</v>
      </c>
      <c r="H1041">
        <v>391</v>
      </c>
      <c r="I1041">
        <v>216.69999694824219</v>
      </c>
      <c r="L1041" t="s">
        <v>469</v>
      </c>
      <c r="M1041">
        <v>10.613463626492941</v>
      </c>
      <c r="N1041">
        <v>5.8821931853485934</v>
      </c>
      <c r="O1041">
        <v>573</v>
      </c>
      <c r="P1041">
        <v>734.4</v>
      </c>
      <c r="Q1041">
        <v>375</v>
      </c>
      <c r="R1041" s="3" t="s">
        <v>470</v>
      </c>
      <c r="S1041">
        <v>573</v>
      </c>
      <c r="T1041" t="s">
        <v>468</v>
      </c>
    </row>
    <row r="1042" spans="1:20" x14ac:dyDescent="0.25">
      <c r="A1042">
        <v>147</v>
      </c>
      <c r="B1042">
        <v>508136</v>
      </c>
      <c r="C1042" t="s">
        <v>191</v>
      </c>
      <c r="D1042">
        <v>2024</v>
      </c>
      <c r="E1042">
        <v>460.70001220703119</v>
      </c>
      <c r="F1042">
        <v>34.58</v>
      </c>
      <c r="G1042" t="s">
        <v>465</v>
      </c>
      <c r="H1042">
        <v>734.4000244140625</v>
      </c>
      <c r="I1042">
        <v>334.10000610351563</v>
      </c>
      <c r="L1042" t="s">
        <v>469</v>
      </c>
      <c r="M1042">
        <v>21.23771036477914</v>
      </c>
      <c r="N1042">
        <v>9.6616543118425575</v>
      </c>
      <c r="O1042">
        <v>573</v>
      </c>
      <c r="P1042">
        <v>734.4</v>
      </c>
      <c r="Q1042">
        <v>375</v>
      </c>
      <c r="R1042" s="3" t="s">
        <v>470</v>
      </c>
      <c r="S1042">
        <v>573</v>
      </c>
      <c r="T1042" t="s">
        <v>468</v>
      </c>
    </row>
    <row r="1043" spans="1:20" x14ac:dyDescent="0.25">
      <c r="A1043">
        <v>147</v>
      </c>
      <c r="B1043">
        <v>508136</v>
      </c>
      <c r="C1043" t="s">
        <v>191</v>
      </c>
      <c r="D1043">
        <v>2025</v>
      </c>
      <c r="E1043">
        <v>460.70001220703119</v>
      </c>
      <c r="F1043">
        <v>26.58</v>
      </c>
      <c r="G1043" t="s">
        <v>465</v>
      </c>
      <c r="H1043">
        <v>688.9000244140625</v>
      </c>
      <c r="I1043">
        <v>353.95001220703119</v>
      </c>
      <c r="L1043" t="s">
        <v>469</v>
      </c>
      <c r="M1043">
        <v>25.917984364712659</v>
      </c>
      <c r="N1043">
        <v>13.316403770016221</v>
      </c>
      <c r="O1043">
        <v>573</v>
      </c>
      <c r="P1043">
        <v>734.4</v>
      </c>
      <c r="Q1043">
        <v>375</v>
      </c>
      <c r="R1043" s="3" t="s">
        <v>470</v>
      </c>
      <c r="S1043">
        <v>573</v>
      </c>
      <c r="T1043" t="s">
        <v>468</v>
      </c>
    </row>
    <row r="1044" spans="1:20" x14ac:dyDescent="0.25">
      <c r="A1044">
        <v>147</v>
      </c>
      <c r="B1044">
        <v>508136</v>
      </c>
      <c r="C1044" t="s">
        <v>191</v>
      </c>
      <c r="D1044">
        <v>2026</v>
      </c>
      <c r="E1044">
        <v>460.70001220703119</v>
      </c>
      <c r="F1044">
        <v>-12.71</v>
      </c>
      <c r="G1044" t="s">
        <v>465</v>
      </c>
      <c r="H1044">
        <v>554.4000244140625</v>
      </c>
      <c r="I1044">
        <v>312.29998779296881</v>
      </c>
      <c r="L1044" t="s">
        <v>471</v>
      </c>
      <c r="M1044">
        <v>-43.619199403152052</v>
      </c>
      <c r="N1044">
        <v>-24.571202816126579</v>
      </c>
      <c r="O1044">
        <v>573</v>
      </c>
      <c r="P1044">
        <v>734.4</v>
      </c>
      <c r="Q1044">
        <v>375</v>
      </c>
      <c r="R1044" s="3" t="s">
        <v>470</v>
      </c>
      <c r="S1044">
        <v>573</v>
      </c>
      <c r="T1044" t="s">
        <v>468</v>
      </c>
    </row>
    <row r="1045" spans="1:20" x14ac:dyDescent="0.25">
      <c r="A1045">
        <v>150</v>
      </c>
      <c r="B1045">
        <v>508906</v>
      </c>
      <c r="C1045" t="s">
        <v>193</v>
      </c>
      <c r="D1045">
        <v>2015</v>
      </c>
      <c r="E1045">
        <v>534.70001220703125</v>
      </c>
      <c r="F1045">
        <v>22.39</v>
      </c>
      <c r="G1045" t="s">
        <v>465</v>
      </c>
      <c r="H1045">
        <v>430</v>
      </c>
      <c r="I1045">
        <v>258.39999389648438</v>
      </c>
      <c r="L1045" t="s">
        <v>469</v>
      </c>
      <c r="M1045">
        <v>19.20500223313979</v>
      </c>
      <c r="N1045">
        <v>11.54086618564021</v>
      </c>
      <c r="O1045">
        <v>106.7</v>
      </c>
      <c r="P1045">
        <v>156.79</v>
      </c>
      <c r="Q1045">
        <v>90.25</v>
      </c>
      <c r="R1045" s="3" t="s">
        <v>470</v>
      </c>
      <c r="S1045">
        <v>106.7</v>
      </c>
      <c r="T1045" t="s">
        <v>468</v>
      </c>
    </row>
    <row r="1046" spans="1:20" x14ac:dyDescent="0.25">
      <c r="A1046">
        <v>150</v>
      </c>
      <c r="B1046">
        <v>508906</v>
      </c>
      <c r="C1046" t="s">
        <v>193</v>
      </c>
      <c r="D1046">
        <v>2016</v>
      </c>
      <c r="E1046">
        <v>534.70001220703125</v>
      </c>
      <c r="F1046">
        <v>22.38</v>
      </c>
      <c r="G1046" t="s">
        <v>465</v>
      </c>
      <c r="H1046">
        <v>322</v>
      </c>
      <c r="I1046">
        <v>183.25</v>
      </c>
      <c r="L1046" t="s">
        <v>469</v>
      </c>
      <c r="M1046">
        <v>14.387846291331551</v>
      </c>
      <c r="N1046">
        <v>8.1881143878462925</v>
      </c>
      <c r="O1046">
        <v>106.7</v>
      </c>
      <c r="P1046">
        <v>156.79</v>
      </c>
      <c r="Q1046">
        <v>90.25</v>
      </c>
      <c r="R1046" s="3" t="s">
        <v>470</v>
      </c>
      <c r="S1046">
        <v>106.7</v>
      </c>
      <c r="T1046" t="s">
        <v>468</v>
      </c>
    </row>
    <row r="1047" spans="1:20" x14ac:dyDescent="0.25">
      <c r="A1047">
        <v>150</v>
      </c>
      <c r="B1047">
        <v>508906</v>
      </c>
      <c r="C1047" t="s">
        <v>193</v>
      </c>
      <c r="D1047">
        <v>2017</v>
      </c>
      <c r="E1047">
        <v>534.70001220703125</v>
      </c>
      <c r="F1047">
        <v>1.96</v>
      </c>
      <c r="G1047" t="s">
        <v>465</v>
      </c>
      <c r="H1047">
        <v>614.8499755859375</v>
      </c>
      <c r="I1047">
        <v>185</v>
      </c>
      <c r="L1047" t="s">
        <v>469</v>
      </c>
      <c r="M1047">
        <v>313.69896713568238</v>
      </c>
      <c r="N1047">
        <v>94.387755102040813</v>
      </c>
      <c r="O1047">
        <v>106.7</v>
      </c>
      <c r="P1047">
        <v>156.79</v>
      </c>
      <c r="Q1047">
        <v>90.25</v>
      </c>
      <c r="R1047" s="3" t="s">
        <v>470</v>
      </c>
      <c r="S1047">
        <v>106.7</v>
      </c>
      <c r="T1047" t="s">
        <v>468</v>
      </c>
    </row>
    <row r="1048" spans="1:20" x14ac:dyDescent="0.25">
      <c r="A1048">
        <v>150</v>
      </c>
      <c r="B1048">
        <v>508906</v>
      </c>
      <c r="C1048" t="s">
        <v>193</v>
      </c>
      <c r="D1048">
        <v>2018</v>
      </c>
      <c r="E1048">
        <v>534.70001220703125</v>
      </c>
      <c r="F1048">
        <v>33.96</v>
      </c>
      <c r="G1048" t="s">
        <v>465</v>
      </c>
      <c r="H1048">
        <v>636.9000244140625</v>
      </c>
      <c r="I1048">
        <v>380.45001220703119</v>
      </c>
      <c r="L1048" t="s">
        <v>469</v>
      </c>
      <c r="M1048">
        <v>18.754417680037179</v>
      </c>
      <c r="N1048">
        <v>11.20288610739197</v>
      </c>
      <c r="O1048">
        <v>106.7</v>
      </c>
      <c r="P1048">
        <v>156.79</v>
      </c>
      <c r="Q1048">
        <v>90.25</v>
      </c>
      <c r="R1048" s="3" t="s">
        <v>470</v>
      </c>
      <c r="S1048">
        <v>106.7</v>
      </c>
      <c r="T1048" t="s">
        <v>468</v>
      </c>
    </row>
    <row r="1049" spans="1:20" x14ac:dyDescent="0.25">
      <c r="A1049">
        <v>150</v>
      </c>
      <c r="B1049">
        <v>508906</v>
      </c>
      <c r="C1049" t="s">
        <v>193</v>
      </c>
      <c r="D1049">
        <v>2019</v>
      </c>
      <c r="E1049">
        <v>534.70001220703125</v>
      </c>
      <c r="F1049">
        <v>39.56</v>
      </c>
      <c r="G1049" t="s">
        <v>465</v>
      </c>
      <c r="H1049">
        <v>515.9000244140625</v>
      </c>
      <c r="I1049">
        <v>237.80000305175781</v>
      </c>
      <c r="L1049" t="s">
        <v>469</v>
      </c>
      <c r="M1049">
        <v>13.040951072145161</v>
      </c>
      <c r="N1049">
        <v>6.0111224229463547</v>
      </c>
      <c r="O1049">
        <v>106.7</v>
      </c>
      <c r="P1049">
        <v>156.79</v>
      </c>
      <c r="Q1049">
        <v>90.25</v>
      </c>
      <c r="R1049" s="3" t="s">
        <v>470</v>
      </c>
      <c r="S1049">
        <v>106.7</v>
      </c>
      <c r="T1049" t="s">
        <v>468</v>
      </c>
    </row>
    <row r="1050" spans="1:20" x14ac:dyDescent="0.25">
      <c r="A1050">
        <v>150</v>
      </c>
      <c r="B1050">
        <v>508906</v>
      </c>
      <c r="C1050" t="s">
        <v>193</v>
      </c>
      <c r="D1050">
        <v>2020</v>
      </c>
      <c r="E1050">
        <v>534.70001220703125</v>
      </c>
      <c r="F1050">
        <v>8.65</v>
      </c>
      <c r="G1050" t="s">
        <v>465</v>
      </c>
      <c r="H1050">
        <v>346.64999389648438</v>
      </c>
      <c r="I1050">
        <v>120</v>
      </c>
      <c r="L1050" t="s">
        <v>469</v>
      </c>
      <c r="M1050">
        <v>40.075143803061778</v>
      </c>
      <c r="N1050">
        <v>13.8728323699422</v>
      </c>
      <c r="O1050">
        <v>106.7</v>
      </c>
      <c r="P1050">
        <v>156.79</v>
      </c>
      <c r="Q1050">
        <v>90.25</v>
      </c>
      <c r="R1050" s="3" t="s">
        <v>470</v>
      </c>
      <c r="S1050">
        <v>106.7</v>
      </c>
      <c r="T1050" t="s">
        <v>468</v>
      </c>
    </row>
    <row r="1051" spans="1:20" x14ac:dyDescent="0.25">
      <c r="A1051">
        <v>150</v>
      </c>
      <c r="B1051">
        <v>508906</v>
      </c>
      <c r="C1051" t="s">
        <v>193</v>
      </c>
      <c r="D1051">
        <v>2021</v>
      </c>
      <c r="E1051">
        <v>534.70001220703125</v>
      </c>
      <c r="F1051">
        <v>36.06</v>
      </c>
      <c r="G1051" t="s">
        <v>465</v>
      </c>
      <c r="H1051">
        <v>565</v>
      </c>
      <c r="I1051">
        <v>267.04998779296881</v>
      </c>
      <c r="L1051" t="s">
        <v>469</v>
      </c>
      <c r="M1051">
        <v>15.66833056017748</v>
      </c>
      <c r="N1051">
        <v>7.4057123625337988</v>
      </c>
      <c r="O1051">
        <v>106.7</v>
      </c>
      <c r="P1051">
        <v>156.79</v>
      </c>
      <c r="Q1051">
        <v>90.25</v>
      </c>
      <c r="R1051" s="3" t="s">
        <v>470</v>
      </c>
      <c r="S1051">
        <v>106.7</v>
      </c>
      <c r="T1051" t="s">
        <v>468</v>
      </c>
    </row>
    <row r="1052" spans="1:20" x14ac:dyDescent="0.25">
      <c r="A1052">
        <v>150</v>
      </c>
      <c r="B1052">
        <v>508906</v>
      </c>
      <c r="C1052" t="s">
        <v>193</v>
      </c>
      <c r="D1052">
        <v>2022</v>
      </c>
      <c r="E1052">
        <v>534.70001220703125</v>
      </c>
      <c r="F1052">
        <v>28.12</v>
      </c>
      <c r="G1052" t="s">
        <v>465</v>
      </c>
      <c r="H1052">
        <v>974.45001220703125</v>
      </c>
      <c r="I1052">
        <v>511.04998779296881</v>
      </c>
      <c r="L1052" t="s">
        <v>469</v>
      </c>
      <c r="M1052">
        <v>34.653272126850332</v>
      </c>
      <c r="N1052">
        <v>18.17389714768737</v>
      </c>
      <c r="O1052">
        <v>106.7</v>
      </c>
      <c r="P1052">
        <v>156.79</v>
      </c>
      <c r="Q1052">
        <v>90.25</v>
      </c>
      <c r="R1052" s="3" t="s">
        <v>470</v>
      </c>
      <c r="S1052">
        <v>106.7</v>
      </c>
      <c r="T1052" t="s">
        <v>468</v>
      </c>
    </row>
    <row r="1053" spans="1:20" x14ac:dyDescent="0.25">
      <c r="A1053">
        <v>150</v>
      </c>
      <c r="B1053">
        <v>508906</v>
      </c>
      <c r="C1053" t="s">
        <v>193</v>
      </c>
      <c r="D1053">
        <v>2023</v>
      </c>
      <c r="E1053">
        <v>534.70001220703125</v>
      </c>
      <c r="F1053">
        <v>26.92</v>
      </c>
      <c r="G1053" t="s">
        <v>465</v>
      </c>
      <c r="H1053">
        <v>1448.099975585938</v>
      </c>
      <c r="I1053">
        <v>681</v>
      </c>
      <c r="L1053" t="s">
        <v>469</v>
      </c>
      <c r="M1053">
        <v>53.792718260993233</v>
      </c>
      <c r="N1053">
        <v>25.297176820208019</v>
      </c>
      <c r="O1053">
        <v>106.7</v>
      </c>
      <c r="P1053">
        <v>156.79</v>
      </c>
      <c r="Q1053">
        <v>90.25</v>
      </c>
      <c r="R1053" s="3" t="s">
        <v>470</v>
      </c>
      <c r="S1053">
        <v>106.7</v>
      </c>
      <c r="T1053" t="s">
        <v>468</v>
      </c>
    </row>
    <row r="1054" spans="1:20" x14ac:dyDescent="0.25">
      <c r="A1054">
        <v>150</v>
      </c>
      <c r="B1054">
        <v>508906</v>
      </c>
      <c r="C1054" t="s">
        <v>193</v>
      </c>
      <c r="D1054">
        <v>2024</v>
      </c>
      <c r="E1054">
        <v>534.70001220703125</v>
      </c>
      <c r="F1054">
        <v>11.4</v>
      </c>
      <c r="G1054" t="s">
        <v>465</v>
      </c>
      <c r="H1054">
        <v>1419.5</v>
      </c>
      <c r="I1054">
        <v>739.20001220703125</v>
      </c>
      <c r="L1054" t="s">
        <v>469</v>
      </c>
      <c r="M1054">
        <v>124.51754385964909</v>
      </c>
      <c r="N1054">
        <v>64.842106333950113</v>
      </c>
      <c r="O1054">
        <v>106.7</v>
      </c>
      <c r="P1054">
        <v>156.79</v>
      </c>
      <c r="Q1054">
        <v>90.25</v>
      </c>
      <c r="R1054" s="3" t="s">
        <v>470</v>
      </c>
      <c r="S1054">
        <v>106.7</v>
      </c>
      <c r="T1054" t="s">
        <v>468</v>
      </c>
    </row>
    <row r="1055" spans="1:20" x14ac:dyDescent="0.25">
      <c r="A1055">
        <v>150</v>
      </c>
      <c r="B1055">
        <v>508906</v>
      </c>
      <c r="C1055" t="s">
        <v>193</v>
      </c>
      <c r="D1055">
        <v>2025</v>
      </c>
      <c r="E1055">
        <v>534.70001220703125</v>
      </c>
      <c r="F1055">
        <v>-2.2799999999999998</v>
      </c>
      <c r="G1055" t="s">
        <v>465</v>
      </c>
      <c r="H1055">
        <v>815</v>
      </c>
      <c r="I1055">
        <v>421.20001220703119</v>
      </c>
      <c r="L1055" t="s">
        <v>471</v>
      </c>
      <c r="M1055">
        <v>-357.45614035087721</v>
      </c>
      <c r="N1055">
        <v>-184.73684745922421</v>
      </c>
      <c r="O1055">
        <v>106.7</v>
      </c>
      <c r="P1055">
        <v>156.79</v>
      </c>
      <c r="Q1055">
        <v>90.25</v>
      </c>
      <c r="R1055" s="3" t="s">
        <v>470</v>
      </c>
      <c r="S1055">
        <v>106.7</v>
      </c>
      <c r="T1055" t="s">
        <v>468</v>
      </c>
    </row>
    <row r="1056" spans="1:20" x14ac:dyDescent="0.25">
      <c r="A1056">
        <v>150</v>
      </c>
      <c r="B1056">
        <v>508906</v>
      </c>
      <c r="C1056" t="s">
        <v>193</v>
      </c>
      <c r="D1056">
        <v>2026</v>
      </c>
      <c r="E1056">
        <v>534.70001220703125</v>
      </c>
      <c r="F1056">
        <v>-64.13</v>
      </c>
      <c r="G1056" t="s">
        <v>465</v>
      </c>
      <c r="H1056">
        <v>547.70001220703125</v>
      </c>
      <c r="I1056">
        <v>291.04998779296881</v>
      </c>
      <c r="L1056" t="s">
        <v>471</v>
      </c>
      <c r="M1056">
        <v>-8.5404648714647013</v>
      </c>
      <c r="N1056">
        <v>-4.5384373583809268</v>
      </c>
      <c r="O1056">
        <v>106.7</v>
      </c>
      <c r="P1056">
        <v>156.79</v>
      </c>
      <c r="Q1056">
        <v>90.25</v>
      </c>
      <c r="R1056" s="3" t="s">
        <v>470</v>
      </c>
      <c r="S1056">
        <v>106.7</v>
      </c>
      <c r="T1056" t="s">
        <v>468</v>
      </c>
    </row>
    <row r="1057" spans="1:20" x14ac:dyDescent="0.25">
      <c r="A1057">
        <v>151</v>
      </c>
      <c r="B1057">
        <v>508993</v>
      </c>
      <c r="C1057" t="s">
        <v>195</v>
      </c>
      <c r="D1057">
        <v>2026</v>
      </c>
      <c r="E1057">
        <v>2.4449999332427979</v>
      </c>
      <c r="F1057">
        <v>-7.77</v>
      </c>
      <c r="G1057" t="s">
        <v>465</v>
      </c>
      <c r="H1057">
        <v>2.4449999332427979</v>
      </c>
      <c r="I1057">
        <v>2.4449999332427979</v>
      </c>
      <c r="L1057" t="s">
        <v>471</v>
      </c>
      <c r="M1057">
        <v>-0.31467180608015421</v>
      </c>
      <c r="N1057">
        <v>-0.31467180608015421</v>
      </c>
      <c r="O1057">
        <v>2.4449999999999998</v>
      </c>
      <c r="P1057">
        <v>2.4449999999999998</v>
      </c>
      <c r="Q1057">
        <v>2.4449999999999998</v>
      </c>
      <c r="R1057" s="2" t="s">
        <v>467</v>
      </c>
      <c r="S1057">
        <v>2.4449999999999998</v>
      </c>
      <c r="T1057" t="s">
        <v>468</v>
      </c>
    </row>
    <row r="1058" spans="1:20" x14ac:dyDescent="0.25">
      <c r="A1058">
        <v>152</v>
      </c>
      <c r="B1058">
        <v>509077</v>
      </c>
      <c r="C1058" t="s">
        <v>197</v>
      </c>
      <c r="D1058">
        <v>2015</v>
      </c>
      <c r="E1058">
        <v>267.75</v>
      </c>
      <c r="G1058" t="s">
        <v>465</v>
      </c>
      <c r="H1058">
        <v>66</v>
      </c>
      <c r="I1058">
        <v>28</v>
      </c>
      <c r="L1058" t="s">
        <v>466</v>
      </c>
      <c r="O1058">
        <f>IFERROR(VLOOKUP(B1058,BSE_500_LIVE!A:E,3,FALSE),"")</f>
        <v>0</v>
      </c>
      <c r="P1058">
        <f>IFERROR(VLOOKUP(B1058,BSE_500_LIVE!A:E,4,FALSE),"")</f>
        <v>0</v>
      </c>
      <c r="Q1058">
        <f>IFERROR(VLOOKUP(B1058,BSE_500_LIVE!A:E,5,FALSE),"")</f>
        <v>0</v>
      </c>
      <c r="R1058" t="str">
        <f t="shared" ref="R1058:R1066" si="14">IF(OR(E1058="",O1058=""),"PENDING_FETCH",IF(ABS(E1058-O1058)/E1058&gt;0.005,"MISMATCH_NEEDS_CORRECTION","VERIFIED_OK"))</f>
        <v>MISMATCH_NEEDS_CORRECTION</v>
      </c>
      <c r="S1058">
        <f t="shared" ref="S1058:S1066" si="15">IF(O1058&lt;&gt;"",O1058,E1058)</f>
        <v>0</v>
      </c>
      <c r="T1058">
        <f>IFERROR(VLOOKUP(B1058,BSE_500_LIVE!A:F,6,FALSE),"")</f>
        <v>0</v>
      </c>
    </row>
    <row r="1059" spans="1:20" x14ac:dyDescent="0.25">
      <c r="A1059">
        <v>152</v>
      </c>
      <c r="B1059">
        <v>509077</v>
      </c>
      <c r="C1059" t="s">
        <v>197</v>
      </c>
      <c r="D1059">
        <v>2016</v>
      </c>
      <c r="E1059">
        <v>267.75</v>
      </c>
      <c r="G1059" t="s">
        <v>465</v>
      </c>
      <c r="H1059">
        <v>74.300003051757813</v>
      </c>
      <c r="I1059">
        <v>35.049999237060547</v>
      </c>
      <c r="L1059" t="s">
        <v>466</v>
      </c>
      <c r="O1059">
        <f>IFERROR(VLOOKUP(B1059,BSE_500_LIVE!A:E,3,FALSE),"")</f>
        <v>0</v>
      </c>
      <c r="P1059">
        <f>IFERROR(VLOOKUP(B1059,BSE_500_LIVE!A:E,4,FALSE),"")</f>
        <v>0</v>
      </c>
      <c r="Q1059">
        <f>IFERROR(VLOOKUP(B1059,BSE_500_LIVE!A:E,5,FALSE),"")</f>
        <v>0</v>
      </c>
      <c r="R1059" t="str">
        <f t="shared" si="14"/>
        <v>MISMATCH_NEEDS_CORRECTION</v>
      </c>
      <c r="S1059">
        <f t="shared" si="15"/>
        <v>0</v>
      </c>
      <c r="T1059">
        <f>IFERROR(VLOOKUP(B1059,BSE_500_LIVE!A:F,6,FALSE),"")</f>
        <v>0</v>
      </c>
    </row>
    <row r="1060" spans="1:20" x14ac:dyDescent="0.25">
      <c r="A1060">
        <v>152</v>
      </c>
      <c r="B1060">
        <v>509077</v>
      </c>
      <c r="C1060" t="s">
        <v>197</v>
      </c>
      <c r="D1060">
        <v>2017</v>
      </c>
      <c r="E1060">
        <v>267.75</v>
      </c>
      <c r="G1060" t="s">
        <v>465</v>
      </c>
      <c r="H1060">
        <v>87.699996948242188</v>
      </c>
      <c r="I1060">
        <v>41.849998474121087</v>
      </c>
      <c r="L1060" t="s">
        <v>466</v>
      </c>
      <c r="O1060">
        <f>IFERROR(VLOOKUP(B1060,BSE_500_LIVE!A:E,3,FALSE),"")</f>
        <v>0</v>
      </c>
      <c r="P1060">
        <f>IFERROR(VLOOKUP(B1060,BSE_500_LIVE!A:E,4,FALSE),"")</f>
        <v>0</v>
      </c>
      <c r="Q1060">
        <f>IFERROR(VLOOKUP(B1060,BSE_500_LIVE!A:E,5,FALSE),"")</f>
        <v>0</v>
      </c>
      <c r="R1060" t="str">
        <f t="shared" si="14"/>
        <v>MISMATCH_NEEDS_CORRECTION</v>
      </c>
      <c r="S1060">
        <f t="shared" si="15"/>
        <v>0</v>
      </c>
      <c r="T1060">
        <f>IFERROR(VLOOKUP(B1060,BSE_500_LIVE!A:F,6,FALSE),"")</f>
        <v>0</v>
      </c>
    </row>
    <row r="1061" spans="1:20" x14ac:dyDescent="0.25">
      <c r="A1061">
        <v>152</v>
      </c>
      <c r="B1061">
        <v>509077</v>
      </c>
      <c r="C1061" t="s">
        <v>197</v>
      </c>
      <c r="D1061">
        <v>2018</v>
      </c>
      <c r="E1061">
        <v>267.75</v>
      </c>
      <c r="G1061" t="s">
        <v>465</v>
      </c>
      <c r="H1061">
        <v>80.699996948242188</v>
      </c>
      <c r="I1061">
        <v>30</v>
      </c>
      <c r="L1061" t="s">
        <v>466</v>
      </c>
      <c r="O1061">
        <f>IFERROR(VLOOKUP(B1061,BSE_500_LIVE!A:E,3,FALSE),"")</f>
        <v>0</v>
      </c>
      <c r="P1061">
        <f>IFERROR(VLOOKUP(B1061,BSE_500_LIVE!A:E,4,FALSE),"")</f>
        <v>0</v>
      </c>
      <c r="Q1061">
        <f>IFERROR(VLOOKUP(B1061,BSE_500_LIVE!A:E,5,FALSE),"")</f>
        <v>0</v>
      </c>
      <c r="R1061" t="str">
        <f t="shared" si="14"/>
        <v>MISMATCH_NEEDS_CORRECTION</v>
      </c>
      <c r="S1061">
        <f t="shared" si="15"/>
        <v>0</v>
      </c>
      <c r="T1061">
        <f>IFERROR(VLOOKUP(B1061,BSE_500_LIVE!A:F,6,FALSE),"")</f>
        <v>0</v>
      </c>
    </row>
    <row r="1062" spans="1:20" x14ac:dyDescent="0.25">
      <c r="A1062">
        <v>152</v>
      </c>
      <c r="B1062">
        <v>509077</v>
      </c>
      <c r="C1062" t="s">
        <v>197</v>
      </c>
      <c r="D1062">
        <v>2019</v>
      </c>
      <c r="E1062">
        <v>267.75</v>
      </c>
      <c r="G1062" t="s">
        <v>465</v>
      </c>
      <c r="H1062">
        <v>36.799999237060547</v>
      </c>
      <c r="I1062">
        <v>19</v>
      </c>
      <c r="L1062" t="s">
        <v>466</v>
      </c>
      <c r="O1062">
        <f>IFERROR(VLOOKUP(B1062,BSE_500_LIVE!A:E,3,FALSE),"")</f>
        <v>0</v>
      </c>
      <c r="P1062">
        <f>IFERROR(VLOOKUP(B1062,BSE_500_LIVE!A:E,4,FALSE),"")</f>
        <v>0</v>
      </c>
      <c r="Q1062">
        <f>IFERROR(VLOOKUP(B1062,BSE_500_LIVE!A:E,5,FALSE),"")</f>
        <v>0</v>
      </c>
      <c r="R1062" t="str">
        <f t="shared" si="14"/>
        <v>MISMATCH_NEEDS_CORRECTION</v>
      </c>
      <c r="S1062">
        <f t="shared" si="15"/>
        <v>0</v>
      </c>
      <c r="T1062">
        <f>IFERROR(VLOOKUP(B1062,BSE_500_LIVE!A:F,6,FALSE),"")</f>
        <v>0</v>
      </c>
    </row>
    <row r="1063" spans="1:20" x14ac:dyDescent="0.25">
      <c r="A1063">
        <v>152</v>
      </c>
      <c r="B1063">
        <v>509077</v>
      </c>
      <c r="C1063" t="s">
        <v>197</v>
      </c>
      <c r="D1063">
        <v>2020</v>
      </c>
      <c r="E1063">
        <v>267.75</v>
      </c>
      <c r="G1063" t="s">
        <v>465</v>
      </c>
      <c r="H1063">
        <v>30.79999923706055</v>
      </c>
      <c r="I1063">
        <v>10.39999961853027</v>
      </c>
      <c r="L1063" t="s">
        <v>466</v>
      </c>
      <c r="O1063">
        <f>IFERROR(VLOOKUP(B1063,BSE_500_LIVE!A:E,3,FALSE),"")</f>
        <v>0</v>
      </c>
      <c r="P1063">
        <f>IFERROR(VLOOKUP(B1063,BSE_500_LIVE!A:E,4,FALSE),"")</f>
        <v>0</v>
      </c>
      <c r="Q1063">
        <f>IFERROR(VLOOKUP(B1063,BSE_500_LIVE!A:E,5,FALSE),"")</f>
        <v>0</v>
      </c>
      <c r="R1063" t="str">
        <f t="shared" si="14"/>
        <v>MISMATCH_NEEDS_CORRECTION</v>
      </c>
      <c r="S1063">
        <f t="shared" si="15"/>
        <v>0</v>
      </c>
      <c r="T1063">
        <f>IFERROR(VLOOKUP(B1063,BSE_500_LIVE!A:F,6,FALSE),"")</f>
        <v>0</v>
      </c>
    </row>
    <row r="1064" spans="1:20" x14ac:dyDescent="0.25">
      <c r="A1064">
        <v>152</v>
      </c>
      <c r="B1064">
        <v>509077</v>
      </c>
      <c r="C1064" t="s">
        <v>197</v>
      </c>
      <c r="D1064">
        <v>2021</v>
      </c>
      <c r="E1064">
        <v>267.75</v>
      </c>
      <c r="G1064" t="s">
        <v>465</v>
      </c>
      <c r="H1064">
        <v>39.299999237060547</v>
      </c>
      <c r="I1064">
        <v>20.54999923706055</v>
      </c>
      <c r="L1064" t="s">
        <v>466</v>
      </c>
      <c r="O1064">
        <f>IFERROR(VLOOKUP(B1064,BSE_500_LIVE!A:E,3,FALSE),"")</f>
        <v>0</v>
      </c>
      <c r="P1064">
        <f>IFERROR(VLOOKUP(B1064,BSE_500_LIVE!A:E,4,FALSE),"")</f>
        <v>0</v>
      </c>
      <c r="Q1064">
        <f>IFERROR(VLOOKUP(B1064,BSE_500_LIVE!A:E,5,FALSE),"")</f>
        <v>0</v>
      </c>
      <c r="R1064" t="str">
        <f t="shared" si="14"/>
        <v>MISMATCH_NEEDS_CORRECTION</v>
      </c>
      <c r="S1064">
        <f t="shared" si="15"/>
        <v>0</v>
      </c>
      <c r="T1064">
        <f>IFERROR(VLOOKUP(B1064,BSE_500_LIVE!A:F,6,FALSE),"")</f>
        <v>0</v>
      </c>
    </row>
    <row r="1065" spans="1:20" x14ac:dyDescent="0.25">
      <c r="A1065">
        <v>152</v>
      </c>
      <c r="B1065">
        <v>509077</v>
      </c>
      <c r="C1065" t="s">
        <v>197</v>
      </c>
      <c r="D1065">
        <v>2022</v>
      </c>
      <c r="E1065">
        <v>267.75</v>
      </c>
      <c r="G1065" t="s">
        <v>465</v>
      </c>
      <c r="H1065">
        <v>58.700000762939453</v>
      </c>
      <c r="I1065">
        <v>29.45000076293945</v>
      </c>
      <c r="L1065" t="s">
        <v>466</v>
      </c>
      <c r="O1065">
        <f>IFERROR(VLOOKUP(B1065,BSE_500_LIVE!A:E,3,FALSE),"")</f>
        <v>0</v>
      </c>
      <c r="P1065">
        <f>IFERROR(VLOOKUP(B1065,BSE_500_LIVE!A:E,4,FALSE),"")</f>
        <v>0</v>
      </c>
      <c r="Q1065">
        <f>IFERROR(VLOOKUP(B1065,BSE_500_LIVE!A:E,5,FALSE),"")</f>
        <v>0</v>
      </c>
      <c r="R1065" t="str">
        <f t="shared" si="14"/>
        <v>MISMATCH_NEEDS_CORRECTION</v>
      </c>
      <c r="S1065">
        <f t="shared" si="15"/>
        <v>0</v>
      </c>
      <c r="T1065">
        <f>IFERROR(VLOOKUP(B1065,BSE_500_LIVE!A:F,6,FALSE),"")</f>
        <v>0</v>
      </c>
    </row>
    <row r="1066" spans="1:20" x14ac:dyDescent="0.25">
      <c r="A1066">
        <v>152</v>
      </c>
      <c r="B1066">
        <v>509077</v>
      </c>
      <c r="C1066" t="s">
        <v>197</v>
      </c>
      <c r="D1066">
        <v>2023</v>
      </c>
      <c r="E1066">
        <v>267.75</v>
      </c>
      <c r="G1066" t="s">
        <v>465</v>
      </c>
      <c r="H1066">
        <v>271.45001220703119</v>
      </c>
      <c r="I1066">
        <v>43.200000762939453</v>
      </c>
      <c r="L1066" t="s">
        <v>466</v>
      </c>
      <c r="O1066">
        <f>IFERROR(VLOOKUP(B1066,BSE_500_LIVE!A:E,3,FALSE),"")</f>
        <v>0</v>
      </c>
      <c r="P1066">
        <f>IFERROR(VLOOKUP(B1066,BSE_500_LIVE!A:E,4,FALSE),"")</f>
        <v>0</v>
      </c>
      <c r="Q1066">
        <f>IFERROR(VLOOKUP(B1066,BSE_500_LIVE!A:E,5,FALSE),"")</f>
        <v>0</v>
      </c>
      <c r="R1066" t="str">
        <f t="shared" si="14"/>
        <v>MISMATCH_NEEDS_CORRECTION</v>
      </c>
      <c r="S1066">
        <f t="shared" si="15"/>
        <v>0</v>
      </c>
      <c r="T1066">
        <f>IFERROR(VLOOKUP(B1066,BSE_500_LIVE!A:F,6,FALSE),"")</f>
        <v>0</v>
      </c>
    </row>
    <row r="1067" spans="1:20" x14ac:dyDescent="0.25">
      <c r="A1067">
        <v>154</v>
      </c>
      <c r="B1067">
        <v>509196</v>
      </c>
      <c r="C1067" t="s">
        <v>199</v>
      </c>
      <c r="D1067">
        <v>2015</v>
      </c>
      <c r="E1067">
        <v>54.990001678466797</v>
      </c>
      <c r="F1067">
        <v>0.48</v>
      </c>
      <c r="G1067" t="s">
        <v>465</v>
      </c>
      <c r="H1067">
        <v>12.30000019073486</v>
      </c>
      <c r="I1067">
        <v>7.3299999237060547</v>
      </c>
      <c r="L1067" t="s">
        <v>484</v>
      </c>
      <c r="M1067">
        <v>25.625000397364289</v>
      </c>
      <c r="N1067">
        <v>15.27083317438762</v>
      </c>
      <c r="O1067">
        <v>103.87</v>
      </c>
      <c r="P1067">
        <v>155.4</v>
      </c>
      <c r="Q1067">
        <v>80.7</v>
      </c>
      <c r="R1067" s="3" t="s">
        <v>470</v>
      </c>
      <c r="S1067">
        <v>103.87</v>
      </c>
      <c r="T1067" t="s">
        <v>468</v>
      </c>
    </row>
    <row r="1068" spans="1:20" x14ac:dyDescent="0.25">
      <c r="A1068">
        <v>154</v>
      </c>
      <c r="B1068">
        <v>509196</v>
      </c>
      <c r="C1068" t="s">
        <v>199</v>
      </c>
      <c r="D1068">
        <v>2016</v>
      </c>
      <c r="E1068">
        <v>54.990001678466797</v>
      </c>
      <c r="F1068">
        <v>0.52</v>
      </c>
      <c r="G1068" t="s">
        <v>465</v>
      </c>
      <c r="H1068">
        <v>23.04999923706055</v>
      </c>
      <c r="I1068">
        <v>10.189999580383301</v>
      </c>
      <c r="L1068" t="s">
        <v>469</v>
      </c>
      <c r="M1068">
        <v>44.326921609731833</v>
      </c>
      <c r="N1068">
        <v>19.596153039198651</v>
      </c>
      <c r="O1068">
        <v>103.87</v>
      </c>
      <c r="P1068">
        <v>155.4</v>
      </c>
      <c r="Q1068">
        <v>80.7</v>
      </c>
      <c r="R1068" s="3" t="s">
        <v>470</v>
      </c>
      <c r="S1068">
        <v>103.87</v>
      </c>
      <c r="T1068" t="s">
        <v>468</v>
      </c>
    </row>
    <row r="1069" spans="1:20" x14ac:dyDescent="0.25">
      <c r="A1069">
        <v>154</v>
      </c>
      <c r="B1069">
        <v>509196</v>
      </c>
      <c r="C1069" t="s">
        <v>199</v>
      </c>
      <c r="D1069">
        <v>2017</v>
      </c>
      <c r="E1069">
        <v>54.990001678466797</v>
      </c>
      <c r="F1069">
        <v>0.62</v>
      </c>
      <c r="G1069" t="s">
        <v>465</v>
      </c>
      <c r="H1069">
        <v>46.900001525878913</v>
      </c>
      <c r="I1069">
        <v>13.35000038146973</v>
      </c>
      <c r="L1069" t="s">
        <v>469</v>
      </c>
      <c r="M1069">
        <v>75.645163751417599</v>
      </c>
      <c r="N1069">
        <v>21.532258679789891</v>
      </c>
      <c r="O1069">
        <v>103.87</v>
      </c>
      <c r="P1069">
        <v>155.4</v>
      </c>
      <c r="Q1069">
        <v>80.7</v>
      </c>
      <c r="R1069" s="3" t="s">
        <v>470</v>
      </c>
      <c r="S1069">
        <v>103.87</v>
      </c>
      <c r="T1069" t="s">
        <v>468</v>
      </c>
    </row>
    <row r="1070" spans="1:20" x14ac:dyDescent="0.25">
      <c r="A1070">
        <v>154</v>
      </c>
      <c r="B1070">
        <v>509196</v>
      </c>
      <c r="C1070" t="s">
        <v>199</v>
      </c>
      <c r="D1070">
        <v>2018</v>
      </c>
      <c r="E1070">
        <v>54.990001678466797</v>
      </c>
      <c r="F1070">
        <v>0.6</v>
      </c>
      <c r="G1070" t="s">
        <v>465</v>
      </c>
      <c r="H1070">
        <v>91.699996948242188</v>
      </c>
      <c r="I1070">
        <v>33.349998474121087</v>
      </c>
      <c r="L1070" t="s">
        <v>469</v>
      </c>
      <c r="M1070">
        <v>152.83332824707031</v>
      </c>
      <c r="N1070">
        <v>55.583330790201813</v>
      </c>
      <c r="O1070">
        <v>103.87</v>
      </c>
      <c r="P1070">
        <v>155.4</v>
      </c>
      <c r="Q1070">
        <v>80.7</v>
      </c>
      <c r="R1070" s="3" t="s">
        <v>470</v>
      </c>
      <c r="S1070">
        <v>103.87</v>
      </c>
      <c r="T1070" t="s">
        <v>468</v>
      </c>
    </row>
    <row r="1071" spans="1:20" x14ac:dyDescent="0.25">
      <c r="A1071">
        <v>154</v>
      </c>
      <c r="B1071">
        <v>509196</v>
      </c>
      <c r="C1071" t="s">
        <v>199</v>
      </c>
      <c r="D1071">
        <v>2019</v>
      </c>
      <c r="E1071">
        <v>54.990001678466797</v>
      </c>
      <c r="F1071">
        <v>0.96</v>
      </c>
      <c r="G1071" t="s">
        <v>465</v>
      </c>
      <c r="H1071">
        <v>96.300003051757813</v>
      </c>
      <c r="I1071">
        <v>35.150001525878913</v>
      </c>
      <c r="L1071" t="s">
        <v>469</v>
      </c>
      <c r="M1071">
        <v>100.3125031789144</v>
      </c>
      <c r="N1071">
        <v>36.614584922790527</v>
      </c>
      <c r="O1071">
        <v>103.87</v>
      </c>
      <c r="P1071">
        <v>155.4</v>
      </c>
      <c r="Q1071">
        <v>80.7</v>
      </c>
      <c r="R1071" s="3" t="s">
        <v>470</v>
      </c>
      <c r="S1071">
        <v>103.87</v>
      </c>
      <c r="T1071" t="s">
        <v>468</v>
      </c>
    </row>
    <row r="1072" spans="1:20" x14ac:dyDescent="0.25">
      <c r="A1072">
        <v>154</v>
      </c>
      <c r="B1072">
        <v>509196</v>
      </c>
      <c r="C1072" t="s">
        <v>199</v>
      </c>
      <c r="D1072">
        <v>2020</v>
      </c>
      <c r="E1072">
        <v>54.990001678466797</v>
      </c>
      <c r="F1072">
        <v>0.35</v>
      </c>
      <c r="G1072" t="s">
        <v>465</v>
      </c>
      <c r="H1072">
        <v>54</v>
      </c>
      <c r="I1072">
        <v>22</v>
      </c>
      <c r="L1072" t="s">
        <v>484</v>
      </c>
      <c r="M1072">
        <v>154.28571428571431</v>
      </c>
      <c r="N1072">
        <v>62.857142857142861</v>
      </c>
      <c r="O1072">
        <v>103.87</v>
      </c>
      <c r="P1072">
        <v>155.4</v>
      </c>
      <c r="Q1072">
        <v>80.7</v>
      </c>
      <c r="R1072" s="3" t="s">
        <v>470</v>
      </c>
      <c r="S1072">
        <v>103.87</v>
      </c>
      <c r="T1072" t="s">
        <v>468</v>
      </c>
    </row>
    <row r="1073" spans="1:20" x14ac:dyDescent="0.25">
      <c r="A1073">
        <v>154</v>
      </c>
      <c r="B1073">
        <v>509196</v>
      </c>
      <c r="C1073" t="s">
        <v>199</v>
      </c>
      <c r="D1073">
        <v>2021</v>
      </c>
      <c r="E1073">
        <v>54.990001678466797</v>
      </c>
      <c r="F1073">
        <v>-6.02</v>
      </c>
      <c r="G1073" t="s">
        <v>465</v>
      </c>
      <c r="H1073">
        <v>70</v>
      </c>
      <c r="I1073">
        <v>30</v>
      </c>
      <c r="L1073" t="s">
        <v>471</v>
      </c>
      <c r="M1073">
        <v>-11.627906976744191</v>
      </c>
      <c r="N1073">
        <v>-4.9833887043189371</v>
      </c>
      <c r="O1073">
        <v>103.87</v>
      </c>
      <c r="P1073">
        <v>155.4</v>
      </c>
      <c r="Q1073">
        <v>80.7</v>
      </c>
      <c r="R1073" s="3" t="s">
        <v>470</v>
      </c>
      <c r="S1073">
        <v>103.87</v>
      </c>
      <c r="T1073" t="s">
        <v>468</v>
      </c>
    </row>
    <row r="1074" spans="1:20" x14ac:dyDescent="0.25">
      <c r="A1074">
        <v>154</v>
      </c>
      <c r="B1074">
        <v>509196</v>
      </c>
      <c r="C1074" t="s">
        <v>199</v>
      </c>
      <c r="D1074">
        <v>2022</v>
      </c>
      <c r="E1074">
        <v>54.990001678466797</v>
      </c>
      <c r="F1074">
        <v>2.33</v>
      </c>
      <c r="G1074" t="s">
        <v>465</v>
      </c>
      <c r="H1074">
        <v>156.80000305175781</v>
      </c>
      <c r="I1074">
        <v>49</v>
      </c>
      <c r="L1074" t="s">
        <v>469</v>
      </c>
      <c r="M1074">
        <v>67.296138648823089</v>
      </c>
      <c r="N1074">
        <v>21.030042918454939</v>
      </c>
      <c r="O1074">
        <v>103.87</v>
      </c>
      <c r="P1074">
        <v>155.4</v>
      </c>
      <c r="Q1074">
        <v>80.7</v>
      </c>
      <c r="R1074" s="3" t="s">
        <v>470</v>
      </c>
      <c r="S1074">
        <v>103.87</v>
      </c>
      <c r="T1074" t="s">
        <v>468</v>
      </c>
    </row>
    <row r="1075" spans="1:20" x14ac:dyDescent="0.25">
      <c r="A1075">
        <v>154</v>
      </c>
      <c r="B1075">
        <v>509196</v>
      </c>
      <c r="C1075" t="s">
        <v>199</v>
      </c>
      <c r="D1075">
        <v>2023</v>
      </c>
      <c r="E1075">
        <v>54.990001678466797</v>
      </c>
      <c r="F1075">
        <v>4.1100000000000003</v>
      </c>
      <c r="G1075" t="s">
        <v>465</v>
      </c>
      <c r="H1075">
        <v>147.8999938964844</v>
      </c>
      <c r="I1075">
        <v>77</v>
      </c>
      <c r="L1075" t="s">
        <v>469</v>
      </c>
      <c r="M1075">
        <v>35.985399974813717</v>
      </c>
      <c r="N1075">
        <v>18.734793187347929</v>
      </c>
      <c r="O1075">
        <v>103.87</v>
      </c>
      <c r="P1075">
        <v>155.4</v>
      </c>
      <c r="Q1075">
        <v>80.7</v>
      </c>
      <c r="R1075" s="3" t="s">
        <v>470</v>
      </c>
      <c r="S1075">
        <v>103.87</v>
      </c>
      <c r="T1075" t="s">
        <v>468</v>
      </c>
    </row>
    <row r="1076" spans="1:20" x14ac:dyDescent="0.25">
      <c r="A1076">
        <v>154</v>
      </c>
      <c r="B1076">
        <v>509196</v>
      </c>
      <c r="C1076" t="s">
        <v>199</v>
      </c>
      <c r="D1076">
        <v>2024</v>
      </c>
      <c r="E1076">
        <v>54.990001678466797</v>
      </c>
      <c r="F1076">
        <v>-2.65</v>
      </c>
      <c r="G1076" t="s">
        <v>465</v>
      </c>
      <c r="H1076">
        <v>155.3999938964844</v>
      </c>
      <c r="I1076">
        <v>80.699996948242188</v>
      </c>
      <c r="L1076" t="s">
        <v>471</v>
      </c>
      <c r="M1076">
        <v>-58.641507130748828</v>
      </c>
      <c r="N1076">
        <v>-30.452829037072529</v>
      </c>
      <c r="O1076">
        <v>103.87</v>
      </c>
      <c r="P1076">
        <v>155.4</v>
      </c>
      <c r="Q1076">
        <v>80.7</v>
      </c>
      <c r="R1076" s="3" t="s">
        <v>470</v>
      </c>
      <c r="S1076">
        <v>103.87</v>
      </c>
      <c r="T1076" t="s">
        <v>468</v>
      </c>
    </row>
    <row r="1077" spans="1:20" x14ac:dyDescent="0.25">
      <c r="A1077">
        <v>154</v>
      </c>
      <c r="B1077">
        <v>509196</v>
      </c>
      <c r="C1077" t="s">
        <v>199</v>
      </c>
      <c r="D1077">
        <v>2025</v>
      </c>
      <c r="E1077">
        <v>54.990001678466797</v>
      </c>
      <c r="F1077">
        <v>-5.91</v>
      </c>
      <c r="G1077" t="s">
        <v>465</v>
      </c>
      <c r="H1077">
        <v>105</v>
      </c>
      <c r="I1077">
        <v>65.400001525878906</v>
      </c>
      <c r="L1077" t="s">
        <v>471</v>
      </c>
      <c r="M1077">
        <v>-17.766497461928939</v>
      </c>
      <c r="N1077">
        <v>-11.06599010590168</v>
      </c>
      <c r="O1077">
        <v>103.87</v>
      </c>
      <c r="P1077">
        <v>155.4</v>
      </c>
      <c r="Q1077">
        <v>80.7</v>
      </c>
      <c r="R1077" s="3" t="s">
        <v>470</v>
      </c>
      <c r="S1077">
        <v>103.87</v>
      </c>
      <c r="T1077" t="s">
        <v>468</v>
      </c>
    </row>
    <row r="1078" spans="1:20" x14ac:dyDescent="0.25">
      <c r="A1078">
        <v>154</v>
      </c>
      <c r="B1078">
        <v>509196</v>
      </c>
      <c r="C1078" t="s">
        <v>199</v>
      </c>
      <c r="D1078">
        <v>2026</v>
      </c>
      <c r="E1078">
        <v>54.990001678466797</v>
      </c>
      <c r="F1078">
        <v>-1.93</v>
      </c>
      <c r="G1078" t="s">
        <v>465</v>
      </c>
      <c r="H1078">
        <v>84.830001831054688</v>
      </c>
      <c r="I1078">
        <v>50.009998321533203</v>
      </c>
      <c r="L1078" t="s">
        <v>471</v>
      </c>
      <c r="M1078">
        <v>-43.953368824380668</v>
      </c>
      <c r="N1078">
        <v>-25.911916228773681</v>
      </c>
      <c r="O1078">
        <v>103.87</v>
      </c>
      <c r="P1078">
        <v>155.4</v>
      </c>
      <c r="Q1078">
        <v>80.7</v>
      </c>
      <c r="R1078" s="3" t="s">
        <v>470</v>
      </c>
      <c r="S1078">
        <v>103.87</v>
      </c>
      <c r="T1078" t="s">
        <v>468</v>
      </c>
    </row>
    <row r="1079" spans="1:20" x14ac:dyDescent="0.25">
      <c r="A1079">
        <v>157</v>
      </c>
      <c r="B1079">
        <v>509423</v>
      </c>
      <c r="C1079" t="s">
        <v>201</v>
      </c>
      <c r="D1079">
        <v>2015</v>
      </c>
      <c r="E1079">
        <v>32.110000610351563</v>
      </c>
      <c r="F1079">
        <v>0.89</v>
      </c>
      <c r="G1079" t="s">
        <v>465</v>
      </c>
      <c r="H1079">
        <v>39.25</v>
      </c>
      <c r="I1079">
        <v>39.25</v>
      </c>
      <c r="L1079" t="s">
        <v>469</v>
      </c>
      <c r="M1079">
        <v>44.101123595505619</v>
      </c>
      <c r="N1079">
        <v>44.101123595505619</v>
      </c>
      <c r="O1079">
        <v>73.63</v>
      </c>
      <c r="P1079">
        <v>87.55</v>
      </c>
      <c r="Q1079">
        <v>18.510000000000002</v>
      </c>
      <c r="R1079" s="3" t="s">
        <v>470</v>
      </c>
      <c r="S1079">
        <v>73.63</v>
      </c>
      <c r="T1079" t="s">
        <v>468</v>
      </c>
    </row>
    <row r="1080" spans="1:20" x14ac:dyDescent="0.25">
      <c r="A1080">
        <v>157</v>
      </c>
      <c r="B1080">
        <v>509423</v>
      </c>
      <c r="C1080" t="s">
        <v>201</v>
      </c>
      <c r="D1080">
        <v>2016</v>
      </c>
      <c r="E1080">
        <v>32.110000610351563</v>
      </c>
      <c r="F1080">
        <v>66.569999999999993</v>
      </c>
      <c r="G1080" t="s">
        <v>465</v>
      </c>
      <c r="H1080">
        <v>39.25</v>
      </c>
      <c r="I1080">
        <v>39.25</v>
      </c>
      <c r="L1080" t="s">
        <v>469</v>
      </c>
      <c r="M1080">
        <v>0.58960492714435941</v>
      </c>
      <c r="N1080">
        <v>0.58960492714435941</v>
      </c>
      <c r="O1080">
        <v>73.63</v>
      </c>
      <c r="P1080">
        <v>87.55</v>
      </c>
      <c r="Q1080">
        <v>18.510000000000002</v>
      </c>
      <c r="R1080" s="3" t="s">
        <v>470</v>
      </c>
      <c r="S1080">
        <v>73.63</v>
      </c>
      <c r="T1080" t="s">
        <v>468</v>
      </c>
    </row>
    <row r="1081" spans="1:20" x14ac:dyDescent="0.25">
      <c r="A1081">
        <v>157</v>
      </c>
      <c r="B1081">
        <v>509423</v>
      </c>
      <c r="C1081" t="s">
        <v>201</v>
      </c>
      <c r="D1081">
        <v>2017</v>
      </c>
      <c r="E1081">
        <v>32.110000610351563</v>
      </c>
      <c r="F1081">
        <v>13.78</v>
      </c>
      <c r="G1081" t="s">
        <v>465</v>
      </c>
      <c r="H1081">
        <v>39.25</v>
      </c>
      <c r="I1081">
        <v>39.25</v>
      </c>
      <c r="L1081" t="s">
        <v>469</v>
      </c>
      <c r="M1081">
        <v>2.8483309143686499</v>
      </c>
      <c r="N1081">
        <v>2.8483309143686499</v>
      </c>
      <c r="O1081">
        <v>73.63</v>
      </c>
      <c r="P1081">
        <v>87.55</v>
      </c>
      <c r="Q1081">
        <v>18.510000000000002</v>
      </c>
      <c r="R1081" s="3" t="s">
        <v>470</v>
      </c>
      <c r="S1081">
        <v>73.63</v>
      </c>
      <c r="T1081" t="s">
        <v>468</v>
      </c>
    </row>
    <row r="1082" spans="1:20" x14ac:dyDescent="0.25">
      <c r="A1082">
        <v>157</v>
      </c>
      <c r="B1082">
        <v>509423</v>
      </c>
      <c r="C1082" t="s">
        <v>201</v>
      </c>
      <c r="D1082">
        <v>2018</v>
      </c>
      <c r="E1082">
        <v>32.110000610351563</v>
      </c>
      <c r="F1082">
        <v>-5.46</v>
      </c>
      <c r="G1082" t="s">
        <v>465</v>
      </c>
      <c r="H1082">
        <v>39.25</v>
      </c>
      <c r="I1082">
        <v>12.35000038146973</v>
      </c>
      <c r="L1082" t="s">
        <v>471</v>
      </c>
      <c r="M1082">
        <v>-7.1886446886446889</v>
      </c>
      <c r="N1082">
        <v>-2.2619048317710129</v>
      </c>
      <c r="O1082">
        <v>73.63</v>
      </c>
      <c r="P1082">
        <v>87.55</v>
      </c>
      <c r="Q1082">
        <v>18.510000000000002</v>
      </c>
      <c r="R1082" s="3" t="s">
        <v>470</v>
      </c>
      <c r="S1082">
        <v>73.63</v>
      </c>
      <c r="T1082" t="s">
        <v>468</v>
      </c>
    </row>
    <row r="1083" spans="1:20" x14ac:dyDescent="0.25">
      <c r="A1083">
        <v>157</v>
      </c>
      <c r="B1083">
        <v>509423</v>
      </c>
      <c r="C1083" t="s">
        <v>201</v>
      </c>
      <c r="D1083">
        <v>2019</v>
      </c>
      <c r="E1083">
        <v>32.110000610351563</v>
      </c>
      <c r="F1083">
        <v>-3.68</v>
      </c>
      <c r="G1083" t="s">
        <v>465</v>
      </c>
      <c r="H1083">
        <v>23.20000076293945</v>
      </c>
      <c r="I1083">
        <v>8.5</v>
      </c>
      <c r="L1083" t="s">
        <v>471</v>
      </c>
      <c r="M1083">
        <v>-6.3043480334074591</v>
      </c>
      <c r="N1083">
        <v>-2.3097826086956519</v>
      </c>
      <c r="O1083">
        <v>73.63</v>
      </c>
      <c r="P1083">
        <v>87.55</v>
      </c>
      <c r="Q1083">
        <v>18.510000000000002</v>
      </c>
      <c r="R1083" s="3" t="s">
        <v>470</v>
      </c>
      <c r="S1083">
        <v>73.63</v>
      </c>
      <c r="T1083" t="s">
        <v>468</v>
      </c>
    </row>
    <row r="1084" spans="1:20" x14ac:dyDescent="0.25">
      <c r="A1084">
        <v>157</v>
      </c>
      <c r="B1084">
        <v>509423</v>
      </c>
      <c r="C1084" t="s">
        <v>201</v>
      </c>
      <c r="D1084">
        <v>2020</v>
      </c>
      <c r="E1084">
        <v>32.110000610351563</v>
      </c>
      <c r="F1084">
        <v>2.0299999999999998</v>
      </c>
      <c r="G1084" t="s">
        <v>465</v>
      </c>
      <c r="H1084">
        <v>12.05000019073486</v>
      </c>
      <c r="I1084">
        <v>6.4499998092651367</v>
      </c>
      <c r="L1084" t="s">
        <v>469</v>
      </c>
      <c r="M1084">
        <v>5.9359606850910636</v>
      </c>
      <c r="N1084">
        <v>3.1773398075197719</v>
      </c>
      <c r="O1084">
        <v>73.63</v>
      </c>
      <c r="P1084">
        <v>87.55</v>
      </c>
      <c r="Q1084">
        <v>18.510000000000002</v>
      </c>
      <c r="R1084" s="3" t="s">
        <v>470</v>
      </c>
      <c r="S1084">
        <v>73.63</v>
      </c>
      <c r="T1084" t="s">
        <v>468</v>
      </c>
    </row>
    <row r="1085" spans="1:20" x14ac:dyDescent="0.25">
      <c r="A1085">
        <v>157</v>
      </c>
      <c r="B1085">
        <v>509423</v>
      </c>
      <c r="C1085" t="s">
        <v>201</v>
      </c>
      <c r="D1085">
        <v>2021</v>
      </c>
      <c r="E1085">
        <v>32.110000610351563</v>
      </c>
      <c r="F1085">
        <v>0.56999999999999995</v>
      </c>
      <c r="G1085" t="s">
        <v>465</v>
      </c>
      <c r="H1085">
        <v>46.950000762939453</v>
      </c>
      <c r="I1085">
        <v>7.8000001907348633</v>
      </c>
      <c r="L1085" t="s">
        <v>469</v>
      </c>
      <c r="M1085">
        <v>82.368422391121854</v>
      </c>
      <c r="N1085">
        <v>13.684210860938361</v>
      </c>
      <c r="O1085">
        <v>73.63</v>
      </c>
      <c r="P1085">
        <v>87.55</v>
      </c>
      <c r="Q1085">
        <v>18.510000000000002</v>
      </c>
      <c r="R1085" s="3" t="s">
        <v>470</v>
      </c>
      <c r="S1085">
        <v>73.63</v>
      </c>
      <c r="T1085" t="s">
        <v>468</v>
      </c>
    </row>
    <row r="1086" spans="1:20" x14ac:dyDescent="0.25">
      <c r="A1086">
        <v>157</v>
      </c>
      <c r="B1086">
        <v>509423</v>
      </c>
      <c r="C1086" t="s">
        <v>201</v>
      </c>
      <c r="D1086">
        <v>2022</v>
      </c>
      <c r="E1086">
        <v>32.110000610351563</v>
      </c>
      <c r="F1086">
        <v>-1.1399999999999999</v>
      </c>
      <c r="G1086" t="s">
        <v>465</v>
      </c>
      <c r="H1086">
        <v>54.599998474121087</v>
      </c>
      <c r="I1086">
        <v>13.840000152587891</v>
      </c>
      <c r="L1086" t="s">
        <v>471</v>
      </c>
      <c r="M1086">
        <v>-47.894735503615003</v>
      </c>
      <c r="N1086">
        <v>-12.140351011042011</v>
      </c>
      <c r="O1086">
        <v>73.63</v>
      </c>
      <c r="P1086">
        <v>87.55</v>
      </c>
      <c r="Q1086">
        <v>18.510000000000002</v>
      </c>
      <c r="R1086" s="3" t="s">
        <v>470</v>
      </c>
      <c r="S1086">
        <v>73.63</v>
      </c>
      <c r="T1086" t="s">
        <v>468</v>
      </c>
    </row>
    <row r="1087" spans="1:20" x14ac:dyDescent="0.25">
      <c r="A1087">
        <v>157</v>
      </c>
      <c r="B1087">
        <v>509423</v>
      </c>
      <c r="C1087" t="s">
        <v>201</v>
      </c>
      <c r="D1087">
        <v>2023</v>
      </c>
      <c r="E1087">
        <v>32.110000610351563</v>
      </c>
      <c r="F1087">
        <v>-0.98</v>
      </c>
      <c r="G1087" t="s">
        <v>465</v>
      </c>
      <c r="H1087">
        <v>27.39999961853027</v>
      </c>
      <c r="I1087">
        <v>14.939999580383301</v>
      </c>
      <c r="L1087" t="s">
        <v>471</v>
      </c>
      <c r="M1087">
        <v>-27.959183284214561</v>
      </c>
      <c r="N1087">
        <v>-15.244897531003369</v>
      </c>
      <c r="O1087">
        <v>73.63</v>
      </c>
      <c r="P1087">
        <v>87.55</v>
      </c>
      <c r="Q1087">
        <v>18.510000000000002</v>
      </c>
      <c r="R1087" s="3" t="s">
        <v>470</v>
      </c>
      <c r="S1087">
        <v>73.63</v>
      </c>
      <c r="T1087" t="s">
        <v>468</v>
      </c>
    </row>
    <row r="1088" spans="1:20" x14ac:dyDescent="0.25">
      <c r="A1088">
        <v>157</v>
      </c>
      <c r="B1088">
        <v>509423</v>
      </c>
      <c r="C1088" t="s">
        <v>201</v>
      </c>
      <c r="D1088">
        <v>2024</v>
      </c>
      <c r="E1088">
        <v>32.110000610351563</v>
      </c>
      <c r="F1088">
        <v>9.33</v>
      </c>
      <c r="G1088" t="s">
        <v>465</v>
      </c>
      <c r="H1088">
        <v>87.550003051757813</v>
      </c>
      <c r="I1088">
        <v>18.25</v>
      </c>
      <c r="L1088" t="s">
        <v>469</v>
      </c>
      <c r="M1088">
        <v>9.3837087944006221</v>
      </c>
      <c r="N1088">
        <v>1.956055734190782</v>
      </c>
      <c r="O1088">
        <v>73.63</v>
      </c>
      <c r="P1088">
        <v>87.55</v>
      </c>
      <c r="Q1088">
        <v>18.510000000000002</v>
      </c>
      <c r="R1088" s="3" t="s">
        <v>470</v>
      </c>
      <c r="S1088">
        <v>73.63</v>
      </c>
      <c r="T1088" t="s">
        <v>468</v>
      </c>
    </row>
    <row r="1089" spans="1:20" x14ac:dyDescent="0.25">
      <c r="A1089">
        <v>157</v>
      </c>
      <c r="B1089">
        <v>509423</v>
      </c>
      <c r="C1089" t="s">
        <v>201</v>
      </c>
      <c r="D1089">
        <v>2025</v>
      </c>
      <c r="E1089">
        <v>32.110000610351563</v>
      </c>
      <c r="F1089">
        <v>-10.79</v>
      </c>
      <c r="G1089" t="s">
        <v>465</v>
      </c>
      <c r="H1089">
        <v>54.330001831054688</v>
      </c>
      <c r="I1089">
        <v>25.120000839233398</v>
      </c>
      <c r="L1089" t="s">
        <v>471</v>
      </c>
      <c r="M1089">
        <v>-5.0352179639531691</v>
      </c>
      <c r="N1089">
        <v>-2.328081634776034</v>
      </c>
      <c r="O1089">
        <v>73.63</v>
      </c>
      <c r="P1089">
        <v>87.55</v>
      </c>
      <c r="Q1089">
        <v>18.510000000000002</v>
      </c>
      <c r="R1089" s="3" t="s">
        <v>470</v>
      </c>
      <c r="S1089">
        <v>73.63</v>
      </c>
      <c r="T1089" t="s">
        <v>468</v>
      </c>
    </row>
    <row r="1090" spans="1:20" x14ac:dyDescent="0.25">
      <c r="A1090">
        <v>157</v>
      </c>
      <c r="B1090">
        <v>509423</v>
      </c>
      <c r="C1090" t="s">
        <v>201</v>
      </c>
      <c r="D1090">
        <v>2026</v>
      </c>
      <c r="E1090">
        <v>32.110000610351563</v>
      </c>
      <c r="F1090">
        <v>0.32</v>
      </c>
      <c r="G1090" t="s">
        <v>465</v>
      </c>
      <c r="H1090">
        <v>49.400001525878913</v>
      </c>
      <c r="I1090">
        <v>29.75</v>
      </c>
      <c r="L1090" t="s">
        <v>484</v>
      </c>
      <c r="M1090">
        <v>154.37500476837161</v>
      </c>
      <c r="N1090">
        <v>92.96875</v>
      </c>
      <c r="O1090">
        <v>73.63</v>
      </c>
      <c r="P1090">
        <v>87.55</v>
      </c>
      <c r="Q1090">
        <v>18.510000000000002</v>
      </c>
      <c r="R1090" s="3" t="s">
        <v>470</v>
      </c>
      <c r="S1090">
        <v>73.63</v>
      </c>
      <c r="T1090" t="s">
        <v>468</v>
      </c>
    </row>
    <row r="1091" spans="1:20" x14ac:dyDescent="0.25">
      <c r="A1091">
        <v>161</v>
      </c>
      <c r="B1091">
        <v>509650</v>
      </c>
      <c r="C1091" t="s">
        <v>203</v>
      </c>
      <c r="D1091">
        <v>2026</v>
      </c>
      <c r="E1091">
        <v>38.740001678466797</v>
      </c>
      <c r="F1091">
        <v>917.36</v>
      </c>
      <c r="G1091" t="s">
        <v>465</v>
      </c>
      <c r="H1091">
        <v>38.740001678466797</v>
      </c>
      <c r="I1091">
        <v>38.740001678466797</v>
      </c>
      <c r="L1091" t="s">
        <v>469</v>
      </c>
      <c r="M1091">
        <v>4.2229878868128977E-2</v>
      </c>
      <c r="N1091">
        <v>4.2229878868128977E-2</v>
      </c>
      <c r="O1091">
        <v>38.74</v>
      </c>
      <c r="P1091">
        <v>38.74</v>
      </c>
      <c r="Q1091">
        <v>38.74</v>
      </c>
      <c r="R1091" s="2" t="s">
        <v>467</v>
      </c>
      <c r="S1091">
        <v>38.74</v>
      </c>
      <c r="T1091" t="s">
        <v>468</v>
      </c>
    </row>
    <row r="1092" spans="1:20" x14ac:dyDescent="0.25">
      <c r="A1092">
        <v>163</v>
      </c>
      <c r="B1092">
        <v>509760</v>
      </c>
      <c r="C1092" t="s">
        <v>205</v>
      </c>
      <c r="D1092">
        <v>2015</v>
      </c>
      <c r="E1092">
        <v>35.5</v>
      </c>
      <c r="F1092">
        <v>1.3</v>
      </c>
      <c r="G1092" t="s">
        <v>465</v>
      </c>
      <c r="H1092">
        <v>23.25</v>
      </c>
      <c r="I1092">
        <v>13.19999980926514</v>
      </c>
      <c r="L1092" t="s">
        <v>469</v>
      </c>
      <c r="M1092">
        <v>17.88461538461538</v>
      </c>
      <c r="N1092">
        <v>10.153846007127029</v>
      </c>
      <c r="O1092">
        <v>51.07</v>
      </c>
      <c r="P1092">
        <v>69.349999999999994</v>
      </c>
      <c r="Q1092">
        <v>25.9</v>
      </c>
      <c r="R1092" s="3" t="s">
        <v>470</v>
      </c>
      <c r="S1092">
        <v>51.07</v>
      </c>
      <c r="T1092" t="s">
        <v>468</v>
      </c>
    </row>
    <row r="1093" spans="1:20" x14ac:dyDescent="0.25">
      <c r="A1093">
        <v>163</v>
      </c>
      <c r="B1093">
        <v>509760</v>
      </c>
      <c r="C1093" t="s">
        <v>205</v>
      </c>
      <c r="D1093">
        <v>2016</v>
      </c>
      <c r="E1093">
        <v>35.5</v>
      </c>
      <c r="F1093">
        <v>0.44</v>
      </c>
      <c r="G1093" t="s">
        <v>465</v>
      </c>
      <c r="H1093">
        <v>25.04999923706055</v>
      </c>
      <c r="I1093">
        <v>13.52000045776367</v>
      </c>
      <c r="L1093" t="s">
        <v>484</v>
      </c>
      <c r="M1093">
        <v>56.93181644786489</v>
      </c>
      <c r="N1093">
        <v>30.7272737676447</v>
      </c>
      <c r="O1093">
        <v>51.07</v>
      </c>
      <c r="P1093">
        <v>69.349999999999994</v>
      </c>
      <c r="Q1093">
        <v>25.9</v>
      </c>
      <c r="R1093" s="3" t="s">
        <v>470</v>
      </c>
      <c r="S1093">
        <v>51.07</v>
      </c>
      <c r="T1093" t="s">
        <v>468</v>
      </c>
    </row>
    <row r="1094" spans="1:20" x14ac:dyDescent="0.25">
      <c r="A1094">
        <v>163</v>
      </c>
      <c r="B1094">
        <v>509760</v>
      </c>
      <c r="C1094" t="s">
        <v>205</v>
      </c>
      <c r="D1094">
        <v>2017</v>
      </c>
      <c r="E1094">
        <v>35.5</v>
      </c>
      <c r="F1094">
        <v>0.48</v>
      </c>
      <c r="G1094" t="s">
        <v>465</v>
      </c>
      <c r="H1094">
        <v>30.10000038146973</v>
      </c>
      <c r="I1094">
        <v>13.69999980926514</v>
      </c>
      <c r="L1094" t="s">
        <v>484</v>
      </c>
      <c r="M1094">
        <v>62.708334128061942</v>
      </c>
      <c r="N1094">
        <v>28.541666269302379</v>
      </c>
      <c r="O1094">
        <v>51.07</v>
      </c>
      <c r="P1094">
        <v>69.349999999999994</v>
      </c>
      <c r="Q1094">
        <v>25.9</v>
      </c>
      <c r="R1094" s="3" t="s">
        <v>470</v>
      </c>
      <c r="S1094">
        <v>51.07</v>
      </c>
      <c r="T1094" t="s">
        <v>468</v>
      </c>
    </row>
    <row r="1095" spans="1:20" x14ac:dyDescent="0.25">
      <c r="A1095">
        <v>163</v>
      </c>
      <c r="B1095">
        <v>509760</v>
      </c>
      <c r="C1095" t="s">
        <v>205</v>
      </c>
      <c r="D1095">
        <v>2018</v>
      </c>
      <c r="E1095">
        <v>35.5</v>
      </c>
      <c r="F1095">
        <v>0.72</v>
      </c>
      <c r="G1095" t="s">
        <v>465</v>
      </c>
      <c r="H1095">
        <v>22.10000038146973</v>
      </c>
      <c r="I1095">
        <v>10.30000019073486</v>
      </c>
      <c r="L1095" t="s">
        <v>469</v>
      </c>
      <c r="M1095">
        <v>30.694444974263519</v>
      </c>
      <c r="N1095">
        <v>14.305555820465081</v>
      </c>
      <c r="O1095">
        <v>51.07</v>
      </c>
      <c r="P1095">
        <v>69.349999999999994</v>
      </c>
      <c r="Q1095">
        <v>25.9</v>
      </c>
      <c r="R1095" s="3" t="s">
        <v>470</v>
      </c>
      <c r="S1095">
        <v>51.07</v>
      </c>
      <c r="T1095" t="s">
        <v>468</v>
      </c>
    </row>
    <row r="1096" spans="1:20" x14ac:dyDescent="0.25">
      <c r="A1096">
        <v>163</v>
      </c>
      <c r="B1096">
        <v>509760</v>
      </c>
      <c r="C1096" t="s">
        <v>205</v>
      </c>
      <c r="D1096">
        <v>2019</v>
      </c>
      <c r="E1096">
        <v>35.5</v>
      </c>
      <c r="F1096">
        <v>-1.81</v>
      </c>
      <c r="G1096" t="s">
        <v>465</v>
      </c>
      <c r="H1096">
        <v>10.35000038146973</v>
      </c>
      <c r="I1096">
        <v>6.8899998664855957</v>
      </c>
      <c r="L1096" t="s">
        <v>471</v>
      </c>
      <c r="M1096">
        <v>-5.7182322549556517</v>
      </c>
      <c r="N1096">
        <v>-3.8066297604892791</v>
      </c>
      <c r="O1096">
        <v>51.07</v>
      </c>
      <c r="P1096">
        <v>69.349999999999994</v>
      </c>
      <c r="Q1096">
        <v>25.9</v>
      </c>
      <c r="R1096" s="3" t="s">
        <v>470</v>
      </c>
      <c r="S1096">
        <v>51.07</v>
      </c>
      <c r="T1096" t="s">
        <v>468</v>
      </c>
    </row>
    <row r="1097" spans="1:20" x14ac:dyDescent="0.25">
      <c r="A1097">
        <v>163</v>
      </c>
      <c r="B1097">
        <v>509760</v>
      </c>
      <c r="C1097" t="s">
        <v>205</v>
      </c>
      <c r="D1097">
        <v>2020</v>
      </c>
      <c r="E1097">
        <v>35.5</v>
      </c>
      <c r="F1097">
        <v>-1.36</v>
      </c>
      <c r="G1097" t="s">
        <v>465</v>
      </c>
      <c r="H1097">
        <v>7.2199997901916504</v>
      </c>
      <c r="I1097">
        <v>4.940000057220459</v>
      </c>
      <c r="L1097" t="s">
        <v>471</v>
      </c>
      <c r="M1097">
        <v>-5.3088233751409186</v>
      </c>
      <c r="N1097">
        <v>-3.6323529832503372</v>
      </c>
      <c r="O1097">
        <v>51.07</v>
      </c>
      <c r="P1097">
        <v>69.349999999999994</v>
      </c>
      <c r="Q1097">
        <v>25.9</v>
      </c>
      <c r="R1097" s="3" t="s">
        <v>470</v>
      </c>
      <c r="S1097">
        <v>51.07</v>
      </c>
      <c r="T1097" t="s">
        <v>468</v>
      </c>
    </row>
    <row r="1098" spans="1:20" x14ac:dyDescent="0.25">
      <c r="A1098">
        <v>163</v>
      </c>
      <c r="B1098">
        <v>509760</v>
      </c>
      <c r="C1098" t="s">
        <v>205</v>
      </c>
      <c r="D1098">
        <v>2021</v>
      </c>
      <c r="E1098">
        <v>35.5</v>
      </c>
      <c r="F1098">
        <v>0.1</v>
      </c>
      <c r="G1098" t="s">
        <v>465</v>
      </c>
      <c r="H1098">
        <v>22.95000076293945</v>
      </c>
      <c r="I1098">
        <v>5</v>
      </c>
      <c r="L1098" t="s">
        <v>484</v>
      </c>
      <c r="M1098">
        <v>229.5000076293945</v>
      </c>
      <c r="N1098">
        <v>50</v>
      </c>
      <c r="O1098">
        <v>51.07</v>
      </c>
      <c r="P1098">
        <v>69.349999999999994</v>
      </c>
      <c r="Q1098">
        <v>25.9</v>
      </c>
      <c r="R1098" s="3" t="s">
        <v>470</v>
      </c>
      <c r="S1098">
        <v>51.07</v>
      </c>
      <c r="T1098" t="s">
        <v>468</v>
      </c>
    </row>
    <row r="1099" spans="1:20" x14ac:dyDescent="0.25">
      <c r="A1099">
        <v>163</v>
      </c>
      <c r="B1099">
        <v>509760</v>
      </c>
      <c r="C1099" t="s">
        <v>205</v>
      </c>
      <c r="D1099">
        <v>2022</v>
      </c>
      <c r="E1099">
        <v>35.5</v>
      </c>
      <c r="F1099">
        <v>0.96</v>
      </c>
      <c r="G1099" t="s">
        <v>465</v>
      </c>
      <c r="H1099">
        <v>22.79999923706055</v>
      </c>
      <c r="I1099">
        <v>11.19999980926514</v>
      </c>
      <c r="L1099" t="s">
        <v>469</v>
      </c>
      <c r="M1099">
        <v>23.749999205271411</v>
      </c>
      <c r="N1099">
        <v>11.66666646798452</v>
      </c>
      <c r="O1099">
        <v>51.07</v>
      </c>
      <c r="P1099">
        <v>69.349999999999994</v>
      </c>
      <c r="Q1099">
        <v>25.9</v>
      </c>
      <c r="R1099" s="3" t="s">
        <v>470</v>
      </c>
      <c r="S1099">
        <v>51.07</v>
      </c>
      <c r="T1099" t="s">
        <v>468</v>
      </c>
    </row>
    <row r="1100" spans="1:20" x14ac:dyDescent="0.25">
      <c r="A1100">
        <v>163</v>
      </c>
      <c r="B1100">
        <v>509760</v>
      </c>
      <c r="C1100" t="s">
        <v>205</v>
      </c>
      <c r="D1100">
        <v>2023</v>
      </c>
      <c r="E1100">
        <v>35.5</v>
      </c>
      <c r="F1100">
        <v>0.61</v>
      </c>
      <c r="G1100" t="s">
        <v>465</v>
      </c>
      <c r="H1100">
        <v>41.360000610351563</v>
      </c>
      <c r="I1100">
        <v>14</v>
      </c>
      <c r="L1100" t="s">
        <v>469</v>
      </c>
      <c r="M1100">
        <v>67.803279689100918</v>
      </c>
      <c r="N1100">
        <v>22.95081967213115</v>
      </c>
      <c r="O1100">
        <v>51.07</v>
      </c>
      <c r="P1100">
        <v>69.349999999999994</v>
      </c>
      <c r="Q1100">
        <v>25.9</v>
      </c>
      <c r="R1100" s="3" t="s">
        <v>470</v>
      </c>
      <c r="S1100">
        <v>51.07</v>
      </c>
      <c r="T1100" t="s">
        <v>468</v>
      </c>
    </row>
    <row r="1101" spans="1:20" x14ac:dyDescent="0.25">
      <c r="A1101">
        <v>163</v>
      </c>
      <c r="B1101">
        <v>509760</v>
      </c>
      <c r="C1101" t="s">
        <v>205</v>
      </c>
      <c r="D1101">
        <v>2024</v>
      </c>
      <c r="E1101">
        <v>35.5</v>
      </c>
      <c r="F1101">
        <v>1.36</v>
      </c>
      <c r="G1101" t="s">
        <v>465</v>
      </c>
      <c r="H1101">
        <v>69.349998474121094</v>
      </c>
      <c r="I1101">
        <v>25.89999961853027</v>
      </c>
      <c r="L1101" t="s">
        <v>469</v>
      </c>
      <c r="M1101">
        <v>50.992645936853741</v>
      </c>
      <c r="N1101">
        <v>19.044117366566368</v>
      </c>
      <c r="O1101">
        <v>51.07</v>
      </c>
      <c r="P1101">
        <v>69.349999999999994</v>
      </c>
      <c r="Q1101">
        <v>25.9</v>
      </c>
      <c r="R1101" s="3" t="s">
        <v>470</v>
      </c>
      <c r="S1101">
        <v>51.07</v>
      </c>
      <c r="T1101" t="s">
        <v>468</v>
      </c>
    </row>
    <row r="1102" spans="1:20" x14ac:dyDescent="0.25">
      <c r="A1102">
        <v>163</v>
      </c>
      <c r="B1102">
        <v>509760</v>
      </c>
      <c r="C1102" t="s">
        <v>205</v>
      </c>
      <c r="D1102">
        <v>2025</v>
      </c>
      <c r="E1102">
        <v>35.5</v>
      </c>
      <c r="F1102">
        <v>0.75</v>
      </c>
      <c r="G1102" t="s">
        <v>465</v>
      </c>
      <c r="H1102">
        <v>66.790000915527344</v>
      </c>
      <c r="I1102">
        <v>36.380001068115227</v>
      </c>
      <c r="L1102" t="s">
        <v>469</v>
      </c>
      <c r="M1102">
        <v>89.053334554036454</v>
      </c>
      <c r="N1102">
        <v>48.506668090820313</v>
      </c>
      <c r="O1102">
        <v>51.07</v>
      </c>
      <c r="P1102">
        <v>69.349999999999994</v>
      </c>
      <c r="Q1102">
        <v>25.9</v>
      </c>
      <c r="R1102" s="3" t="s">
        <v>470</v>
      </c>
      <c r="S1102">
        <v>51.07</v>
      </c>
      <c r="T1102" t="s">
        <v>468</v>
      </c>
    </row>
    <row r="1103" spans="1:20" x14ac:dyDescent="0.25">
      <c r="A1103">
        <v>163</v>
      </c>
      <c r="B1103">
        <v>509760</v>
      </c>
      <c r="C1103" t="s">
        <v>205</v>
      </c>
      <c r="D1103">
        <v>2026</v>
      </c>
      <c r="E1103">
        <v>35.5</v>
      </c>
      <c r="F1103">
        <v>0.68</v>
      </c>
      <c r="G1103" t="s">
        <v>465</v>
      </c>
      <c r="H1103">
        <v>45.5</v>
      </c>
      <c r="I1103">
        <v>24.70000076293945</v>
      </c>
      <c r="L1103" t="s">
        <v>469</v>
      </c>
      <c r="M1103">
        <v>66.911764705882348</v>
      </c>
      <c r="N1103">
        <v>36.323530533734477</v>
      </c>
      <c r="O1103">
        <v>51.07</v>
      </c>
      <c r="P1103">
        <v>69.349999999999994</v>
      </c>
      <c r="Q1103">
        <v>25.9</v>
      </c>
      <c r="R1103" s="3" t="s">
        <v>470</v>
      </c>
      <c r="S1103">
        <v>51.07</v>
      </c>
      <c r="T1103" t="s">
        <v>468</v>
      </c>
    </row>
    <row r="1104" spans="1:20" x14ac:dyDescent="0.25">
      <c r="A1104">
        <v>164</v>
      </c>
      <c r="B1104">
        <v>509887</v>
      </c>
      <c r="C1104" t="s">
        <v>207</v>
      </c>
      <c r="D1104">
        <v>2015</v>
      </c>
      <c r="E1104">
        <v>722</v>
      </c>
      <c r="G1104" t="s">
        <v>465</v>
      </c>
      <c r="H1104">
        <v>200.55000305175781</v>
      </c>
      <c r="I1104">
        <v>191</v>
      </c>
      <c r="L1104" t="s">
        <v>466</v>
      </c>
      <c r="O1104">
        <v>769</v>
      </c>
      <c r="P1104">
        <v>874.65</v>
      </c>
      <c r="Q1104">
        <v>370.5</v>
      </c>
      <c r="R1104" s="3" t="s">
        <v>470</v>
      </c>
      <c r="S1104">
        <v>769</v>
      </c>
      <c r="T1104" t="s">
        <v>468</v>
      </c>
    </row>
    <row r="1105" spans="1:20" x14ac:dyDescent="0.25">
      <c r="A1105">
        <v>164</v>
      </c>
      <c r="B1105">
        <v>509887</v>
      </c>
      <c r="C1105" t="s">
        <v>207</v>
      </c>
      <c r="D1105">
        <v>2016</v>
      </c>
      <c r="E1105">
        <v>722</v>
      </c>
      <c r="F1105">
        <v>5.5</v>
      </c>
      <c r="G1105" t="s">
        <v>465</v>
      </c>
      <c r="H1105">
        <v>210.5</v>
      </c>
      <c r="I1105">
        <v>200.5</v>
      </c>
      <c r="L1105" t="s">
        <v>469</v>
      </c>
      <c r="M1105">
        <v>38.272727272727273</v>
      </c>
      <c r="N1105">
        <v>36.454545454545453</v>
      </c>
      <c r="O1105">
        <v>769</v>
      </c>
      <c r="P1105">
        <v>874.65</v>
      </c>
      <c r="Q1105">
        <v>370.5</v>
      </c>
      <c r="R1105" s="3" t="s">
        <v>470</v>
      </c>
      <c r="S1105">
        <v>769</v>
      </c>
      <c r="T1105" t="s">
        <v>468</v>
      </c>
    </row>
    <row r="1106" spans="1:20" x14ac:dyDescent="0.25">
      <c r="A1106">
        <v>164</v>
      </c>
      <c r="B1106">
        <v>509887</v>
      </c>
      <c r="C1106" t="s">
        <v>207</v>
      </c>
      <c r="D1106">
        <v>2017</v>
      </c>
      <c r="E1106">
        <v>722</v>
      </c>
      <c r="G1106" t="s">
        <v>465</v>
      </c>
      <c r="H1106">
        <v>215</v>
      </c>
      <c r="I1106">
        <v>210.5</v>
      </c>
      <c r="L1106" t="s">
        <v>466</v>
      </c>
      <c r="O1106">
        <v>769</v>
      </c>
      <c r="P1106">
        <v>874.65</v>
      </c>
      <c r="Q1106">
        <v>370.5</v>
      </c>
      <c r="R1106" s="3" t="s">
        <v>470</v>
      </c>
      <c r="S1106">
        <v>769</v>
      </c>
      <c r="T1106" t="s">
        <v>468</v>
      </c>
    </row>
    <row r="1107" spans="1:20" x14ac:dyDescent="0.25">
      <c r="A1107">
        <v>164</v>
      </c>
      <c r="B1107">
        <v>509887</v>
      </c>
      <c r="C1107" t="s">
        <v>207</v>
      </c>
      <c r="D1107">
        <v>2018</v>
      </c>
      <c r="E1107">
        <v>722</v>
      </c>
      <c r="F1107">
        <v>-3.5</v>
      </c>
      <c r="G1107" t="s">
        <v>465</v>
      </c>
      <c r="H1107">
        <v>215</v>
      </c>
      <c r="I1107">
        <v>215</v>
      </c>
      <c r="L1107" t="s">
        <v>471</v>
      </c>
      <c r="M1107">
        <v>-61.428571428571431</v>
      </c>
      <c r="N1107">
        <v>-61.428571428571431</v>
      </c>
      <c r="O1107">
        <v>769</v>
      </c>
      <c r="P1107">
        <v>874.65</v>
      </c>
      <c r="Q1107">
        <v>370.5</v>
      </c>
      <c r="R1107" s="3" t="s">
        <v>470</v>
      </c>
      <c r="S1107">
        <v>769</v>
      </c>
      <c r="T1107" t="s">
        <v>468</v>
      </c>
    </row>
    <row r="1108" spans="1:20" x14ac:dyDescent="0.25">
      <c r="A1108">
        <v>164</v>
      </c>
      <c r="B1108">
        <v>509887</v>
      </c>
      <c r="C1108" t="s">
        <v>207</v>
      </c>
      <c r="D1108">
        <v>2019</v>
      </c>
      <c r="E1108">
        <v>722</v>
      </c>
      <c r="F1108">
        <v>-5.25</v>
      </c>
      <c r="G1108" t="s">
        <v>465</v>
      </c>
      <c r="H1108">
        <v>215</v>
      </c>
      <c r="I1108">
        <v>215</v>
      </c>
      <c r="L1108" t="s">
        <v>471</v>
      </c>
      <c r="M1108">
        <v>-40.952380952380949</v>
      </c>
      <c r="N1108">
        <v>-40.952380952380949</v>
      </c>
      <c r="O1108">
        <v>769</v>
      </c>
      <c r="P1108">
        <v>874.65</v>
      </c>
      <c r="Q1108">
        <v>370.5</v>
      </c>
      <c r="R1108" s="3" t="s">
        <v>470</v>
      </c>
      <c r="S1108">
        <v>769</v>
      </c>
      <c r="T1108" t="s">
        <v>468</v>
      </c>
    </row>
    <row r="1109" spans="1:20" x14ac:dyDescent="0.25">
      <c r="A1109">
        <v>164</v>
      </c>
      <c r="B1109">
        <v>509887</v>
      </c>
      <c r="C1109" t="s">
        <v>207</v>
      </c>
      <c r="D1109">
        <v>2020</v>
      </c>
      <c r="E1109">
        <v>722</v>
      </c>
      <c r="F1109">
        <v>-5.75</v>
      </c>
      <c r="G1109" t="s">
        <v>465</v>
      </c>
      <c r="H1109">
        <v>225.75</v>
      </c>
      <c r="I1109">
        <v>205.05000305175781</v>
      </c>
      <c r="L1109" t="s">
        <v>471</v>
      </c>
      <c r="M1109">
        <v>-39.260869565217391</v>
      </c>
      <c r="N1109">
        <v>-35.660870095957883</v>
      </c>
      <c r="O1109">
        <v>769</v>
      </c>
      <c r="P1109">
        <v>874.65</v>
      </c>
      <c r="Q1109">
        <v>370.5</v>
      </c>
      <c r="R1109" s="3" t="s">
        <v>470</v>
      </c>
      <c r="S1109">
        <v>769</v>
      </c>
      <c r="T1109" t="s">
        <v>468</v>
      </c>
    </row>
    <row r="1110" spans="1:20" x14ac:dyDescent="0.25">
      <c r="A1110">
        <v>164</v>
      </c>
      <c r="B1110">
        <v>509887</v>
      </c>
      <c r="C1110" t="s">
        <v>207</v>
      </c>
      <c r="D1110">
        <v>2021</v>
      </c>
      <c r="E1110">
        <v>722</v>
      </c>
      <c r="F1110">
        <v>-4.5</v>
      </c>
      <c r="G1110" t="s">
        <v>465</v>
      </c>
      <c r="H1110">
        <v>215.25</v>
      </c>
      <c r="I1110">
        <v>215.25</v>
      </c>
      <c r="L1110" t="s">
        <v>471</v>
      </c>
      <c r="M1110">
        <v>-47.833333333333343</v>
      </c>
      <c r="N1110">
        <v>-47.833333333333343</v>
      </c>
      <c r="O1110">
        <v>769</v>
      </c>
      <c r="P1110">
        <v>874.65</v>
      </c>
      <c r="Q1110">
        <v>370.5</v>
      </c>
      <c r="R1110" s="3" t="s">
        <v>470</v>
      </c>
      <c r="S1110">
        <v>769</v>
      </c>
      <c r="T1110" t="s">
        <v>468</v>
      </c>
    </row>
    <row r="1111" spans="1:20" x14ac:dyDescent="0.25">
      <c r="A1111">
        <v>164</v>
      </c>
      <c r="B1111">
        <v>509887</v>
      </c>
      <c r="C1111" t="s">
        <v>207</v>
      </c>
      <c r="D1111">
        <v>2022</v>
      </c>
      <c r="E1111">
        <v>722</v>
      </c>
      <c r="F1111">
        <v>-3</v>
      </c>
      <c r="G1111" t="s">
        <v>465</v>
      </c>
      <c r="H1111">
        <v>215.25</v>
      </c>
      <c r="I1111">
        <v>215.25</v>
      </c>
      <c r="L1111" t="s">
        <v>471</v>
      </c>
      <c r="M1111">
        <v>-71.75</v>
      </c>
      <c r="N1111">
        <v>-71.75</v>
      </c>
      <c r="O1111">
        <v>769</v>
      </c>
      <c r="P1111">
        <v>874.65</v>
      </c>
      <c r="Q1111">
        <v>370.5</v>
      </c>
      <c r="R1111" s="3" t="s">
        <v>470</v>
      </c>
      <c r="S1111">
        <v>769</v>
      </c>
      <c r="T1111" t="s">
        <v>468</v>
      </c>
    </row>
    <row r="1112" spans="1:20" x14ac:dyDescent="0.25">
      <c r="A1112">
        <v>164</v>
      </c>
      <c r="B1112">
        <v>509887</v>
      </c>
      <c r="C1112" t="s">
        <v>207</v>
      </c>
      <c r="D1112">
        <v>2023</v>
      </c>
      <c r="E1112">
        <v>722</v>
      </c>
      <c r="F1112">
        <v>11</v>
      </c>
      <c r="G1112" t="s">
        <v>465</v>
      </c>
      <c r="H1112">
        <v>766</v>
      </c>
      <c r="I1112">
        <v>215.25</v>
      </c>
      <c r="L1112" t="s">
        <v>469</v>
      </c>
      <c r="M1112">
        <v>69.63636363636364</v>
      </c>
      <c r="N1112">
        <v>19.56818181818182</v>
      </c>
      <c r="O1112">
        <v>769</v>
      </c>
      <c r="P1112">
        <v>874.65</v>
      </c>
      <c r="Q1112">
        <v>370.5</v>
      </c>
      <c r="R1112" s="3" t="s">
        <v>470</v>
      </c>
      <c r="S1112">
        <v>769</v>
      </c>
      <c r="T1112" t="s">
        <v>468</v>
      </c>
    </row>
    <row r="1113" spans="1:20" x14ac:dyDescent="0.25">
      <c r="A1113">
        <v>164</v>
      </c>
      <c r="B1113">
        <v>509887</v>
      </c>
      <c r="C1113" t="s">
        <v>207</v>
      </c>
      <c r="D1113">
        <v>2024</v>
      </c>
      <c r="E1113">
        <v>722</v>
      </c>
      <c r="F1113">
        <v>3</v>
      </c>
      <c r="G1113" t="s">
        <v>465</v>
      </c>
      <c r="H1113">
        <v>874.6500244140625</v>
      </c>
      <c r="I1113">
        <v>370.5</v>
      </c>
      <c r="L1113" t="s">
        <v>469</v>
      </c>
      <c r="M1113">
        <v>291.55000813802081</v>
      </c>
      <c r="N1113">
        <v>123.5</v>
      </c>
      <c r="O1113">
        <v>769</v>
      </c>
      <c r="P1113">
        <v>874.65</v>
      </c>
      <c r="Q1113">
        <v>370.5</v>
      </c>
      <c r="R1113" s="3" t="s">
        <v>470</v>
      </c>
      <c r="S1113">
        <v>769</v>
      </c>
      <c r="T1113" t="s">
        <v>468</v>
      </c>
    </row>
    <row r="1114" spans="1:20" x14ac:dyDescent="0.25">
      <c r="A1114">
        <v>164</v>
      </c>
      <c r="B1114">
        <v>509887</v>
      </c>
      <c r="C1114" t="s">
        <v>207</v>
      </c>
      <c r="D1114">
        <v>2025</v>
      </c>
      <c r="E1114">
        <v>722</v>
      </c>
      <c r="F1114">
        <v>-3</v>
      </c>
      <c r="G1114" t="s">
        <v>465</v>
      </c>
      <c r="H1114">
        <v>1050.900024414062</v>
      </c>
      <c r="I1114">
        <v>547.8499755859375</v>
      </c>
      <c r="L1114" t="s">
        <v>471</v>
      </c>
      <c r="M1114">
        <v>-350.3000081380207</v>
      </c>
      <c r="N1114">
        <v>-182.61665852864579</v>
      </c>
      <c r="O1114">
        <v>769</v>
      </c>
      <c r="P1114">
        <v>874.65</v>
      </c>
      <c r="Q1114">
        <v>370.5</v>
      </c>
      <c r="R1114" s="3" t="s">
        <v>470</v>
      </c>
      <c r="S1114">
        <v>769</v>
      </c>
      <c r="T1114" t="s">
        <v>468</v>
      </c>
    </row>
    <row r="1115" spans="1:20" x14ac:dyDescent="0.25">
      <c r="A1115">
        <v>164</v>
      </c>
      <c r="B1115">
        <v>509887</v>
      </c>
      <c r="C1115" t="s">
        <v>207</v>
      </c>
      <c r="D1115">
        <v>2026</v>
      </c>
      <c r="E1115">
        <v>722</v>
      </c>
      <c r="F1115">
        <v>-3.25</v>
      </c>
      <c r="G1115" t="s">
        <v>465</v>
      </c>
      <c r="H1115">
        <v>975</v>
      </c>
      <c r="I1115">
        <v>623</v>
      </c>
      <c r="L1115" t="s">
        <v>471</v>
      </c>
      <c r="M1115">
        <v>-300</v>
      </c>
      <c r="N1115">
        <v>-191.69230769230771</v>
      </c>
      <c r="O1115">
        <v>769</v>
      </c>
      <c r="P1115">
        <v>874.65</v>
      </c>
      <c r="Q1115">
        <v>370.5</v>
      </c>
      <c r="R1115" s="3" t="s">
        <v>470</v>
      </c>
      <c r="S1115">
        <v>769</v>
      </c>
      <c r="T1115" t="s">
        <v>468</v>
      </c>
    </row>
    <row r="1116" spans="1:20" x14ac:dyDescent="0.25">
      <c r="A1116">
        <v>165</v>
      </c>
      <c r="B1116">
        <v>509966</v>
      </c>
      <c r="C1116" t="s">
        <v>209</v>
      </c>
      <c r="D1116">
        <v>2015</v>
      </c>
      <c r="E1116">
        <v>234.6000061035156</v>
      </c>
      <c r="G1116" t="s">
        <v>465</v>
      </c>
      <c r="H1116">
        <v>179</v>
      </c>
      <c r="I1116">
        <v>127.27272796630859</v>
      </c>
      <c r="L1116" t="s">
        <v>466</v>
      </c>
      <c r="O1116">
        <f>IFERROR(VLOOKUP(B1116,BSE_500_LIVE!A:E,3,FALSE),"")</f>
        <v>0</v>
      </c>
      <c r="P1116">
        <f>IFERROR(VLOOKUP(B1116,BSE_500_LIVE!A:E,4,FALSE),"")</f>
        <v>0</v>
      </c>
      <c r="Q1116">
        <f>IFERROR(VLOOKUP(B1116,BSE_500_LIVE!A:E,5,FALSE),"")</f>
        <v>0</v>
      </c>
      <c r="R1116" t="str">
        <f t="shared" ref="R1116:R1127" si="16">IF(OR(E1116="",O1116=""),"PENDING_FETCH",IF(ABS(E1116-O1116)/E1116&gt;0.005,"MISMATCH_NEEDS_CORRECTION","VERIFIED_OK"))</f>
        <v>MISMATCH_NEEDS_CORRECTION</v>
      </c>
      <c r="S1116">
        <f t="shared" ref="S1116:S1127" si="17">IF(O1116&lt;&gt;"",O1116,E1116)</f>
        <v>0</v>
      </c>
      <c r="T1116">
        <f>IFERROR(VLOOKUP(B1116,BSE_500_LIVE!A:F,6,FALSE),"")</f>
        <v>0</v>
      </c>
    </row>
    <row r="1117" spans="1:20" x14ac:dyDescent="0.25">
      <c r="A1117">
        <v>165</v>
      </c>
      <c r="B1117">
        <v>509966</v>
      </c>
      <c r="C1117" t="s">
        <v>209</v>
      </c>
      <c r="D1117">
        <v>2016</v>
      </c>
      <c r="E1117">
        <v>234.6000061035156</v>
      </c>
      <c r="G1117" t="s">
        <v>465</v>
      </c>
      <c r="H1117">
        <v>229.54545593261719</v>
      </c>
      <c r="I1117">
        <v>134.54545593261719</v>
      </c>
      <c r="L1117" t="s">
        <v>466</v>
      </c>
      <c r="O1117">
        <f>IFERROR(VLOOKUP(B1117,BSE_500_LIVE!A:E,3,FALSE),"")</f>
        <v>0</v>
      </c>
      <c r="P1117">
        <f>IFERROR(VLOOKUP(B1117,BSE_500_LIVE!A:E,4,FALSE),"")</f>
        <v>0</v>
      </c>
      <c r="Q1117">
        <f>IFERROR(VLOOKUP(B1117,BSE_500_LIVE!A:E,5,FALSE),"")</f>
        <v>0</v>
      </c>
      <c r="R1117" t="str">
        <f t="shared" si="16"/>
        <v>MISMATCH_NEEDS_CORRECTION</v>
      </c>
      <c r="S1117">
        <f t="shared" si="17"/>
        <v>0</v>
      </c>
      <c r="T1117">
        <f>IFERROR(VLOOKUP(B1117,BSE_500_LIVE!A:F,6,FALSE),"")</f>
        <v>0</v>
      </c>
    </row>
    <row r="1118" spans="1:20" x14ac:dyDescent="0.25">
      <c r="A1118">
        <v>165</v>
      </c>
      <c r="B1118">
        <v>509966</v>
      </c>
      <c r="C1118" t="s">
        <v>209</v>
      </c>
      <c r="D1118">
        <v>2017</v>
      </c>
      <c r="E1118">
        <v>234.6000061035156</v>
      </c>
      <c r="G1118" t="s">
        <v>465</v>
      </c>
      <c r="H1118">
        <v>343.09091186523438</v>
      </c>
      <c r="I1118">
        <v>215.6681823730469</v>
      </c>
      <c r="L1118" t="s">
        <v>466</v>
      </c>
      <c r="O1118">
        <f>IFERROR(VLOOKUP(B1118,BSE_500_LIVE!A:E,3,FALSE),"")</f>
        <v>0</v>
      </c>
      <c r="P1118">
        <f>IFERROR(VLOOKUP(B1118,BSE_500_LIVE!A:E,4,FALSE),"")</f>
        <v>0</v>
      </c>
      <c r="Q1118">
        <f>IFERROR(VLOOKUP(B1118,BSE_500_LIVE!A:E,5,FALSE),"")</f>
        <v>0</v>
      </c>
      <c r="R1118" t="str">
        <f t="shared" si="16"/>
        <v>MISMATCH_NEEDS_CORRECTION</v>
      </c>
      <c r="S1118">
        <f t="shared" si="17"/>
        <v>0</v>
      </c>
      <c r="T1118">
        <f>IFERROR(VLOOKUP(B1118,BSE_500_LIVE!A:F,6,FALSE),"")</f>
        <v>0</v>
      </c>
    </row>
    <row r="1119" spans="1:20" x14ac:dyDescent="0.25">
      <c r="A1119">
        <v>165</v>
      </c>
      <c r="B1119">
        <v>509966</v>
      </c>
      <c r="C1119" t="s">
        <v>209</v>
      </c>
      <c r="D1119">
        <v>2018</v>
      </c>
      <c r="E1119">
        <v>234.6000061035156</v>
      </c>
      <c r="G1119" t="s">
        <v>465</v>
      </c>
      <c r="H1119">
        <v>312.90908813476563</v>
      </c>
      <c r="I1119">
        <v>224.54545593261719</v>
      </c>
      <c r="L1119" t="s">
        <v>466</v>
      </c>
      <c r="O1119">
        <f>IFERROR(VLOOKUP(B1119,BSE_500_LIVE!A:E,3,FALSE),"")</f>
        <v>0</v>
      </c>
      <c r="P1119">
        <f>IFERROR(VLOOKUP(B1119,BSE_500_LIVE!A:E,4,FALSE),"")</f>
        <v>0</v>
      </c>
      <c r="Q1119">
        <f>IFERROR(VLOOKUP(B1119,BSE_500_LIVE!A:E,5,FALSE),"")</f>
        <v>0</v>
      </c>
      <c r="R1119" t="str">
        <f t="shared" si="16"/>
        <v>MISMATCH_NEEDS_CORRECTION</v>
      </c>
      <c r="S1119">
        <f t="shared" si="17"/>
        <v>0</v>
      </c>
      <c r="T1119">
        <f>IFERROR(VLOOKUP(B1119,BSE_500_LIVE!A:F,6,FALSE),"")</f>
        <v>0</v>
      </c>
    </row>
    <row r="1120" spans="1:20" x14ac:dyDescent="0.25">
      <c r="A1120">
        <v>165</v>
      </c>
      <c r="B1120">
        <v>509966</v>
      </c>
      <c r="C1120" t="s">
        <v>209</v>
      </c>
      <c r="D1120">
        <v>2019</v>
      </c>
      <c r="E1120">
        <v>234.6000061035156</v>
      </c>
      <c r="G1120" t="s">
        <v>465</v>
      </c>
      <c r="H1120">
        <v>424.81817626953119</v>
      </c>
      <c r="I1120">
        <v>276.82272338867188</v>
      </c>
      <c r="L1120" t="s">
        <v>466</v>
      </c>
      <c r="O1120">
        <f>IFERROR(VLOOKUP(B1120,BSE_500_LIVE!A:E,3,FALSE),"")</f>
        <v>0</v>
      </c>
      <c r="P1120">
        <f>IFERROR(VLOOKUP(B1120,BSE_500_LIVE!A:E,4,FALSE),"")</f>
        <v>0</v>
      </c>
      <c r="Q1120">
        <f>IFERROR(VLOOKUP(B1120,BSE_500_LIVE!A:E,5,FALSE),"")</f>
        <v>0</v>
      </c>
      <c r="R1120" t="str">
        <f t="shared" si="16"/>
        <v>MISMATCH_NEEDS_CORRECTION</v>
      </c>
      <c r="S1120">
        <f t="shared" si="17"/>
        <v>0</v>
      </c>
      <c r="T1120">
        <f>IFERROR(VLOOKUP(B1120,BSE_500_LIVE!A:F,6,FALSE),"")</f>
        <v>0</v>
      </c>
    </row>
    <row r="1121" spans="1:20" x14ac:dyDescent="0.25">
      <c r="A1121">
        <v>165</v>
      </c>
      <c r="B1121">
        <v>509966</v>
      </c>
      <c r="C1121" t="s">
        <v>209</v>
      </c>
      <c r="D1121">
        <v>2020</v>
      </c>
      <c r="E1121">
        <v>234.6000061035156</v>
      </c>
      <c r="G1121" t="s">
        <v>465</v>
      </c>
      <c r="H1121">
        <v>441.49545288085938</v>
      </c>
      <c r="I1121">
        <v>231.81817626953119</v>
      </c>
      <c r="L1121" t="s">
        <v>466</v>
      </c>
      <c r="O1121">
        <f>IFERROR(VLOOKUP(B1121,BSE_500_LIVE!A:E,3,FALSE),"")</f>
        <v>0</v>
      </c>
      <c r="P1121">
        <f>IFERROR(VLOOKUP(B1121,BSE_500_LIVE!A:E,4,FALSE),"")</f>
        <v>0</v>
      </c>
      <c r="Q1121">
        <f>IFERROR(VLOOKUP(B1121,BSE_500_LIVE!A:E,5,FALSE),"")</f>
        <v>0</v>
      </c>
      <c r="R1121" t="str">
        <f t="shared" si="16"/>
        <v>MISMATCH_NEEDS_CORRECTION</v>
      </c>
      <c r="S1121">
        <f t="shared" si="17"/>
        <v>0</v>
      </c>
      <c r="T1121">
        <f>IFERROR(VLOOKUP(B1121,BSE_500_LIVE!A:F,6,FALSE),"")</f>
        <v>0</v>
      </c>
    </row>
    <row r="1122" spans="1:20" x14ac:dyDescent="0.25">
      <c r="A1122">
        <v>165</v>
      </c>
      <c r="B1122">
        <v>509966</v>
      </c>
      <c r="C1122" t="s">
        <v>209</v>
      </c>
      <c r="D1122">
        <v>2021</v>
      </c>
      <c r="E1122">
        <v>234.6000061035156</v>
      </c>
      <c r="G1122" t="s">
        <v>465</v>
      </c>
      <c r="H1122">
        <v>353.99545288085938</v>
      </c>
      <c r="I1122">
        <v>276.27273559570313</v>
      </c>
      <c r="L1122" t="s">
        <v>466</v>
      </c>
      <c r="O1122">
        <f>IFERROR(VLOOKUP(B1122,BSE_500_LIVE!A:E,3,FALSE),"")</f>
        <v>0</v>
      </c>
      <c r="P1122">
        <f>IFERROR(VLOOKUP(B1122,BSE_500_LIVE!A:E,4,FALSE),"")</f>
        <v>0</v>
      </c>
      <c r="Q1122">
        <f>IFERROR(VLOOKUP(B1122,BSE_500_LIVE!A:E,5,FALSE),"")</f>
        <v>0</v>
      </c>
      <c r="R1122" t="str">
        <f t="shared" si="16"/>
        <v>MISMATCH_NEEDS_CORRECTION</v>
      </c>
      <c r="S1122">
        <f t="shared" si="17"/>
        <v>0</v>
      </c>
      <c r="T1122">
        <f>IFERROR(VLOOKUP(B1122,BSE_500_LIVE!A:F,6,FALSE),"")</f>
        <v>0</v>
      </c>
    </row>
    <row r="1123" spans="1:20" x14ac:dyDescent="0.25">
      <c r="A1123">
        <v>165</v>
      </c>
      <c r="B1123">
        <v>509966</v>
      </c>
      <c r="C1123" t="s">
        <v>209</v>
      </c>
      <c r="D1123">
        <v>2022</v>
      </c>
      <c r="E1123">
        <v>234.6000061035156</v>
      </c>
      <c r="G1123" t="s">
        <v>465</v>
      </c>
      <c r="H1123">
        <v>351.39999389648438</v>
      </c>
      <c r="I1123">
        <v>253.27272033691409</v>
      </c>
      <c r="L1123" t="s">
        <v>466</v>
      </c>
      <c r="O1123">
        <f>IFERROR(VLOOKUP(B1123,BSE_500_LIVE!A:E,3,FALSE),"")</f>
        <v>0</v>
      </c>
      <c r="P1123">
        <f>IFERROR(VLOOKUP(B1123,BSE_500_LIVE!A:E,4,FALSE),"")</f>
        <v>0</v>
      </c>
      <c r="Q1123">
        <f>IFERROR(VLOOKUP(B1123,BSE_500_LIVE!A:E,5,FALSE),"")</f>
        <v>0</v>
      </c>
      <c r="R1123" t="str">
        <f t="shared" si="16"/>
        <v>MISMATCH_NEEDS_CORRECTION</v>
      </c>
      <c r="S1123">
        <f t="shared" si="17"/>
        <v>0</v>
      </c>
      <c r="T1123">
        <f>IFERROR(VLOOKUP(B1123,BSE_500_LIVE!A:F,6,FALSE),"")</f>
        <v>0</v>
      </c>
    </row>
    <row r="1124" spans="1:20" x14ac:dyDescent="0.25">
      <c r="A1124">
        <v>165</v>
      </c>
      <c r="B1124">
        <v>509966</v>
      </c>
      <c r="C1124" t="s">
        <v>209</v>
      </c>
      <c r="D1124">
        <v>2023</v>
      </c>
      <c r="E1124">
        <v>234.6000061035156</v>
      </c>
      <c r="G1124" t="s">
        <v>465</v>
      </c>
      <c r="H1124">
        <v>350.904541015625</v>
      </c>
      <c r="I1124">
        <v>264.77728271484381</v>
      </c>
      <c r="L1124" t="s">
        <v>466</v>
      </c>
      <c r="O1124">
        <f>IFERROR(VLOOKUP(B1124,BSE_500_LIVE!A:E,3,FALSE),"")</f>
        <v>0</v>
      </c>
      <c r="P1124">
        <f>IFERROR(VLOOKUP(B1124,BSE_500_LIVE!A:E,4,FALSE),"")</f>
        <v>0</v>
      </c>
      <c r="Q1124">
        <f>IFERROR(VLOOKUP(B1124,BSE_500_LIVE!A:E,5,FALSE),"")</f>
        <v>0</v>
      </c>
      <c r="R1124" t="str">
        <f t="shared" si="16"/>
        <v>MISMATCH_NEEDS_CORRECTION</v>
      </c>
      <c r="S1124">
        <f t="shared" si="17"/>
        <v>0</v>
      </c>
      <c r="T1124">
        <f>IFERROR(VLOOKUP(B1124,BSE_500_LIVE!A:F,6,FALSE),"")</f>
        <v>0</v>
      </c>
    </row>
    <row r="1125" spans="1:20" x14ac:dyDescent="0.25">
      <c r="A1125">
        <v>165</v>
      </c>
      <c r="B1125">
        <v>509966</v>
      </c>
      <c r="C1125" t="s">
        <v>209</v>
      </c>
      <c r="D1125">
        <v>2024</v>
      </c>
      <c r="E1125">
        <v>234.6000061035156</v>
      </c>
      <c r="G1125" t="s">
        <v>465</v>
      </c>
      <c r="H1125">
        <v>486.70001220703119</v>
      </c>
      <c r="I1125">
        <v>303</v>
      </c>
      <c r="L1125" t="s">
        <v>466</v>
      </c>
      <c r="O1125">
        <f>IFERROR(VLOOKUP(B1125,BSE_500_LIVE!A:E,3,FALSE),"")</f>
        <v>0</v>
      </c>
      <c r="P1125">
        <f>IFERROR(VLOOKUP(B1125,BSE_500_LIVE!A:E,4,FALSE),"")</f>
        <v>0</v>
      </c>
      <c r="Q1125">
        <f>IFERROR(VLOOKUP(B1125,BSE_500_LIVE!A:E,5,FALSE),"")</f>
        <v>0</v>
      </c>
      <c r="R1125" t="str">
        <f t="shared" si="16"/>
        <v>MISMATCH_NEEDS_CORRECTION</v>
      </c>
      <c r="S1125">
        <f t="shared" si="17"/>
        <v>0</v>
      </c>
      <c r="T1125">
        <f>IFERROR(VLOOKUP(B1125,BSE_500_LIVE!A:F,6,FALSE),"")</f>
        <v>0</v>
      </c>
    </row>
    <row r="1126" spans="1:20" x14ac:dyDescent="0.25">
      <c r="A1126">
        <v>165</v>
      </c>
      <c r="B1126">
        <v>509966</v>
      </c>
      <c r="C1126" t="s">
        <v>209</v>
      </c>
      <c r="D1126">
        <v>2025</v>
      </c>
      <c r="E1126">
        <v>234.6000061035156</v>
      </c>
      <c r="G1126" t="s">
        <v>465</v>
      </c>
      <c r="H1126">
        <v>349.95001220703119</v>
      </c>
      <c r="I1126">
        <v>235.25</v>
      </c>
      <c r="L1126" t="s">
        <v>466</v>
      </c>
      <c r="O1126">
        <f>IFERROR(VLOOKUP(B1126,BSE_500_LIVE!A:E,3,FALSE),"")</f>
        <v>0</v>
      </c>
      <c r="P1126">
        <f>IFERROR(VLOOKUP(B1126,BSE_500_LIVE!A:E,4,FALSE),"")</f>
        <v>0</v>
      </c>
      <c r="Q1126">
        <f>IFERROR(VLOOKUP(B1126,BSE_500_LIVE!A:E,5,FALSE),"")</f>
        <v>0</v>
      </c>
      <c r="R1126" t="str">
        <f t="shared" si="16"/>
        <v>MISMATCH_NEEDS_CORRECTION</v>
      </c>
      <c r="S1126">
        <f t="shared" si="17"/>
        <v>0</v>
      </c>
      <c r="T1126">
        <f>IFERROR(VLOOKUP(B1126,BSE_500_LIVE!A:F,6,FALSE),"")</f>
        <v>0</v>
      </c>
    </row>
    <row r="1127" spans="1:20" x14ac:dyDescent="0.25">
      <c r="A1127">
        <v>165</v>
      </c>
      <c r="B1127">
        <v>509966</v>
      </c>
      <c r="C1127" t="s">
        <v>209</v>
      </c>
      <c r="D1127">
        <v>2026</v>
      </c>
      <c r="E1127">
        <v>234.6000061035156</v>
      </c>
      <c r="G1127" t="s">
        <v>465</v>
      </c>
      <c r="H1127">
        <v>286.39999389648438</v>
      </c>
      <c r="I1127">
        <v>199.69999694824219</v>
      </c>
      <c r="L1127" t="s">
        <v>466</v>
      </c>
      <c r="O1127">
        <f>IFERROR(VLOOKUP(B1127,BSE_500_LIVE!A:E,3,FALSE),"")</f>
        <v>0</v>
      </c>
      <c r="P1127">
        <f>IFERROR(VLOOKUP(B1127,BSE_500_LIVE!A:E,4,FALSE),"")</f>
        <v>0</v>
      </c>
      <c r="Q1127">
        <f>IFERROR(VLOOKUP(B1127,BSE_500_LIVE!A:E,5,FALSE),"")</f>
        <v>0</v>
      </c>
      <c r="R1127" t="str">
        <f t="shared" si="16"/>
        <v>MISMATCH_NEEDS_CORRECTION</v>
      </c>
      <c r="S1127">
        <f t="shared" si="17"/>
        <v>0</v>
      </c>
      <c r="T1127">
        <f>IFERROR(VLOOKUP(B1127,BSE_500_LIVE!A:F,6,FALSE),"")</f>
        <v>0</v>
      </c>
    </row>
    <row r="1128" spans="1:20" x14ac:dyDescent="0.25">
      <c r="A1128">
        <v>166</v>
      </c>
      <c r="B1128">
        <v>510245</v>
      </c>
      <c r="C1128" t="s">
        <v>211</v>
      </c>
      <c r="D1128">
        <v>2015</v>
      </c>
      <c r="E1128">
        <v>3.5999999046325679</v>
      </c>
      <c r="F1128">
        <v>0.08</v>
      </c>
      <c r="G1128" t="s">
        <v>465</v>
      </c>
      <c r="H1128">
        <v>2.4811110496521001</v>
      </c>
      <c r="I1128">
        <v>1.1822220087051389</v>
      </c>
      <c r="L1128" t="s">
        <v>484</v>
      </c>
      <c r="M1128">
        <v>31.013888120651249</v>
      </c>
      <c r="N1128">
        <v>14.77777510881424</v>
      </c>
      <c r="O1128">
        <v>7.74</v>
      </c>
      <c r="P1128">
        <v>10.6</v>
      </c>
      <c r="Q1128">
        <v>6</v>
      </c>
      <c r="R1128" s="3" t="s">
        <v>470</v>
      </c>
      <c r="S1128">
        <v>7.74</v>
      </c>
      <c r="T1128" t="s">
        <v>468</v>
      </c>
    </row>
    <row r="1129" spans="1:20" x14ac:dyDescent="0.25">
      <c r="A1129">
        <v>166</v>
      </c>
      <c r="B1129">
        <v>510245</v>
      </c>
      <c r="C1129" t="s">
        <v>211</v>
      </c>
      <c r="D1129">
        <v>2016</v>
      </c>
      <c r="E1129">
        <v>3.5999999046325679</v>
      </c>
      <c r="F1129">
        <v>0.1</v>
      </c>
      <c r="G1129" t="s">
        <v>465</v>
      </c>
      <c r="H1129">
        <v>3.2666668891906738</v>
      </c>
      <c r="I1129">
        <v>1.3999999761581421</v>
      </c>
      <c r="L1129" t="s">
        <v>484</v>
      </c>
      <c r="M1129">
        <v>32.666668891906738</v>
      </c>
      <c r="N1129">
        <v>13.999999761581419</v>
      </c>
      <c r="O1129">
        <v>7.74</v>
      </c>
      <c r="P1129">
        <v>10.6</v>
      </c>
      <c r="Q1129">
        <v>6</v>
      </c>
      <c r="R1129" s="3" t="s">
        <v>470</v>
      </c>
      <c r="S1129">
        <v>7.74</v>
      </c>
      <c r="T1129" t="s">
        <v>468</v>
      </c>
    </row>
    <row r="1130" spans="1:20" x14ac:dyDescent="0.25">
      <c r="A1130">
        <v>166</v>
      </c>
      <c r="B1130">
        <v>510245</v>
      </c>
      <c r="C1130" t="s">
        <v>211</v>
      </c>
      <c r="D1130">
        <v>2017</v>
      </c>
      <c r="E1130">
        <v>3.5999999046325679</v>
      </c>
      <c r="F1130">
        <v>0.13</v>
      </c>
      <c r="G1130" t="s">
        <v>465</v>
      </c>
      <c r="H1130">
        <v>4.1144452095031738</v>
      </c>
      <c r="I1130">
        <v>1.9600000381469731</v>
      </c>
      <c r="L1130" t="s">
        <v>484</v>
      </c>
      <c r="M1130">
        <v>31.649578534639801</v>
      </c>
      <c r="N1130">
        <v>15.07692337036133</v>
      </c>
      <c r="O1130">
        <v>7.74</v>
      </c>
      <c r="P1130">
        <v>10.6</v>
      </c>
      <c r="Q1130">
        <v>6</v>
      </c>
      <c r="R1130" s="3" t="s">
        <v>470</v>
      </c>
      <c r="S1130">
        <v>7.74</v>
      </c>
      <c r="T1130" t="s">
        <v>468</v>
      </c>
    </row>
    <row r="1131" spans="1:20" x14ac:dyDescent="0.25">
      <c r="A1131">
        <v>166</v>
      </c>
      <c r="B1131">
        <v>510245</v>
      </c>
      <c r="C1131" t="s">
        <v>211</v>
      </c>
      <c r="D1131">
        <v>2018</v>
      </c>
      <c r="E1131">
        <v>3.5999999046325679</v>
      </c>
      <c r="F1131">
        <v>0.23</v>
      </c>
      <c r="G1131" t="s">
        <v>465</v>
      </c>
      <c r="H1131">
        <v>4.8144450187683114</v>
      </c>
      <c r="I1131">
        <v>1.9055550098419189</v>
      </c>
      <c r="L1131" t="s">
        <v>484</v>
      </c>
      <c r="M1131">
        <v>20.932369646818749</v>
      </c>
      <c r="N1131">
        <v>8.2850217819213867</v>
      </c>
      <c r="O1131">
        <v>7.74</v>
      </c>
      <c r="P1131">
        <v>10.6</v>
      </c>
      <c r="Q1131">
        <v>6</v>
      </c>
      <c r="R1131" s="3" t="s">
        <v>470</v>
      </c>
      <c r="S1131">
        <v>7.74</v>
      </c>
      <c r="T1131" t="s">
        <v>468</v>
      </c>
    </row>
    <row r="1132" spans="1:20" x14ac:dyDescent="0.25">
      <c r="A1132">
        <v>166</v>
      </c>
      <c r="B1132">
        <v>510245</v>
      </c>
      <c r="C1132" t="s">
        <v>211</v>
      </c>
      <c r="D1132">
        <v>2019</v>
      </c>
      <c r="E1132">
        <v>3.5999999046325679</v>
      </c>
      <c r="F1132">
        <v>0.28000000000000003</v>
      </c>
      <c r="G1132" t="s">
        <v>465</v>
      </c>
      <c r="H1132">
        <v>3.220000028610229</v>
      </c>
      <c r="I1132">
        <v>1.944443941116333</v>
      </c>
      <c r="L1132" t="s">
        <v>484</v>
      </c>
      <c r="M1132">
        <v>11.50000010217939</v>
      </c>
      <c r="N1132">
        <v>6.9444426468440454</v>
      </c>
      <c r="O1132">
        <v>7.74</v>
      </c>
      <c r="P1132">
        <v>10.6</v>
      </c>
      <c r="Q1132">
        <v>6</v>
      </c>
      <c r="R1132" s="3" t="s">
        <v>470</v>
      </c>
      <c r="S1132">
        <v>7.74</v>
      </c>
      <c r="T1132" t="s">
        <v>468</v>
      </c>
    </row>
    <row r="1133" spans="1:20" x14ac:dyDescent="0.25">
      <c r="A1133">
        <v>166</v>
      </c>
      <c r="B1133">
        <v>510245</v>
      </c>
      <c r="C1133" t="s">
        <v>211</v>
      </c>
      <c r="D1133">
        <v>2020</v>
      </c>
      <c r="E1133">
        <v>3.5999999046325679</v>
      </c>
      <c r="F1133">
        <v>0.16</v>
      </c>
      <c r="G1133" t="s">
        <v>465</v>
      </c>
      <c r="H1133">
        <v>11.63555812835693</v>
      </c>
      <c r="I1133">
        <v>1.5944440364837651</v>
      </c>
      <c r="L1133" t="s">
        <v>484</v>
      </c>
      <c r="M1133">
        <v>72.722238302230807</v>
      </c>
      <c r="N1133">
        <v>9.9652752280235308</v>
      </c>
      <c r="O1133">
        <v>7.74</v>
      </c>
      <c r="P1133">
        <v>10.6</v>
      </c>
      <c r="Q1133">
        <v>6</v>
      </c>
      <c r="R1133" s="3" t="s">
        <v>470</v>
      </c>
      <c r="S1133">
        <v>7.74</v>
      </c>
      <c r="T1133" t="s">
        <v>468</v>
      </c>
    </row>
    <row r="1134" spans="1:20" x14ac:dyDescent="0.25">
      <c r="A1134">
        <v>166</v>
      </c>
      <c r="B1134">
        <v>510245</v>
      </c>
      <c r="C1134" t="s">
        <v>211</v>
      </c>
      <c r="D1134">
        <v>2021</v>
      </c>
      <c r="E1134">
        <v>3.5999999046325679</v>
      </c>
      <c r="F1134">
        <v>0.17</v>
      </c>
      <c r="G1134" t="s">
        <v>465</v>
      </c>
      <c r="H1134">
        <v>17.12667083740234</v>
      </c>
      <c r="I1134">
        <v>4.5188889503479004</v>
      </c>
      <c r="L1134" t="s">
        <v>484</v>
      </c>
      <c r="M1134">
        <v>100.7451225729549</v>
      </c>
      <c r="N1134">
        <v>26.58169970792882</v>
      </c>
      <c r="O1134">
        <v>7.74</v>
      </c>
      <c r="P1134">
        <v>10.6</v>
      </c>
      <c r="Q1134">
        <v>6</v>
      </c>
      <c r="R1134" s="3" t="s">
        <v>470</v>
      </c>
      <c r="S1134">
        <v>7.74</v>
      </c>
      <c r="T1134" t="s">
        <v>468</v>
      </c>
    </row>
    <row r="1135" spans="1:20" x14ac:dyDescent="0.25">
      <c r="A1135">
        <v>166</v>
      </c>
      <c r="B1135">
        <v>510245</v>
      </c>
      <c r="C1135" t="s">
        <v>211</v>
      </c>
      <c r="D1135">
        <v>2022</v>
      </c>
      <c r="E1135">
        <v>3.5999999046325679</v>
      </c>
      <c r="F1135">
        <v>0.19</v>
      </c>
      <c r="G1135" t="s">
        <v>465</v>
      </c>
      <c r="H1135">
        <v>15.409999847412109</v>
      </c>
      <c r="I1135">
        <v>5.3000001907348633</v>
      </c>
      <c r="L1135" t="s">
        <v>484</v>
      </c>
      <c r="M1135">
        <v>81.105262354800573</v>
      </c>
      <c r="N1135">
        <v>27.894737845972969</v>
      </c>
      <c r="O1135">
        <v>7.74</v>
      </c>
      <c r="P1135">
        <v>10.6</v>
      </c>
      <c r="Q1135">
        <v>6</v>
      </c>
      <c r="R1135" s="3" t="s">
        <v>470</v>
      </c>
      <c r="S1135">
        <v>7.74</v>
      </c>
      <c r="T1135" t="s">
        <v>468</v>
      </c>
    </row>
    <row r="1136" spans="1:20" x14ac:dyDescent="0.25">
      <c r="A1136">
        <v>166</v>
      </c>
      <c r="B1136">
        <v>510245</v>
      </c>
      <c r="C1136" t="s">
        <v>211</v>
      </c>
      <c r="D1136">
        <v>2023</v>
      </c>
      <c r="E1136">
        <v>3.5999999046325679</v>
      </c>
      <c r="F1136">
        <v>0.22</v>
      </c>
      <c r="G1136" t="s">
        <v>465</v>
      </c>
      <c r="H1136">
        <v>7.929999828338623</v>
      </c>
      <c r="I1136">
        <v>4.2100000381469727</v>
      </c>
      <c r="L1136" t="s">
        <v>484</v>
      </c>
      <c r="M1136">
        <v>36.045453765175559</v>
      </c>
      <c r="N1136">
        <v>19.136363809758969</v>
      </c>
      <c r="O1136">
        <v>7.74</v>
      </c>
      <c r="P1136">
        <v>10.6</v>
      </c>
      <c r="Q1136">
        <v>6</v>
      </c>
      <c r="R1136" s="3" t="s">
        <v>470</v>
      </c>
      <c r="S1136">
        <v>7.74</v>
      </c>
      <c r="T1136" t="s">
        <v>468</v>
      </c>
    </row>
    <row r="1137" spans="1:20" x14ac:dyDescent="0.25">
      <c r="A1137">
        <v>166</v>
      </c>
      <c r="B1137">
        <v>510245</v>
      </c>
      <c r="C1137" t="s">
        <v>211</v>
      </c>
      <c r="D1137">
        <v>2024</v>
      </c>
      <c r="E1137">
        <v>3.5999999046325679</v>
      </c>
      <c r="F1137">
        <v>0.22</v>
      </c>
      <c r="G1137" t="s">
        <v>465</v>
      </c>
      <c r="H1137">
        <v>10.60000038146973</v>
      </c>
      <c r="I1137">
        <v>6</v>
      </c>
      <c r="L1137" t="s">
        <v>484</v>
      </c>
      <c r="M1137">
        <v>48.181819915771499</v>
      </c>
      <c r="N1137">
        <v>27.27272727272727</v>
      </c>
      <c r="O1137">
        <v>7.74</v>
      </c>
      <c r="P1137">
        <v>10.6</v>
      </c>
      <c r="Q1137">
        <v>6</v>
      </c>
      <c r="R1137" s="3" t="s">
        <v>470</v>
      </c>
      <c r="S1137">
        <v>7.74</v>
      </c>
      <c r="T1137" t="s">
        <v>468</v>
      </c>
    </row>
    <row r="1138" spans="1:20" x14ac:dyDescent="0.25">
      <c r="A1138">
        <v>166</v>
      </c>
      <c r="B1138">
        <v>510245</v>
      </c>
      <c r="C1138" t="s">
        <v>211</v>
      </c>
      <c r="D1138">
        <v>2025</v>
      </c>
      <c r="E1138">
        <v>3.5999999046325679</v>
      </c>
      <c r="F1138">
        <v>0.27</v>
      </c>
      <c r="G1138" t="s">
        <v>465</v>
      </c>
      <c r="H1138">
        <v>7.119999885559082</v>
      </c>
      <c r="I1138">
        <v>4.0100002288818359</v>
      </c>
      <c r="L1138" t="s">
        <v>484</v>
      </c>
      <c r="M1138">
        <v>26.370369946515119</v>
      </c>
      <c r="N1138">
        <v>14.85185269956235</v>
      </c>
      <c r="O1138">
        <v>7.74</v>
      </c>
      <c r="P1138">
        <v>10.6</v>
      </c>
      <c r="Q1138">
        <v>6</v>
      </c>
      <c r="R1138" s="3" t="s">
        <v>470</v>
      </c>
      <c r="S1138">
        <v>7.74</v>
      </c>
      <c r="T1138" t="s">
        <v>468</v>
      </c>
    </row>
    <row r="1139" spans="1:20" x14ac:dyDescent="0.25">
      <c r="A1139">
        <v>166</v>
      </c>
      <c r="B1139">
        <v>510245</v>
      </c>
      <c r="C1139" t="s">
        <v>211</v>
      </c>
      <c r="D1139">
        <v>2026</v>
      </c>
      <c r="E1139">
        <v>3.5999999046325679</v>
      </c>
      <c r="F1139">
        <v>0.34</v>
      </c>
      <c r="G1139" t="s">
        <v>465</v>
      </c>
      <c r="H1139">
        <v>4.7300000190734863</v>
      </c>
      <c r="I1139">
        <v>3</v>
      </c>
      <c r="L1139" t="s">
        <v>484</v>
      </c>
      <c r="M1139">
        <v>13.911764761980841</v>
      </c>
      <c r="N1139">
        <v>8.8235294117647047</v>
      </c>
      <c r="O1139">
        <v>7.74</v>
      </c>
      <c r="P1139">
        <v>10.6</v>
      </c>
      <c r="Q1139">
        <v>6</v>
      </c>
      <c r="R1139" s="3" t="s">
        <v>470</v>
      </c>
      <c r="S1139">
        <v>7.74</v>
      </c>
      <c r="T1139" t="s">
        <v>468</v>
      </c>
    </row>
    <row r="1140" spans="1:20" x14ac:dyDescent="0.25">
      <c r="A1140">
        <v>174</v>
      </c>
      <c r="B1140">
        <v>511066</v>
      </c>
      <c r="C1140" t="s">
        <v>213</v>
      </c>
      <c r="D1140">
        <v>2015</v>
      </c>
      <c r="E1140">
        <v>27.690000534057621</v>
      </c>
      <c r="G1140" t="s">
        <v>465</v>
      </c>
      <c r="H1140">
        <v>29.85000038146973</v>
      </c>
      <c r="I1140">
        <v>14</v>
      </c>
      <c r="L1140" t="s">
        <v>466</v>
      </c>
      <c r="O1140">
        <v>58.48</v>
      </c>
      <c r="P1140">
        <v>103.75</v>
      </c>
      <c r="Q1140">
        <v>46.5</v>
      </c>
      <c r="R1140" s="3" t="s">
        <v>470</v>
      </c>
      <c r="S1140">
        <v>58.48</v>
      </c>
      <c r="T1140" t="s">
        <v>468</v>
      </c>
    </row>
    <row r="1141" spans="1:20" x14ac:dyDescent="0.25">
      <c r="A1141">
        <v>174</v>
      </c>
      <c r="B1141">
        <v>511066</v>
      </c>
      <c r="C1141" t="s">
        <v>213</v>
      </c>
      <c r="D1141">
        <v>2016</v>
      </c>
      <c r="E1141">
        <v>27.690000534057621</v>
      </c>
      <c r="G1141" t="s">
        <v>465</v>
      </c>
      <c r="H1141">
        <v>49.5</v>
      </c>
      <c r="I1141">
        <v>15.64999961853027</v>
      </c>
      <c r="L1141" t="s">
        <v>466</v>
      </c>
      <c r="O1141">
        <v>58.48</v>
      </c>
      <c r="P1141">
        <v>103.75</v>
      </c>
      <c r="Q1141">
        <v>46.5</v>
      </c>
      <c r="R1141" s="3" t="s">
        <v>470</v>
      </c>
      <c r="S1141">
        <v>58.48</v>
      </c>
      <c r="T1141" t="s">
        <v>468</v>
      </c>
    </row>
    <row r="1142" spans="1:20" x14ac:dyDescent="0.25">
      <c r="A1142">
        <v>174</v>
      </c>
      <c r="B1142">
        <v>511066</v>
      </c>
      <c r="C1142" t="s">
        <v>213</v>
      </c>
      <c r="D1142">
        <v>2017</v>
      </c>
      <c r="E1142">
        <v>27.690000534057621</v>
      </c>
      <c r="G1142" t="s">
        <v>465</v>
      </c>
      <c r="H1142">
        <v>51</v>
      </c>
      <c r="I1142">
        <v>28.14999961853027</v>
      </c>
      <c r="L1142" t="s">
        <v>466</v>
      </c>
      <c r="O1142">
        <v>58.48</v>
      </c>
      <c r="P1142">
        <v>103.75</v>
      </c>
      <c r="Q1142">
        <v>46.5</v>
      </c>
      <c r="R1142" s="3" t="s">
        <v>470</v>
      </c>
      <c r="S1142">
        <v>58.48</v>
      </c>
      <c r="T1142" t="s">
        <v>468</v>
      </c>
    </row>
    <row r="1143" spans="1:20" x14ac:dyDescent="0.25">
      <c r="A1143">
        <v>174</v>
      </c>
      <c r="B1143">
        <v>511066</v>
      </c>
      <c r="C1143" t="s">
        <v>213</v>
      </c>
      <c r="D1143">
        <v>2018</v>
      </c>
      <c r="E1143">
        <v>27.690000534057621</v>
      </c>
      <c r="G1143" t="s">
        <v>465</v>
      </c>
      <c r="H1143">
        <v>48.099998474121087</v>
      </c>
      <c r="I1143">
        <v>18.29999923706055</v>
      </c>
      <c r="L1143" t="s">
        <v>466</v>
      </c>
      <c r="O1143">
        <v>58.48</v>
      </c>
      <c r="P1143">
        <v>103.75</v>
      </c>
      <c r="Q1143">
        <v>46.5</v>
      </c>
      <c r="R1143" s="3" t="s">
        <v>470</v>
      </c>
      <c r="S1143">
        <v>58.48</v>
      </c>
      <c r="T1143" t="s">
        <v>468</v>
      </c>
    </row>
    <row r="1144" spans="1:20" x14ac:dyDescent="0.25">
      <c r="A1144">
        <v>174</v>
      </c>
      <c r="B1144">
        <v>511066</v>
      </c>
      <c r="C1144" t="s">
        <v>213</v>
      </c>
      <c r="D1144">
        <v>2019</v>
      </c>
      <c r="E1144">
        <v>27.690000534057621</v>
      </c>
      <c r="G1144" t="s">
        <v>465</v>
      </c>
      <c r="H1144">
        <v>21.85000038146973</v>
      </c>
      <c r="I1144">
        <v>11.94999980926514</v>
      </c>
      <c r="L1144" t="s">
        <v>466</v>
      </c>
      <c r="O1144">
        <v>58.48</v>
      </c>
      <c r="P1144">
        <v>103.75</v>
      </c>
      <c r="Q1144">
        <v>46.5</v>
      </c>
      <c r="R1144" s="3" t="s">
        <v>470</v>
      </c>
      <c r="S1144">
        <v>58.48</v>
      </c>
      <c r="T1144" t="s">
        <v>468</v>
      </c>
    </row>
    <row r="1145" spans="1:20" x14ac:dyDescent="0.25">
      <c r="A1145">
        <v>174</v>
      </c>
      <c r="B1145">
        <v>511066</v>
      </c>
      <c r="C1145" t="s">
        <v>213</v>
      </c>
      <c r="D1145">
        <v>2020</v>
      </c>
      <c r="E1145">
        <v>27.690000534057621</v>
      </c>
      <c r="G1145" t="s">
        <v>465</v>
      </c>
      <c r="H1145">
        <v>18.25</v>
      </c>
      <c r="I1145">
        <v>10.02000045776367</v>
      </c>
      <c r="L1145" t="s">
        <v>466</v>
      </c>
      <c r="O1145">
        <v>58.48</v>
      </c>
      <c r="P1145">
        <v>103.75</v>
      </c>
      <c r="Q1145">
        <v>46.5</v>
      </c>
      <c r="R1145" s="3" t="s">
        <v>470</v>
      </c>
      <c r="S1145">
        <v>58.48</v>
      </c>
      <c r="T1145" t="s">
        <v>468</v>
      </c>
    </row>
    <row r="1146" spans="1:20" x14ac:dyDescent="0.25">
      <c r="A1146">
        <v>174</v>
      </c>
      <c r="B1146">
        <v>511066</v>
      </c>
      <c r="C1146" t="s">
        <v>213</v>
      </c>
      <c r="D1146">
        <v>2021</v>
      </c>
      <c r="E1146">
        <v>27.690000534057621</v>
      </c>
      <c r="G1146" t="s">
        <v>465</v>
      </c>
      <c r="H1146">
        <v>32.5</v>
      </c>
      <c r="I1146">
        <v>12.05000019073486</v>
      </c>
      <c r="L1146" t="s">
        <v>466</v>
      </c>
      <c r="O1146">
        <v>58.48</v>
      </c>
      <c r="P1146">
        <v>103.75</v>
      </c>
      <c r="Q1146">
        <v>46.5</v>
      </c>
      <c r="R1146" s="3" t="s">
        <v>470</v>
      </c>
      <c r="S1146">
        <v>58.48</v>
      </c>
      <c r="T1146" t="s">
        <v>468</v>
      </c>
    </row>
    <row r="1147" spans="1:20" x14ac:dyDescent="0.25">
      <c r="A1147">
        <v>174</v>
      </c>
      <c r="B1147">
        <v>511066</v>
      </c>
      <c r="C1147" t="s">
        <v>213</v>
      </c>
      <c r="D1147">
        <v>2022</v>
      </c>
      <c r="E1147">
        <v>27.690000534057621</v>
      </c>
      <c r="G1147" t="s">
        <v>465</v>
      </c>
      <c r="H1147">
        <v>40.799999237060547</v>
      </c>
      <c r="I1147">
        <v>19.04999923706055</v>
      </c>
      <c r="L1147" t="s">
        <v>466</v>
      </c>
      <c r="O1147">
        <v>58.48</v>
      </c>
      <c r="P1147">
        <v>103.75</v>
      </c>
      <c r="Q1147">
        <v>46.5</v>
      </c>
      <c r="R1147" s="3" t="s">
        <v>470</v>
      </c>
      <c r="S1147">
        <v>58.48</v>
      </c>
      <c r="T1147" t="s">
        <v>468</v>
      </c>
    </row>
    <row r="1148" spans="1:20" x14ac:dyDescent="0.25">
      <c r="A1148">
        <v>174</v>
      </c>
      <c r="B1148">
        <v>511066</v>
      </c>
      <c r="C1148" t="s">
        <v>213</v>
      </c>
      <c r="D1148">
        <v>2023</v>
      </c>
      <c r="E1148">
        <v>27.690000534057621</v>
      </c>
      <c r="G1148" t="s">
        <v>465</v>
      </c>
      <c r="H1148">
        <v>55</v>
      </c>
      <c r="I1148">
        <v>25.219999313354489</v>
      </c>
      <c r="L1148" t="s">
        <v>466</v>
      </c>
      <c r="O1148">
        <v>58.48</v>
      </c>
      <c r="P1148">
        <v>103.75</v>
      </c>
      <c r="Q1148">
        <v>46.5</v>
      </c>
      <c r="R1148" s="3" t="s">
        <v>470</v>
      </c>
      <c r="S1148">
        <v>58.48</v>
      </c>
      <c r="T1148" t="s">
        <v>468</v>
      </c>
    </row>
    <row r="1149" spans="1:20" x14ac:dyDescent="0.25">
      <c r="A1149">
        <v>174</v>
      </c>
      <c r="B1149">
        <v>511066</v>
      </c>
      <c r="C1149" t="s">
        <v>213</v>
      </c>
      <c r="D1149">
        <v>2024</v>
      </c>
      <c r="E1149">
        <v>27.690000534057621</v>
      </c>
      <c r="G1149" t="s">
        <v>465</v>
      </c>
      <c r="H1149">
        <v>103.75</v>
      </c>
      <c r="I1149">
        <v>46.5</v>
      </c>
      <c r="L1149" t="s">
        <v>466</v>
      </c>
      <c r="O1149">
        <v>58.48</v>
      </c>
      <c r="P1149">
        <v>103.75</v>
      </c>
      <c r="Q1149">
        <v>46.5</v>
      </c>
      <c r="R1149" s="3" t="s">
        <v>470</v>
      </c>
      <c r="S1149">
        <v>58.48</v>
      </c>
      <c r="T1149" t="s">
        <v>468</v>
      </c>
    </row>
    <row r="1150" spans="1:20" x14ac:dyDescent="0.25">
      <c r="A1150">
        <v>174</v>
      </c>
      <c r="B1150">
        <v>511066</v>
      </c>
      <c r="C1150" t="s">
        <v>213</v>
      </c>
      <c r="D1150">
        <v>2025</v>
      </c>
      <c r="E1150">
        <v>27.690000534057621</v>
      </c>
      <c r="G1150" t="s">
        <v>465</v>
      </c>
      <c r="H1150">
        <v>64.879997253417969</v>
      </c>
      <c r="I1150">
        <v>35</v>
      </c>
      <c r="L1150" t="s">
        <v>466</v>
      </c>
      <c r="O1150">
        <v>58.48</v>
      </c>
      <c r="P1150">
        <v>103.75</v>
      </c>
      <c r="Q1150">
        <v>46.5</v>
      </c>
      <c r="R1150" s="3" t="s">
        <v>470</v>
      </c>
      <c r="S1150">
        <v>58.48</v>
      </c>
      <c r="T1150" t="s">
        <v>468</v>
      </c>
    </row>
    <row r="1151" spans="1:20" x14ac:dyDescent="0.25">
      <c r="A1151">
        <v>174</v>
      </c>
      <c r="B1151">
        <v>511066</v>
      </c>
      <c r="C1151" t="s">
        <v>213</v>
      </c>
      <c r="D1151">
        <v>2026</v>
      </c>
      <c r="E1151">
        <v>27.690000534057621</v>
      </c>
      <c r="G1151" t="s">
        <v>465</v>
      </c>
      <c r="H1151">
        <v>42.799999237060547</v>
      </c>
      <c r="I1151">
        <v>20.20000076293945</v>
      </c>
      <c r="L1151" t="s">
        <v>466</v>
      </c>
      <c r="O1151">
        <v>58.48</v>
      </c>
      <c r="P1151">
        <v>103.75</v>
      </c>
      <c r="Q1151">
        <v>46.5</v>
      </c>
      <c r="R1151" s="3" t="s">
        <v>470</v>
      </c>
      <c r="S1151">
        <v>58.48</v>
      </c>
      <c r="T1151" t="s">
        <v>468</v>
      </c>
    </row>
    <row r="1152" spans="1:20" x14ac:dyDescent="0.25">
      <c r="A1152">
        <v>175</v>
      </c>
      <c r="B1152">
        <v>511131</v>
      </c>
      <c r="C1152" t="s">
        <v>215</v>
      </c>
      <c r="D1152">
        <v>2015</v>
      </c>
      <c r="E1152">
        <v>15.489999771118161</v>
      </c>
      <c r="F1152">
        <v>1.19</v>
      </c>
      <c r="G1152" t="s">
        <v>465</v>
      </c>
      <c r="H1152">
        <v>23</v>
      </c>
      <c r="I1152">
        <v>14.64999961853027</v>
      </c>
      <c r="L1152" t="s">
        <v>469</v>
      </c>
      <c r="M1152">
        <v>19.327731092436981</v>
      </c>
      <c r="N1152">
        <v>12.3109240491851</v>
      </c>
      <c r="O1152">
        <v>14.77</v>
      </c>
      <c r="P1152">
        <v>23.64</v>
      </c>
      <c r="Q1152">
        <v>14.2</v>
      </c>
      <c r="R1152" s="2" t="s">
        <v>467</v>
      </c>
      <c r="S1152">
        <v>14.77</v>
      </c>
      <c r="T1152" t="s">
        <v>468</v>
      </c>
    </row>
    <row r="1153" spans="1:20" x14ac:dyDescent="0.25">
      <c r="A1153">
        <v>175</v>
      </c>
      <c r="B1153">
        <v>511131</v>
      </c>
      <c r="C1153" t="s">
        <v>215</v>
      </c>
      <c r="D1153">
        <v>2016</v>
      </c>
      <c r="E1153">
        <v>15.489999771118161</v>
      </c>
      <c r="F1153">
        <v>-7.65</v>
      </c>
      <c r="G1153" t="s">
        <v>465</v>
      </c>
      <c r="H1153">
        <v>22.70000076293945</v>
      </c>
      <c r="I1153">
        <v>12.60000038146973</v>
      </c>
      <c r="L1153" t="s">
        <v>471</v>
      </c>
      <c r="M1153">
        <v>-2.967320361168555</v>
      </c>
      <c r="N1153">
        <v>-1.647058873394736</v>
      </c>
      <c r="O1153">
        <v>14.77</v>
      </c>
      <c r="P1153">
        <v>23.64</v>
      </c>
      <c r="Q1153">
        <v>14.2</v>
      </c>
      <c r="R1153" s="2" t="s">
        <v>467</v>
      </c>
      <c r="S1153">
        <v>14.77</v>
      </c>
      <c r="T1153" t="s">
        <v>468</v>
      </c>
    </row>
    <row r="1154" spans="1:20" x14ac:dyDescent="0.25">
      <c r="A1154">
        <v>175</v>
      </c>
      <c r="B1154">
        <v>511131</v>
      </c>
      <c r="C1154" t="s">
        <v>215</v>
      </c>
      <c r="D1154">
        <v>2017</v>
      </c>
      <c r="E1154">
        <v>15.489999771118161</v>
      </c>
      <c r="F1154">
        <v>-0.06</v>
      </c>
      <c r="G1154" t="s">
        <v>465</v>
      </c>
      <c r="H1154">
        <v>18.64999961853027</v>
      </c>
      <c r="I1154">
        <v>11.60000038146973</v>
      </c>
      <c r="L1154" t="s">
        <v>471</v>
      </c>
      <c r="M1154">
        <v>-310.83332697550452</v>
      </c>
      <c r="N1154">
        <v>-193.33333969116219</v>
      </c>
      <c r="O1154">
        <v>14.77</v>
      </c>
      <c r="P1154">
        <v>23.64</v>
      </c>
      <c r="Q1154">
        <v>14.2</v>
      </c>
      <c r="R1154" s="2" t="s">
        <v>467</v>
      </c>
      <c r="S1154">
        <v>14.77</v>
      </c>
      <c r="T1154" t="s">
        <v>468</v>
      </c>
    </row>
    <row r="1155" spans="1:20" x14ac:dyDescent="0.25">
      <c r="A1155">
        <v>175</v>
      </c>
      <c r="B1155">
        <v>511131</v>
      </c>
      <c r="C1155" t="s">
        <v>215</v>
      </c>
      <c r="D1155">
        <v>2018</v>
      </c>
      <c r="E1155">
        <v>15.489999771118161</v>
      </c>
      <c r="F1155">
        <v>0.11</v>
      </c>
      <c r="G1155" t="s">
        <v>465</v>
      </c>
      <c r="H1155">
        <v>27.25</v>
      </c>
      <c r="I1155">
        <v>5.6999998092651367</v>
      </c>
      <c r="L1155" t="s">
        <v>484</v>
      </c>
      <c r="M1155">
        <v>247.72727272727269</v>
      </c>
      <c r="N1155">
        <v>51.818180084228523</v>
      </c>
      <c r="O1155">
        <v>14.77</v>
      </c>
      <c r="P1155">
        <v>23.64</v>
      </c>
      <c r="Q1155">
        <v>14.2</v>
      </c>
      <c r="R1155" s="2" t="s">
        <v>467</v>
      </c>
      <c r="S1155">
        <v>14.77</v>
      </c>
      <c r="T1155" t="s">
        <v>468</v>
      </c>
    </row>
    <row r="1156" spans="1:20" x14ac:dyDescent="0.25">
      <c r="A1156">
        <v>175</v>
      </c>
      <c r="B1156">
        <v>511131</v>
      </c>
      <c r="C1156" t="s">
        <v>215</v>
      </c>
      <c r="D1156">
        <v>2019</v>
      </c>
      <c r="E1156">
        <v>15.489999771118161</v>
      </c>
      <c r="F1156">
        <v>-0.28000000000000003</v>
      </c>
      <c r="G1156" t="s">
        <v>465</v>
      </c>
      <c r="H1156">
        <v>12</v>
      </c>
      <c r="I1156">
        <v>4.2300000190734863</v>
      </c>
      <c r="L1156" t="s">
        <v>471</v>
      </c>
      <c r="M1156">
        <v>-42.857142857142847</v>
      </c>
      <c r="N1156">
        <v>-15.107142925262449</v>
      </c>
      <c r="O1156">
        <v>14.77</v>
      </c>
      <c r="P1156">
        <v>23.64</v>
      </c>
      <c r="Q1156">
        <v>14.2</v>
      </c>
      <c r="R1156" s="2" t="s">
        <v>467</v>
      </c>
      <c r="S1156">
        <v>14.77</v>
      </c>
      <c r="T1156" t="s">
        <v>468</v>
      </c>
    </row>
    <row r="1157" spans="1:20" x14ac:dyDescent="0.25">
      <c r="A1157">
        <v>175</v>
      </c>
      <c r="B1157">
        <v>511131</v>
      </c>
      <c r="C1157" t="s">
        <v>215</v>
      </c>
      <c r="D1157">
        <v>2020</v>
      </c>
      <c r="E1157">
        <v>15.489999771118161</v>
      </c>
      <c r="F1157">
        <v>0.09</v>
      </c>
      <c r="G1157" t="s">
        <v>465</v>
      </c>
      <c r="H1157">
        <v>6.8400001525878906</v>
      </c>
      <c r="I1157">
        <v>2.869999885559082</v>
      </c>
      <c r="L1157" t="s">
        <v>484</v>
      </c>
      <c r="M1157">
        <v>76.000001695421005</v>
      </c>
      <c r="N1157">
        <v>31.888887617323139</v>
      </c>
      <c r="O1157">
        <v>14.77</v>
      </c>
      <c r="P1157">
        <v>23.64</v>
      </c>
      <c r="Q1157">
        <v>14.2</v>
      </c>
      <c r="R1157" s="2" t="s">
        <v>467</v>
      </c>
      <c r="S1157">
        <v>14.77</v>
      </c>
      <c r="T1157" t="s">
        <v>468</v>
      </c>
    </row>
    <row r="1158" spans="1:20" x14ac:dyDescent="0.25">
      <c r="A1158">
        <v>175</v>
      </c>
      <c r="B1158">
        <v>511131</v>
      </c>
      <c r="C1158" t="s">
        <v>215</v>
      </c>
      <c r="D1158">
        <v>2021</v>
      </c>
      <c r="E1158">
        <v>15.489999771118161</v>
      </c>
      <c r="F1158">
        <v>-0.12</v>
      </c>
      <c r="G1158" t="s">
        <v>465</v>
      </c>
      <c r="H1158">
        <v>13.30000019073486</v>
      </c>
      <c r="I1158">
        <v>3.7999999523162842</v>
      </c>
      <c r="L1158" t="s">
        <v>471</v>
      </c>
      <c r="M1158">
        <v>-110.8333349227905</v>
      </c>
      <c r="N1158">
        <v>-31.666666269302372</v>
      </c>
      <c r="O1158">
        <v>14.77</v>
      </c>
      <c r="P1158">
        <v>23.64</v>
      </c>
      <c r="Q1158">
        <v>14.2</v>
      </c>
      <c r="R1158" s="2" t="s">
        <v>467</v>
      </c>
      <c r="S1158">
        <v>14.77</v>
      </c>
      <c r="T1158" t="s">
        <v>468</v>
      </c>
    </row>
    <row r="1159" spans="1:20" x14ac:dyDescent="0.25">
      <c r="A1159">
        <v>175</v>
      </c>
      <c r="B1159">
        <v>511131</v>
      </c>
      <c r="C1159" t="s">
        <v>215</v>
      </c>
      <c r="D1159">
        <v>2022</v>
      </c>
      <c r="E1159">
        <v>15.489999771118161</v>
      </c>
      <c r="F1159">
        <v>0.08</v>
      </c>
      <c r="G1159" t="s">
        <v>465</v>
      </c>
      <c r="H1159">
        <v>21.35000038146973</v>
      </c>
      <c r="I1159">
        <v>7.5500001907348633</v>
      </c>
      <c r="L1159" t="s">
        <v>484</v>
      </c>
      <c r="M1159">
        <v>266.87500476837158</v>
      </c>
      <c r="N1159">
        <v>94.375002384185791</v>
      </c>
      <c r="O1159">
        <v>14.77</v>
      </c>
      <c r="P1159">
        <v>23.64</v>
      </c>
      <c r="Q1159">
        <v>14.2</v>
      </c>
      <c r="R1159" s="2" t="s">
        <v>467</v>
      </c>
      <c r="S1159">
        <v>14.77</v>
      </c>
      <c r="T1159" t="s">
        <v>468</v>
      </c>
    </row>
    <row r="1160" spans="1:20" x14ac:dyDescent="0.25">
      <c r="A1160">
        <v>175</v>
      </c>
      <c r="B1160">
        <v>511131</v>
      </c>
      <c r="C1160" t="s">
        <v>215</v>
      </c>
      <c r="D1160">
        <v>2023</v>
      </c>
      <c r="E1160">
        <v>15.489999771118161</v>
      </c>
      <c r="F1160">
        <v>-5.83</v>
      </c>
      <c r="G1160" t="s">
        <v>465</v>
      </c>
      <c r="H1160">
        <v>15.5</v>
      </c>
      <c r="I1160">
        <v>7.119999885559082</v>
      </c>
      <c r="L1160" t="s">
        <v>471</v>
      </c>
      <c r="M1160">
        <v>-2.6586620926243572</v>
      </c>
      <c r="N1160">
        <v>-1.2212692771113349</v>
      </c>
      <c r="O1160">
        <v>14.77</v>
      </c>
      <c r="P1160">
        <v>23.64</v>
      </c>
      <c r="Q1160">
        <v>14.2</v>
      </c>
      <c r="R1160" s="2" t="s">
        <v>467</v>
      </c>
      <c r="S1160">
        <v>14.77</v>
      </c>
      <c r="T1160" t="s">
        <v>468</v>
      </c>
    </row>
    <row r="1161" spans="1:20" x14ac:dyDescent="0.25">
      <c r="A1161">
        <v>175</v>
      </c>
      <c r="B1161">
        <v>511131</v>
      </c>
      <c r="C1161" t="s">
        <v>215</v>
      </c>
      <c r="D1161">
        <v>2024</v>
      </c>
      <c r="E1161">
        <v>15.489999771118161</v>
      </c>
      <c r="F1161">
        <v>-1.64</v>
      </c>
      <c r="G1161" t="s">
        <v>465</v>
      </c>
      <c r="H1161">
        <v>23.639999389648441</v>
      </c>
      <c r="I1161">
        <v>13.329999923706049</v>
      </c>
      <c r="L1161" t="s">
        <v>471</v>
      </c>
      <c r="M1161">
        <v>-14.414633774175879</v>
      </c>
      <c r="N1161">
        <v>-8.1280487339671037</v>
      </c>
      <c r="O1161">
        <v>14.77</v>
      </c>
      <c r="P1161">
        <v>23.64</v>
      </c>
      <c r="Q1161">
        <v>14.2</v>
      </c>
      <c r="R1161" s="2" t="s">
        <v>467</v>
      </c>
      <c r="S1161">
        <v>14.77</v>
      </c>
      <c r="T1161" t="s">
        <v>468</v>
      </c>
    </row>
    <row r="1162" spans="1:20" x14ac:dyDescent="0.25">
      <c r="A1162">
        <v>175</v>
      </c>
      <c r="B1162">
        <v>511131</v>
      </c>
      <c r="C1162" t="s">
        <v>215</v>
      </c>
      <c r="D1162">
        <v>2025</v>
      </c>
      <c r="E1162">
        <v>15.489999771118161</v>
      </c>
      <c r="F1162">
        <v>32.31</v>
      </c>
      <c r="G1162" t="s">
        <v>465</v>
      </c>
      <c r="H1162">
        <v>28.879999160766602</v>
      </c>
      <c r="I1162">
        <v>10.22000026702881</v>
      </c>
      <c r="L1162" t="s">
        <v>469</v>
      </c>
      <c r="M1162">
        <v>0.89384089015062207</v>
      </c>
      <c r="N1162">
        <v>0.31631074797365549</v>
      </c>
      <c r="O1162">
        <v>14.77</v>
      </c>
      <c r="P1162">
        <v>23.64</v>
      </c>
      <c r="Q1162">
        <v>14.2</v>
      </c>
      <c r="R1162" s="2" t="s">
        <v>467</v>
      </c>
      <c r="S1162">
        <v>14.77</v>
      </c>
      <c r="T1162" t="s">
        <v>468</v>
      </c>
    </row>
    <row r="1163" spans="1:20" x14ac:dyDescent="0.25">
      <c r="A1163">
        <v>175</v>
      </c>
      <c r="B1163">
        <v>511131</v>
      </c>
      <c r="C1163" t="s">
        <v>215</v>
      </c>
      <c r="D1163">
        <v>2026</v>
      </c>
      <c r="E1163">
        <v>15.489999771118161</v>
      </c>
      <c r="F1163">
        <v>-2.0299999999999998</v>
      </c>
      <c r="G1163" t="s">
        <v>465</v>
      </c>
      <c r="H1163">
        <v>19</v>
      </c>
      <c r="I1163">
        <v>14</v>
      </c>
      <c r="L1163" t="s">
        <v>471</v>
      </c>
      <c r="M1163">
        <v>-9.3596059113300498</v>
      </c>
      <c r="N1163">
        <v>-6.8965517241379306</v>
      </c>
      <c r="O1163">
        <v>14.77</v>
      </c>
      <c r="P1163">
        <v>23.64</v>
      </c>
      <c r="Q1163">
        <v>14.2</v>
      </c>
      <c r="R1163" s="2" t="s">
        <v>467</v>
      </c>
      <c r="S1163">
        <v>14.77</v>
      </c>
      <c r="T1163" t="s">
        <v>468</v>
      </c>
    </row>
    <row r="1164" spans="1:20" x14ac:dyDescent="0.25">
      <c r="A1164">
        <v>176</v>
      </c>
      <c r="B1164">
        <v>511147</v>
      </c>
      <c r="C1164" t="s">
        <v>217</v>
      </c>
      <c r="D1164">
        <v>2015</v>
      </c>
      <c r="E1164">
        <v>63.860000610351563</v>
      </c>
      <c r="F1164">
        <v>1.17</v>
      </c>
      <c r="G1164" t="s">
        <v>465</v>
      </c>
      <c r="H1164">
        <v>37.950000762939453</v>
      </c>
      <c r="I1164">
        <v>19.70000076293945</v>
      </c>
      <c r="L1164" t="s">
        <v>469</v>
      </c>
      <c r="M1164">
        <v>32.435898087982437</v>
      </c>
      <c r="N1164">
        <v>16.837607489691841</v>
      </c>
      <c r="O1164">
        <v>101.46</v>
      </c>
      <c r="P1164">
        <v>146.44999999999999</v>
      </c>
      <c r="Q1164">
        <v>60.92</v>
      </c>
      <c r="R1164" s="3" t="s">
        <v>470</v>
      </c>
      <c r="S1164">
        <v>101.46</v>
      </c>
      <c r="T1164" t="s">
        <v>468</v>
      </c>
    </row>
    <row r="1165" spans="1:20" x14ac:dyDescent="0.25">
      <c r="A1165">
        <v>176</v>
      </c>
      <c r="B1165">
        <v>511147</v>
      </c>
      <c r="C1165" t="s">
        <v>217</v>
      </c>
      <c r="D1165">
        <v>2016</v>
      </c>
      <c r="E1165">
        <v>63.860000610351563</v>
      </c>
      <c r="F1165">
        <v>1.1399999999999999</v>
      </c>
      <c r="G1165" t="s">
        <v>465</v>
      </c>
      <c r="H1165">
        <v>38.75</v>
      </c>
      <c r="I1165">
        <v>22.25</v>
      </c>
      <c r="L1165" t="s">
        <v>469</v>
      </c>
      <c r="M1165">
        <v>33.991228070175438</v>
      </c>
      <c r="N1165">
        <v>19.51754385964912</v>
      </c>
      <c r="O1165">
        <v>101.46</v>
      </c>
      <c r="P1165">
        <v>146.44999999999999</v>
      </c>
      <c r="Q1165">
        <v>60.92</v>
      </c>
      <c r="R1165" s="3" t="s">
        <v>470</v>
      </c>
      <c r="S1165">
        <v>101.46</v>
      </c>
      <c r="T1165" t="s">
        <v>468</v>
      </c>
    </row>
    <row r="1166" spans="1:20" x14ac:dyDescent="0.25">
      <c r="A1166">
        <v>176</v>
      </c>
      <c r="B1166">
        <v>511147</v>
      </c>
      <c r="C1166" t="s">
        <v>217</v>
      </c>
      <c r="D1166">
        <v>2017</v>
      </c>
      <c r="E1166">
        <v>63.860000610351563</v>
      </c>
      <c r="F1166">
        <v>0.54</v>
      </c>
      <c r="G1166" t="s">
        <v>465</v>
      </c>
      <c r="H1166">
        <v>47.150001525878913</v>
      </c>
      <c r="I1166">
        <v>23.29999923706055</v>
      </c>
      <c r="L1166" t="s">
        <v>469</v>
      </c>
      <c r="M1166">
        <v>87.314817640516495</v>
      </c>
      <c r="N1166">
        <v>43.14814673529731</v>
      </c>
      <c r="O1166">
        <v>101.46</v>
      </c>
      <c r="P1166">
        <v>146.44999999999999</v>
      </c>
      <c r="Q1166">
        <v>60.92</v>
      </c>
      <c r="R1166" s="3" t="s">
        <v>470</v>
      </c>
      <c r="S1166">
        <v>101.46</v>
      </c>
      <c r="T1166" t="s">
        <v>468</v>
      </c>
    </row>
    <row r="1167" spans="1:20" x14ac:dyDescent="0.25">
      <c r="A1167">
        <v>176</v>
      </c>
      <c r="B1167">
        <v>511147</v>
      </c>
      <c r="C1167" t="s">
        <v>217</v>
      </c>
      <c r="D1167">
        <v>2018</v>
      </c>
      <c r="E1167">
        <v>63.860000610351563</v>
      </c>
      <c r="F1167">
        <v>23.5</v>
      </c>
      <c r="G1167" t="s">
        <v>465</v>
      </c>
      <c r="H1167">
        <v>45.049999237060547</v>
      </c>
      <c r="I1167">
        <v>22.75</v>
      </c>
      <c r="L1167" t="s">
        <v>469</v>
      </c>
      <c r="M1167">
        <v>1.9170212441302359</v>
      </c>
      <c r="N1167">
        <v>0.96808510638297873</v>
      </c>
      <c r="O1167">
        <v>101.46</v>
      </c>
      <c r="P1167">
        <v>146.44999999999999</v>
      </c>
      <c r="Q1167">
        <v>60.92</v>
      </c>
      <c r="R1167" s="3" t="s">
        <v>470</v>
      </c>
      <c r="S1167">
        <v>101.46</v>
      </c>
      <c r="T1167" t="s">
        <v>468</v>
      </c>
    </row>
    <row r="1168" spans="1:20" x14ac:dyDescent="0.25">
      <c r="A1168">
        <v>176</v>
      </c>
      <c r="B1168">
        <v>511147</v>
      </c>
      <c r="C1168" t="s">
        <v>217</v>
      </c>
      <c r="D1168">
        <v>2019</v>
      </c>
      <c r="E1168">
        <v>63.860000610351563</v>
      </c>
      <c r="F1168">
        <v>0.1</v>
      </c>
      <c r="G1168" t="s">
        <v>465</v>
      </c>
      <c r="H1168">
        <v>32.700000762939453</v>
      </c>
      <c r="I1168">
        <v>16.29999923706055</v>
      </c>
      <c r="L1168" t="s">
        <v>484</v>
      </c>
      <c r="M1168">
        <v>327.00000762939447</v>
      </c>
      <c r="N1168">
        <v>162.9999923706055</v>
      </c>
      <c r="O1168">
        <v>101.46</v>
      </c>
      <c r="P1168">
        <v>146.44999999999999</v>
      </c>
      <c r="Q1168">
        <v>60.92</v>
      </c>
      <c r="R1168" s="3" t="s">
        <v>470</v>
      </c>
      <c r="S1168">
        <v>101.46</v>
      </c>
      <c r="T1168" t="s">
        <v>468</v>
      </c>
    </row>
    <row r="1169" spans="1:20" x14ac:dyDescent="0.25">
      <c r="A1169">
        <v>176</v>
      </c>
      <c r="B1169">
        <v>511147</v>
      </c>
      <c r="C1169" t="s">
        <v>217</v>
      </c>
      <c r="D1169">
        <v>2020</v>
      </c>
      <c r="E1169">
        <v>63.860000610351563</v>
      </c>
      <c r="F1169">
        <v>-0.45</v>
      </c>
      <c r="G1169" t="s">
        <v>465</v>
      </c>
      <c r="H1169">
        <v>21.64999961853027</v>
      </c>
      <c r="I1169">
        <v>11.89999961853027</v>
      </c>
      <c r="L1169" t="s">
        <v>471</v>
      </c>
      <c r="M1169">
        <v>-48.111110263400597</v>
      </c>
      <c r="N1169">
        <v>-26.44444359673393</v>
      </c>
      <c r="O1169">
        <v>101.46</v>
      </c>
      <c r="P1169">
        <v>146.44999999999999</v>
      </c>
      <c r="Q1169">
        <v>60.92</v>
      </c>
      <c r="R1169" s="3" t="s">
        <v>470</v>
      </c>
      <c r="S1169">
        <v>101.46</v>
      </c>
      <c r="T1169" t="s">
        <v>468</v>
      </c>
    </row>
    <row r="1170" spans="1:20" x14ac:dyDescent="0.25">
      <c r="A1170">
        <v>176</v>
      </c>
      <c r="B1170">
        <v>511147</v>
      </c>
      <c r="C1170" t="s">
        <v>217</v>
      </c>
      <c r="D1170">
        <v>2021</v>
      </c>
      <c r="E1170">
        <v>63.860000610351563</v>
      </c>
      <c r="F1170">
        <v>-4.4400000000000004</v>
      </c>
      <c r="G1170" t="s">
        <v>465</v>
      </c>
      <c r="H1170">
        <v>27.5</v>
      </c>
      <c r="I1170">
        <v>13.75</v>
      </c>
      <c r="L1170" t="s">
        <v>471</v>
      </c>
      <c r="M1170">
        <v>-6.1936936936936933</v>
      </c>
      <c r="N1170">
        <v>-3.0968468468468471</v>
      </c>
      <c r="O1170">
        <v>101.46</v>
      </c>
      <c r="P1170">
        <v>146.44999999999999</v>
      </c>
      <c r="Q1170">
        <v>60.92</v>
      </c>
      <c r="R1170" s="3" t="s">
        <v>470</v>
      </c>
      <c r="S1170">
        <v>101.46</v>
      </c>
      <c r="T1170" t="s">
        <v>468</v>
      </c>
    </row>
    <row r="1171" spans="1:20" x14ac:dyDescent="0.25">
      <c r="A1171">
        <v>176</v>
      </c>
      <c r="B1171">
        <v>511147</v>
      </c>
      <c r="C1171" t="s">
        <v>217</v>
      </c>
      <c r="D1171">
        <v>2022</v>
      </c>
      <c r="E1171">
        <v>63.860000610351563</v>
      </c>
      <c r="G1171" t="s">
        <v>465</v>
      </c>
      <c r="H1171">
        <v>40</v>
      </c>
      <c r="I1171">
        <v>20.60000038146973</v>
      </c>
      <c r="L1171" t="s">
        <v>466</v>
      </c>
      <c r="O1171">
        <v>101.46</v>
      </c>
      <c r="P1171">
        <v>146.44999999999999</v>
      </c>
      <c r="Q1171">
        <v>60.92</v>
      </c>
      <c r="R1171" s="3" t="s">
        <v>470</v>
      </c>
      <c r="S1171">
        <v>101.46</v>
      </c>
      <c r="T1171" t="s">
        <v>468</v>
      </c>
    </row>
    <row r="1172" spans="1:20" x14ac:dyDescent="0.25">
      <c r="A1172">
        <v>176</v>
      </c>
      <c r="B1172">
        <v>511147</v>
      </c>
      <c r="C1172" t="s">
        <v>217</v>
      </c>
      <c r="D1172">
        <v>2023</v>
      </c>
      <c r="E1172">
        <v>63.860000610351563</v>
      </c>
      <c r="G1172" t="s">
        <v>465</v>
      </c>
      <c r="H1172">
        <v>66.150001525878906</v>
      </c>
      <c r="I1172">
        <v>26.5</v>
      </c>
      <c r="L1172" t="s">
        <v>466</v>
      </c>
      <c r="O1172">
        <v>101.46</v>
      </c>
      <c r="P1172">
        <v>146.44999999999999</v>
      </c>
      <c r="Q1172">
        <v>60.92</v>
      </c>
      <c r="R1172" s="3" t="s">
        <v>470</v>
      </c>
      <c r="S1172">
        <v>101.46</v>
      </c>
      <c r="T1172" t="s">
        <v>468</v>
      </c>
    </row>
    <row r="1173" spans="1:20" x14ac:dyDescent="0.25">
      <c r="A1173">
        <v>176</v>
      </c>
      <c r="B1173">
        <v>511147</v>
      </c>
      <c r="C1173" t="s">
        <v>217</v>
      </c>
      <c r="D1173">
        <v>2024</v>
      </c>
      <c r="E1173">
        <v>63.860000610351563</v>
      </c>
      <c r="G1173" t="s">
        <v>465</v>
      </c>
      <c r="H1173">
        <v>146.44999694824219</v>
      </c>
      <c r="I1173">
        <v>59.25</v>
      </c>
      <c r="L1173" t="s">
        <v>466</v>
      </c>
      <c r="O1173">
        <v>101.46</v>
      </c>
      <c r="P1173">
        <v>146.44999999999999</v>
      </c>
      <c r="Q1173">
        <v>60.92</v>
      </c>
      <c r="R1173" s="3" t="s">
        <v>470</v>
      </c>
      <c r="S1173">
        <v>101.46</v>
      </c>
      <c r="T1173" t="s">
        <v>468</v>
      </c>
    </row>
    <row r="1174" spans="1:20" x14ac:dyDescent="0.25">
      <c r="A1174">
        <v>176</v>
      </c>
      <c r="B1174">
        <v>511147</v>
      </c>
      <c r="C1174" t="s">
        <v>217</v>
      </c>
      <c r="D1174">
        <v>2025</v>
      </c>
      <c r="E1174">
        <v>63.860000610351563</v>
      </c>
      <c r="G1174" t="s">
        <v>465</v>
      </c>
      <c r="H1174">
        <v>125.5</v>
      </c>
      <c r="I1174">
        <v>57.25</v>
      </c>
      <c r="L1174" t="s">
        <v>466</v>
      </c>
      <c r="O1174">
        <v>101.46</v>
      </c>
      <c r="P1174">
        <v>146.44999999999999</v>
      </c>
      <c r="Q1174">
        <v>60.92</v>
      </c>
      <c r="R1174" s="3" t="s">
        <v>470</v>
      </c>
      <c r="S1174">
        <v>101.46</v>
      </c>
      <c r="T1174" t="s">
        <v>468</v>
      </c>
    </row>
    <row r="1175" spans="1:20" x14ac:dyDescent="0.25">
      <c r="A1175">
        <v>176</v>
      </c>
      <c r="B1175">
        <v>511147</v>
      </c>
      <c r="C1175" t="s">
        <v>217</v>
      </c>
      <c r="D1175">
        <v>2026</v>
      </c>
      <c r="E1175">
        <v>63.860000610351563</v>
      </c>
      <c r="G1175" t="s">
        <v>465</v>
      </c>
      <c r="H1175">
        <v>72</v>
      </c>
      <c r="I1175">
        <v>53.799999237060547</v>
      </c>
      <c r="L1175" t="s">
        <v>466</v>
      </c>
      <c r="O1175">
        <v>101.46</v>
      </c>
      <c r="P1175">
        <v>146.44999999999999</v>
      </c>
      <c r="Q1175">
        <v>60.92</v>
      </c>
      <c r="R1175" s="3" t="s">
        <v>470</v>
      </c>
      <c r="S1175">
        <v>101.46</v>
      </c>
      <c r="T1175" t="s">
        <v>468</v>
      </c>
    </row>
    <row r="1176" spans="1:20" x14ac:dyDescent="0.25">
      <c r="A1176">
        <v>178</v>
      </c>
      <c r="B1176">
        <v>511218</v>
      </c>
      <c r="C1176" t="s">
        <v>219</v>
      </c>
      <c r="D1176">
        <v>2015</v>
      </c>
      <c r="E1176">
        <v>1037.949951171875</v>
      </c>
      <c r="F1176">
        <v>8.1300000000000008</v>
      </c>
      <c r="G1176" t="s">
        <v>465</v>
      </c>
      <c r="H1176">
        <v>250.6734924316406</v>
      </c>
      <c r="I1176">
        <v>148.38920593261719</v>
      </c>
      <c r="L1176" t="s">
        <v>469</v>
      </c>
      <c r="M1176">
        <v>30.8331479005708</v>
      </c>
      <c r="N1176">
        <v>18.252054850260411</v>
      </c>
      <c r="O1176">
        <v>39.020000000000003</v>
      </c>
      <c r="P1176">
        <v>71.989999999999995</v>
      </c>
      <c r="Q1176">
        <v>37.619999999999997</v>
      </c>
      <c r="R1176" s="3" t="s">
        <v>470</v>
      </c>
      <c r="S1176">
        <v>39.020000000000003</v>
      </c>
      <c r="T1176" t="s">
        <v>468</v>
      </c>
    </row>
    <row r="1177" spans="1:20" x14ac:dyDescent="0.25">
      <c r="A1177">
        <v>178</v>
      </c>
      <c r="B1177">
        <v>511218</v>
      </c>
      <c r="C1177" t="s">
        <v>219</v>
      </c>
      <c r="D1177">
        <v>2016</v>
      </c>
      <c r="E1177">
        <v>1037.949951171875</v>
      </c>
      <c r="F1177">
        <v>9.35</v>
      </c>
      <c r="G1177" t="s">
        <v>465</v>
      </c>
      <c r="H1177">
        <v>258.19525146484381</v>
      </c>
      <c r="I1177">
        <v>143.51759338378909</v>
      </c>
      <c r="L1177" t="s">
        <v>469</v>
      </c>
      <c r="M1177">
        <v>27.614465397309498</v>
      </c>
      <c r="N1177">
        <v>15.349475228212739</v>
      </c>
      <c r="O1177">
        <v>39.020000000000003</v>
      </c>
      <c r="P1177">
        <v>71.989999999999995</v>
      </c>
      <c r="Q1177">
        <v>37.619999999999997</v>
      </c>
      <c r="R1177" s="3" t="s">
        <v>470</v>
      </c>
      <c r="S1177">
        <v>39.020000000000003</v>
      </c>
      <c r="T1177" t="s">
        <v>468</v>
      </c>
    </row>
    <row r="1178" spans="1:20" x14ac:dyDescent="0.25">
      <c r="A1178">
        <v>178</v>
      </c>
      <c r="B1178">
        <v>511218</v>
      </c>
      <c r="C1178" t="s">
        <v>219</v>
      </c>
      <c r="D1178">
        <v>2017</v>
      </c>
      <c r="E1178">
        <v>1037.949951171875</v>
      </c>
      <c r="F1178">
        <v>10</v>
      </c>
      <c r="G1178" t="s">
        <v>465</v>
      </c>
      <c r="H1178">
        <v>291.22476196289063</v>
      </c>
      <c r="I1178">
        <v>171.67549133300781</v>
      </c>
      <c r="L1178" t="s">
        <v>469</v>
      </c>
      <c r="M1178">
        <v>29.12247619628906</v>
      </c>
      <c r="N1178">
        <v>17.167549133300781</v>
      </c>
      <c r="O1178">
        <v>39.020000000000003</v>
      </c>
      <c r="P1178">
        <v>71.989999999999995</v>
      </c>
      <c r="Q1178">
        <v>37.619999999999997</v>
      </c>
      <c r="R1178" s="3" t="s">
        <v>470</v>
      </c>
      <c r="S1178">
        <v>39.020000000000003</v>
      </c>
      <c r="T1178" t="s">
        <v>468</v>
      </c>
    </row>
    <row r="1179" spans="1:20" x14ac:dyDescent="0.25">
      <c r="A1179">
        <v>178</v>
      </c>
      <c r="B1179">
        <v>511218</v>
      </c>
      <c r="C1179" t="s">
        <v>219</v>
      </c>
      <c r="D1179">
        <v>2018</v>
      </c>
      <c r="E1179">
        <v>1037.949951171875</v>
      </c>
      <c r="F1179">
        <v>20.14</v>
      </c>
      <c r="G1179" t="s">
        <v>465</v>
      </c>
      <c r="H1179">
        <v>325.54037475585938</v>
      </c>
      <c r="I1179">
        <v>176.0599365234375</v>
      </c>
      <c r="L1179" t="s">
        <v>469</v>
      </c>
      <c r="M1179">
        <v>16.163871636338602</v>
      </c>
      <c r="N1179">
        <v>8.7418041967943143</v>
      </c>
      <c r="O1179">
        <v>39.020000000000003</v>
      </c>
      <c r="P1179">
        <v>71.989999999999995</v>
      </c>
      <c r="Q1179">
        <v>37.619999999999997</v>
      </c>
      <c r="R1179" s="3" t="s">
        <v>470</v>
      </c>
      <c r="S1179">
        <v>39.020000000000003</v>
      </c>
      <c r="T1179" t="s">
        <v>468</v>
      </c>
    </row>
    <row r="1180" spans="1:20" x14ac:dyDescent="0.25">
      <c r="A1180">
        <v>178</v>
      </c>
      <c r="B1180">
        <v>511218</v>
      </c>
      <c r="C1180" t="s">
        <v>219</v>
      </c>
      <c r="D1180">
        <v>2019</v>
      </c>
      <c r="E1180">
        <v>1037.949951171875</v>
      </c>
      <c r="F1180">
        <v>20.36</v>
      </c>
      <c r="G1180" t="s">
        <v>465</v>
      </c>
      <c r="H1180">
        <v>252.6903381347656</v>
      </c>
      <c r="I1180">
        <v>177.18040466308591</v>
      </c>
      <c r="L1180" t="s">
        <v>469</v>
      </c>
      <c r="M1180">
        <v>12.411116804261569</v>
      </c>
      <c r="N1180">
        <v>8.7023774392478348</v>
      </c>
      <c r="O1180">
        <v>39.020000000000003</v>
      </c>
      <c r="P1180">
        <v>71.989999999999995</v>
      </c>
      <c r="Q1180">
        <v>37.619999999999997</v>
      </c>
      <c r="R1180" s="3" t="s">
        <v>470</v>
      </c>
      <c r="S1180">
        <v>39.020000000000003</v>
      </c>
      <c r="T1180" t="s">
        <v>468</v>
      </c>
    </row>
    <row r="1181" spans="1:20" x14ac:dyDescent="0.25">
      <c r="A1181">
        <v>178</v>
      </c>
      <c r="B1181">
        <v>511218</v>
      </c>
      <c r="C1181" t="s">
        <v>219</v>
      </c>
      <c r="D1181">
        <v>2020</v>
      </c>
      <c r="E1181">
        <v>1037.949951171875</v>
      </c>
      <c r="F1181">
        <v>19.86</v>
      </c>
      <c r="G1181" t="s">
        <v>465</v>
      </c>
      <c r="H1181">
        <v>266.36007690429688</v>
      </c>
      <c r="I1181">
        <v>85.740310668945313</v>
      </c>
      <c r="L1181" t="s">
        <v>469</v>
      </c>
      <c r="M1181">
        <v>13.41188705459702</v>
      </c>
      <c r="N1181">
        <v>4.3172361867545472</v>
      </c>
      <c r="O1181">
        <v>39.020000000000003</v>
      </c>
      <c r="P1181">
        <v>71.989999999999995</v>
      </c>
      <c r="Q1181">
        <v>37.619999999999997</v>
      </c>
      <c r="R1181" s="3" t="s">
        <v>470</v>
      </c>
      <c r="S1181">
        <v>39.020000000000003</v>
      </c>
      <c r="T1181" t="s">
        <v>468</v>
      </c>
    </row>
    <row r="1182" spans="1:20" x14ac:dyDescent="0.25">
      <c r="A1182">
        <v>178</v>
      </c>
      <c r="B1182">
        <v>511218</v>
      </c>
      <c r="C1182" t="s">
        <v>219</v>
      </c>
      <c r="D1182">
        <v>2021</v>
      </c>
      <c r="E1182">
        <v>1037.949951171875</v>
      </c>
      <c r="F1182">
        <v>17.71</v>
      </c>
      <c r="G1182" t="s">
        <v>465</v>
      </c>
      <c r="H1182">
        <v>339.23001098632813</v>
      </c>
      <c r="I1182">
        <v>211.91999816894531</v>
      </c>
      <c r="L1182" t="s">
        <v>469</v>
      </c>
      <c r="M1182">
        <v>19.15471547071305</v>
      </c>
      <c r="N1182">
        <v>11.96612073229505</v>
      </c>
      <c r="O1182">
        <v>39.020000000000003</v>
      </c>
      <c r="P1182">
        <v>71.989999999999995</v>
      </c>
      <c r="Q1182">
        <v>37.619999999999997</v>
      </c>
      <c r="R1182" s="3" t="s">
        <v>470</v>
      </c>
      <c r="S1182">
        <v>39.020000000000003</v>
      </c>
      <c r="T1182" t="s">
        <v>468</v>
      </c>
    </row>
    <row r="1183" spans="1:20" x14ac:dyDescent="0.25">
      <c r="A1183">
        <v>178</v>
      </c>
      <c r="B1183">
        <v>511218</v>
      </c>
      <c r="C1183" t="s">
        <v>219</v>
      </c>
      <c r="D1183">
        <v>2022</v>
      </c>
      <c r="E1183">
        <v>1037.949951171875</v>
      </c>
      <c r="F1183">
        <v>20.12</v>
      </c>
      <c r="G1183" t="s">
        <v>465</v>
      </c>
      <c r="H1183">
        <v>301.85000610351563</v>
      </c>
      <c r="I1183">
        <v>200.5</v>
      </c>
      <c r="L1183" t="s">
        <v>469</v>
      </c>
      <c r="M1183">
        <v>15.002485392818871</v>
      </c>
      <c r="N1183">
        <v>9.9652087475149109</v>
      </c>
      <c r="O1183">
        <v>39.020000000000003</v>
      </c>
      <c r="P1183">
        <v>71.989999999999995</v>
      </c>
      <c r="Q1183">
        <v>37.619999999999997</v>
      </c>
      <c r="R1183" s="3" t="s">
        <v>470</v>
      </c>
      <c r="S1183">
        <v>39.020000000000003</v>
      </c>
      <c r="T1183" t="s">
        <v>468</v>
      </c>
    </row>
    <row r="1184" spans="1:20" x14ac:dyDescent="0.25">
      <c r="A1184">
        <v>178</v>
      </c>
      <c r="B1184">
        <v>511218</v>
      </c>
      <c r="C1184" t="s">
        <v>219</v>
      </c>
      <c r="D1184">
        <v>2023</v>
      </c>
      <c r="E1184">
        <v>1037.949951171875</v>
      </c>
      <c r="F1184">
        <v>32.11</v>
      </c>
      <c r="G1184" t="s">
        <v>465</v>
      </c>
      <c r="H1184">
        <v>425.91000366210938</v>
      </c>
      <c r="I1184">
        <v>238</v>
      </c>
      <c r="L1184" t="s">
        <v>469</v>
      </c>
      <c r="M1184">
        <v>13.2640922971694</v>
      </c>
      <c r="N1184">
        <v>7.4120211772033633</v>
      </c>
      <c r="O1184">
        <v>39.020000000000003</v>
      </c>
      <c r="P1184">
        <v>71.989999999999995</v>
      </c>
      <c r="Q1184">
        <v>37.619999999999997</v>
      </c>
      <c r="R1184" s="3" t="s">
        <v>470</v>
      </c>
      <c r="S1184">
        <v>39.020000000000003</v>
      </c>
      <c r="T1184" t="s">
        <v>468</v>
      </c>
    </row>
    <row r="1185" spans="1:20" x14ac:dyDescent="0.25">
      <c r="A1185">
        <v>178</v>
      </c>
      <c r="B1185">
        <v>511218</v>
      </c>
      <c r="C1185" t="s">
        <v>219</v>
      </c>
      <c r="D1185">
        <v>2024</v>
      </c>
      <c r="E1185">
        <v>1037.949951171875</v>
      </c>
      <c r="F1185">
        <v>39.200000000000003</v>
      </c>
      <c r="G1185" t="s">
        <v>465</v>
      </c>
      <c r="H1185">
        <v>730.42999267578125</v>
      </c>
      <c r="I1185">
        <v>403.27999877929688</v>
      </c>
      <c r="L1185" t="s">
        <v>469</v>
      </c>
      <c r="M1185">
        <v>18.63341818050462</v>
      </c>
      <c r="N1185">
        <v>10.287755070900429</v>
      </c>
      <c r="O1185">
        <v>39.020000000000003</v>
      </c>
      <c r="P1185">
        <v>71.989999999999995</v>
      </c>
      <c r="Q1185">
        <v>37.619999999999997</v>
      </c>
      <c r="R1185" s="3" t="s">
        <v>470</v>
      </c>
      <c r="S1185">
        <v>39.020000000000003</v>
      </c>
      <c r="T1185" t="s">
        <v>468</v>
      </c>
    </row>
    <row r="1186" spans="1:20" x14ac:dyDescent="0.25">
      <c r="A1186">
        <v>178</v>
      </c>
      <c r="B1186">
        <v>511218</v>
      </c>
      <c r="C1186" t="s">
        <v>219</v>
      </c>
      <c r="D1186">
        <v>2025</v>
      </c>
      <c r="E1186">
        <v>1037.949951171875</v>
      </c>
      <c r="F1186">
        <v>50.81</v>
      </c>
      <c r="G1186" t="s">
        <v>465</v>
      </c>
      <c r="H1186">
        <v>1000</v>
      </c>
      <c r="I1186">
        <v>508.95001220703119</v>
      </c>
      <c r="L1186" t="s">
        <v>469</v>
      </c>
      <c r="M1186">
        <v>19.681165124975401</v>
      </c>
      <c r="N1186">
        <v>10.016729230604829</v>
      </c>
      <c r="O1186">
        <v>39.020000000000003</v>
      </c>
      <c r="P1186">
        <v>71.989999999999995</v>
      </c>
      <c r="Q1186">
        <v>37.619999999999997</v>
      </c>
      <c r="R1186" s="3" t="s">
        <v>470</v>
      </c>
      <c r="S1186">
        <v>39.020000000000003</v>
      </c>
      <c r="T1186" t="s">
        <v>468</v>
      </c>
    </row>
    <row r="1187" spans="1:20" x14ac:dyDescent="0.25">
      <c r="A1187">
        <v>178</v>
      </c>
      <c r="B1187">
        <v>511218</v>
      </c>
      <c r="C1187" t="s">
        <v>219</v>
      </c>
      <c r="D1187">
        <v>2026</v>
      </c>
      <c r="E1187">
        <v>1037.949951171875</v>
      </c>
      <c r="F1187">
        <v>53.28</v>
      </c>
      <c r="G1187" t="s">
        <v>465</v>
      </c>
      <c r="H1187">
        <v>1108</v>
      </c>
      <c r="I1187">
        <v>864</v>
      </c>
      <c r="L1187" t="s">
        <v>469</v>
      </c>
      <c r="M1187">
        <v>20.79579579579579</v>
      </c>
      <c r="N1187">
        <v>16.216216216216221</v>
      </c>
      <c r="O1187">
        <v>39.020000000000003</v>
      </c>
      <c r="P1187">
        <v>71.989999999999995</v>
      </c>
      <c r="Q1187">
        <v>37.619999999999997</v>
      </c>
      <c r="R1187" s="3" t="s">
        <v>470</v>
      </c>
      <c r="S1187">
        <v>39.020000000000003</v>
      </c>
      <c r="T1187" t="s">
        <v>468</v>
      </c>
    </row>
    <row r="1188" spans="1:20" x14ac:dyDescent="0.25">
      <c r="A1188">
        <v>179</v>
      </c>
      <c r="B1188">
        <v>511243</v>
      </c>
      <c r="C1188" t="s">
        <v>221</v>
      </c>
      <c r="D1188">
        <v>2015</v>
      </c>
      <c r="E1188">
        <v>1784.800048828125</v>
      </c>
      <c r="F1188">
        <v>6.18</v>
      </c>
      <c r="G1188" t="s">
        <v>465</v>
      </c>
      <c r="H1188">
        <v>147.80000305175781</v>
      </c>
      <c r="I1188">
        <v>95</v>
      </c>
      <c r="L1188" t="s">
        <v>469</v>
      </c>
      <c r="M1188">
        <v>23.91585809898994</v>
      </c>
      <c r="N1188">
        <v>15.372168284789639</v>
      </c>
      <c r="O1188">
        <v>1507.3</v>
      </c>
      <c r="P1188">
        <v>2064</v>
      </c>
      <c r="Q1188">
        <v>1305</v>
      </c>
      <c r="R1188" s="3" t="s">
        <v>470</v>
      </c>
      <c r="S1188">
        <v>1507.3</v>
      </c>
      <c r="T1188" t="s">
        <v>468</v>
      </c>
    </row>
    <row r="1189" spans="1:20" x14ac:dyDescent="0.25">
      <c r="A1189">
        <v>179</v>
      </c>
      <c r="B1189">
        <v>511243</v>
      </c>
      <c r="C1189" t="s">
        <v>221</v>
      </c>
      <c r="D1189">
        <v>2016</v>
      </c>
      <c r="E1189">
        <v>1784.800048828125</v>
      </c>
      <c r="F1189">
        <v>7.36</v>
      </c>
      <c r="G1189" t="s">
        <v>465</v>
      </c>
      <c r="H1189">
        <v>248.7799987792969</v>
      </c>
      <c r="I1189">
        <v>116.5</v>
      </c>
      <c r="L1189" t="s">
        <v>469</v>
      </c>
      <c r="M1189">
        <v>33.80163026892621</v>
      </c>
      <c r="N1189">
        <v>15.82880434782609</v>
      </c>
      <c r="O1189">
        <v>1507.3</v>
      </c>
      <c r="P1189">
        <v>2064</v>
      </c>
      <c r="Q1189">
        <v>1305</v>
      </c>
      <c r="R1189" s="3" t="s">
        <v>470</v>
      </c>
      <c r="S1189">
        <v>1507.3</v>
      </c>
      <c r="T1189" t="s">
        <v>468</v>
      </c>
    </row>
    <row r="1190" spans="1:20" x14ac:dyDescent="0.25">
      <c r="A1190">
        <v>179</v>
      </c>
      <c r="B1190">
        <v>511243</v>
      </c>
      <c r="C1190" t="s">
        <v>221</v>
      </c>
      <c r="D1190">
        <v>2017</v>
      </c>
      <c r="E1190">
        <v>1784.800048828125</v>
      </c>
      <c r="F1190">
        <v>9.2100000000000009</v>
      </c>
      <c r="G1190" t="s">
        <v>465</v>
      </c>
      <c r="H1190">
        <v>271.010009765625</v>
      </c>
      <c r="I1190">
        <v>182.22999572753909</v>
      </c>
      <c r="L1190" t="s">
        <v>469</v>
      </c>
      <c r="M1190">
        <v>29.425625381718241</v>
      </c>
      <c r="N1190">
        <v>19.786101599081331</v>
      </c>
      <c r="O1190">
        <v>1507.3</v>
      </c>
      <c r="P1190">
        <v>2064</v>
      </c>
      <c r="Q1190">
        <v>1305</v>
      </c>
      <c r="R1190" s="3" t="s">
        <v>470</v>
      </c>
      <c r="S1190">
        <v>1507.3</v>
      </c>
      <c r="T1190" t="s">
        <v>468</v>
      </c>
    </row>
    <row r="1191" spans="1:20" x14ac:dyDescent="0.25">
      <c r="A1191">
        <v>179</v>
      </c>
      <c r="B1191">
        <v>511243</v>
      </c>
      <c r="C1191" t="s">
        <v>221</v>
      </c>
      <c r="D1191">
        <v>2018</v>
      </c>
      <c r="E1191">
        <v>1784.800048828125</v>
      </c>
      <c r="F1191">
        <v>11.76</v>
      </c>
      <c r="G1191" t="s">
        <v>465</v>
      </c>
      <c r="H1191">
        <v>352.14999389648438</v>
      </c>
      <c r="I1191">
        <v>207.75</v>
      </c>
      <c r="L1191" t="s">
        <v>469</v>
      </c>
      <c r="M1191">
        <v>29.94472737215003</v>
      </c>
      <c r="N1191">
        <v>17.66581632653061</v>
      </c>
      <c r="O1191">
        <v>1507.3</v>
      </c>
      <c r="P1191">
        <v>2064</v>
      </c>
      <c r="Q1191">
        <v>1305</v>
      </c>
      <c r="R1191" s="3" t="s">
        <v>470</v>
      </c>
      <c r="S1191">
        <v>1507.3</v>
      </c>
      <c r="T1191" t="s">
        <v>468</v>
      </c>
    </row>
    <row r="1192" spans="1:20" x14ac:dyDescent="0.25">
      <c r="A1192">
        <v>179</v>
      </c>
      <c r="B1192">
        <v>511243</v>
      </c>
      <c r="C1192" t="s">
        <v>221</v>
      </c>
      <c r="D1192">
        <v>2019</v>
      </c>
      <c r="E1192">
        <v>1784.800048828125</v>
      </c>
      <c r="F1192">
        <v>15.32</v>
      </c>
      <c r="G1192" t="s">
        <v>465</v>
      </c>
      <c r="H1192">
        <v>333.89999389648438</v>
      </c>
      <c r="I1192">
        <v>218.28999328613281</v>
      </c>
      <c r="L1192" t="s">
        <v>469</v>
      </c>
      <c r="M1192">
        <v>21.795038766089061</v>
      </c>
      <c r="N1192">
        <v>14.248694078729301</v>
      </c>
      <c r="O1192">
        <v>1507.3</v>
      </c>
      <c r="P1192">
        <v>2064</v>
      </c>
      <c r="Q1192">
        <v>1305</v>
      </c>
      <c r="R1192" s="3" t="s">
        <v>470</v>
      </c>
      <c r="S1192">
        <v>1507.3</v>
      </c>
      <c r="T1192" t="s">
        <v>468</v>
      </c>
    </row>
    <row r="1193" spans="1:20" x14ac:dyDescent="0.25">
      <c r="A1193">
        <v>179</v>
      </c>
      <c r="B1193">
        <v>511243</v>
      </c>
      <c r="C1193" t="s">
        <v>221</v>
      </c>
      <c r="D1193">
        <v>2020</v>
      </c>
      <c r="E1193">
        <v>1784.800048828125</v>
      </c>
      <c r="F1193">
        <v>12.86</v>
      </c>
      <c r="G1193" t="s">
        <v>465</v>
      </c>
      <c r="H1193">
        <v>394.29998779296881</v>
      </c>
      <c r="I1193">
        <v>117.40000152587891</v>
      </c>
      <c r="L1193" t="s">
        <v>469</v>
      </c>
      <c r="M1193">
        <v>30.660963280946259</v>
      </c>
      <c r="N1193">
        <v>9.1290825447806316</v>
      </c>
      <c r="O1193">
        <v>1507.3</v>
      </c>
      <c r="P1193">
        <v>2064</v>
      </c>
      <c r="Q1193">
        <v>1305</v>
      </c>
      <c r="R1193" s="3" t="s">
        <v>470</v>
      </c>
      <c r="S1193">
        <v>1507.3</v>
      </c>
      <c r="T1193" t="s">
        <v>468</v>
      </c>
    </row>
    <row r="1194" spans="1:20" x14ac:dyDescent="0.25">
      <c r="A1194">
        <v>179</v>
      </c>
      <c r="B1194">
        <v>511243</v>
      </c>
      <c r="C1194" t="s">
        <v>221</v>
      </c>
      <c r="D1194">
        <v>2021</v>
      </c>
      <c r="E1194">
        <v>1784.800048828125</v>
      </c>
      <c r="F1194">
        <v>18.55</v>
      </c>
      <c r="G1194" t="s">
        <v>465</v>
      </c>
      <c r="H1194">
        <v>667.5</v>
      </c>
      <c r="I1194">
        <v>391</v>
      </c>
      <c r="L1194" t="s">
        <v>469</v>
      </c>
      <c r="M1194">
        <v>35.983827493261451</v>
      </c>
      <c r="N1194">
        <v>21.078167115902961</v>
      </c>
      <c r="O1194">
        <v>1507.3</v>
      </c>
      <c r="P1194">
        <v>2064</v>
      </c>
      <c r="Q1194">
        <v>1305</v>
      </c>
      <c r="R1194" s="3" t="s">
        <v>470</v>
      </c>
      <c r="S1194">
        <v>1507.3</v>
      </c>
      <c r="T1194" t="s">
        <v>468</v>
      </c>
    </row>
    <row r="1195" spans="1:20" x14ac:dyDescent="0.25">
      <c r="A1195">
        <v>179</v>
      </c>
      <c r="B1195">
        <v>511243</v>
      </c>
      <c r="C1195" t="s">
        <v>221</v>
      </c>
      <c r="D1195">
        <v>2022</v>
      </c>
      <c r="E1195">
        <v>1784.800048828125</v>
      </c>
      <c r="F1195">
        <v>26.23</v>
      </c>
      <c r="G1195" t="s">
        <v>465</v>
      </c>
      <c r="H1195">
        <v>817.95001220703125</v>
      </c>
      <c r="I1195">
        <v>519.5999755859375</v>
      </c>
      <c r="L1195" t="s">
        <v>469</v>
      </c>
      <c r="M1195">
        <v>31.183759519902068</v>
      </c>
      <c r="N1195">
        <v>19.809377643383051</v>
      </c>
      <c r="O1195">
        <v>1507.3</v>
      </c>
      <c r="P1195">
        <v>2064</v>
      </c>
      <c r="Q1195">
        <v>1305</v>
      </c>
      <c r="R1195" s="3" t="s">
        <v>470</v>
      </c>
      <c r="S1195">
        <v>1507.3</v>
      </c>
      <c r="T1195" t="s">
        <v>468</v>
      </c>
    </row>
    <row r="1196" spans="1:20" x14ac:dyDescent="0.25">
      <c r="A1196">
        <v>179</v>
      </c>
      <c r="B1196">
        <v>511243</v>
      </c>
      <c r="C1196" t="s">
        <v>221</v>
      </c>
      <c r="D1196">
        <v>2023</v>
      </c>
      <c r="E1196">
        <v>1784.800048828125</v>
      </c>
      <c r="F1196">
        <v>32.42</v>
      </c>
      <c r="G1196" t="s">
        <v>465</v>
      </c>
      <c r="H1196">
        <v>1284.449951171875</v>
      </c>
      <c r="I1196">
        <v>658</v>
      </c>
      <c r="L1196" t="s">
        <v>469</v>
      </c>
      <c r="M1196">
        <v>39.619060801106571</v>
      </c>
      <c r="N1196">
        <v>20.296113510178898</v>
      </c>
      <c r="O1196">
        <v>1507.3</v>
      </c>
      <c r="P1196">
        <v>2064</v>
      </c>
      <c r="Q1196">
        <v>1305</v>
      </c>
      <c r="R1196" s="3" t="s">
        <v>470</v>
      </c>
      <c r="S1196">
        <v>1507.3</v>
      </c>
      <c r="T1196" t="s">
        <v>468</v>
      </c>
    </row>
    <row r="1197" spans="1:20" x14ac:dyDescent="0.25">
      <c r="A1197">
        <v>179</v>
      </c>
      <c r="B1197">
        <v>511243</v>
      </c>
      <c r="C1197" t="s">
        <v>221</v>
      </c>
      <c r="D1197">
        <v>2024</v>
      </c>
      <c r="E1197">
        <v>1784.800048828125</v>
      </c>
      <c r="F1197">
        <v>40.72</v>
      </c>
      <c r="G1197" t="s">
        <v>465</v>
      </c>
      <c r="H1197">
        <v>1650</v>
      </c>
      <c r="I1197">
        <v>1011.5</v>
      </c>
      <c r="L1197" t="s">
        <v>469</v>
      </c>
      <c r="M1197">
        <v>40.520628683693523</v>
      </c>
      <c r="N1197">
        <v>24.84037328094303</v>
      </c>
      <c r="O1197">
        <v>1507.3</v>
      </c>
      <c r="P1197">
        <v>2064</v>
      </c>
      <c r="Q1197">
        <v>1305</v>
      </c>
      <c r="R1197" s="3" t="s">
        <v>470</v>
      </c>
      <c r="S1197">
        <v>1507.3</v>
      </c>
      <c r="T1197" t="s">
        <v>468</v>
      </c>
    </row>
    <row r="1198" spans="1:20" x14ac:dyDescent="0.25">
      <c r="A1198">
        <v>179</v>
      </c>
      <c r="B1198">
        <v>511243</v>
      </c>
      <c r="C1198" t="s">
        <v>221</v>
      </c>
      <c r="D1198">
        <v>2025</v>
      </c>
      <c r="E1198">
        <v>1784.800048828125</v>
      </c>
      <c r="F1198">
        <v>50.69</v>
      </c>
      <c r="G1198" t="s">
        <v>465</v>
      </c>
      <c r="H1198">
        <v>1780.900024414062</v>
      </c>
      <c r="I1198">
        <v>1169.050048828125</v>
      </c>
      <c r="L1198" t="s">
        <v>469</v>
      </c>
      <c r="M1198">
        <v>35.133162841074423</v>
      </c>
      <c r="N1198">
        <v>23.062735230383211</v>
      </c>
      <c r="O1198">
        <v>1507.3</v>
      </c>
      <c r="P1198">
        <v>2064</v>
      </c>
      <c r="Q1198">
        <v>1305</v>
      </c>
      <c r="R1198" s="3" t="s">
        <v>470</v>
      </c>
      <c r="S1198">
        <v>1507.3</v>
      </c>
      <c r="T1198" t="s">
        <v>468</v>
      </c>
    </row>
    <row r="1199" spans="1:20" x14ac:dyDescent="0.25">
      <c r="A1199">
        <v>179</v>
      </c>
      <c r="B1199">
        <v>511243</v>
      </c>
      <c r="C1199" t="s">
        <v>221</v>
      </c>
      <c r="D1199">
        <v>2026</v>
      </c>
      <c r="E1199">
        <v>1784.800048828125</v>
      </c>
      <c r="F1199">
        <v>61.41</v>
      </c>
      <c r="G1199" t="s">
        <v>465</v>
      </c>
      <c r="H1199">
        <v>1874.650024414062</v>
      </c>
      <c r="I1199">
        <v>1299.800048828125</v>
      </c>
      <c r="L1199" t="s">
        <v>469</v>
      </c>
      <c r="M1199">
        <v>30.526787565772061</v>
      </c>
      <c r="N1199">
        <v>21.165934682105931</v>
      </c>
      <c r="O1199">
        <v>1507.3</v>
      </c>
      <c r="P1199">
        <v>2064</v>
      </c>
      <c r="Q1199">
        <v>1305</v>
      </c>
      <c r="R1199" s="3" t="s">
        <v>470</v>
      </c>
      <c r="S1199">
        <v>1507.3</v>
      </c>
      <c r="T1199" t="s">
        <v>468</v>
      </c>
    </row>
    <row r="1200" spans="1:20" x14ac:dyDescent="0.25">
      <c r="A1200">
        <v>181</v>
      </c>
      <c r="B1200">
        <v>511355</v>
      </c>
      <c r="C1200" t="s">
        <v>223</v>
      </c>
      <c r="D1200">
        <v>2015</v>
      </c>
      <c r="E1200">
        <v>19.909999847412109</v>
      </c>
      <c r="F1200">
        <v>0.23</v>
      </c>
      <c r="G1200" t="s">
        <v>465</v>
      </c>
      <c r="H1200">
        <v>4.380000114440918</v>
      </c>
      <c r="I1200">
        <v>2.279999971389771</v>
      </c>
      <c r="L1200" t="s">
        <v>484</v>
      </c>
      <c r="M1200">
        <v>19.04347875843877</v>
      </c>
      <c r="N1200">
        <v>9.9130433538685683</v>
      </c>
      <c r="O1200">
        <v>22.5</v>
      </c>
      <c r="P1200">
        <v>26.43</v>
      </c>
      <c r="Q1200">
        <v>16.7</v>
      </c>
      <c r="R1200" s="3" t="s">
        <v>470</v>
      </c>
      <c r="S1200">
        <v>22.5</v>
      </c>
      <c r="T1200" t="s">
        <v>468</v>
      </c>
    </row>
    <row r="1201" spans="1:20" x14ac:dyDescent="0.25">
      <c r="A1201">
        <v>181</v>
      </c>
      <c r="B1201">
        <v>511355</v>
      </c>
      <c r="C1201" t="s">
        <v>223</v>
      </c>
      <c r="D1201">
        <v>2016</v>
      </c>
      <c r="E1201">
        <v>19.909999847412109</v>
      </c>
      <c r="F1201">
        <v>0.15</v>
      </c>
      <c r="G1201" t="s">
        <v>465</v>
      </c>
      <c r="H1201">
        <v>4.5100002288818359</v>
      </c>
      <c r="I1201">
        <v>2.5499999523162842</v>
      </c>
      <c r="L1201" t="s">
        <v>484</v>
      </c>
      <c r="M1201">
        <v>30.066668192545571</v>
      </c>
      <c r="N1201">
        <v>16.999999682108559</v>
      </c>
      <c r="O1201">
        <v>22.5</v>
      </c>
      <c r="P1201">
        <v>26.43</v>
      </c>
      <c r="Q1201">
        <v>16.7</v>
      </c>
      <c r="R1201" s="3" t="s">
        <v>470</v>
      </c>
      <c r="S1201">
        <v>22.5</v>
      </c>
      <c r="T1201" t="s">
        <v>468</v>
      </c>
    </row>
    <row r="1202" spans="1:20" x14ac:dyDescent="0.25">
      <c r="A1202">
        <v>181</v>
      </c>
      <c r="B1202">
        <v>511355</v>
      </c>
      <c r="C1202" t="s">
        <v>223</v>
      </c>
      <c r="D1202">
        <v>2017</v>
      </c>
      <c r="E1202">
        <v>19.909999847412109</v>
      </c>
      <c r="F1202">
        <v>0.25</v>
      </c>
      <c r="G1202" t="s">
        <v>465</v>
      </c>
      <c r="H1202">
        <v>6.3400001525878906</v>
      </c>
      <c r="I1202">
        <v>2.7400000095367432</v>
      </c>
      <c r="L1202" t="s">
        <v>484</v>
      </c>
      <c r="M1202">
        <v>25.360000610351559</v>
      </c>
      <c r="N1202">
        <v>10.960000038146971</v>
      </c>
      <c r="O1202">
        <v>22.5</v>
      </c>
      <c r="P1202">
        <v>26.43</v>
      </c>
      <c r="Q1202">
        <v>16.7</v>
      </c>
      <c r="R1202" s="3" t="s">
        <v>470</v>
      </c>
      <c r="S1202">
        <v>22.5</v>
      </c>
      <c r="T1202" t="s">
        <v>468</v>
      </c>
    </row>
    <row r="1203" spans="1:20" x14ac:dyDescent="0.25">
      <c r="A1203">
        <v>181</v>
      </c>
      <c r="B1203">
        <v>511355</v>
      </c>
      <c r="C1203" t="s">
        <v>223</v>
      </c>
      <c r="D1203">
        <v>2018</v>
      </c>
      <c r="E1203">
        <v>19.909999847412109</v>
      </c>
      <c r="F1203">
        <v>0.37</v>
      </c>
      <c r="G1203" t="s">
        <v>465</v>
      </c>
      <c r="H1203">
        <v>7.4499998092651367</v>
      </c>
      <c r="I1203">
        <v>2.910000085830688</v>
      </c>
      <c r="L1203" t="s">
        <v>484</v>
      </c>
      <c r="M1203">
        <v>20.135134619635501</v>
      </c>
      <c r="N1203">
        <v>7.8648650968396971</v>
      </c>
      <c r="O1203">
        <v>22.5</v>
      </c>
      <c r="P1203">
        <v>26.43</v>
      </c>
      <c r="Q1203">
        <v>16.7</v>
      </c>
      <c r="R1203" s="3" t="s">
        <v>470</v>
      </c>
      <c r="S1203">
        <v>22.5</v>
      </c>
      <c r="T1203" t="s">
        <v>468</v>
      </c>
    </row>
    <row r="1204" spans="1:20" x14ac:dyDescent="0.25">
      <c r="A1204">
        <v>181</v>
      </c>
      <c r="B1204">
        <v>511355</v>
      </c>
      <c r="C1204" t="s">
        <v>223</v>
      </c>
      <c r="D1204">
        <v>2019</v>
      </c>
      <c r="E1204">
        <v>19.909999847412109</v>
      </c>
      <c r="F1204">
        <v>0.06</v>
      </c>
      <c r="G1204" t="s">
        <v>465</v>
      </c>
      <c r="H1204">
        <v>3.279999971389771</v>
      </c>
      <c r="I1204">
        <v>2.089999914169312</v>
      </c>
      <c r="L1204" t="s">
        <v>484</v>
      </c>
      <c r="M1204">
        <v>54.66666618982952</v>
      </c>
      <c r="N1204">
        <v>34.833331902821868</v>
      </c>
      <c r="O1204">
        <v>22.5</v>
      </c>
      <c r="P1204">
        <v>26.43</v>
      </c>
      <c r="Q1204">
        <v>16.7</v>
      </c>
      <c r="R1204" s="3" t="s">
        <v>470</v>
      </c>
      <c r="S1204">
        <v>22.5</v>
      </c>
      <c r="T1204" t="s">
        <v>468</v>
      </c>
    </row>
    <row r="1205" spans="1:20" x14ac:dyDescent="0.25">
      <c r="A1205">
        <v>181</v>
      </c>
      <c r="B1205">
        <v>511355</v>
      </c>
      <c r="C1205" t="s">
        <v>223</v>
      </c>
      <c r="D1205">
        <v>2020</v>
      </c>
      <c r="E1205">
        <v>19.909999847412109</v>
      </c>
      <c r="G1205" t="s">
        <v>465</v>
      </c>
      <c r="H1205">
        <v>5.1700000762939453</v>
      </c>
      <c r="I1205">
        <v>2.0499999523162842</v>
      </c>
      <c r="L1205" t="s">
        <v>466</v>
      </c>
      <c r="O1205">
        <v>22.5</v>
      </c>
      <c r="P1205">
        <v>26.43</v>
      </c>
      <c r="Q1205">
        <v>16.7</v>
      </c>
      <c r="R1205" s="3" t="s">
        <v>470</v>
      </c>
      <c r="S1205">
        <v>22.5</v>
      </c>
      <c r="T1205" t="s">
        <v>468</v>
      </c>
    </row>
    <row r="1206" spans="1:20" x14ac:dyDescent="0.25">
      <c r="A1206">
        <v>181</v>
      </c>
      <c r="B1206">
        <v>511355</v>
      </c>
      <c r="C1206" t="s">
        <v>223</v>
      </c>
      <c r="D1206">
        <v>2021</v>
      </c>
      <c r="E1206">
        <v>19.909999847412109</v>
      </c>
      <c r="F1206">
        <v>-0.12</v>
      </c>
      <c r="G1206" t="s">
        <v>465</v>
      </c>
      <c r="H1206">
        <v>11.819999694824221</v>
      </c>
      <c r="I1206">
        <v>4.0900001525878906</v>
      </c>
      <c r="L1206" t="s">
        <v>471</v>
      </c>
      <c r="M1206">
        <v>-98.499997456868513</v>
      </c>
      <c r="N1206">
        <v>-34.083334604899093</v>
      </c>
      <c r="O1206">
        <v>22.5</v>
      </c>
      <c r="P1206">
        <v>26.43</v>
      </c>
      <c r="Q1206">
        <v>16.7</v>
      </c>
      <c r="R1206" s="3" t="s">
        <v>470</v>
      </c>
      <c r="S1206">
        <v>22.5</v>
      </c>
      <c r="T1206" t="s">
        <v>468</v>
      </c>
    </row>
    <row r="1207" spans="1:20" x14ac:dyDescent="0.25">
      <c r="A1207">
        <v>181</v>
      </c>
      <c r="B1207">
        <v>511355</v>
      </c>
      <c r="C1207" t="s">
        <v>223</v>
      </c>
      <c r="D1207">
        <v>2022</v>
      </c>
      <c r="E1207">
        <v>19.909999847412109</v>
      </c>
      <c r="F1207">
        <v>0.12</v>
      </c>
      <c r="G1207" t="s">
        <v>465</v>
      </c>
      <c r="H1207">
        <v>13.89999961853027</v>
      </c>
      <c r="I1207">
        <v>7.309999942779541</v>
      </c>
      <c r="L1207" t="s">
        <v>484</v>
      </c>
      <c r="M1207">
        <v>115.8333301544189</v>
      </c>
      <c r="N1207">
        <v>60.916666189829513</v>
      </c>
      <c r="O1207">
        <v>22.5</v>
      </c>
      <c r="P1207">
        <v>26.43</v>
      </c>
      <c r="Q1207">
        <v>16.7</v>
      </c>
      <c r="R1207" s="3" t="s">
        <v>470</v>
      </c>
      <c r="S1207">
        <v>22.5</v>
      </c>
      <c r="T1207" t="s">
        <v>468</v>
      </c>
    </row>
    <row r="1208" spans="1:20" x14ac:dyDescent="0.25">
      <c r="A1208">
        <v>181</v>
      </c>
      <c r="B1208">
        <v>511355</v>
      </c>
      <c r="C1208" t="s">
        <v>223</v>
      </c>
      <c r="D1208">
        <v>2023</v>
      </c>
      <c r="E1208">
        <v>19.909999847412109</v>
      </c>
      <c r="F1208">
        <v>0.33</v>
      </c>
      <c r="G1208" t="s">
        <v>465</v>
      </c>
      <c r="H1208">
        <v>16.89999961853027</v>
      </c>
      <c r="I1208">
        <v>7.559999942779541</v>
      </c>
      <c r="L1208" t="s">
        <v>484</v>
      </c>
      <c r="M1208">
        <v>51.21212005615233</v>
      </c>
      <c r="N1208">
        <v>22.909090735695582</v>
      </c>
      <c r="O1208">
        <v>22.5</v>
      </c>
      <c r="P1208">
        <v>26.43</v>
      </c>
      <c r="Q1208">
        <v>16.7</v>
      </c>
      <c r="R1208" s="3" t="s">
        <v>470</v>
      </c>
      <c r="S1208">
        <v>22.5</v>
      </c>
      <c r="T1208" t="s">
        <v>468</v>
      </c>
    </row>
    <row r="1209" spans="1:20" x14ac:dyDescent="0.25">
      <c r="A1209">
        <v>181</v>
      </c>
      <c r="B1209">
        <v>511355</v>
      </c>
      <c r="C1209" t="s">
        <v>223</v>
      </c>
      <c r="D1209">
        <v>2024</v>
      </c>
      <c r="E1209">
        <v>19.909999847412109</v>
      </c>
      <c r="F1209">
        <v>0.7</v>
      </c>
      <c r="G1209" t="s">
        <v>465</v>
      </c>
      <c r="H1209">
        <v>26.430000305175781</v>
      </c>
      <c r="I1209">
        <v>14.14999961853027</v>
      </c>
      <c r="L1209" t="s">
        <v>469</v>
      </c>
      <c r="M1209">
        <v>37.757143293108257</v>
      </c>
      <c r="N1209">
        <v>20.21428516932896</v>
      </c>
      <c r="O1209">
        <v>22.5</v>
      </c>
      <c r="P1209">
        <v>26.43</v>
      </c>
      <c r="Q1209">
        <v>16.7</v>
      </c>
      <c r="R1209" s="3" t="s">
        <v>470</v>
      </c>
      <c r="S1209">
        <v>22.5</v>
      </c>
      <c r="T1209" t="s">
        <v>468</v>
      </c>
    </row>
    <row r="1210" spans="1:20" x14ac:dyDescent="0.25">
      <c r="A1210">
        <v>181</v>
      </c>
      <c r="B1210">
        <v>511355</v>
      </c>
      <c r="C1210" t="s">
        <v>223</v>
      </c>
      <c r="D1210">
        <v>2025</v>
      </c>
      <c r="E1210">
        <v>19.909999847412109</v>
      </c>
      <c r="F1210">
        <v>0.26</v>
      </c>
      <c r="G1210" t="s">
        <v>465</v>
      </c>
      <c r="H1210">
        <v>20.069999694824219</v>
      </c>
      <c r="I1210">
        <v>13.5</v>
      </c>
      <c r="L1210" t="s">
        <v>484</v>
      </c>
      <c r="M1210">
        <v>77.192306518554688</v>
      </c>
      <c r="N1210">
        <v>51.92307692307692</v>
      </c>
      <c r="O1210">
        <v>22.5</v>
      </c>
      <c r="P1210">
        <v>26.43</v>
      </c>
      <c r="Q1210">
        <v>16.7</v>
      </c>
      <c r="R1210" s="3" t="s">
        <v>470</v>
      </c>
      <c r="S1210">
        <v>22.5</v>
      </c>
      <c r="T1210" t="s">
        <v>468</v>
      </c>
    </row>
    <row r="1211" spans="1:20" x14ac:dyDescent="0.25">
      <c r="A1211">
        <v>181</v>
      </c>
      <c r="B1211">
        <v>511355</v>
      </c>
      <c r="C1211" t="s">
        <v>223</v>
      </c>
      <c r="D1211">
        <v>2026</v>
      </c>
      <c r="E1211">
        <v>19.909999847412109</v>
      </c>
      <c r="F1211">
        <v>-0.21</v>
      </c>
      <c r="G1211" t="s">
        <v>465</v>
      </c>
      <c r="H1211">
        <v>19.909999847412109</v>
      </c>
      <c r="I1211">
        <v>9.1400003433227539</v>
      </c>
      <c r="L1211" t="s">
        <v>471</v>
      </c>
      <c r="M1211">
        <v>-94.809523082914808</v>
      </c>
      <c r="N1211">
        <v>-43.523811158679777</v>
      </c>
      <c r="O1211">
        <v>22.5</v>
      </c>
      <c r="P1211">
        <v>26.43</v>
      </c>
      <c r="Q1211">
        <v>16.7</v>
      </c>
      <c r="R1211" s="3" t="s">
        <v>470</v>
      </c>
      <c r="S1211">
        <v>22.5</v>
      </c>
      <c r="T1211" t="s">
        <v>468</v>
      </c>
    </row>
    <row r="1212" spans="1:20" x14ac:dyDescent="0.25">
      <c r="A1212">
        <v>182</v>
      </c>
      <c r="B1212">
        <v>511389</v>
      </c>
      <c r="C1212" t="s">
        <v>225</v>
      </c>
      <c r="D1212">
        <v>2015</v>
      </c>
      <c r="E1212">
        <v>7.25</v>
      </c>
      <c r="F1212">
        <v>-65.37</v>
      </c>
      <c r="G1212" t="s">
        <v>465</v>
      </c>
      <c r="H1212">
        <v>199.80000305175781</v>
      </c>
      <c r="I1212">
        <v>115</v>
      </c>
      <c r="L1212" t="s">
        <v>471</v>
      </c>
      <c r="M1212">
        <v>-3.0564479585705651</v>
      </c>
      <c r="N1212">
        <v>-1.7592167661006579</v>
      </c>
      <c r="O1212">
        <f>IFERROR(VLOOKUP(B1212,BSE_500_LIVE!A:E,3,FALSE),"")</f>
        <v>0</v>
      </c>
      <c r="P1212">
        <f>IFERROR(VLOOKUP(B1212,BSE_500_LIVE!A:E,4,FALSE),"")</f>
        <v>0</v>
      </c>
      <c r="Q1212">
        <f>IFERROR(VLOOKUP(B1212,BSE_500_LIVE!A:E,5,FALSE),"")</f>
        <v>0</v>
      </c>
      <c r="R1212" t="str">
        <f t="shared" ref="R1212:R1235" si="18">IF(OR(E1212="",O1212=""),"PENDING_FETCH",IF(ABS(E1212-O1212)/E1212&gt;0.005,"MISMATCH_NEEDS_CORRECTION","VERIFIED_OK"))</f>
        <v>MISMATCH_NEEDS_CORRECTION</v>
      </c>
      <c r="S1212">
        <f t="shared" ref="S1212:S1235" si="19">IF(O1212&lt;&gt;"",O1212,E1212)</f>
        <v>0</v>
      </c>
      <c r="T1212">
        <f>IFERROR(VLOOKUP(B1212,BSE_500_LIVE!A:F,6,FALSE),"")</f>
        <v>0</v>
      </c>
    </row>
    <row r="1213" spans="1:20" x14ac:dyDescent="0.25">
      <c r="A1213">
        <v>182</v>
      </c>
      <c r="B1213">
        <v>511389</v>
      </c>
      <c r="C1213" t="s">
        <v>225</v>
      </c>
      <c r="D1213">
        <v>2016</v>
      </c>
      <c r="E1213">
        <v>7.25</v>
      </c>
      <c r="G1213" t="s">
        <v>465</v>
      </c>
      <c r="H1213">
        <v>128</v>
      </c>
      <c r="I1213">
        <v>95</v>
      </c>
      <c r="L1213" t="s">
        <v>466</v>
      </c>
      <c r="O1213">
        <f>IFERROR(VLOOKUP(B1213,BSE_500_LIVE!A:E,3,FALSE),"")</f>
        <v>0</v>
      </c>
      <c r="P1213">
        <f>IFERROR(VLOOKUP(B1213,BSE_500_LIVE!A:E,4,FALSE),"")</f>
        <v>0</v>
      </c>
      <c r="Q1213">
        <f>IFERROR(VLOOKUP(B1213,BSE_500_LIVE!A:E,5,FALSE),"")</f>
        <v>0</v>
      </c>
      <c r="R1213" t="str">
        <f t="shared" si="18"/>
        <v>MISMATCH_NEEDS_CORRECTION</v>
      </c>
      <c r="S1213">
        <f t="shared" si="19"/>
        <v>0</v>
      </c>
      <c r="T1213">
        <f>IFERROR(VLOOKUP(B1213,BSE_500_LIVE!A:F,6,FALSE),"")</f>
        <v>0</v>
      </c>
    </row>
    <row r="1214" spans="1:20" x14ac:dyDescent="0.25">
      <c r="A1214">
        <v>182</v>
      </c>
      <c r="B1214">
        <v>511389</v>
      </c>
      <c r="C1214" t="s">
        <v>225</v>
      </c>
      <c r="D1214">
        <v>2017</v>
      </c>
      <c r="E1214">
        <v>7.25</v>
      </c>
      <c r="F1214">
        <v>-79</v>
      </c>
      <c r="G1214" t="s">
        <v>465</v>
      </c>
      <c r="H1214">
        <v>110</v>
      </c>
      <c r="I1214">
        <v>12.60000038146973</v>
      </c>
      <c r="L1214" t="s">
        <v>471</v>
      </c>
      <c r="M1214">
        <v>-1.3924050632911389</v>
      </c>
      <c r="N1214">
        <v>-0.15949367571480669</v>
      </c>
      <c r="O1214">
        <f>IFERROR(VLOOKUP(B1214,BSE_500_LIVE!A:E,3,FALSE),"")</f>
        <v>0</v>
      </c>
      <c r="P1214">
        <f>IFERROR(VLOOKUP(B1214,BSE_500_LIVE!A:E,4,FALSE),"")</f>
        <v>0</v>
      </c>
      <c r="Q1214">
        <f>IFERROR(VLOOKUP(B1214,BSE_500_LIVE!A:E,5,FALSE),"")</f>
        <v>0</v>
      </c>
      <c r="R1214" t="str">
        <f t="shared" si="18"/>
        <v>MISMATCH_NEEDS_CORRECTION</v>
      </c>
      <c r="S1214">
        <f t="shared" si="19"/>
        <v>0</v>
      </c>
      <c r="T1214">
        <f>IFERROR(VLOOKUP(B1214,BSE_500_LIVE!A:F,6,FALSE),"")</f>
        <v>0</v>
      </c>
    </row>
    <row r="1215" spans="1:20" x14ac:dyDescent="0.25">
      <c r="A1215">
        <v>182</v>
      </c>
      <c r="B1215">
        <v>511389</v>
      </c>
      <c r="C1215" t="s">
        <v>225</v>
      </c>
      <c r="D1215">
        <v>2018</v>
      </c>
      <c r="E1215">
        <v>7.25</v>
      </c>
      <c r="F1215">
        <v>-198.93</v>
      </c>
      <c r="G1215" t="s">
        <v>465</v>
      </c>
      <c r="H1215">
        <v>27.29999923706055</v>
      </c>
      <c r="I1215">
        <v>2.589999914169312</v>
      </c>
      <c r="L1215" t="s">
        <v>471</v>
      </c>
      <c r="M1215">
        <v>-0.1372341991507593</v>
      </c>
      <c r="N1215">
        <v>-1.3019654723617919E-2</v>
      </c>
      <c r="O1215">
        <f>IFERROR(VLOOKUP(B1215,BSE_500_LIVE!A:E,3,FALSE),"")</f>
        <v>0</v>
      </c>
      <c r="P1215">
        <f>IFERROR(VLOOKUP(B1215,BSE_500_LIVE!A:E,4,FALSE),"")</f>
        <v>0</v>
      </c>
      <c r="Q1215">
        <f>IFERROR(VLOOKUP(B1215,BSE_500_LIVE!A:E,5,FALSE),"")</f>
        <v>0</v>
      </c>
      <c r="R1215" t="str">
        <f t="shared" si="18"/>
        <v>MISMATCH_NEEDS_CORRECTION</v>
      </c>
      <c r="S1215">
        <f t="shared" si="19"/>
        <v>0</v>
      </c>
      <c r="T1215">
        <f>IFERROR(VLOOKUP(B1215,BSE_500_LIVE!A:F,6,FALSE),"")</f>
        <v>0</v>
      </c>
    </row>
    <row r="1216" spans="1:20" x14ac:dyDescent="0.25">
      <c r="A1216">
        <v>182</v>
      </c>
      <c r="B1216">
        <v>511389</v>
      </c>
      <c r="C1216" t="s">
        <v>225</v>
      </c>
      <c r="D1216">
        <v>2019</v>
      </c>
      <c r="E1216">
        <v>7.25</v>
      </c>
      <c r="F1216">
        <v>-222.68</v>
      </c>
      <c r="G1216" t="s">
        <v>465</v>
      </c>
      <c r="H1216">
        <v>4.7699999809265137</v>
      </c>
      <c r="I1216">
        <v>1.190000057220459</v>
      </c>
      <c r="L1216" t="s">
        <v>471</v>
      </c>
      <c r="M1216">
        <v>-2.1420872915962431E-2</v>
      </c>
      <c r="N1216">
        <v>-5.3439916347245327E-3</v>
      </c>
      <c r="O1216">
        <f>IFERROR(VLOOKUP(B1216,BSE_500_LIVE!A:E,3,FALSE),"")</f>
        <v>0</v>
      </c>
      <c r="P1216">
        <f>IFERROR(VLOOKUP(B1216,BSE_500_LIVE!A:E,4,FALSE),"")</f>
        <v>0</v>
      </c>
      <c r="Q1216">
        <f>IFERROR(VLOOKUP(B1216,BSE_500_LIVE!A:E,5,FALSE),"")</f>
        <v>0</v>
      </c>
      <c r="R1216" t="str">
        <f t="shared" si="18"/>
        <v>MISMATCH_NEEDS_CORRECTION</v>
      </c>
      <c r="S1216">
        <f t="shared" si="19"/>
        <v>0</v>
      </c>
      <c r="T1216">
        <f>IFERROR(VLOOKUP(B1216,BSE_500_LIVE!A:F,6,FALSE),"")</f>
        <v>0</v>
      </c>
    </row>
    <row r="1217" spans="1:20" x14ac:dyDescent="0.25">
      <c r="A1217">
        <v>182</v>
      </c>
      <c r="B1217">
        <v>511389</v>
      </c>
      <c r="C1217" t="s">
        <v>225</v>
      </c>
      <c r="D1217">
        <v>2020</v>
      </c>
      <c r="E1217">
        <v>7.25</v>
      </c>
      <c r="G1217" t="s">
        <v>465</v>
      </c>
      <c r="H1217">
        <v>9.1800003051757813</v>
      </c>
      <c r="I1217">
        <v>1</v>
      </c>
      <c r="L1217" t="s">
        <v>466</v>
      </c>
      <c r="O1217">
        <f>IFERROR(VLOOKUP(B1217,BSE_500_LIVE!A:E,3,FALSE),"")</f>
        <v>0</v>
      </c>
      <c r="P1217">
        <f>IFERROR(VLOOKUP(B1217,BSE_500_LIVE!A:E,4,FALSE),"")</f>
        <v>0</v>
      </c>
      <c r="Q1217">
        <f>IFERROR(VLOOKUP(B1217,BSE_500_LIVE!A:E,5,FALSE),"")</f>
        <v>0</v>
      </c>
      <c r="R1217" t="str">
        <f t="shared" si="18"/>
        <v>MISMATCH_NEEDS_CORRECTION</v>
      </c>
      <c r="S1217">
        <f t="shared" si="19"/>
        <v>0</v>
      </c>
      <c r="T1217">
        <f>IFERROR(VLOOKUP(B1217,BSE_500_LIVE!A:F,6,FALSE),"")</f>
        <v>0</v>
      </c>
    </row>
    <row r="1218" spans="1:20" x14ac:dyDescent="0.25">
      <c r="A1218">
        <v>182</v>
      </c>
      <c r="B1218">
        <v>511389</v>
      </c>
      <c r="C1218" t="s">
        <v>225</v>
      </c>
      <c r="D1218">
        <v>2021</v>
      </c>
      <c r="E1218">
        <v>7.25</v>
      </c>
      <c r="G1218" t="s">
        <v>465</v>
      </c>
      <c r="H1218">
        <v>7.8000001907348633</v>
      </c>
      <c r="I1218">
        <v>3.720000028610229</v>
      </c>
      <c r="L1218" t="s">
        <v>466</v>
      </c>
      <c r="O1218">
        <f>IFERROR(VLOOKUP(B1218,BSE_500_LIVE!A:E,3,FALSE),"")</f>
        <v>0</v>
      </c>
      <c r="P1218">
        <f>IFERROR(VLOOKUP(B1218,BSE_500_LIVE!A:E,4,FALSE),"")</f>
        <v>0</v>
      </c>
      <c r="Q1218">
        <f>IFERROR(VLOOKUP(B1218,BSE_500_LIVE!A:E,5,FALSE),"")</f>
        <v>0</v>
      </c>
      <c r="R1218" t="str">
        <f t="shared" si="18"/>
        <v>MISMATCH_NEEDS_CORRECTION</v>
      </c>
      <c r="S1218">
        <f t="shared" si="19"/>
        <v>0</v>
      </c>
      <c r="T1218">
        <f>IFERROR(VLOOKUP(B1218,BSE_500_LIVE!A:F,6,FALSE),"")</f>
        <v>0</v>
      </c>
    </row>
    <row r="1219" spans="1:20" x14ac:dyDescent="0.25">
      <c r="A1219">
        <v>182</v>
      </c>
      <c r="B1219">
        <v>511389</v>
      </c>
      <c r="C1219" t="s">
        <v>225</v>
      </c>
      <c r="D1219">
        <v>2022</v>
      </c>
      <c r="E1219">
        <v>7.25</v>
      </c>
      <c r="G1219" t="s">
        <v>465</v>
      </c>
      <c r="H1219">
        <v>7.25</v>
      </c>
      <c r="I1219">
        <v>7.25</v>
      </c>
      <c r="L1219" t="s">
        <v>466</v>
      </c>
      <c r="O1219">
        <f>IFERROR(VLOOKUP(B1219,BSE_500_LIVE!A:E,3,FALSE),"")</f>
        <v>0</v>
      </c>
      <c r="P1219">
        <f>IFERROR(VLOOKUP(B1219,BSE_500_LIVE!A:E,4,FALSE),"")</f>
        <v>0</v>
      </c>
      <c r="Q1219">
        <f>IFERROR(VLOOKUP(B1219,BSE_500_LIVE!A:E,5,FALSE),"")</f>
        <v>0</v>
      </c>
      <c r="R1219" t="str">
        <f t="shared" si="18"/>
        <v>MISMATCH_NEEDS_CORRECTION</v>
      </c>
      <c r="S1219">
        <f t="shared" si="19"/>
        <v>0</v>
      </c>
      <c r="T1219">
        <f>IFERROR(VLOOKUP(B1219,BSE_500_LIVE!A:F,6,FALSE),"")</f>
        <v>0</v>
      </c>
    </row>
    <row r="1220" spans="1:20" x14ac:dyDescent="0.25">
      <c r="A1220">
        <v>182</v>
      </c>
      <c r="B1220">
        <v>511389</v>
      </c>
      <c r="C1220" t="s">
        <v>225</v>
      </c>
      <c r="D1220">
        <v>2023</v>
      </c>
      <c r="E1220">
        <v>7.25</v>
      </c>
      <c r="G1220" t="s">
        <v>465</v>
      </c>
      <c r="H1220">
        <v>7.25</v>
      </c>
      <c r="I1220">
        <v>7.25</v>
      </c>
      <c r="L1220" t="s">
        <v>466</v>
      </c>
      <c r="O1220">
        <f>IFERROR(VLOOKUP(B1220,BSE_500_LIVE!A:E,3,FALSE),"")</f>
        <v>0</v>
      </c>
      <c r="P1220">
        <f>IFERROR(VLOOKUP(B1220,BSE_500_LIVE!A:E,4,FALSE),"")</f>
        <v>0</v>
      </c>
      <c r="Q1220">
        <f>IFERROR(VLOOKUP(B1220,BSE_500_LIVE!A:E,5,FALSE),"")</f>
        <v>0</v>
      </c>
      <c r="R1220" t="str">
        <f t="shared" si="18"/>
        <v>MISMATCH_NEEDS_CORRECTION</v>
      </c>
      <c r="S1220">
        <f t="shared" si="19"/>
        <v>0</v>
      </c>
      <c r="T1220">
        <f>IFERROR(VLOOKUP(B1220,BSE_500_LIVE!A:F,6,FALSE),"")</f>
        <v>0</v>
      </c>
    </row>
    <row r="1221" spans="1:20" x14ac:dyDescent="0.25">
      <c r="A1221">
        <v>182</v>
      </c>
      <c r="B1221">
        <v>511389</v>
      </c>
      <c r="C1221" t="s">
        <v>225</v>
      </c>
      <c r="D1221">
        <v>2024</v>
      </c>
      <c r="E1221">
        <v>7.25</v>
      </c>
      <c r="G1221" t="s">
        <v>465</v>
      </c>
      <c r="H1221">
        <v>7.25</v>
      </c>
      <c r="I1221">
        <v>7.25</v>
      </c>
      <c r="L1221" t="s">
        <v>466</v>
      </c>
      <c r="O1221">
        <f>IFERROR(VLOOKUP(B1221,BSE_500_LIVE!A:E,3,FALSE),"")</f>
        <v>0</v>
      </c>
      <c r="P1221">
        <f>IFERROR(VLOOKUP(B1221,BSE_500_LIVE!A:E,4,FALSE),"")</f>
        <v>0</v>
      </c>
      <c r="Q1221">
        <f>IFERROR(VLOOKUP(B1221,BSE_500_LIVE!A:E,5,FALSE),"")</f>
        <v>0</v>
      </c>
      <c r="R1221" t="str">
        <f t="shared" si="18"/>
        <v>MISMATCH_NEEDS_CORRECTION</v>
      </c>
      <c r="S1221">
        <f t="shared" si="19"/>
        <v>0</v>
      </c>
      <c r="T1221">
        <f>IFERROR(VLOOKUP(B1221,BSE_500_LIVE!A:F,6,FALSE),"")</f>
        <v>0</v>
      </c>
    </row>
    <row r="1222" spans="1:20" x14ac:dyDescent="0.25">
      <c r="A1222">
        <v>182</v>
      </c>
      <c r="B1222">
        <v>511389</v>
      </c>
      <c r="C1222" t="s">
        <v>225</v>
      </c>
      <c r="D1222">
        <v>2025</v>
      </c>
      <c r="E1222">
        <v>7.25</v>
      </c>
      <c r="G1222" t="s">
        <v>465</v>
      </c>
      <c r="H1222">
        <v>7.25</v>
      </c>
      <c r="I1222">
        <v>7.25</v>
      </c>
      <c r="L1222" t="s">
        <v>466</v>
      </c>
      <c r="O1222">
        <f>IFERROR(VLOOKUP(B1222,BSE_500_LIVE!A:E,3,FALSE),"")</f>
        <v>0</v>
      </c>
      <c r="P1222">
        <f>IFERROR(VLOOKUP(B1222,BSE_500_LIVE!A:E,4,FALSE),"")</f>
        <v>0</v>
      </c>
      <c r="Q1222">
        <f>IFERROR(VLOOKUP(B1222,BSE_500_LIVE!A:E,5,FALSE),"")</f>
        <v>0</v>
      </c>
      <c r="R1222" t="str">
        <f t="shared" si="18"/>
        <v>MISMATCH_NEEDS_CORRECTION</v>
      </c>
      <c r="S1222">
        <f t="shared" si="19"/>
        <v>0</v>
      </c>
      <c r="T1222">
        <f>IFERROR(VLOOKUP(B1222,BSE_500_LIVE!A:F,6,FALSE),"")</f>
        <v>0</v>
      </c>
    </row>
    <row r="1223" spans="1:20" x14ac:dyDescent="0.25">
      <c r="A1223">
        <v>182</v>
      </c>
      <c r="B1223">
        <v>511389</v>
      </c>
      <c r="C1223" t="s">
        <v>225</v>
      </c>
      <c r="D1223">
        <v>2026</v>
      </c>
      <c r="E1223">
        <v>7.25</v>
      </c>
      <c r="G1223" t="s">
        <v>465</v>
      </c>
      <c r="H1223">
        <v>7.25</v>
      </c>
      <c r="I1223">
        <v>7.25</v>
      </c>
      <c r="L1223" t="s">
        <v>466</v>
      </c>
      <c r="O1223">
        <f>IFERROR(VLOOKUP(B1223,BSE_500_LIVE!A:E,3,FALSE),"")</f>
        <v>0</v>
      </c>
      <c r="P1223">
        <f>IFERROR(VLOOKUP(B1223,BSE_500_LIVE!A:E,4,FALSE),"")</f>
        <v>0</v>
      </c>
      <c r="Q1223">
        <f>IFERROR(VLOOKUP(B1223,BSE_500_LIVE!A:E,5,FALSE),"")</f>
        <v>0</v>
      </c>
      <c r="R1223" t="str">
        <f t="shared" si="18"/>
        <v>MISMATCH_NEEDS_CORRECTION</v>
      </c>
      <c r="S1223">
        <f t="shared" si="19"/>
        <v>0</v>
      </c>
      <c r="T1223">
        <f>IFERROR(VLOOKUP(B1223,BSE_500_LIVE!A:F,6,FALSE),"")</f>
        <v>0</v>
      </c>
    </row>
    <row r="1224" spans="1:20" x14ac:dyDescent="0.25">
      <c r="A1224">
        <v>183</v>
      </c>
      <c r="B1224">
        <v>511413</v>
      </c>
      <c r="C1224" t="s">
        <v>227</v>
      </c>
      <c r="D1224">
        <v>2015</v>
      </c>
      <c r="E1224">
        <v>366.95001220703119</v>
      </c>
      <c r="F1224">
        <v>8.56</v>
      </c>
      <c r="G1224" t="s">
        <v>465</v>
      </c>
      <c r="H1224">
        <v>54.068946838378913</v>
      </c>
      <c r="I1224">
        <v>32.698837280273438</v>
      </c>
      <c r="L1224" t="s">
        <v>469</v>
      </c>
      <c r="M1224">
        <v>6.3164657521470691</v>
      </c>
      <c r="N1224">
        <v>3.8199576262001682</v>
      </c>
      <c r="O1224">
        <f>IFERROR(VLOOKUP(B1224,BSE_500_LIVE!A:E,3,FALSE),"")</f>
        <v>0</v>
      </c>
      <c r="P1224">
        <f>IFERROR(VLOOKUP(B1224,BSE_500_LIVE!A:E,4,FALSE),"")</f>
        <v>0</v>
      </c>
      <c r="Q1224">
        <f>IFERROR(VLOOKUP(B1224,BSE_500_LIVE!A:E,5,FALSE),"")</f>
        <v>0</v>
      </c>
      <c r="R1224" t="str">
        <f t="shared" si="18"/>
        <v>MISMATCH_NEEDS_CORRECTION</v>
      </c>
      <c r="S1224">
        <f t="shared" si="19"/>
        <v>0</v>
      </c>
      <c r="T1224">
        <f>IFERROR(VLOOKUP(B1224,BSE_500_LIVE!A:F,6,FALSE),"")</f>
        <v>0</v>
      </c>
    </row>
    <row r="1225" spans="1:20" x14ac:dyDescent="0.25">
      <c r="A1225">
        <v>183</v>
      </c>
      <c r="B1225">
        <v>511413</v>
      </c>
      <c r="C1225" t="s">
        <v>227</v>
      </c>
      <c r="D1225">
        <v>2016</v>
      </c>
      <c r="E1225">
        <v>366.95001220703119</v>
      </c>
      <c r="F1225">
        <v>14.25</v>
      </c>
      <c r="G1225" t="s">
        <v>465</v>
      </c>
      <c r="H1225">
        <v>103</v>
      </c>
      <c r="I1225">
        <v>27.206119537353519</v>
      </c>
      <c r="L1225" t="s">
        <v>469</v>
      </c>
      <c r="M1225">
        <v>7.2280701754385968</v>
      </c>
      <c r="N1225">
        <v>1.9092013710423521</v>
      </c>
      <c r="O1225">
        <f>IFERROR(VLOOKUP(B1225,BSE_500_LIVE!A:E,3,FALSE),"")</f>
        <v>0</v>
      </c>
      <c r="P1225">
        <f>IFERROR(VLOOKUP(B1225,BSE_500_LIVE!A:E,4,FALSE),"")</f>
        <v>0</v>
      </c>
      <c r="Q1225">
        <f>IFERROR(VLOOKUP(B1225,BSE_500_LIVE!A:E,5,FALSE),"")</f>
        <v>0</v>
      </c>
      <c r="R1225" t="str">
        <f t="shared" si="18"/>
        <v>MISMATCH_NEEDS_CORRECTION</v>
      </c>
      <c r="S1225">
        <f t="shared" si="19"/>
        <v>0</v>
      </c>
      <c r="T1225">
        <f>IFERROR(VLOOKUP(B1225,BSE_500_LIVE!A:F,6,FALSE),"")</f>
        <v>0</v>
      </c>
    </row>
    <row r="1226" spans="1:20" x14ac:dyDescent="0.25">
      <c r="A1226">
        <v>183</v>
      </c>
      <c r="B1226">
        <v>511413</v>
      </c>
      <c r="C1226" t="s">
        <v>227</v>
      </c>
      <c r="D1226">
        <v>2017</v>
      </c>
      <c r="E1226">
        <v>366.95001220703119</v>
      </c>
      <c r="F1226">
        <v>14.62</v>
      </c>
      <c r="G1226" t="s">
        <v>465</v>
      </c>
      <c r="H1226">
        <v>284.5</v>
      </c>
      <c r="I1226">
        <v>90</v>
      </c>
      <c r="L1226" t="s">
        <v>469</v>
      </c>
      <c r="M1226">
        <v>19.459644322845421</v>
      </c>
      <c r="N1226">
        <v>6.1559507523939816</v>
      </c>
      <c r="O1226">
        <f>IFERROR(VLOOKUP(B1226,BSE_500_LIVE!A:E,3,FALSE),"")</f>
        <v>0</v>
      </c>
      <c r="P1226">
        <f>IFERROR(VLOOKUP(B1226,BSE_500_LIVE!A:E,4,FALSE),"")</f>
        <v>0</v>
      </c>
      <c r="Q1226">
        <f>IFERROR(VLOOKUP(B1226,BSE_500_LIVE!A:E,5,FALSE),"")</f>
        <v>0</v>
      </c>
      <c r="R1226" t="str">
        <f t="shared" si="18"/>
        <v>MISMATCH_NEEDS_CORRECTION</v>
      </c>
      <c r="S1226">
        <f t="shared" si="19"/>
        <v>0</v>
      </c>
      <c r="T1226">
        <f>IFERROR(VLOOKUP(B1226,BSE_500_LIVE!A:F,6,FALSE),"")</f>
        <v>0</v>
      </c>
    </row>
    <row r="1227" spans="1:20" x14ac:dyDescent="0.25">
      <c r="A1227">
        <v>183</v>
      </c>
      <c r="B1227">
        <v>511413</v>
      </c>
      <c r="C1227" t="s">
        <v>227</v>
      </c>
      <c r="D1227">
        <v>2018</v>
      </c>
      <c r="E1227">
        <v>366.95001220703119</v>
      </c>
      <c r="F1227">
        <v>36.08</v>
      </c>
      <c r="G1227" t="s">
        <v>465</v>
      </c>
      <c r="H1227">
        <v>286.79998779296881</v>
      </c>
      <c r="I1227">
        <v>126.59999847412109</v>
      </c>
      <c r="L1227" t="s">
        <v>469</v>
      </c>
      <c r="M1227">
        <v>7.9490018789625507</v>
      </c>
      <c r="N1227">
        <v>3.5088691373093428</v>
      </c>
      <c r="O1227">
        <f>IFERROR(VLOOKUP(B1227,BSE_500_LIVE!A:E,3,FALSE),"")</f>
        <v>0</v>
      </c>
      <c r="P1227">
        <f>IFERROR(VLOOKUP(B1227,BSE_500_LIVE!A:E,4,FALSE),"")</f>
        <v>0</v>
      </c>
      <c r="Q1227">
        <f>IFERROR(VLOOKUP(B1227,BSE_500_LIVE!A:E,5,FALSE),"")</f>
        <v>0</v>
      </c>
      <c r="R1227" t="str">
        <f t="shared" si="18"/>
        <v>MISMATCH_NEEDS_CORRECTION</v>
      </c>
      <c r="S1227">
        <f t="shared" si="19"/>
        <v>0</v>
      </c>
      <c r="T1227">
        <f>IFERROR(VLOOKUP(B1227,BSE_500_LIVE!A:F,6,FALSE),"")</f>
        <v>0</v>
      </c>
    </row>
    <row r="1228" spans="1:20" x14ac:dyDescent="0.25">
      <c r="A1228">
        <v>183</v>
      </c>
      <c r="B1228">
        <v>511413</v>
      </c>
      <c r="C1228" t="s">
        <v>227</v>
      </c>
      <c r="D1228">
        <v>2019</v>
      </c>
      <c r="E1228">
        <v>366.95001220703119</v>
      </c>
      <c r="F1228">
        <v>16.82</v>
      </c>
      <c r="G1228" t="s">
        <v>465</v>
      </c>
      <c r="H1228">
        <v>153.69999694824219</v>
      </c>
      <c r="I1228">
        <v>65.300003051757813</v>
      </c>
      <c r="L1228" t="s">
        <v>469</v>
      </c>
      <c r="M1228">
        <v>9.1379308530465035</v>
      </c>
      <c r="N1228">
        <v>3.882283177869073</v>
      </c>
      <c r="O1228">
        <f>IFERROR(VLOOKUP(B1228,BSE_500_LIVE!A:E,3,FALSE),"")</f>
        <v>0</v>
      </c>
      <c r="P1228">
        <f>IFERROR(VLOOKUP(B1228,BSE_500_LIVE!A:E,4,FALSE),"")</f>
        <v>0</v>
      </c>
      <c r="Q1228">
        <f>IFERROR(VLOOKUP(B1228,BSE_500_LIVE!A:E,5,FALSE),"")</f>
        <v>0</v>
      </c>
      <c r="R1228" t="str">
        <f t="shared" si="18"/>
        <v>MISMATCH_NEEDS_CORRECTION</v>
      </c>
      <c r="S1228">
        <f t="shared" si="19"/>
        <v>0</v>
      </c>
      <c r="T1228">
        <f>IFERROR(VLOOKUP(B1228,BSE_500_LIVE!A:F,6,FALSE),"")</f>
        <v>0</v>
      </c>
    </row>
    <row r="1229" spans="1:20" x14ac:dyDescent="0.25">
      <c r="A1229">
        <v>183</v>
      </c>
      <c r="B1229">
        <v>511413</v>
      </c>
      <c r="C1229" t="s">
        <v>227</v>
      </c>
      <c r="D1229">
        <v>2020</v>
      </c>
      <c r="E1229">
        <v>366.95001220703119</v>
      </c>
      <c r="F1229">
        <v>15.92</v>
      </c>
      <c r="G1229" t="s">
        <v>465</v>
      </c>
      <c r="H1229">
        <v>114.40000152587891</v>
      </c>
      <c r="I1229">
        <v>44.599998474121087</v>
      </c>
      <c r="L1229" t="s">
        <v>469</v>
      </c>
      <c r="M1229">
        <v>7.1859297440878711</v>
      </c>
      <c r="N1229">
        <v>2.8015074418417769</v>
      </c>
      <c r="O1229">
        <f>IFERROR(VLOOKUP(B1229,BSE_500_LIVE!A:E,3,FALSE),"")</f>
        <v>0</v>
      </c>
      <c r="P1229">
        <f>IFERROR(VLOOKUP(B1229,BSE_500_LIVE!A:E,4,FALSE),"")</f>
        <v>0</v>
      </c>
      <c r="Q1229">
        <f>IFERROR(VLOOKUP(B1229,BSE_500_LIVE!A:E,5,FALSE),"")</f>
        <v>0</v>
      </c>
      <c r="R1229" t="str">
        <f t="shared" si="18"/>
        <v>MISMATCH_NEEDS_CORRECTION</v>
      </c>
      <c r="S1229">
        <f t="shared" si="19"/>
        <v>0</v>
      </c>
      <c r="T1229">
        <f>IFERROR(VLOOKUP(B1229,BSE_500_LIVE!A:F,6,FALSE),"")</f>
        <v>0</v>
      </c>
    </row>
    <row r="1230" spans="1:20" x14ac:dyDescent="0.25">
      <c r="A1230">
        <v>183</v>
      </c>
      <c r="B1230">
        <v>511413</v>
      </c>
      <c r="C1230" t="s">
        <v>227</v>
      </c>
      <c r="D1230">
        <v>2021</v>
      </c>
      <c r="E1230">
        <v>366.95001220703119</v>
      </c>
      <c r="F1230">
        <v>1.05</v>
      </c>
      <c r="G1230" t="s">
        <v>465</v>
      </c>
      <c r="H1230">
        <v>172</v>
      </c>
      <c r="I1230">
        <v>71.300003051757813</v>
      </c>
      <c r="L1230" t="s">
        <v>469</v>
      </c>
      <c r="M1230">
        <v>163.8095238095238</v>
      </c>
      <c r="N1230">
        <v>67.904764811197907</v>
      </c>
      <c r="O1230">
        <f>IFERROR(VLOOKUP(B1230,BSE_500_LIVE!A:E,3,FALSE),"")</f>
        <v>0</v>
      </c>
      <c r="P1230">
        <f>IFERROR(VLOOKUP(B1230,BSE_500_LIVE!A:E,4,FALSE),"")</f>
        <v>0</v>
      </c>
      <c r="Q1230">
        <f>IFERROR(VLOOKUP(B1230,BSE_500_LIVE!A:E,5,FALSE),"")</f>
        <v>0</v>
      </c>
      <c r="R1230" t="str">
        <f t="shared" si="18"/>
        <v>MISMATCH_NEEDS_CORRECTION</v>
      </c>
      <c r="S1230">
        <f t="shared" si="19"/>
        <v>0</v>
      </c>
      <c r="T1230">
        <f>IFERROR(VLOOKUP(B1230,BSE_500_LIVE!A:F,6,FALSE),"")</f>
        <v>0</v>
      </c>
    </row>
    <row r="1231" spans="1:20" x14ac:dyDescent="0.25">
      <c r="A1231">
        <v>183</v>
      </c>
      <c r="B1231">
        <v>511413</v>
      </c>
      <c r="C1231" t="s">
        <v>227</v>
      </c>
      <c r="D1231">
        <v>2022</v>
      </c>
      <c r="E1231">
        <v>366.95001220703119</v>
      </c>
      <c r="F1231">
        <v>4.25</v>
      </c>
      <c r="G1231" t="s">
        <v>465</v>
      </c>
      <c r="H1231">
        <v>219.3999938964844</v>
      </c>
      <c r="I1231">
        <v>131.1000061035156</v>
      </c>
      <c r="L1231" t="s">
        <v>469</v>
      </c>
      <c r="M1231">
        <v>51.623527975643391</v>
      </c>
      <c r="N1231">
        <v>30.847060259650728</v>
      </c>
      <c r="O1231">
        <f>IFERROR(VLOOKUP(B1231,BSE_500_LIVE!A:E,3,FALSE),"")</f>
        <v>0</v>
      </c>
      <c r="P1231">
        <f>IFERROR(VLOOKUP(B1231,BSE_500_LIVE!A:E,4,FALSE),"")</f>
        <v>0</v>
      </c>
      <c r="Q1231">
        <f>IFERROR(VLOOKUP(B1231,BSE_500_LIVE!A:E,5,FALSE),"")</f>
        <v>0</v>
      </c>
      <c r="R1231" t="str">
        <f t="shared" si="18"/>
        <v>MISMATCH_NEEDS_CORRECTION</v>
      </c>
      <c r="S1231">
        <f t="shared" si="19"/>
        <v>0</v>
      </c>
      <c r="T1231">
        <f>IFERROR(VLOOKUP(B1231,BSE_500_LIVE!A:F,6,FALSE),"")</f>
        <v>0</v>
      </c>
    </row>
    <row r="1232" spans="1:20" x14ac:dyDescent="0.25">
      <c r="A1232">
        <v>183</v>
      </c>
      <c r="B1232">
        <v>511413</v>
      </c>
      <c r="C1232" t="s">
        <v>227</v>
      </c>
      <c r="D1232">
        <v>2023</v>
      </c>
      <c r="E1232">
        <v>366.95001220703119</v>
      </c>
      <c r="F1232">
        <v>139.13999999999999</v>
      </c>
      <c r="G1232" t="s">
        <v>465</v>
      </c>
      <c r="H1232">
        <v>329.79998779296881</v>
      </c>
      <c r="I1232">
        <v>144.3999938964844</v>
      </c>
      <c r="L1232" t="s">
        <v>469</v>
      </c>
      <c r="M1232">
        <v>2.3702744558931208</v>
      </c>
      <c r="N1232">
        <v>1.037803607132991</v>
      </c>
      <c r="O1232">
        <f>IFERROR(VLOOKUP(B1232,BSE_500_LIVE!A:E,3,FALSE),"")</f>
        <v>0</v>
      </c>
      <c r="P1232">
        <f>IFERROR(VLOOKUP(B1232,BSE_500_LIVE!A:E,4,FALSE),"")</f>
        <v>0</v>
      </c>
      <c r="Q1232">
        <f>IFERROR(VLOOKUP(B1232,BSE_500_LIVE!A:E,5,FALSE),"")</f>
        <v>0</v>
      </c>
      <c r="R1232" t="str">
        <f t="shared" si="18"/>
        <v>MISMATCH_NEEDS_CORRECTION</v>
      </c>
      <c r="S1232">
        <f t="shared" si="19"/>
        <v>0</v>
      </c>
      <c r="T1232">
        <f>IFERROR(VLOOKUP(B1232,BSE_500_LIVE!A:F,6,FALSE),"")</f>
        <v>0</v>
      </c>
    </row>
    <row r="1233" spans="1:20" x14ac:dyDescent="0.25">
      <c r="A1233">
        <v>183</v>
      </c>
      <c r="B1233">
        <v>511413</v>
      </c>
      <c r="C1233" t="s">
        <v>227</v>
      </c>
      <c r="D1233">
        <v>2024</v>
      </c>
      <c r="E1233">
        <v>366.95001220703119</v>
      </c>
      <c r="F1233">
        <v>21.14</v>
      </c>
      <c r="G1233" t="s">
        <v>465</v>
      </c>
      <c r="H1233">
        <v>621.20001220703125</v>
      </c>
      <c r="I1233">
        <v>291.85000610351563</v>
      </c>
      <c r="L1233" t="s">
        <v>469</v>
      </c>
      <c r="M1233">
        <v>29.38505261149627</v>
      </c>
      <c r="N1233">
        <v>13.805582124101971</v>
      </c>
      <c r="O1233">
        <f>IFERROR(VLOOKUP(B1233,BSE_500_LIVE!A:E,3,FALSE),"")</f>
        <v>0</v>
      </c>
      <c r="P1233">
        <f>IFERROR(VLOOKUP(B1233,BSE_500_LIVE!A:E,4,FALSE),"")</f>
        <v>0</v>
      </c>
      <c r="Q1233">
        <f>IFERROR(VLOOKUP(B1233,BSE_500_LIVE!A:E,5,FALSE),"")</f>
        <v>0</v>
      </c>
      <c r="R1233" t="str">
        <f t="shared" si="18"/>
        <v>MISMATCH_NEEDS_CORRECTION</v>
      </c>
      <c r="S1233">
        <f t="shared" si="19"/>
        <v>0</v>
      </c>
      <c r="T1233">
        <f>IFERROR(VLOOKUP(B1233,BSE_500_LIVE!A:F,6,FALSE),"")</f>
        <v>0</v>
      </c>
    </row>
    <row r="1234" spans="1:20" x14ac:dyDescent="0.25">
      <c r="A1234">
        <v>183</v>
      </c>
      <c r="B1234">
        <v>511413</v>
      </c>
      <c r="C1234" t="s">
        <v>227</v>
      </c>
      <c r="D1234">
        <v>2025</v>
      </c>
      <c r="E1234">
        <v>366.95001220703119</v>
      </c>
      <c r="F1234">
        <v>31.11</v>
      </c>
      <c r="G1234" t="s">
        <v>465</v>
      </c>
      <c r="H1234">
        <v>498</v>
      </c>
      <c r="I1234">
        <v>304.54998779296881</v>
      </c>
      <c r="L1234" t="s">
        <v>469</v>
      </c>
      <c r="M1234">
        <v>16.00771456123433</v>
      </c>
      <c r="N1234">
        <v>9.789456373930209</v>
      </c>
      <c r="O1234">
        <f>IFERROR(VLOOKUP(B1234,BSE_500_LIVE!A:E,3,FALSE),"")</f>
        <v>0</v>
      </c>
      <c r="P1234">
        <f>IFERROR(VLOOKUP(B1234,BSE_500_LIVE!A:E,4,FALSE),"")</f>
        <v>0</v>
      </c>
      <c r="Q1234">
        <f>IFERROR(VLOOKUP(B1234,BSE_500_LIVE!A:E,5,FALSE),"")</f>
        <v>0</v>
      </c>
      <c r="R1234" t="str">
        <f t="shared" si="18"/>
        <v>MISMATCH_NEEDS_CORRECTION</v>
      </c>
      <c r="S1234">
        <f t="shared" si="19"/>
        <v>0</v>
      </c>
      <c r="T1234">
        <f>IFERROR(VLOOKUP(B1234,BSE_500_LIVE!A:F,6,FALSE),"")</f>
        <v>0</v>
      </c>
    </row>
    <row r="1235" spans="1:20" x14ac:dyDescent="0.25">
      <c r="A1235">
        <v>183</v>
      </c>
      <c r="B1235">
        <v>511413</v>
      </c>
      <c r="C1235" t="s">
        <v>227</v>
      </c>
      <c r="D1235">
        <v>2026</v>
      </c>
      <c r="E1235">
        <v>366.95001220703119</v>
      </c>
      <c r="F1235">
        <v>16.46</v>
      </c>
      <c r="G1235" t="s">
        <v>465</v>
      </c>
      <c r="H1235">
        <v>412</v>
      </c>
      <c r="I1235">
        <v>301.04998779296881</v>
      </c>
      <c r="L1235" t="s">
        <v>469</v>
      </c>
      <c r="M1235">
        <v>25.03037667071689</v>
      </c>
      <c r="N1235">
        <v>18.289792697021191</v>
      </c>
      <c r="O1235">
        <f>IFERROR(VLOOKUP(B1235,BSE_500_LIVE!A:E,3,FALSE),"")</f>
        <v>0</v>
      </c>
      <c r="P1235">
        <f>IFERROR(VLOOKUP(B1235,BSE_500_LIVE!A:E,4,FALSE),"")</f>
        <v>0</v>
      </c>
      <c r="Q1235">
        <f>IFERROR(VLOOKUP(B1235,BSE_500_LIVE!A:E,5,FALSE),"")</f>
        <v>0</v>
      </c>
      <c r="R1235" t="str">
        <f t="shared" si="18"/>
        <v>MISMATCH_NEEDS_CORRECTION</v>
      </c>
      <c r="S1235">
        <f t="shared" si="19"/>
        <v>0</v>
      </c>
      <c r="T1235">
        <f>IFERROR(VLOOKUP(B1235,BSE_500_LIVE!A:F,6,FALSE),"")</f>
        <v>0</v>
      </c>
    </row>
    <row r="1236" spans="1:20" x14ac:dyDescent="0.25">
      <c r="A1236">
        <v>184</v>
      </c>
      <c r="B1236">
        <v>511431</v>
      </c>
      <c r="C1236" t="s">
        <v>229</v>
      </c>
      <c r="D1236">
        <v>2015</v>
      </c>
      <c r="E1236">
        <v>6.0799999237060547</v>
      </c>
      <c r="F1236">
        <v>3.2</v>
      </c>
      <c r="G1236" t="s">
        <v>465</v>
      </c>
      <c r="H1236">
        <v>89.2657470703125</v>
      </c>
      <c r="I1236">
        <v>40.323333740234382</v>
      </c>
      <c r="L1236" t="s">
        <v>469</v>
      </c>
      <c r="M1236">
        <v>27.89554595947266</v>
      </c>
      <c r="N1236">
        <v>12.60104179382324</v>
      </c>
      <c r="O1236">
        <v>5.98</v>
      </c>
      <c r="P1236">
        <v>9.77</v>
      </c>
      <c r="Q1236">
        <v>4.6100000000000003</v>
      </c>
      <c r="R1236" s="2" t="s">
        <v>467</v>
      </c>
      <c r="S1236">
        <v>5.98</v>
      </c>
      <c r="T1236" t="s">
        <v>468</v>
      </c>
    </row>
    <row r="1237" spans="1:20" x14ac:dyDescent="0.25">
      <c r="A1237">
        <v>184</v>
      </c>
      <c r="B1237">
        <v>511431</v>
      </c>
      <c r="C1237" t="s">
        <v>229</v>
      </c>
      <c r="D1237">
        <v>2016</v>
      </c>
      <c r="E1237">
        <v>6.0799999237060547</v>
      </c>
      <c r="F1237">
        <v>3.73</v>
      </c>
      <c r="G1237" t="s">
        <v>465</v>
      </c>
      <c r="H1237">
        <v>133.85203552246091</v>
      </c>
      <c r="I1237">
        <v>72.586654663085938</v>
      </c>
      <c r="L1237" t="s">
        <v>469</v>
      </c>
      <c r="M1237">
        <v>35.885264215136971</v>
      </c>
      <c r="N1237">
        <v>19.46022913219462</v>
      </c>
      <c r="O1237">
        <v>5.98</v>
      </c>
      <c r="P1237">
        <v>9.77</v>
      </c>
      <c r="Q1237">
        <v>4.6100000000000003</v>
      </c>
      <c r="R1237" s="2" t="s">
        <v>467</v>
      </c>
      <c r="S1237">
        <v>5.98</v>
      </c>
      <c r="T1237" t="s">
        <v>468</v>
      </c>
    </row>
    <row r="1238" spans="1:20" x14ac:dyDescent="0.25">
      <c r="A1238">
        <v>184</v>
      </c>
      <c r="B1238">
        <v>511431</v>
      </c>
      <c r="C1238" t="s">
        <v>229</v>
      </c>
      <c r="D1238">
        <v>2017</v>
      </c>
      <c r="E1238">
        <v>6.0799999237060547</v>
      </c>
      <c r="F1238">
        <v>5.0199999999999996</v>
      </c>
      <c r="G1238" t="s">
        <v>465</v>
      </c>
      <c r="H1238">
        <v>698.8446044921875</v>
      </c>
      <c r="I1238">
        <v>125.5590744018555</v>
      </c>
      <c r="L1238" t="s">
        <v>469</v>
      </c>
      <c r="M1238">
        <v>139.21207260800551</v>
      </c>
      <c r="N1238">
        <v>25.011767809134561</v>
      </c>
      <c r="O1238">
        <v>5.98</v>
      </c>
      <c r="P1238">
        <v>9.77</v>
      </c>
      <c r="Q1238">
        <v>4.6100000000000003</v>
      </c>
      <c r="R1238" s="2" t="s">
        <v>467</v>
      </c>
      <c r="S1238">
        <v>5.98</v>
      </c>
      <c r="T1238" t="s">
        <v>468</v>
      </c>
    </row>
    <row r="1239" spans="1:20" x14ac:dyDescent="0.25">
      <c r="A1239">
        <v>184</v>
      </c>
      <c r="B1239">
        <v>511431</v>
      </c>
      <c r="C1239" t="s">
        <v>229</v>
      </c>
      <c r="D1239">
        <v>2018</v>
      </c>
      <c r="E1239">
        <v>6.0799999237060547</v>
      </c>
      <c r="F1239">
        <v>6.43</v>
      </c>
      <c r="G1239" t="s">
        <v>465</v>
      </c>
      <c r="H1239">
        <v>480.24600219726563</v>
      </c>
      <c r="I1239">
        <v>20.825567245483398</v>
      </c>
      <c r="L1239" t="s">
        <v>469</v>
      </c>
      <c r="M1239">
        <v>74.688336267070866</v>
      </c>
      <c r="N1239">
        <v>3.2388129464204352</v>
      </c>
      <c r="O1239">
        <v>5.98</v>
      </c>
      <c r="P1239">
        <v>9.77</v>
      </c>
      <c r="Q1239">
        <v>4.6100000000000003</v>
      </c>
      <c r="R1239" s="2" t="s">
        <v>467</v>
      </c>
      <c r="S1239">
        <v>5.98</v>
      </c>
      <c r="T1239" t="s">
        <v>468</v>
      </c>
    </row>
    <row r="1240" spans="1:20" x14ac:dyDescent="0.25">
      <c r="A1240">
        <v>184</v>
      </c>
      <c r="B1240">
        <v>511431</v>
      </c>
      <c r="C1240" t="s">
        <v>229</v>
      </c>
      <c r="D1240">
        <v>2019</v>
      </c>
      <c r="E1240">
        <v>6.0799999237060547</v>
      </c>
      <c r="F1240">
        <v>0.24</v>
      </c>
      <c r="G1240" t="s">
        <v>465</v>
      </c>
      <c r="H1240">
        <v>66.110694885253906</v>
      </c>
      <c r="I1240">
        <v>21.198284149169918</v>
      </c>
      <c r="L1240" t="s">
        <v>484</v>
      </c>
      <c r="M1240">
        <v>275.46122868855798</v>
      </c>
      <c r="N1240">
        <v>88.326183954874665</v>
      </c>
      <c r="O1240">
        <v>5.98</v>
      </c>
      <c r="P1240">
        <v>9.77</v>
      </c>
      <c r="Q1240">
        <v>4.6100000000000003</v>
      </c>
      <c r="R1240" s="2" t="s">
        <v>467</v>
      </c>
      <c r="S1240">
        <v>5.98</v>
      </c>
      <c r="T1240" t="s">
        <v>468</v>
      </c>
    </row>
    <row r="1241" spans="1:20" x14ac:dyDescent="0.25">
      <c r="A1241">
        <v>184</v>
      </c>
      <c r="B1241">
        <v>511431</v>
      </c>
      <c r="C1241" t="s">
        <v>229</v>
      </c>
      <c r="D1241">
        <v>2020</v>
      </c>
      <c r="E1241">
        <v>6.0799999237060547</v>
      </c>
      <c r="F1241">
        <v>0.67</v>
      </c>
      <c r="G1241" t="s">
        <v>465</v>
      </c>
      <c r="H1241">
        <v>65.085723876953125</v>
      </c>
      <c r="I1241">
        <v>15.93365573883057</v>
      </c>
      <c r="L1241" t="s">
        <v>469</v>
      </c>
      <c r="M1241">
        <v>97.142871458138984</v>
      </c>
      <c r="N1241">
        <v>23.781575729597861</v>
      </c>
      <c r="O1241">
        <v>5.98</v>
      </c>
      <c r="P1241">
        <v>9.77</v>
      </c>
      <c r="Q1241">
        <v>4.6100000000000003</v>
      </c>
      <c r="R1241" s="2" t="s">
        <v>467</v>
      </c>
      <c r="S1241">
        <v>5.98</v>
      </c>
      <c r="T1241" t="s">
        <v>468</v>
      </c>
    </row>
    <row r="1242" spans="1:20" x14ac:dyDescent="0.25">
      <c r="A1242">
        <v>184</v>
      </c>
      <c r="B1242">
        <v>511431</v>
      </c>
      <c r="C1242" t="s">
        <v>229</v>
      </c>
      <c r="D1242">
        <v>2021</v>
      </c>
      <c r="E1242">
        <v>6.0799999237060547</v>
      </c>
      <c r="F1242">
        <v>0.59</v>
      </c>
      <c r="G1242" t="s">
        <v>465</v>
      </c>
      <c r="H1242">
        <v>64.666419982910156</v>
      </c>
      <c r="I1242">
        <v>27.161758422851559</v>
      </c>
      <c r="L1242" t="s">
        <v>469</v>
      </c>
      <c r="M1242">
        <v>109.6041016659494</v>
      </c>
      <c r="N1242">
        <v>46.036878682799262</v>
      </c>
      <c r="O1242">
        <v>5.98</v>
      </c>
      <c r="P1242">
        <v>9.77</v>
      </c>
      <c r="Q1242">
        <v>4.6100000000000003</v>
      </c>
      <c r="R1242" s="2" t="s">
        <v>467</v>
      </c>
      <c r="S1242">
        <v>5.98</v>
      </c>
      <c r="T1242" t="s">
        <v>468</v>
      </c>
    </row>
    <row r="1243" spans="1:20" x14ac:dyDescent="0.25">
      <c r="A1243">
        <v>184</v>
      </c>
      <c r="B1243">
        <v>511431</v>
      </c>
      <c r="C1243" t="s">
        <v>229</v>
      </c>
      <c r="D1243">
        <v>2022</v>
      </c>
      <c r="E1243">
        <v>6.0799999237060547</v>
      </c>
      <c r="G1243" t="s">
        <v>465</v>
      </c>
      <c r="H1243">
        <v>42.536338806152337</v>
      </c>
      <c r="I1243">
        <v>21.99030876159668</v>
      </c>
      <c r="L1243" t="s">
        <v>466</v>
      </c>
      <c r="O1243">
        <v>5.98</v>
      </c>
      <c r="P1243">
        <v>9.77</v>
      </c>
      <c r="Q1243">
        <v>4.6100000000000003</v>
      </c>
      <c r="R1243" s="2" t="s">
        <v>467</v>
      </c>
      <c r="S1243">
        <v>5.98</v>
      </c>
      <c r="T1243" t="s">
        <v>468</v>
      </c>
    </row>
    <row r="1244" spans="1:20" x14ac:dyDescent="0.25">
      <c r="A1244">
        <v>184</v>
      </c>
      <c r="B1244">
        <v>511431</v>
      </c>
      <c r="C1244" t="s">
        <v>229</v>
      </c>
      <c r="D1244">
        <v>2023</v>
      </c>
      <c r="E1244">
        <v>6.0799999237060547</v>
      </c>
      <c r="F1244">
        <v>0.01</v>
      </c>
      <c r="G1244" t="s">
        <v>465</v>
      </c>
      <c r="H1244">
        <v>26.556093215942379</v>
      </c>
      <c r="I1244">
        <v>13.697353363037109</v>
      </c>
      <c r="L1244" t="s">
        <v>484</v>
      </c>
      <c r="M1244">
        <v>2655.6093215942378</v>
      </c>
      <c r="N1244">
        <v>1369.7353363037109</v>
      </c>
      <c r="O1244">
        <v>5.98</v>
      </c>
      <c r="P1244">
        <v>9.77</v>
      </c>
      <c r="Q1244">
        <v>4.6100000000000003</v>
      </c>
      <c r="R1244" s="2" t="s">
        <v>467</v>
      </c>
      <c r="S1244">
        <v>5.98</v>
      </c>
      <c r="T1244" t="s">
        <v>468</v>
      </c>
    </row>
    <row r="1245" spans="1:20" x14ac:dyDescent="0.25">
      <c r="A1245">
        <v>184</v>
      </c>
      <c r="B1245">
        <v>511431</v>
      </c>
      <c r="C1245" t="s">
        <v>229</v>
      </c>
      <c r="D1245">
        <v>2024</v>
      </c>
      <c r="E1245">
        <v>6.0799999237060547</v>
      </c>
      <c r="F1245">
        <v>0.04</v>
      </c>
      <c r="G1245" t="s">
        <v>465</v>
      </c>
      <c r="H1245">
        <v>37.720001220703118</v>
      </c>
      <c r="I1245">
        <v>18.45000076293945</v>
      </c>
      <c r="L1245" t="s">
        <v>484</v>
      </c>
      <c r="M1245">
        <v>943.0000305175779</v>
      </c>
      <c r="N1245">
        <v>461.25001907348621</v>
      </c>
      <c r="O1245">
        <v>5.98</v>
      </c>
      <c r="P1245">
        <v>9.77</v>
      </c>
      <c r="Q1245">
        <v>4.6100000000000003</v>
      </c>
      <c r="R1245" s="2" t="s">
        <v>467</v>
      </c>
      <c r="S1245">
        <v>5.98</v>
      </c>
      <c r="T1245" t="s">
        <v>468</v>
      </c>
    </row>
    <row r="1246" spans="1:20" x14ac:dyDescent="0.25">
      <c r="A1246">
        <v>184</v>
      </c>
      <c r="B1246">
        <v>511431</v>
      </c>
      <c r="C1246" t="s">
        <v>229</v>
      </c>
      <c r="D1246">
        <v>2025</v>
      </c>
      <c r="E1246">
        <v>6.0799999237060547</v>
      </c>
      <c r="F1246">
        <v>0.06</v>
      </c>
      <c r="G1246" t="s">
        <v>465</v>
      </c>
      <c r="H1246">
        <v>38.169998168945313</v>
      </c>
      <c r="I1246">
        <v>7.5999999046325684</v>
      </c>
      <c r="L1246" t="s">
        <v>484</v>
      </c>
      <c r="M1246">
        <v>636.16663614908862</v>
      </c>
      <c r="N1246">
        <v>126.6666650772095</v>
      </c>
      <c r="O1246">
        <v>5.98</v>
      </c>
      <c r="P1246">
        <v>9.77</v>
      </c>
      <c r="Q1246">
        <v>4.6100000000000003</v>
      </c>
      <c r="R1246" s="2" t="s">
        <v>467</v>
      </c>
      <c r="S1246">
        <v>5.98</v>
      </c>
      <c r="T1246" t="s">
        <v>468</v>
      </c>
    </row>
    <row r="1247" spans="1:20" x14ac:dyDescent="0.25">
      <c r="A1247">
        <v>184</v>
      </c>
      <c r="B1247">
        <v>511431</v>
      </c>
      <c r="C1247" t="s">
        <v>229</v>
      </c>
      <c r="D1247">
        <v>2026</v>
      </c>
      <c r="E1247">
        <v>6.0799999237060547</v>
      </c>
      <c r="F1247">
        <v>0.1</v>
      </c>
      <c r="G1247" t="s">
        <v>465</v>
      </c>
      <c r="H1247">
        <v>8.0699996948242188</v>
      </c>
      <c r="I1247">
        <v>4.6399998664855957</v>
      </c>
      <c r="L1247" t="s">
        <v>484</v>
      </c>
      <c r="M1247">
        <v>80.699996948242188</v>
      </c>
      <c r="N1247">
        <v>46.399998664855957</v>
      </c>
      <c r="O1247">
        <v>5.98</v>
      </c>
      <c r="P1247">
        <v>9.77</v>
      </c>
      <c r="Q1247">
        <v>4.6100000000000003</v>
      </c>
      <c r="R1247" s="2" t="s">
        <v>467</v>
      </c>
      <c r="S1247">
        <v>5.98</v>
      </c>
      <c r="T1247" t="s">
        <v>468</v>
      </c>
    </row>
    <row r="1248" spans="1:20" x14ac:dyDescent="0.25">
      <c r="A1248">
        <v>186</v>
      </c>
      <c r="B1248">
        <v>511509</v>
      </c>
      <c r="C1248" t="s">
        <v>231</v>
      </c>
      <c r="D1248">
        <v>2017</v>
      </c>
      <c r="E1248">
        <v>22.860000610351559</v>
      </c>
      <c r="F1248">
        <v>2.67</v>
      </c>
      <c r="G1248" t="s">
        <v>465</v>
      </c>
      <c r="H1248">
        <v>100</v>
      </c>
      <c r="I1248">
        <v>40</v>
      </c>
      <c r="L1248" t="s">
        <v>469</v>
      </c>
      <c r="M1248">
        <v>37.453183520599246</v>
      </c>
      <c r="N1248">
        <v>14.9812734082397</v>
      </c>
      <c r="O1248">
        <v>37.69</v>
      </c>
      <c r="P1248">
        <v>56.9</v>
      </c>
      <c r="Q1248">
        <v>31.2</v>
      </c>
      <c r="R1248" s="3" t="s">
        <v>470</v>
      </c>
      <c r="S1248">
        <v>37.69</v>
      </c>
      <c r="T1248" t="s">
        <v>468</v>
      </c>
    </row>
    <row r="1249" spans="1:20" x14ac:dyDescent="0.25">
      <c r="A1249">
        <v>186</v>
      </c>
      <c r="B1249">
        <v>511509</v>
      </c>
      <c r="C1249" t="s">
        <v>231</v>
      </c>
      <c r="D1249">
        <v>2018</v>
      </c>
      <c r="E1249">
        <v>22.860000610351559</v>
      </c>
      <c r="F1249">
        <v>3.17</v>
      </c>
      <c r="G1249" t="s">
        <v>465</v>
      </c>
      <c r="H1249">
        <v>84.199996948242188</v>
      </c>
      <c r="I1249">
        <v>43.25</v>
      </c>
      <c r="L1249" t="s">
        <v>469</v>
      </c>
      <c r="M1249">
        <v>26.561513232883971</v>
      </c>
      <c r="N1249">
        <v>13.643533123028391</v>
      </c>
      <c r="O1249">
        <v>37.69</v>
      </c>
      <c r="P1249">
        <v>56.9</v>
      </c>
      <c r="Q1249">
        <v>31.2</v>
      </c>
      <c r="R1249" s="3" t="s">
        <v>470</v>
      </c>
      <c r="S1249">
        <v>37.69</v>
      </c>
      <c r="T1249" t="s">
        <v>468</v>
      </c>
    </row>
    <row r="1250" spans="1:20" x14ac:dyDescent="0.25">
      <c r="A1250">
        <v>186</v>
      </c>
      <c r="B1250">
        <v>511509</v>
      </c>
      <c r="C1250" t="s">
        <v>231</v>
      </c>
      <c r="D1250">
        <v>2019</v>
      </c>
      <c r="E1250">
        <v>22.860000610351559</v>
      </c>
      <c r="F1250">
        <v>1.82</v>
      </c>
      <c r="G1250" t="s">
        <v>465</v>
      </c>
      <c r="H1250">
        <v>76.550003051757813</v>
      </c>
      <c r="I1250">
        <v>23.35000038146973</v>
      </c>
      <c r="L1250" t="s">
        <v>469</v>
      </c>
      <c r="M1250">
        <v>42.060441237229568</v>
      </c>
      <c r="N1250">
        <v>12.829670539269079</v>
      </c>
      <c r="O1250">
        <v>37.69</v>
      </c>
      <c r="P1250">
        <v>56.9</v>
      </c>
      <c r="Q1250">
        <v>31.2</v>
      </c>
      <c r="R1250" s="3" t="s">
        <v>470</v>
      </c>
      <c r="S1250">
        <v>37.69</v>
      </c>
      <c r="T1250" t="s">
        <v>468</v>
      </c>
    </row>
    <row r="1251" spans="1:20" x14ac:dyDescent="0.25">
      <c r="A1251">
        <v>186</v>
      </c>
      <c r="B1251">
        <v>511509</v>
      </c>
      <c r="C1251" t="s">
        <v>231</v>
      </c>
      <c r="D1251">
        <v>2020</v>
      </c>
      <c r="E1251">
        <v>22.860000610351559</v>
      </c>
      <c r="F1251">
        <v>3.45</v>
      </c>
      <c r="G1251" t="s">
        <v>465</v>
      </c>
      <c r="H1251">
        <v>61.400001525878913</v>
      </c>
      <c r="I1251">
        <v>17.5</v>
      </c>
      <c r="L1251" t="s">
        <v>469</v>
      </c>
      <c r="M1251">
        <v>17.797101891559109</v>
      </c>
      <c r="N1251">
        <v>5.0724637681159406</v>
      </c>
      <c r="O1251">
        <v>37.69</v>
      </c>
      <c r="P1251">
        <v>56.9</v>
      </c>
      <c r="Q1251">
        <v>31.2</v>
      </c>
      <c r="R1251" s="3" t="s">
        <v>470</v>
      </c>
      <c r="S1251">
        <v>37.69</v>
      </c>
      <c r="T1251" t="s">
        <v>468</v>
      </c>
    </row>
    <row r="1252" spans="1:20" x14ac:dyDescent="0.25">
      <c r="A1252">
        <v>186</v>
      </c>
      <c r="B1252">
        <v>511509</v>
      </c>
      <c r="C1252" t="s">
        <v>231</v>
      </c>
      <c r="D1252">
        <v>2021</v>
      </c>
      <c r="E1252">
        <v>22.860000610351559</v>
      </c>
      <c r="F1252">
        <v>4.2300000000000004</v>
      </c>
      <c r="G1252" t="s">
        <v>465</v>
      </c>
      <c r="H1252">
        <v>115.09999847412109</v>
      </c>
      <c r="I1252">
        <v>47</v>
      </c>
      <c r="L1252" t="s">
        <v>469</v>
      </c>
      <c r="M1252">
        <v>27.210401530525079</v>
      </c>
      <c r="N1252">
        <v>11.111111111111111</v>
      </c>
      <c r="O1252">
        <v>37.69</v>
      </c>
      <c r="P1252">
        <v>56.9</v>
      </c>
      <c r="Q1252">
        <v>31.2</v>
      </c>
      <c r="R1252" s="3" t="s">
        <v>470</v>
      </c>
      <c r="S1252">
        <v>37.69</v>
      </c>
      <c r="T1252" t="s">
        <v>468</v>
      </c>
    </row>
    <row r="1253" spans="1:20" x14ac:dyDescent="0.25">
      <c r="A1253">
        <v>186</v>
      </c>
      <c r="B1253">
        <v>511509</v>
      </c>
      <c r="C1253" t="s">
        <v>231</v>
      </c>
      <c r="D1253">
        <v>2022</v>
      </c>
      <c r="E1253">
        <v>22.860000610351559</v>
      </c>
      <c r="F1253">
        <v>1.54</v>
      </c>
      <c r="G1253" t="s">
        <v>465</v>
      </c>
      <c r="H1253">
        <v>76.949996948242188</v>
      </c>
      <c r="I1253">
        <v>26.25</v>
      </c>
      <c r="L1253" t="s">
        <v>469</v>
      </c>
      <c r="M1253">
        <v>49.967530485871549</v>
      </c>
      <c r="N1253">
        <v>17.04545454545455</v>
      </c>
      <c r="O1253">
        <v>37.69</v>
      </c>
      <c r="P1253">
        <v>56.9</v>
      </c>
      <c r="Q1253">
        <v>31.2</v>
      </c>
      <c r="R1253" s="3" t="s">
        <v>470</v>
      </c>
      <c r="S1253">
        <v>37.69</v>
      </c>
      <c r="T1253" t="s">
        <v>468</v>
      </c>
    </row>
    <row r="1254" spans="1:20" x14ac:dyDescent="0.25">
      <c r="A1254">
        <v>186</v>
      </c>
      <c r="B1254">
        <v>511509</v>
      </c>
      <c r="C1254" t="s">
        <v>231</v>
      </c>
      <c r="D1254">
        <v>2023</v>
      </c>
      <c r="E1254">
        <v>22.860000610351559</v>
      </c>
      <c r="F1254">
        <v>1.78</v>
      </c>
      <c r="G1254" t="s">
        <v>465</v>
      </c>
      <c r="H1254">
        <v>38.5</v>
      </c>
      <c r="I1254">
        <v>18.110000610351559</v>
      </c>
      <c r="L1254" t="s">
        <v>469</v>
      </c>
      <c r="M1254">
        <v>21.629213483146071</v>
      </c>
      <c r="N1254">
        <v>10.17415764626492</v>
      </c>
      <c r="O1254">
        <v>37.69</v>
      </c>
      <c r="P1254">
        <v>56.9</v>
      </c>
      <c r="Q1254">
        <v>31.2</v>
      </c>
      <c r="R1254" s="3" t="s">
        <v>470</v>
      </c>
      <c r="S1254">
        <v>37.69</v>
      </c>
      <c r="T1254" t="s">
        <v>468</v>
      </c>
    </row>
    <row r="1255" spans="1:20" x14ac:dyDescent="0.25">
      <c r="A1255">
        <v>186</v>
      </c>
      <c r="B1255">
        <v>511509</v>
      </c>
      <c r="C1255" t="s">
        <v>231</v>
      </c>
      <c r="D1255">
        <v>2024</v>
      </c>
      <c r="E1255">
        <v>22.860000610351559</v>
      </c>
      <c r="F1255">
        <v>1.7</v>
      </c>
      <c r="G1255" t="s">
        <v>465</v>
      </c>
      <c r="H1255">
        <v>56</v>
      </c>
      <c r="I1255">
        <v>31.20000076293945</v>
      </c>
      <c r="L1255" t="s">
        <v>469</v>
      </c>
      <c r="M1255">
        <v>32.941176470588239</v>
      </c>
      <c r="N1255">
        <v>18.352941625258499</v>
      </c>
      <c r="O1255">
        <v>37.69</v>
      </c>
      <c r="P1255">
        <v>56.9</v>
      </c>
      <c r="Q1255">
        <v>31.2</v>
      </c>
      <c r="R1255" s="3" t="s">
        <v>470</v>
      </c>
      <c r="S1255">
        <v>37.69</v>
      </c>
      <c r="T1255" t="s">
        <v>468</v>
      </c>
    </row>
    <row r="1256" spans="1:20" x14ac:dyDescent="0.25">
      <c r="A1256">
        <v>186</v>
      </c>
      <c r="B1256">
        <v>511509</v>
      </c>
      <c r="C1256" t="s">
        <v>231</v>
      </c>
      <c r="D1256">
        <v>2025</v>
      </c>
      <c r="E1256">
        <v>22.860000610351559</v>
      </c>
      <c r="F1256">
        <v>4.24</v>
      </c>
      <c r="G1256" t="s">
        <v>465</v>
      </c>
      <c r="H1256">
        <v>56.900001525878913</v>
      </c>
      <c r="I1256">
        <v>25.20999908447266</v>
      </c>
      <c r="L1256" t="s">
        <v>469</v>
      </c>
      <c r="M1256">
        <v>13.41981168063182</v>
      </c>
      <c r="N1256">
        <v>5.9457545010548722</v>
      </c>
      <c r="O1256">
        <v>37.69</v>
      </c>
      <c r="P1256">
        <v>56.9</v>
      </c>
      <c r="Q1256">
        <v>31.2</v>
      </c>
      <c r="R1256" s="3" t="s">
        <v>470</v>
      </c>
      <c r="S1256">
        <v>37.69</v>
      </c>
      <c r="T1256" t="s">
        <v>468</v>
      </c>
    </row>
    <row r="1257" spans="1:20" x14ac:dyDescent="0.25">
      <c r="A1257">
        <v>186</v>
      </c>
      <c r="B1257">
        <v>511509</v>
      </c>
      <c r="C1257" t="s">
        <v>231</v>
      </c>
      <c r="D1257">
        <v>2026</v>
      </c>
      <c r="E1257">
        <v>22.860000610351559</v>
      </c>
      <c r="F1257">
        <v>-0.77</v>
      </c>
      <c r="G1257" t="s">
        <v>465</v>
      </c>
      <c r="H1257">
        <v>33.400001525878913</v>
      </c>
      <c r="I1257">
        <v>20.35000038146973</v>
      </c>
      <c r="L1257" t="s">
        <v>471</v>
      </c>
      <c r="M1257">
        <v>-43.376625358284301</v>
      </c>
      <c r="N1257">
        <v>-26.428571923986659</v>
      </c>
      <c r="O1257">
        <v>37.69</v>
      </c>
      <c r="P1257">
        <v>56.9</v>
      </c>
      <c r="Q1257">
        <v>31.2</v>
      </c>
      <c r="R1257" s="3" t="s">
        <v>470</v>
      </c>
      <c r="S1257">
        <v>37.69</v>
      </c>
      <c r="T1257" t="s">
        <v>468</v>
      </c>
    </row>
    <row r="1258" spans="1:20" x14ac:dyDescent="0.25">
      <c r="A1258">
        <v>187</v>
      </c>
      <c r="B1258">
        <v>511593</v>
      </c>
      <c r="C1258" t="s">
        <v>233</v>
      </c>
      <c r="D1258">
        <v>2015</v>
      </c>
      <c r="E1258">
        <v>16.29999923706055</v>
      </c>
      <c r="F1258">
        <v>0.12</v>
      </c>
      <c r="G1258" t="s">
        <v>465</v>
      </c>
      <c r="H1258">
        <v>11.30000019073486</v>
      </c>
      <c r="I1258">
        <v>4.5</v>
      </c>
      <c r="L1258" t="s">
        <v>484</v>
      </c>
      <c r="M1258">
        <v>94.166668256123828</v>
      </c>
      <c r="N1258">
        <v>37.5</v>
      </c>
      <c r="O1258">
        <v>20.79</v>
      </c>
      <c r="P1258">
        <v>34.79</v>
      </c>
      <c r="Q1258">
        <v>8.01</v>
      </c>
      <c r="R1258" s="3" t="s">
        <v>470</v>
      </c>
      <c r="S1258">
        <v>20.79</v>
      </c>
      <c r="T1258" t="s">
        <v>468</v>
      </c>
    </row>
    <row r="1259" spans="1:20" x14ac:dyDescent="0.25">
      <c r="A1259">
        <v>187</v>
      </c>
      <c r="B1259">
        <v>511593</v>
      </c>
      <c r="C1259" t="s">
        <v>233</v>
      </c>
      <c r="D1259">
        <v>2016</v>
      </c>
      <c r="E1259">
        <v>16.29999923706055</v>
      </c>
      <c r="F1259">
        <v>0.32</v>
      </c>
      <c r="G1259" t="s">
        <v>465</v>
      </c>
      <c r="H1259">
        <v>14.30000019073486</v>
      </c>
      <c r="I1259">
        <v>6.6500000953674316</v>
      </c>
      <c r="L1259" t="s">
        <v>484</v>
      </c>
      <c r="M1259">
        <v>44.687500596046434</v>
      </c>
      <c r="N1259">
        <v>20.78125029802322</v>
      </c>
      <c r="O1259">
        <v>20.79</v>
      </c>
      <c r="P1259">
        <v>34.79</v>
      </c>
      <c r="Q1259">
        <v>8.01</v>
      </c>
      <c r="R1259" s="3" t="s">
        <v>470</v>
      </c>
      <c r="S1259">
        <v>20.79</v>
      </c>
      <c r="T1259" t="s">
        <v>468</v>
      </c>
    </row>
    <row r="1260" spans="1:20" x14ac:dyDescent="0.25">
      <c r="A1260">
        <v>187</v>
      </c>
      <c r="B1260">
        <v>511593</v>
      </c>
      <c r="C1260" t="s">
        <v>233</v>
      </c>
      <c r="D1260">
        <v>2017</v>
      </c>
      <c r="E1260">
        <v>16.29999923706055</v>
      </c>
      <c r="F1260">
        <v>0.26</v>
      </c>
      <c r="G1260" t="s">
        <v>465</v>
      </c>
      <c r="H1260">
        <v>13.819999694824221</v>
      </c>
      <c r="I1260">
        <v>6.9000000953674316</v>
      </c>
      <c r="L1260" t="s">
        <v>484</v>
      </c>
      <c r="M1260">
        <v>53.153844980093147</v>
      </c>
      <c r="N1260">
        <v>26.53846190525935</v>
      </c>
      <c r="O1260">
        <v>20.79</v>
      </c>
      <c r="P1260">
        <v>34.79</v>
      </c>
      <c r="Q1260">
        <v>8.01</v>
      </c>
      <c r="R1260" s="3" t="s">
        <v>470</v>
      </c>
      <c r="S1260">
        <v>20.79</v>
      </c>
      <c r="T1260" t="s">
        <v>468</v>
      </c>
    </row>
    <row r="1261" spans="1:20" x14ac:dyDescent="0.25">
      <c r="A1261">
        <v>187</v>
      </c>
      <c r="B1261">
        <v>511593</v>
      </c>
      <c r="C1261" t="s">
        <v>233</v>
      </c>
      <c r="D1261">
        <v>2018</v>
      </c>
      <c r="E1261">
        <v>16.29999923706055</v>
      </c>
      <c r="F1261">
        <v>0.49</v>
      </c>
      <c r="G1261" t="s">
        <v>465</v>
      </c>
      <c r="H1261">
        <v>16.190000534057621</v>
      </c>
      <c r="I1261">
        <v>5.8899998664855957</v>
      </c>
      <c r="L1261" t="s">
        <v>484</v>
      </c>
      <c r="M1261">
        <v>33.040817416444128</v>
      </c>
      <c r="N1261">
        <v>12.020407890786929</v>
      </c>
      <c r="O1261">
        <v>20.79</v>
      </c>
      <c r="P1261">
        <v>34.79</v>
      </c>
      <c r="Q1261">
        <v>8.01</v>
      </c>
      <c r="R1261" s="3" t="s">
        <v>470</v>
      </c>
      <c r="S1261">
        <v>20.79</v>
      </c>
      <c r="T1261" t="s">
        <v>468</v>
      </c>
    </row>
    <row r="1262" spans="1:20" x14ac:dyDescent="0.25">
      <c r="A1262">
        <v>187</v>
      </c>
      <c r="B1262">
        <v>511593</v>
      </c>
      <c r="C1262" t="s">
        <v>233</v>
      </c>
      <c r="D1262">
        <v>2019</v>
      </c>
      <c r="E1262">
        <v>16.29999923706055</v>
      </c>
      <c r="F1262">
        <v>0.01</v>
      </c>
      <c r="G1262" t="s">
        <v>465</v>
      </c>
      <c r="H1262">
        <v>10.60000038146973</v>
      </c>
      <c r="I1262">
        <v>5.6999998092651367</v>
      </c>
      <c r="L1262" t="s">
        <v>484</v>
      </c>
      <c r="M1262">
        <v>1060.0000381469731</v>
      </c>
      <c r="N1262">
        <v>569.99998092651367</v>
      </c>
      <c r="O1262">
        <v>20.79</v>
      </c>
      <c r="P1262">
        <v>34.79</v>
      </c>
      <c r="Q1262">
        <v>8.01</v>
      </c>
      <c r="R1262" s="3" t="s">
        <v>470</v>
      </c>
      <c r="S1262">
        <v>20.79</v>
      </c>
      <c r="T1262" t="s">
        <v>468</v>
      </c>
    </row>
    <row r="1263" spans="1:20" x14ac:dyDescent="0.25">
      <c r="A1263">
        <v>187</v>
      </c>
      <c r="B1263">
        <v>511593</v>
      </c>
      <c r="C1263" t="s">
        <v>233</v>
      </c>
      <c r="D1263">
        <v>2020</v>
      </c>
      <c r="E1263">
        <v>16.29999923706055</v>
      </c>
      <c r="F1263">
        <v>0.17</v>
      </c>
      <c r="G1263" t="s">
        <v>465</v>
      </c>
      <c r="H1263">
        <v>5.4200000762939453</v>
      </c>
      <c r="I1263">
        <v>1.679999947547913</v>
      </c>
      <c r="L1263" t="s">
        <v>484</v>
      </c>
      <c r="M1263">
        <v>31.882353389964379</v>
      </c>
      <c r="N1263">
        <v>9.882352632634781</v>
      </c>
      <c r="O1263">
        <v>20.79</v>
      </c>
      <c r="P1263">
        <v>34.79</v>
      </c>
      <c r="Q1263">
        <v>8.01</v>
      </c>
      <c r="R1263" s="3" t="s">
        <v>470</v>
      </c>
      <c r="S1263">
        <v>20.79</v>
      </c>
      <c r="T1263" t="s">
        <v>468</v>
      </c>
    </row>
    <row r="1264" spans="1:20" x14ac:dyDescent="0.25">
      <c r="A1264">
        <v>187</v>
      </c>
      <c r="B1264">
        <v>511593</v>
      </c>
      <c r="C1264" t="s">
        <v>233</v>
      </c>
      <c r="D1264">
        <v>2021</v>
      </c>
      <c r="E1264">
        <v>16.29999923706055</v>
      </c>
      <c r="F1264">
        <v>0.06</v>
      </c>
      <c r="G1264" t="s">
        <v>465</v>
      </c>
      <c r="H1264">
        <v>8</v>
      </c>
      <c r="I1264">
        <v>3.410000085830688</v>
      </c>
      <c r="L1264" t="s">
        <v>484</v>
      </c>
      <c r="M1264">
        <v>133.33333333333329</v>
      </c>
      <c r="N1264">
        <v>56.833334763844803</v>
      </c>
      <c r="O1264">
        <v>20.79</v>
      </c>
      <c r="P1264">
        <v>34.79</v>
      </c>
      <c r="Q1264">
        <v>8.01</v>
      </c>
      <c r="R1264" s="3" t="s">
        <v>470</v>
      </c>
      <c r="S1264">
        <v>20.79</v>
      </c>
      <c r="T1264" t="s">
        <v>468</v>
      </c>
    </row>
    <row r="1265" spans="1:20" x14ac:dyDescent="0.25">
      <c r="A1265">
        <v>187</v>
      </c>
      <c r="B1265">
        <v>511593</v>
      </c>
      <c r="C1265" t="s">
        <v>233</v>
      </c>
      <c r="D1265">
        <v>2022</v>
      </c>
      <c r="E1265">
        <v>16.29999923706055</v>
      </c>
      <c r="F1265">
        <v>0.05</v>
      </c>
      <c r="G1265" t="s">
        <v>465</v>
      </c>
      <c r="H1265">
        <v>11.010000228881839</v>
      </c>
      <c r="I1265">
        <v>4.559999942779541</v>
      </c>
      <c r="L1265" t="s">
        <v>484</v>
      </c>
      <c r="M1265">
        <v>220.2000045776368</v>
      </c>
      <c r="N1265">
        <v>91.19999885559082</v>
      </c>
      <c r="O1265">
        <v>20.79</v>
      </c>
      <c r="P1265">
        <v>34.79</v>
      </c>
      <c r="Q1265">
        <v>8.01</v>
      </c>
      <c r="R1265" s="3" t="s">
        <v>470</v>
      </c>
      <c r="S1265">
        <v>20.79</v>
      </c>
      <c r="T1265" t="s">
        <v>468</v>
      </c>
    </row>
    <row r="1266" spans="1:20" x14ac:dyDescent="0.25">
      <c r="A1266">
        <v>187</v>
      </c>
      <c r="B1266">
        <v>511593</v>
      </c>
      <c r="C1266" t="s">
        <v>233</v>
      </c>
      <c r="D1266">
        <v>2023</v>
      </c>
      <c r="E1266">
        <v>16.29999923706055</v>
      </c>
      <c r="F1266">
        <v>0.05</v>
      </c>
      <c r="G1266" t="s">
        <v>465</v>
      </c>
      <c r="H1266">
        <v>9.9600000381469727</v>
      </c>
      <c r="I1266">
        <v>4.5799999237060547</v>
      </c>
      <c r="L1266" t="s">
        <v>484</v>
      </c>
      <c r="M1266">
        <v>199.20000076293951</v>
      </c>
      <c r="N1266">
        <v>91.599998474121094</v>
      </c>
      <c r="O1266">
        <v>20.79</v>
      </c>
      <c r="P1266">
        <v>34.79</v>
      </c>
      <c r="Q1266">
        <v>8.01</v>
      </c>
      <c r="R1266" s="3" t="s">
        <v>470</v>
      </c>
      <c r="S1266">
        <v>20.79</v>
      </c>
      <c r="T1266" t="s">
        <v>468</v>
      </c>
    </row>
    <row r="1267" spans="1:20" x14ac:dyDescent="0.25">
      <c r="A1267">
        <v>187</v>
      </c>
      <c r="B1267">
        <v>511593</v>
      </c>
      <c r="C1267" t="s">
        <v>233</v>
      </c>
      <c r="D1267">
        <v>2024</v>
      </c>
      <c r="E1267">
        <v>16.29999923706055</v>
      </c>
      <c r="F1267">
        <v>0.13</v>
      </c>
      <c r="G1267" t="s">
        <v>465</v>
      </c>
      <c r="H1267">
        <v>34.790000915527337</v>
      </c>
      <c r="I1267">
        <v>6.7699999809265137</v>
      </c>
      <c r="L1267" t="s">
        <v>484</v>
      </c>
      <c r="M1267">
        <v>267.61539165790259</v>
      </c>
      <c r="N1267">
        <v>52.076922930203949</v>
      </c>
      <c r="O1267">
        <v>20.79</v>
      </c>
      <c r="P1267">
        <v>34.79</v>
      </c>
      <c r="Q1267">
        <v>8.01</v>
      </c>
      <c r="R1267" s="3" t="s">
        <v>470</v>
      </c>
      <c r="S1267">
        <v>20.79</v>
      </c>
      <c r="T1267" t="s">
        <v>468</v>
      </c>
    </row>
    <row r="1268" spans="1:20" x14ac:dyDescent="0.25">
      <c r="A1268">
        <v>187</v>
      </c>
      <c r="B1268">
        <v>511593</v>
      </c>
      <c r="C1268" t="s">
        <v>233</v>
      </c>
      <c r="D1268">
        <v>2025</v>
      </c>
      <c r="E1268">
        <v>16.29999923706055</v>
      </c>
      <c r="G1268" t="s">
        <v>465</v>
      </c>
      <c r="H1268">
        <v>31.889999389648441</v>
      </c>
      <c r="I1268">
        <v>13.5</v>
      </c>
      <c r="L1268" t="s">
        <v>466</v>
      </c>
      <c r="O1268">
        <v>20.79</v>
      </c>
      <c r="P1268">
        <v>34.79</v>
      </c>
      <c r="Q1268">
        <v>8.01</v>
      </c>
      <c r="R1268" s="3" t="s">
        <v>470</v>
      </c>
      <c r="S1268">
        <v>20.79</v>
      </c>
      <c r="T1268" t="s">
        <v>468</v>
      </c>
    </row>
    <row r="1269" spans="1:20" x14ac:dyDescent="0.25">
      <c r="A1269">
        <v>187</v>
      </c>
      <c r="B1269">
        <v>511593</v>
      </c>
      <c r="C1269" t="s">
        <v>233</v>
      </c>
      <c r="D1269">
        <v>2026</v>
      </c>
      <c r="E1269">
        <v>16.29999923706055</v>
      </c>
      <c r="G1269" t="s">
        <v>465</v>
      </c>
      <c r="H1269">
        <v>19.95000076293945</v>
      </c>
      <c r="I1269">
        <v>14.5</v>
      </c>
      <c r="L1269" t="s">
        <v>466</v>
      </c>
      <c r="O1269">
        <v>20.79</v>
      </c>
      <c r="P1269">
        <v>34.79</v>
      </c>
      <c r="Q1269">
        <v>8.01</v>
      </c>
      <c r="R1269" s="3" t="s">
        <v>470</v>
      </c>
      <c r="S1269">
        <v>20.79</v>
      </c>
      <c r="T1269" t="s">
        <v>468</v>
      </c>
    </row>
    <row r="1270" spans="1:20" x14ac:dyDescent="0.25">
      <c r="A1270">
        <v>189</v>
      </c>
      <c r="B1270">
        <v>511626</v>
      </c>
      <c r="C1270" t="s">
        <v>235</v>
      </c>
      <c r="D1270">
        <v>2015</v>
      </c>
      <c r="E1270">
        <v>78.209999084472656</v>
      </c>
      <c r="F1270">
        <v>-7.27</v>
      </c>
      <c r="G1270" t="s">
        <v>465</v>
      </c>
      <c r="H1270">
        <v>15.22000026702881</v>
      </c>
      <c r="I1270">
        <v>5.1100001335144043</v>
      </c>
      <c r="L1270" t="s">
        <v>471</v>
      </c>
      <c r="M1270">
        <v>-2.0935351123836048</v>
      </c>
      <c r="N1270">
        <v>-0.7028886015838246</v>
      </c>
      <c r="O1270">
        <v>18</v>
      </c>
      <c r="P1270">
        <v>31</v>
      </c>
      <c r="Q1270">
        <v>13.86</v>
      </c>
      <c r="R1270" s="3" t="s">
        <v>470</v>
      </c>
      <c r="S1270">
        <v>18</v>
      </c>
      <c r="T1270" t="s">
        <v>468</v>
      </c>
    </row>
    <row r="1271" spans="1:20" x14ac:dyDescent="0.25">
      <c r="A1271">
        <v>189</v>
      </c>
      <c r="B1271">
        <v>511626</v>
      </c>
      <c r="C1271" t="s">
        <v>235</v>
      </c>
      <c r="D1271">
        <v>2016</v>
      </c>
      <c r="E1271">
        <v>78.209999084472656</v>
      </c>
      <c r="F1271">
        <v>-0.85</v>
      </c>
      <c r="G1271" t="s">
        <v>465</v>
      </c>
      <c r="H1271">
        <v>15.159999847412109</v>
      </c>
      <c r="I1271">
        <v>6.4800000190734863</v>
      </c>
      <c r="L1271" t="s">
        <v>471</v>
      </c>
      <c r="M1271">
        <v>-17.83529393813189</v>
      </c>
      <c r="N1271">
        <v>-7.6235294342041016</v>
      </c>
      <c r="O1271">
        <v>18</v>
      </c>
      <c r="P1271">
        <v>31</v>
      </c>
      <c r="Q1271">
        <v>13.86</v>
      </c>
      <c r="R1271" s="3" t="s">
        <v>470</v>
      </c>
      <c r="S1271">
        <v>18</v>
      </c>
      <c r="T1271" t="s">
        <v>468</v>
      </c>
    </row>
    <row r="1272" spans="1:20" x14ac:dyDescent="0.25">
      <c r="A1272">
        <v>189</v>
      </c>
      <c r="B1272">
        <v>511626</v>
      </c>
      <c r="C1272" t="s">
        <v>235</v>
      </c>
      <c r="D1272">
        <v>2017</v>
      </c>
      <c r="E1272">
        <v>78.209999084472656</v>
      </c>
      <c r="F1272">
        <v>-0.06</v>
      </c>
      <c r="G1272" t="s">
        <v>465</v>
      </c>
      <c r="H1272">
        <v>19.70000076293945</v>
      </c>
      <c r="I1272">
        <v>10.10000038146973</v>
      </c>
      <c r="L1272" t="s">
        <v>471</v>
      </c>
      <c r="M1272">
        <v>-328.33334604899079</v>
      </c>
      <c r="N1272">
        <v>-168.33333969116219</v>
      </c>
      <c r="O1272">
        <v>18</v>
      </c>
      <c r="P1272">
        <v>31</v>
      </c>
      <c r="Q1272">
        <v>13.86</v>
      </c>
      <c r="R1272" s="3" t="s">
        <v>470</v>
      </c>
      <c r="S1272">
        <v>18</v>
      </c>
      <c r="T1272" t="s">
        <v>468</v>
      </c>
    </row>
    <row r="1273" spans="1:20" x14ac:dyDescent="0.25">
      <c r="A1273">
        <v>189</v>
      </c>
      <c r="B1273">
        <v>511626</v>
      </c>
      <c r="C1273" t="s">
        <v>235</v>
      </c>
      <c r="D1273">
        <v>2018</v>
      </c>
      <c r="E1273">
        <v>78.209999084472656</v>
      </c>
      <c r="F1273">
        <v>0.45</v>
      </c>
      <c r="G1273" t="s">
        <v>465</v>
      </c>
      <c r="H1273">
        <v>16.5</v>
      </c>
      <c r="I1273">
        <v>12.069999694824221</v>
      </c>
      <c r="L1273" t="s">
        <v>484</v>
      </c>
      <c r="M1273">
        <v>36.666666666666657</v>
      </c>
      <c r="N1273">
        <v>26.822221544053821</v>
      </c>
      <c r="O1273">
        <v>18</v>
      </c>
      <c r="P1273">
        <v>31</v>
      </c>
      <c r="Q1273">
        <v>13.86</v>
      </c>
      <c r="R1273" s="3" t="s">
        <v>470</v>
      </c>
      <c r="S1273">
        <v>18</v>
      </c>
      <c r="T1273" t="s">
        <v>468</v>
      </c>
    </row>
    <row r="1274" spans="1:20" x14ac:dyDescent="0.25">
      <c r="A1274">
        <v>189</v>
      </c>
      <c r="B1274">
        <v>511626</v>
      </c>
      <c r="C1274" t="s">
        <v>235</v>
      </c>
      <c r="D1274">
        <v>2019</v>
      </c>
      <c r="E1274">
        <v>78.209999084472656</v>
      </c>
      <c r="F1274">
        <v>0.36</v>
      </c>
      <c r="G1274" t="s">
        <v>465</v>
      </c>
      <c r="H1274">
        <v>13.5</v>
      </c>
      <c r="I1274">
        <v>7.190000057220459</v>
      </c>
      <c r="L1274" t="s">
        <v>484</v>
      </c>
      <c r="M1274">
        <v>37.5</v>
      </c>
      <c r="N1274">
        <v>19.972222381167938</v>
      </c>
      <c r="O1274">
        <v>18</v>
      </c>
      <c r="P1274">
        <v>31</v>
      </c>
      <c r="Q1274">
        <v>13.86</v>
      </c>
      <c r="R1274" s="3" t="s">
        <v>470</v>
      </c>
      <c r="S1274">
        <v>18</v>
      </c>
      <c r="T1274" t="s">
        <v>468</v>
      </c>
    </row>
    <row r="1275" spans="1:20" x14ac:dyDescent="0.25">
      <c r="A1275">
        <v>189</v>
      </c>
      <c r="B1275">
        <v>511626</v>
      </c>
      <c r="C1275" t="s">
        <v>235</v>
      </c>
      <c r="D1275">
        <v>2020</v>
      </c>
      <c r="E1275">
        <v>78.209999084472656</v>
      </c>
      <c r="F1275">
        <v>0.16</v>
      </c>
      <c r="G1275" t="s">
        <v>465</v>
      </c>
      <c r="H1275">
        <v>17</v>
      </c>
      <c r="I1275">
        <v>5.8000001907348633</v>
      </c>
      <c r="L1275" t="s">
        <v>484</v>
      </c>
      <c r="M1275">
        <v>106.25</v>
      </c>
      <c r="N1275">
        <v>36.250001192092903</v>
      </c>
      <c r="O1275">
        <v>18</v>
      </c>
      <c r="P1275">
        <v>31</v>
      </c>
      <c r="Q1275">
        <v>13.86</v>
      </c>
      <c r="R1275" s="3" t="s">
        <v>470</v>
      </c>
      <c r="S1275">
        <v>18</v>
      </c>
      <c r="T1275" t="s">
        <v>468</v>
      </c>
    </row>
    <row r="1276" spans="1:20" x14ac:dyDescent="0.25">
      <c r="A1276">
        <v>189</v>
      </c>
      <c r="B1276">
        <v>511626</v>
      </c>
      <c r="C1276" t="s">
        <v>235</v>
      </c>
      <c r="D1276">
        <v>2021</v>
      </c>
      <c r="E1276">
        <v>78.209999084472656</v>
      </c>
      <c r="F1276">
        <v>0.3</v>
      </c>
      <c r="G1276" t="s">
        <v>465</v>
      </c>
      <c r="H1276">
        <v>23</v>
      </c>
      <c r="I1276">
        <v>14.05000019073486</v>
      </c>
      <c r="L1276" t="s">
        <v>484</v>
      </c>
      <c r="M1276">
        <v>76.666666666666671</v>
      </c>
      <c r="N1276">
        <v>46.833333969116197</v>
      </c>
      <c r="O1276">
        <v>18</v>
      </c>
      <c r="P1276">
        <v>31</v>
      </c>
      <c r="Q1276">
        <v>13.86</v>
      </c>
      <c r="R1276" s="3" t="s">
        <v>470</v>
      </c>
      <c r="S1276">
        <v>18</v>
      </c>
      <c r="T1276" t="s">
        <v>468</v>
      </c>
    </row>
    <row r="1277" spans="1:20" x14ac:dyDescent="0.25">
      <c r="A1277">
        <v>189</v>
      </c>
      <c r="B1277">
        <v>511626</v>
      </c>
      <c r="C1277" t="s">
        <v>235</v>
      </c>
      <c r="D1277">
        <v>2022</v>
      </c>
      <c r="E1277">
        <v>78.209999084472656</v>
      </c>
      <c r="F1277">
        <v>0.42</v>
      </c>
      <c r="G1277" t="s">
        <v>465</v>
      </c>
      <c r="H1277">
        <v>27.60000038146973</v>
      </c>
      <c r="I1277">
        <v>6.0999999046325684</v>
      </c>
      <c r="L1277" t="s">
        <v>484</v>
      </c>
      <c r="M1277">
        <v>65.714286622546979</v>
      </c>
      <c r="N1277">
        <v>14.52380929674421</v>
      </c>
      <c r="O1277">
        <v>18</v>
      </c>
      <c r="P1277">
        <v>31</v>
      </c>
      <c r="Q1277">
        <v>13.86</v>
      </c>
      <c r="R1277" s="3" t="s">
        <v>470</v>
      </c>
      <c r="S1277">
        <v>18</v>
      </c>
      <c r="T1277" t="s">
        <v>468</v>
      </c>
    </row>
    <row r="1278" spans="1:20" x14ac:dyDescent="0.25">
      <c r="A1278">
        <v>189</v>
      </c>
      <c r="B1278">
        <v>511626</v>
      </c>
      <c r="C1278" t="s">
        <v>235</v>
      </c>
      <c r="D1278">
        <v>2023</v>
      </c>
      <c r="E1278">
        <v>78.209999084472656</v>
      </c>
      <c r="F1278">
        <v>0.53</v>
      </c>
      <c r="G1278" t="s">
        <v>465</v>
      </c>
      <c r="H1278">
        <v>20</v>
      </c>
      <c r="I1278">
        <v>5.8600001335144043</v>
      </c>
      <c r="L1278" t="s">
        <v>469</v>
      </c>
      <c r="M1278">
        <v>37.735849056603769</v>
      </c>
      <c r="N1278">
        <v>11.05660402549888</v>
      </c>
      <c r="O1278">
        <v>18</v>
      </c>
      <c r="P1278">
        <v>31</v>
      </c>
      <c r="Q1278">
        <v>13.86</v>
      </c>
      <c r="R1278" s="3" t="s">
        <v>470</v>
      </c>
      <c r="S1278">
        <v>18</v>
      </c>
      <c r="T1278" t="s">
        <v>468</v>
      </c>
    </row>
    <row r="1279" spans="1:20" x14ac:dyDescent="0.25">
      <c r="A1279">
        <v>189</v>
      </c>
      <c r="B1279">
        <v>511626</v>
      </c>
      <c r="C1279" t="s">
        <v>235</v>
      </c>
      <c r="D1279">
        <v>2024</v>
      </c>
      <c r="E1279">
        <v>78.209999084472656</v>
      </c>
      <c r="F1279">
        <v>0.39</v>
      </c>
      <c r="G1279" t="s">
        <v>465</v>
      </c>
      <c r="H1279">
        <v>31</v>
      </c>
      <c r="I1279">
        <v>13.85999965667725</v>
      </c>
      <c r="L1279" t="s">
        <v>484</v>
      </c>
      <c r="M1279">
        <v>79.487179487179489</v>
      </c>
      <c r="N1279">
        <v>35.538460658146789</v>
      </c>
      <c r="O1279">
        <v>18</v>
      </c>
      <c r="P1279">
        <v>31</v>
      </c>
      <c r="Q1279">
        <v>13.86</v>
      </c>
      <c r="R1279" s="3" t="s">
        <v>470</v>
      </c>
      <c r="S1279">
        <v>18</v>
      </c>
      <c r="T1279" t="s">
        <v>468</v>
      </c>
    </row>
    <row r="1280" spans="1:20" x14ac:dyDescent="0.25">
      <c r="A1280">
        <v>189</v>
      </c>
      <c r="B1280">
        <v>511626</v>
      </c>
      <c r="C1280" t="s">
        <v>235</v>
      </c>
      <c r="D1280">
        <v>2025</v>
      </c>
      <c r="E1280">
        <v>78.209999084472656</v>
      </c>
      <c r="F1280">
        <v>2.58</v>
      </c>
      <c r="G1280" t="s">
        <v>465</v>
      </c>
      <c r="H1280">
        <v>263.70001220703119</v>
      </c>
      <c r="I1280">
        <v>11.80000019073486</v>
      </c>
      <c r="L1280" t="s">
        <v>469</v>
      </c>
      <c r="M1280">
        <v>102.20930705698881</v>
      </c>
      <c r="N1280">
        <v>4.5736434847809528</v>
      </c>
      <c r="O1280">
        <v>18</v>
      </c>
      <c r="P1280">
        <v>31</v>
      </c>
      <c r="Q1280">
        <v>13.86</v>
      </c>
      <c r="R1280" s="3" t="s">
        <v>470</v>
      </c>
      <c r="S1280">
        <v>18</v>
      </c>
      <c r="T1280" t="s">
        <v>468</v>
      </c>
    </row>
    <row r="1281" spans="1:20" x14ac:dyDescent="0.25">
      <c r="A1281">
        <v>189</v>
      </c>
      <c r="B1281">
        <v>511626</v>
      </c>
      <c r="C1281" t="s">
        <v>235</v>
      </c>
      <c r="D1281">
        <v>2026</v>
      </c>
      <c r="E1281">
        <v>78.209999084472656</v>
      </c>
      <c r="F1281">
        <v>6.46</v>
      </c>
      <c r="G1281" t="s">
        <v>465</v>
      </c>
      <c r="H1281">
        <v>148.8999938964844</v>
      </c>
      <c r="I1281">
        <v>49.619998931884773</v>
      </c>
      <c r="L1281" t="s">
        <v>469</v>
      </c>
      <c r="M1281">
        <v>23.049534658898519</v>
      </c>
      <c r="N1281">
        <v>7.6811143857406767</v>
      </c>
      <c r="O1281">
        <v>18</v>
      </c>
      <c r="P1281">
        <v>31</v>
      </c>
      <c r="Q1281">
        <v>13.86</v>
      </c>
      <c r="R1281" s="3" t="s">
        <v>470</v>
      </c>
      <c r="S1281">
        <v>18</v>
      </c>
      <c r="T1281" t="s">
        <v>468</v>
      </c>
    </row>
    <row r="1282" spans="1:20" x14ac:dyDescent="0.25">
      <c r="A1282">
        <v>190</v>
      </c>
      <c r="B1282">
        <v>511672</v>
      </c>
      <c r="C1282" t="s">
        <v>237</v>
      </c>
      <c r="D1282">
        <v>2015</v>
      </c>
      <c r="E1282">
        <v>48.529998779296882</v>
      </c>
      <c r="G1282" t="s">
        <v>465</v>
      </c>
      <c r="H1282">
        <v>56.700000762939453</v>
      </c>
      <c r="I1282">
        <v>26.60000038146973</v>
      </c>
      <c r="L1282" t="s">
        <v>466</v>
      </c>
      <c r="O1282">
        <v>61.9</v>
      </c>
      <c r="P1282">
        <v>94.9</v>
      </c>
      <c r="Q1282">
        <v>42</v>
      </c>
      <c r="R1282" s="3" t="s">
        <v>470</v>
      </c>
      <c r="S1282">
        <v>61.9</v>
      </c>
      <c r="T1282" t="s">
        <v>468</v>
      </c>
    </row>
    <row r="1283" spans="1:20" x14ac:dyDescent="0.25">
      <c r="A1283">
        <v>190</v>
      </c>
      <c r="B1283">
        <v>511672</v>
      </c>
      <c r="C1283" t="s">
        <v>237</v>
      </c>
      <c r="D1283">
        <v>2016</v>
      </c>
      <c r="E1283">
        <v>48.529998779296882</v>
      </c>
      <c r="G1283" t="s">
        <v>465</v>
      </c>
      <c r="H1283">
        <v>37.700000762939453</v>
      </c>
      <c r="I1283">
        <v>12.75</v>
      </c>
      <c r="L1283" t="s">
        <v>466</v>
      </c>
      <c r="O1283">
        <v>61.9</v>
      </c>
      <c r="P1283">
        <v>94.9</v>
      </c>
      <c r="Q1283">
        <v>42</v>
      </c>
      <c r="R1283" s="3" t="s">
        <v>470</v>
      </c>
      <c r="S1283">
        <v>61.9</v>
      </c>
      <c r="T1283" t="s">
        <v>468</v>
      </c>
    </row>
    <row r="1284" spans="1:20" x14ac:dyDescent="0.25">
      <c r="A1284">
        <v>190</v>
      </c>
      <c r="B1284">
        <v>511672</v>
      </c>
      <c r="C1284" t="s">
        <v>237</v>
      </c>
      <c r="D1284">
        <v>2017</v>
      </c>
      <c r="E1284">
        <v>48.529998779296882</v>
      </c>
      <c r="G1284" t="s">
        <v>465</v>
      </c>
      <c r="H1284">
        <v>24.79999923706055</v>
      </c>
      <c r="I1284">
        <v>8.1599998474121094</v>
      </c>
      <c r="L1284" t="s">
        <v>466</v>
      </c>
      <c r="O1284">
        <v>61.9</v>
      </c>
      <c r="P1284">
        <v>94.9</v>
      </c>
      <c r="Q1284">
        <v>42</v>
      </c>
      <c r="R1284" s="3" t="s">
        <v>470</v>
      </c>
      <c r="S1284">
        <v>61.9</v>
      </c>
      <c r="T1284" t="s">
        <v>468</v>
      </c>
    </row>
    <row r="1285" spans="1:20" x14ac:dyDescent="0.25">
      <c r="A1285">
        <v>190</v>
      </c>
      <c r="B1285">
        <v>511672</v>
      </c>
      <c r="C1285" t="s">
        <v>237</v>
      </c>
      <c r="D1285">
        <v>2018</v>
      </c>
      <c r="E1285">
        <v>48.529998779296882</v>
      </c>
      <c r="G1285" t="s">
        <v>465</v>
      </c>
      <c r="H1285">
        <v>58.700000762939453</v>
      </c>
      <c r="I1285">
        <v>17.64999961853027</v>
      </c>
      <c r="L1285" t="s">
        <v>466</v>
      </c>
      <c r="O1285">
        <v>61.9</v>
      </c>
      <c r="P1285">
        <v>94.9</v>
      </c>
      <c r="Q1285">
        <v>42</v>
      </c>
      <c r="R1285" s="3" t="s">
        <v>470</v>
      </c>
      <c r="S1285">
        <v>61.9</v>
      </c>
      <c r="T1285" t="s">
        <v>468</v>
      </c>
    </row>
    <row r="1286" spans="1:20" x14ac:dyDescent="0.25">
      <c r="A1286">
        <v>190</v>
      </c>
      <c r="B1286">
        <v>511672</v>
      </c>
      <c r="C1286" t="s">
        <v>237</v>
      </c>
      <c r="D1286">
        <v>2019</v>
      </c>
      <c r="E1286">
        <v>48.529998779296882</v>
      </c>
      <c r="G1286" t="s">
        <v>465</v>
      </c>
      <c r="H1286">
        <v>60.75</v>
      </c>
      <c r="I1286">
        <v>16.10000038146973</v>
      </c>
      <c r="L1286" t="s">
        <v>466</v>
      </c>
      <c r="O1286">
        <v>61.9</v>
      </c>
      <c r="P1286">
        <v>94.9</v>
      </c>
      <c r="Q1286">
        <v>42</v>
      </c>
      <c r="R1286" s="3" t="s">
        <v>470</v>
      </c>
      <c r="S1286">
        <v>61.9</v>
      </c>
      <c r="T1286" t="s">
        <v>468</v>
      </c>
    </row>
    <row r="1287" spans="1:20" x14ac:dyDescent="0.25">
      <c r="A1287">
        <v>190</v>
      </c>
      <c r="B1287">
        <v>511672</v>
      </c>
      <c r="C1287" t="s">
        <v>237</v>
      </c>
      <c r="D1287">
        <v>2020</v>
      </c>
      <c r="E1287">
        <v>48.529998779296882</v>
      </c>
      <c r="G1287" t="s">
        <v>465</v>
      </c>
      <c r="H1287">
        <v>24</v>
      </c>
      <c r="I1287">
        <v>14.14999961853027</v>
      </c>
      <c r="L1287" t="s">
        <v>466</v>
      </c>
      <c r="O1287">
        <v>61.9</v>
      </c>
      <c r="P1287">
        <v>94.9</v>
      </c>
      <c r="Q1287">
        <v>42</v>
      </c>
      <c r="R1287" s="3" t="s">
        <v>470</v>
      </c>
      <c r="S1287">
        <v>61.9</v>
      </c>
      <c r="T1287" t="s">
        <v>468</v>
      </c>
    </row>
    <row r="1288" spans="1:20" x14ac:dyDescent="0.25">
      <c r="A1288">
        <v>190</v>
      </c>
      <c r="B1288">
        <v>511672</v>
      </c>
      <c r="C1288" t="s">
        <v>237</v>
      </c>
      <c r="D1288">
        <v>2021</v>
      </c>
      <c r="E1288">
        <v>48.529998779296882</v>
      </c>
      <c r="G1288" t="s">
        <v>465</v>
      </c>
      <c r="H1288">
        <v>70.25</v>
      </c>
      <c r="I1288">
        <v>17.20000076293945</v>
      </c>
      <c r="L1288" t="s">
        <v>466</v>
      </c>
      <c r="O1288">
        <v>61.9</v>
      </c>
      <c r="P1288">
        <v>94.9</v>
      </c>
      <c r="Q1288">
        <v>42</v>
      </c>
      <c r="R1288" s="3" t="s">
        <v>470</v>
      </c>
      <c r="S1288">
        <v>61.9</v>
      </c>
      <c r="T1288" t="s">
        <v>468</v>
      </c>
    </row>
    <row r="1289" spans="1:20" x14ac:dyDescent="0.25">
      <c r="A1289">
        <v>190</v>
      </c>
      <c r="B1289">
        <v>511672</v>
      </c>
      <c r="C1289" t="s">
        <v>237</v>
      </c>
      <c r="D1289">
        <v>2022</v>
      </c>
      <c r="E1289">
        <v>48.529998779296882</v>
      </c>
      <c r="G1289" t="s">
        <v>465</v>
      </c>
      <c r="H1289">
        <v>55</v>
      </c>
      <c r="I1289">
        <v>27.20000076293945</v>
      </c>
      <c r="L1289" t="s">
        <v>466</v>
      </c>
      <c r="O1289">
        <v>61.9</v>
      </c>
      <c r="P1289">
        <v>94.9</v>
      </c>
      <c r="Q1289">
        <v>42</v>
      </c>
      <c r="R1289" s="3" t="s">
        <v>470</v>
      </c>
      <c r="S1289">
        <v>61.9</v>
      </c>
      <c r="T1289" t="s">
        <v>468</v>
      </c>
    </row>
    <row r="1290" spans="1:20" x14ac:dyDescent="0.25">
      <c r="A1290">
        <v>190</v>
      </c>
      <c r="B1290">
        <v>511672</v>
      </c>
      <c r="C1290" t="s">
        <v>237</v>
      </c>
      <c r="D1290">
        <v>2023</v>
      </c>
      <c r="E1290">
        <v>48.529998779296882</v>
      </c>
      <c r="F1290">
        <v>2.93</v>
      </c>
      <c r="G1290" t="s">
        <v>465</v>
      </c>
      <c r="H1290">
        <v>81</v>
      </c>
      <c r="I1290">
        <v>27.5</v>
      </c>
      <c r="L1290" t="s">
        <v>469</v>
      </c>
      <c r="M1290">
        <v>27.645051194539249</v>
      </c>
      <c r="N1290">
        <v>9.3856655290102378</v>
      </c>
      <c r="O1290">
        <v>61.9</v>
      </c>
      <c r="P1290">
        <v>94.9</v>
      </c>
      <c r="Q1290">
        <v>42</v>
      </c>
      <c r="R1290" s="3" t="s">
        <v>470</v>
      </c>
      <c r="S1290">
        <v>61.9</v>
      </c>
      <c r="T1290" t="s">
        <v>468</v>
      </c>
    </row>
    <row r="1291" spans="1:20" x14ac:dyDescent="0.25">
      <c r="A1291">
        <v>190</v>
      </c>
      <c r="B1291">
        <v>511672</v>
      </c>
      <c r="C1291" t="s">
        <v>237</v>
      </c>
      <c r="D1291">
        <v>2024</v>
      </c>
      <c r="E1291">
        <v>48.529998779296882</v>
      </c>
      <c r="F1291">
        <v>4.0199999999999996</v>
      </c>
      <c r="G1291" t="s">
        <v>465</v>
      </c>
      <c r="H1291">
        <v>94.900001525878906</v>
      </c>
      <c r="I1291">
        <v>42</v>
      </c>
      <c r="L1291" t="s">
        <v>469</v>
      </c>
      <c r="M1291">
        <v>23.606965553701219</v>
      </c>
      <c r="N1291">
        <v>10.44776119402985</v>
      </c>
      <c r="O1291">
        <v>61.9</v>
      </c>
      <c r="P1291">
        <v>94.9</v>
      </c>
      <c r="Q1291">
        <v>42</v>
      </c>
      <c r="R1291" s="3" t="s">
        <v>470</v>
      </c>
      <c r="S1291">
        <v>61.9</v>
      </c>
      <c r="T1291" t="s">
        <v>468</v>
      </c>
    </row>
    <row r="1292" spans="1:20" x14ac:dyDescent="0.25">
      <c r="A1292">
        <v>190</v>
      </c>
      <c r="B1292">
        <v>511672</v>
      </c>
      <c r="C1292" t="s">
        <v>237</v>
      </c>
      <c r="D1292">
        <v>2025</v>
      </c>
      <c r="E1292">
        <v>48.529998779296882</v>
      </c>
      <c r="F1292">
        <v>3.69</v>
      </c>
      <c r="G1292" t="s">
        <v>465</v>
      </c>
      <c r="H1292">
        <v>48.5</v>
      </c>
      <c r="I1292">
        <v>30</v>
      </c>
      <c r="L1292" t="s">
        <v>469</v>
      </c>
      <c r="M1292">
        <v>13.14363143631436</v>
      </c>
      <c r="N1292">
        <v>8.1300813008130088</v>
      </c>
      <c r="O1292">
        <v>61.9</v>
      </c>
      <c r="P1292">
        <v>94.9</v>
      </c>
      <c r="Q1292">
        <v>42</v>
      </c>
      <c r="R1292" s="3" t="s">
        <v>470</v>
      </c>
      <c r="S1292">
        <v>61.9</v>
      </c>
      <c r="T1292" t="s">
        <v>468</v>
      </c>
    </row>
    <row r="1293" spans="1:20" x14ac:dyDescent="0.25">
      <c r="A1293">
        <v>190</v>
      </c>
      <c r="B1293">
        <v>511672</v>
      </c>
      <c r="C1293" t="s">
        <v>237</v>
      </c>
      <c r="D1293">
        <v>2026</v>
      </c>
      <c r="E1293">
        <v>48.529998779296882</v>
      </c>
      <c r="F1293">
        <v>3.76</v>
      </c>
      <c r="G1293" t="s">
        <v>465</v>
      </c>
      <c r="H1293">
        <v>51.900001525878913</v>
      </c>
      <c r="I1293">
        <v>24.39999961853027</v>
      </c>
      <c r="L1293" t="s">
        <v>469</v>
      </c>
      <c r="M1293">
        <v>13.803191895180561</v>
      </c>
      <c r="N1293">
        <v>6.4893616006729449</v>
      </c>
      <c r="O1293">
        <v>61.9</v>
      </c>
      <c r="P1293">
        <v>94.9</v>
      </c>
      <c r="Q1293">
        <v>42</v>
      </c>
      <c r="R1293" s="3" t="s">
        <v>470</v>
      </c>
      <c r="S1293">
        <v>61.9</v>
      </c>
      <c r="T1293" t="s">
        <v>468</v>
      </c>
    </row>
    <row r="1294" spans="1:20" x14ac:dyDescent="0.25">
      <c r="A1294">
        <v>191</v>
      </c>
      <c r="B1294">
        <v>511696</v>
      </c>
      <c r="C1294" t="s">
        <v>239</v>
      </c>
      <c r="D1294">
        <v>2015</v>
      </c>
      <c r="E1294">
        <v>260.29998779296881</v>
      </c>
      <c r="F1294">
        <v>2.36</v>
      </c>
      <c r="G1294" t="s">
        <v>465</v>
      </c>
      <c r="H1294">
        <v>52.200000762939453</v>
      </c>
      <c r="I1294">
        <v>34.799999237060547</v>
      </c>
      <c r="L1294" t="s">
        <v>469</v>
      </c>
      <c r="M1294">
        <v>22.118644391076039</v>
      </c>
      <c r="N1294">
        <v>14.74576238858498</v>
      </c>
      <c r="O1294">
        <v>221.35</v>
      </c>
      <c r="P1294">
        <v>373</v>
      </c>
      <c r="Q1294">
        <v>202.4</v>
      </c>
      <c r="R1294" s="3" t="s">
        <v>470</v>
      </c>
      <c r="S1294">
        <v>221.35</v>
      </c>
      <c r="T1294" t="s">
        <v>468</v>
      </c>
    </row>
    <row r="1295" spans="1:20" x14ac:dyDescent="0.25">
      <c r="A1295">
        <v>191</v>
      </c>
      <c r="B1295">
        <v>511696</v>
      </c>
      <c r="C1295" t="s">
        <v>239</v>
      </c>
      <c r="D1295">
        <v>2016</v>
      </c>
      <c r="E1295">
        <v>260.29998779296881</v>
      </c>
      <c r="F1295">
        <v>5.21</v>
      </c>
      <c r="G1295" t="s">
        <v>465</v>
      </c>
      <c r="H1295">
        <v>55.200000762939453</v>
      </c>
      <c r="I1295">
        <v>35</v>
      </c>
      <c r="L1295" t="s">
        <v>469</v>
      </c>
      <c r="M1295">
        <v>10.5950097433665</v>
      </c>
      <c r="N1295">
        <v>6.7178502879078694</v>
      </c>
      <c r="O1295">
        <v>221.35</v>
      </c>
      <c r="P1295">
        <v>373</v>
      </c>
      <c r="Q1295">
        <v>202.4</v>
      </c>
      <c r="R1295" s="3" t="s">
        <v>470</v>
      </c>
      <c r="S1295">
        <v>221.35</v>
      </c>
      <c r="T1295" t="s">
        <v>468</v>
      </c>
    </row>
    <row r="1296" spans="1:20" x14ac:dyDescent="0.25">
      <c r="A1296">
        <v>191</v>
      </c>
      <c r="B1296">
        <v>511696</v>
      </c>
      <c r="C1296" t="s">
        <v>239</v>
      </c>
      <c r="D1296">
        <v>2017</v>
      </c>
      <c r="E1296">
        <v>260.29998779296881</v>
      </c>
      <c r="F1296">
        <v>7.8</v>
      </c>
      <c r="G1296" t="s">
        <v>465</v>
      </c>
      <c r="H1296">
        <v>100.0500030517578</v>
      </c>
      <c r="I1296">
        <v>40.349998474121087</v>
      </c>
      <c r="L1296" t="s">
        <v>469</v>
      </c>
      <c r="M1296">
        <v>12.82692346817408</v>
      </c>
      <c r="N1296">
        <v>5.1730767274514218</v>
      </c>
      <c r="O1296">
        <v>221.35</v>
      </c>
      <c r="P1296">
        <v>373</v>
      </c>
      <c r="Q1296">
        <v>202.4</v>
      </c>
      <c r="R1296" s="3" t="s">
        <v>470</v>
      </c>
      <c r="S1296">
        <v>221.35</v>
      </c>
      <c r="T1296" t="s">
        <v>468</v>
      </c>
    </row>
    <row r="1297" spans="1:20" x14ac:dyDescent="0.25">
      <c r="A1297">
        <v>191</v>
      </c>
      <c r="B1297">
        <v>511696</v>
      </c>
      <c r="C1297" t="s">
        <v>239</v>
      </c>
      <c r="D1297">
        <v>2018</v>
      </c>
      <c r="E1297">
        <v>260.29998779296881</v>
      </c>
      <c r="F1297">
        <v>3.52</v>
      </c>
      <c r="G1297" t="s">
        <v>465</v>
      </c>
      <c r="H1297">
        <v>71.400001525878906</v>
      </c>
      <c r="I1297">
        <v>49</v>
      </c>
      <c r="L1297" t="s">
        <v>469</v>
      </c>
      <c r="M1297">
        <v>20.284091342579231</v>
      </c>
      <c r="N1297">
        <v>13.92045454545454</v>
      </c>
      <c r="O1297">
        <v>221.35</v>
      </c>
      <c r="P1297">
        <v>373</v>
      </c>
      <c r="Q1297">
        <v>202.4</v>
      </c>
      <c r="R1297" s="3" t="s">
        <v>470</v>
      </c>
      <c r="S1297">
        <v>221.35</v>
      </c>
      <c r="T1297" t="s">
        <v>468</v>
      </c>
    </row>
    <row r="1298" spans="1:20" x14ac:dyDescent="0.25">
      <c r="A1298">
        <v>191</v>
      </c>
      <c r="B1298">
        <v>511696</v>
      </c>
      <c r="C1298" t="s">
        <v>239</v>
      </c>
      <c r="D1298">
        <v>2019</v>
      </c>
      <c r="E1298">
        <v>260.29998779296881</v>
      </c>
      <c r="F1298">
        <v>1.93</v>
      </c>
      <c r="G1298" t="s">
        <v>465</v>
      </c>
      <c r="H1298">
        <v>62.400001525878913</v>
      </c>
      <c r="I1298">
        <v>48.799999237060547</v>
      </c>
      <c r="L1298" t="s">
        <v>469</v>
      </c>
      <c r="M1298">
        <v>32.331607008227422</v>
      </c>
      <c r="N1298">
        <v>25.284973697958829</v>
      </c>
      <c r="O1298">
        <v>221.35</v>
      </c>
      <c r="P1298">
        <v>373</v>
      </c>
      <c r="Q1298">
        <v>202.4</v>
      </c>
      <c r="R1298" s="3" t="s">
        <v>470</v>
      </c>
      <c r="S1298">
        <v>221.35</v>
      </c>
      <c r="T1298" t="s">
        <v>468</v>
      </c>
    </row>
    <row r="1299" spans="1:20" x14ac:dyDescent="0.25">
      <c r="A1299">
        <v>191</v>
      </c>
      <c r="B1299">
        <v>511696</v>
      </c>
      <c r="C1299" t="s">
        <v>239</v>
      </c>
      <c r="D1299">
        <v>2020</v>
      </c>
      <c r="E1299">
        <v>260.29998779296881</v>
      </c>
      <c r="F1299">
        <v>-1.59</v>
      </c>
      <c r="G1299" t="s">
        <v>465</v>
      </c>
      <c r="H1299">
        <v>66</v>
      </c>
      <c r="I1299">
        <v>47.450000762939453</v>
      </c>
      <c r="L1299" t="s">
        <v>471</v>
      </c>
      <c r="M1299">
        <v>-41.509433962264147</v>
      </c>
      <c r="N1299">
        <v>-29.842767775433622</v>
      </c>
      <c r="O1299">
        <v>221.35</v>
      </c>
      <c r="P1299">
        <v>373</v>
      </c>
      <c r="Q1299">
        <v>202.4</v>
      </c>
      <c r="R1299" s="3" t="s">
        <v>470</v>
      </c>
      <c r="S1299">
        <v>221.35</v>
      </c>
      <c r="T1299" t="s">
        <v>468</v>
      </c>
    </row>
    <row r="1300" spans="1:20" x14ac:dyDescent="0.25">
      <c r="A1300">
        <v>191</v>
      </c>
      <c r="B1300">
        <v>511696</v>
      </c>
      <c r="C1300" t="s">
        <v>239</v>
      </c>
      <c r="D1300">
        <v>2021</v>
      </c>
      <c r="E1300">
        <v>260.29998779296881</v>
      </c>
      <c r="F1300">
        <v>1.49</v>
      </c>
      <c r="G1300" t="s">
        <v>465</v>
      </c>
      <c r="H1300">
        <v>73.900001525878906</v>
      </c>
      <c r="I1300">
        <v>45.950000762939453</v>
      </c>
      <c r="L1300" t="s">
        <v>469</v>
      </c>
      <c r="M1300">
        <v>49.597316460321423</v>
      </c>
      <c r="N1300">
        <v>30.838926686536549</v>
      </c>
      <c r="O1300">
        <v>221.35</v>
      </c>
      <c r="P1300">
        <v>373</v>
      </c>
      <c r="Q1300">
        <v>202.4</v>
      </c>
      <c r="R1300" s="3" t="s">
        <v>470</v>
      </c>
      <c r="S1300">
        <v>221.35</v>
      </c>
      <c r="T1300" t="s">
        <v>468</v>
      </c>
    </row>
    <row r="1301" spans="1:20" x14ac:dyDescent="0.25">
      <c r="A1301">
        <v>191</v>
      </c>
      <c r="B1301">
        <v>511696</v>
      </c>
      <c r="C1301" t="s">
        <v>239</v>
      </c>
      <c r="D1301">
        <v>2022</v>
      </c>
      <c r="E1301">
        <v>260.29998779296881</v>
      </c>
      <c r="F1301">
        <v>-7.0000000000000007E-2</v>
      </c>
      <c r="G1301" t="s">
        <v>465</v>
      </c>
      <c r="H1301">
        <v>148.80000305175781</v>
      </c>
      <c r="I1301">
        <v>65.699996948242188</v>
      </c>
      <c r="L1301" t="s">
        <v>471</v>
      </c>
      <c r="M1301">
        <v>-2125.7143293108261</v>
      </c>
      <c r="N1301">
        <v>-938.57138497488836</v>
      </c>
      <c r="O1301">
        <v>221.35</v>
      </c>
      <c r="P1301">
        <v>373</v>
      </c>
      <c r="Q1301">
        <v>202.4</v>
      </c>
      <c r="R1301" s="3" t="s">
        <v>470</v>
      </c>
      <c r="S1301">
        <v>221.35</v>
      </c>
      <c r="T1301" t="s">
        <v>468</v>
      </c>
    </row>
    <row r="1302" spans="1:20" x14ac:dyDescent="0.25">
      <c r="A1302">
        <v>191</v>
      </c>
      <c r="B1302">
        <v>511696</v>
      </c>
      <c r="C1302" t="s">
        <v>239</v>
      </c>
      <c r="D1302">
        <v>2023</v>
      </c>
      <c r="E1302">
        <v>260.29998779296881</v>
      </c>
      <c r="F1302">
        <v>1.1000000000000001</v>
      </c>
      <c r="G1302" t="s">
        <v>465</v>
      </c>
      <c r="H1302">
        <v>270.35000610351563</v>
      </c>
      <c r="I1302">
        <v>117.09999847412109</v>
      </c>
      <c r="L1302" t="s">
        <v>469</v>
      </c>
      <c r="M1302">
        <v>245.77273282137779</v>
      </c>
      <c r="N1302">
        <v>106.4545440673828</v>
      </c>
      <c r="O1302">
        <v>221.35</v>
      </c>
      <c r="P1302">
        <v>373</v>
      </c>
      <c r="Q1302">
        <v>202.4</v>
      </c>
      <c r="R1302" s="3" t="s">
        <v>470</v>
      </c>
      <c r="S1302">
        <v>221.35</v>
      </c>
      <c r="T1302" t="s">
        <v>468</v>
      </c>
    </row>
    <row r="1303" spans="1:20" x14ac:dyDescent="0.25">
      <c r="A1303">
        <v>191</v>
      </c>
      <c r="B1303">
        <v>511696</v>
      </c>
      <c r="C1303" t="s">
        <v>239</v>
      </c>
      <c r="D1303">
        <v>2024</v>
      </c>
      <c r="E1303">
        <v>260.29998779296881</v>
      </c>
      <c r="F1303">
        <v>18.03</v>
      </c>
      <c r="G1303" t="s">
        <v>465</v>
      </c>
      <c r="H1303">
        <v>373</v>
      </c>
      <c r="I1303">
        <v>202.3999938964844</v>
      </c>
      <c r="L1303" t="s">
        <v>469</v>
      </c>
      <c r="M1303">
        <v>20.68774265113699</v>
      </c>
      <c r="N1303">
        <v>11.225734547780609</v>
      </c>
      <c r="O1303">
        <v>221.35</v>
      </c>
      <c r="P1303">
        <v>373</v>
      </c>
      <c r="Q1303">
        <v>202.4</v>
      </c>
      <c r="R1303" s="3" t="s">
        <v>470</v>
      </c>
      <c r="S1303">
        <v>221.35</v>
      </c>
      <c r="T1303" t="s">
        <v>468</v>
      </c>
    </row>
    <row r="1304" spans="1:20" x14ac:dyDescent="0.25">
      <c r="A1304">
        <v>191</v>
      </c>
      <c r="B1304">
        <v>511696</v>
      </c>
      <c r="C1304" t="s">
        <v>239</v>
      </c>
      <c r="D1304">
        <v>2025</v>
      </c>
      <c r="E1304">
        <v>260.29998779296881</v>
      </c>
      <c r="F1304">
        <v>17.899999999999999</v>
      </c>
      <c r="G1304" t="s">
        <v>465</v>
      </c>
      <c r="H1304">
        <v>439</v>
      </c>
      <c r="I1304">
        <v>200.05000305175781</v>
      </c>
      <c r="L1304" t="s">
        <v>469</v>
      </c>
      <c r="M1304">
        <v>24.52513966480447</v>
      </c>
      <c r="N1304">
        <v>11.175977824120549</v>
      </c>
      <c r="O1304">
        <v>221.35</v>
      </c>
      <c r="P1304">
        <v>373</v>
      </c>
      <c r="Q1304">
        <v>202.4</v>
      </c>
      <c r="R1304" s="3" t="s">
        <v>470</v>
      </c>
      <c r="S1304">
        <v>221.35</v>
      </c>
      <c r="T1304" t="s">
        <v>468</v>
      </c>
    </row>
    <row r="1305" spans="1:20" x14ac:dyDescent="0.25">
      <c r="A1305">
        <v>191</v>
      </c>
      <c r="B1305">
        <v>511696</v>
      </c>
      <c r="C1305" t="s">
        <v>239</v>
      </c>
      <c r="D1305">
        <v>2026</v>
      </c>
      <c r="E1305">
        <v>260.29998779296881</v>
      </c>
      <c r="F1305">
        <v>9</v>
      </c>
      <c r="G1305" t="s">
        <v>465</v>
      </c>
      <c r="H1305">
        <v>292</v>
      </c>
      <c r="I1305">
        <v>225.05000305175781</v>
      </c>
      <c r="L1305" t="s">
        <v>469</v>
      </c>
      <c r="M1305">
        <v>32.444444444444443</v>
      </c>
      <c r="N1305">
        <v>25.005555894639759</v>
      </c>
      <c r="O1305">
        <v>221.35</v>
      </c>
      <c r="P1305">
        <v>373</v>
      </c>
      <c r="Q1305">
        <v>202.4</v>
      </c>
      <c r="R1305" s="3" t="s">
        <v>470</v>
      </c>
      <c r="S1305">
        <v>221.35</v>
      </c>
      <c r="T1305" t="s">
        <v>468</v>
      </c>
    </row>
    <row r="1306" spans="1:20" x14ac:dyDescent="0.25">
      <c r="A1306">
        <v>192</v>
      </c>
      <c r="B1306">
        <v>511700</v>
      </c>
      <c r="C1306" t="s">
        <v>241</v>
      </c>
      <c r="D1306">
        <v>2015</v>
      </c>
      <c r="E1306">
        <v>0.40000000596046448</v>
      </c>
      <c r="G1306" t="s">
        <v>465</v>
      </c>
      <c r="L1306" t="s">
        <v>466</v>
      </c>
      <c r="O1306">
        <v>1.54</v>
      </c>
      <c r="P1306">
        <v>3.52</v>
      </c>
      <c r="Q1306">
        <v>0.83</v>
      </c>
      <c r="R1306" s="3" t="s">
        <v>470</v>
      </c>
      <c r="S1306">
        <v>1.54</v>
      </c>
      <c r="T1306" t="s">
        <v>468</v>
      </c>
    </row>
    <row r="1307" spans="1:20" x14ac:dyDescent="0.25">
      <c r="A1307">
        <v>192</v>
      </c>
      <c r="B1307">
        <v>511700</v>
      </c>
      <c r="C1307" t="s">
        <v>241</v>
      </c>
      <c r="D1307">
        <v>2016</v>
      </c>
      <c r="E1307">
        <v>0.40000000596046448</v>
      </c>
      <c r="G1307" t="s">
        <v>465</v>
      </c>
      <c r="L1307" t="s">
        <v>466</v>
      </c>
      <c r="O1307">
        <v>1.54</v>
      </c>
      <c r="P1307">
        <v>3.52</v>
      </c>
      <c r="Q1307">
        <v>0.83</v>
      </c>
      <c r="R1307" s="3" t="s">
        <v>470</v>
      </c>
      <c r="S1307">
        <v>1.54</v>
      </c>
      <c r="T1307" t="s">
        <v>468</v>
      </c>
    </row>
    <row r="1308" spans="1:20" x14ac:dyDescent="0.25">
      <c r="A1308">
        <v>192</v>
      </c>
      <c r="B1308">
        <v>511700</v>
      </c>
      <c r="C1308" t="s">
        <v>241</v>
      </c>
      <c r="D1308">
        <v>2017</v>
      </c>
      <c r="E1308">
        <v>0.40000000596046448</v>
      </c>
      <c r="G1308" t="s">
        <v>465</v>
      </c>
      <c r="L1308" t="s">
        <v>466</v>
      </c>
      <c r="O1308">
        <v>1.54</v>
      </c>
      <c r="P1308">
        <v>3.52</v>
      </c>
      <c r="Q1308">
        <v>0.83</v>
      </c>
      <c r="R1308" s="3" t="s">
        <v>470</v>
      </c>
      <c r="S1308">
        <v>1.54</v>
      </c>
      <c r="T1308" t="s">
        <v>468</v>
      </c>
    </row>
    <row r="1309" spans="1:20" x14ac:dyDescent="0.25">
      <c r="A1309">
        <v>192</v>
      </c>
      <c r="B1309">
        <v>511700</v>
      </c>
      <c r="C1309" t="s">
        <v>241</v>
      </c>
      <c r="D1309">
        <v>2018</v>
      </c>
      <c r="E1309">
        <v>0.40000000596046448</v>
      </c>
      <c r="F1309">
        <v>0.01</v>
      </c>
      <c r="G1309" t="s">
        <v>465</v>
      </c>
      <c r="L1309" t="s">
        <v>466</v>
      </c>
      <c r="O1309">
        <v>1.54</v>
      </c>
      <c r="P1309">
        <v>3.52</v>
      </c>
      <c r="Q1309">
        <v>0.83</v>
      </c>
      <c r="R1309" s="3" t="s">
        <v>470</v>
      </c>
      <c r="S1309">
        <v>1.54</v>
      </c>
      <c r="T1309" t="s">
        <v>468</v>
      </c>
    </row>
    <row r="1310" spans="1:20" x14ac:dyDescent="0.25">
      <c r="A1310">
        <v>192</v>
      </c>
      <c r="B1310">
        <v>511700</v>
      </c>
      <c r="C1310" t="s">
        <v>241</v>
      </c>
      <c r="D1310">
        <v>2019</v>
      </c>
      <c r="E1310">
        <v>0.40000000596046448</v>
      </c>
      <c r="F1310">
        <v>0.01</v>
      </c>
      <c r="G1310" t="s">
        <v>465</v>
      </c>
      <c r="L1310" t="s">
        <v>466</v>
      </c>
      <c r="O1310">
        <v>1.54</v>
      </c>
      <c r="P1310">
        <v>3.52</v>
      </c>
      <c r="Q1310">
        <v>0.83</v>
      </c>
      <c r="R1310" s="3" t="s">
        <v>470</v>
      </c>
      <c r="S1310">
        <v>1.54</v>
      </c>
      <c r="T1310" t="s">
        <v>468</v>
      </c>
    </row>
    <row r="1311" spans="1:20" x14ac:dyDescent="0.25">
      <c r="A1311">
        <v>192</v>
      </c>
      <c r="B1311">
        <v>511700</v>
      </c>
      <c r="C1311" t="s">
        <v>241</v>
      </c>
      <c r="D1311">
        <v>2020</v>
      </c>
      <c r="E1311">
        <v>0.40000000596046448</v>
      </c>
      <c r="G1311" t="s">
        <v>465</v>
      </c>
      <c r="L1311" t="s">
        <v>466</v>
      </c>
      <c r="O1311">
        <v>1.54</v>
      </c>
      <c r="P1311">
        <v>3.52</v>
      </c>
      <c r="Q1311">
        <v>0.83</v>
      </c>
      <c r="R1311" s="3" t="s">
        <v>470</v>
      </c>
      <c r="S1311">
        <v>1.54</v>
      </c>
      <c r="T1311" t="s">
        <v>468</v>
      </c>
    </row>
    <row r="1312" spans="1:20" x14ac:dyDescent="0.25">
      <c r="A1312">
        <v>192</v>
      </c>
      <c r="B1312">
        <v>511700</v>
      </c>
      <c r="C1312" t="s">
        <v>241</v>
      </c>
      <c r="D1312">
        <v>2021</v>
      </c>
      <c r="E1312">
        <v>0.40000000596046448</v>
      </c>
      <c r="F1312">
        <v>-0.06</v>
      </c>
      <c r="G1312" t="s">
        <v>465</v>
      </c>
      <c r="L1312" t="s">
        <v>466</v>
      </c>
      <c r="O1312">
        <v>1.54</v>
      </c>
      <c r="P1312">
        <v>3.52</v>
      </c>
      <c r="Q1312">
        <v>0.83</v>
      </c>
      <c r="R1312" s="3" t="s">
        <v>470</v>
      </c>
      <c r="S1312">
        <v>1.54</v>
      </c>
      <c r="T1312" t="s">
        <v>468</v>
      </c>
    </row>
    <row r="1313" spans="1:20" x14ac:dyDescent="0.25">
      <c r="A1313">
        <v>192</v>
      </c>
      <c r="B1313">
        <v>511700</v>
      </c>
      <c r="C1313" t="s">
        <v>241</v>
      </c>
      <c r="D1313">
        <v>2022</v>
      </c>
      <c r="E1313">
        <v>0.40000000596046448</v>
      </c>
      <c r="F1313">
        <v>0.01</v>
      </c>
      <c r="G1313" t="s">
        <v>465</v>
      </c>
      <c r="L1313" t="s">
        <v>466</v>
      </c>
      <c r="O1313">
        <v>1.54</v>
      </c>
      <c r="P1313">
        <v>3.52</v>
      </c>
      <c r="Q1313">
        <v>0.83</v>
      </c>
      <c r="R1313" s="3" t="s">
        <v>470</v>
      </c>
      <c r="S1313">
        <v>1.54</v>
      </c>
      <c r="T1313" t="s">
        <v>468</v>
      </c>
    </row>
    <row r="1314" spans="1:20" x14ac:dyDescent="0.25">
      <c r="A1314">
        <v>192</v>
      </c>
      <c r="B1314">
        <v>511700</v>
      </c>
      <c r="C1314" t="s">
        <v>241</v>
      </c>
      <c r="D1314">
        <v>2023</v>
      </c>
      <c r="E1314">
        <v>0.40000000596046448</v>
      </c>
      <c r="F1314">
        <v>0.02</v>
      </c>
      <c r="G1314" t="s">
        <v>465</v>
      </c>
      <c r="H1314">
        <v>3.2000000476837158</v>
      </c>
      <c r="L1314" t="s">
        <v>484</v>
      </c>
      <c r="M1314">
        <v>160.00000238418579</v>
      </c>
      <c r="O1314">
        <v>1.54</v>
      </c>
      <c r="P1314">
        <v>3.52</v>
      </c>
      <c r="Q1314">
        <v>0.83</v>
      </c>
      <c r="R1314" s="3" t="s">
        <v>470</v>
      </c>
      <c r="S1314">
        <v>1.54</v>
      </c>
      <c r="T1314" t="s">
        <v>468</v>
      </c>
    </row>
    <row r="1315" spans="1:20" x14ac:dyDescent="0.25">
      <c r="A1315">
        <v>192</v>
      </c>
      <c r="B1315">
        <v>511700</v>
      </c>
      <c r="C1315" t="s">
        <v>241</v>
      </c>
      <c r="D1315">
        <v>2024</v>
      </c>
      <c r="E1315">
        <v>0.40000000596046448</v>
      </c>
      <c r="F1315">
        <v>7.0000000000000007E-2</v>
      </c>
      <c r="G1315" t="s">
        <v>465</v>
      </c>
      <c r="H1315">
        <v>3.5199999809265141</v>
      </c>
      <c r="L1315" t="s">
        <v>484</v>
      </c>
      <c r="M1315">
        <v>50.285714013235911</v>
      </c>
      <c r="O1315">
        <v>1.54</v>
      </c>
      <c r="P1315">
        <v>3.52</v>
      </c>
      <c r="Q1315">
        <v>0.83</v>
      </c>
      <c r="R1315" s="3" t="s">
        <v>470</v>
      </c>
      <c r="S1315">
        <v>1.54</v>
      </c>
      <c r="T1315" t="s">
        <v>468</v>
      </c>
    </row>
    <row r="1316" spans="1:20" x14ac:dyDescent="0.25">
      <c r="A1316">
        <v>192</v>
      </c>
      <c r="B1316">
        <v>511700</v>
      </c>
      <c r="C1316" t="s">
        <v>241</v>
      </c>
      <c r="D1316">
        <v>2025</v>
      </c>
      <c r="E1316">
        <v>0.40000000596046448</v>
      </c>
      <c r="F1316">
        <v>0.16</v>
      </c>
      <c r="G1316" t="s">
        <v>465</v>
      </c>
      <c r="L1316" t="s">
        <v>466</v>
      </c>
      <c r="O1316">
        <v>1.54</v>
      </c>
      <c r="P1316">
        <v>3.52</v>
      </c>
      <c r="Q1316">
        <v>0.83</v>
      </c>
      <c r="R1316" s="3" t="s">
        <v>470</v>
      </c>
      <c r="S1316">
        <v>1.54</v>
      </c>
      <c r="T1316" t="s">
        <v>468</v>
      </c>
    </row>
    <row r="1317" spans="1:20" x14ac:dyDescent="0.25">
      <c r="A1317">
        <v>192</v>
      </c>
      <c r="B1317">
        <v>511700</v>
      </c>
      <c r="C1317" t="s">
        <v>241</v>
      </c>
      <c r="D1317">
        <v>2026</v>
      </c>
      <c r="E1317">
        <v>0.40000000596046448</v>
      </c>
      <c r="F1317">
        <v>0.33</v>
      </c>
      <c r="G1317" t="s">
        <v>465</v>
      </c>
      <c r="L1317" t="s">
        <v>466</v>
      </c>
      <c r="O1317">
        <v>1.54</v>
      </c>
      <c r="P1317">
        <v>3.52</v>
      </c>
      <c r="Q1317">
        <v>0.83</v>
      </c>
      <c r="R1317" s="3" t="s">
        <v>470</v>
      </c>
      <c r="S1317">
        <v>1.54</v>
      </c>
      <c r="T1317" t="s">
        <v>468</v>
      </c>
    </row>
    <row r="1318" spans="1:20" x14ac:dyDescent="0.25">
      <c r="A1318">
        <v>194</v>
      </c>
      <c r="B1318">
        <v>511760</v>
      </c>
      <c r="C1318" t="s">
        <v>243</v>
      </c>
      <c r="D1318">
        <v>2015</v>
      </c>
      <c r="E1318">
        <v>0.40000000596046448</v>
      </c>
      <c r="F1318">
        <v>-0.01</v>
      </c>
      <c r="G1318" t="s">
        <v>465</v>
      </c>
      <c r="L1318" t="s">
        <v>466</v>
      </c>
      <c r="O1318">
        <v>0.98</v>
      </c>
      <c r="P1318">
        <v>1.39</v>
      </c>
      <c r="Q1318">
        <v>0.66</v>
      </c>
      <c r="R1318" s="3" t="s">
        <v>470</v>
      </c>
      <c r="S1318">
        <v>0.98</v>
      </c>
      <c r="T1318" t="s">
        <v>468</v>
      </c>
    </row>
    <row r="1319" spans="1:20" x14ac:dyDescent="0.25">
      <c r="A1319">
        <v>194</v>
      </c>
      <c r="B1319">
        <v>511760</v>
      </c>
      <c r="C1319" t="s">
        <v>243</v>
      </c>
      <c r="D1319">
        <v>2016</v>
      </c>
      <c r="E1319">
        <v>0.40000000596046448</v>
      </c>
      <c r="F1319">
        <v>-0.01</v>
      </c>
      <c r="G1319" t="s">
        <v>465</v>
      </c>
      <c r="L1319" t="s">
        <v>466</v>
      </c>
      <c r="O1319">
        <v>0.98</v>
      </c>
      <c r="P1319">
        <v>1.39</v>
      </c>
      <c r="Q1319">
        <v>0.66</v>
      </c>
      <c r="R1319" s="3" t="s">
        <v>470</v>
      </c>
      <c r="S1319">
        <v>0.98</v>
      </c>
      <c r="T1319" t="s">
        <v>468</v>
      </c>
    </row>
    <row r="1320" spans="1:20" x14ac:dyDescent="0.25">
      <c r="A1320">
        <v>194</v>
      </c>
      <c r="B1320">
        <v>511760</v>
      </c>
      <c r="C1320" t="s">
        <v>243</v>
      </c>
      <c r="D1320">
        <v>2017</v>
      </c>
      <c r="E1320">
        <v>0.40000000596046448</v>
      </c>
      <c r="F1320">
        <v>-0.01</v>
      </c>
      <c r="G1320" t="s">
        <v>465</v>
      </c>
      <c r="L1320" t="s">
        <v>466</v>
      </c>
      <c r="O1320">
        <v>0.98</v>
      </c>
      <c r="P1320">
        <v>1.39</v>
      </c>
      <c r="Q1320">
        <v>0.66</v>
      </c>
      <c r="R1320" s="3" t="s">
        <v>470</v>
      </c>
      <c r="S1320">
        <v>0.98</v>
      </c>
      <c r="T1320" t="s">
        <v>468</v>
      </c>
    </row>
    <row r="1321" spans="1:20" x14ac:dyDescent="0.25">
      <c r="A1321">
        <v>194</v>
      </c>
      <c r="B1321">
        <v>511760</v>
      </c>
      <c r="C1321" t="s">
        <v>243</v>
      </c>
      <c r="D1321">
        <v>2018</v>
      </c>
      <c r="E1321">
        <v>0.40000000596046448</v>
      </c>
      <c r="F1321">
        <v>-0.02</v>
      </c>
      <c r="G1321" t="s">
        <v>465</v>
      </c>
      <c r="L1321" t="s">
        <v>466</v>
      </c>
      <c r="O1321">
        <v>0.98</v>
      </c>
      <c r="P1321">
        <v>1.39</v>
      </c>
      <c r="Q1321">
        <v>0.66</v>
      </c>
      <c r="R1321" s="3" t="s">
        <v>470</v>
      </c>
      <c r="S1321">
        <v>0.98</v>
      </c>
      <c r="T1321" t="s">
        <v>468</v>
      </c>
    </row>
    <row r="1322" spans="1:20" x14ac:dyDescent="0.25">
      <c r="A1322">
        <v>194</v>
      </c>
      <c r="B1322">
        <v>511760</v>
      </c>
      <c r="C1322" t="s">
        <v>243</v>
      </c>
      <c r="D1322">
        <v>2019</v>
      </c>
      <c r="E1322">
        <v>0.40000000596046448</v>
      </c>
      <c r="F1322">
        <v>-0.27</v>
      </c>
      <c r="G1322" t="s">
        <v>465</v>
      </c>
      <c r="L1322" t="s">
        <v>466</v>
      </c>
      <c r="O1322">
        <v>0.98</v>
      </c>
      <c r="P1322">
        <v>1.39</v>
      </c>
      <c r="Q1322">
        <v>0.66</v>
      </c>
      <c r="R1322" s="3" t="s">
        <v>470</v>
      </c>
      <c r="S1322">
        <v>0.98</v>
      </c>
      <c r="T1322" t="s">
        <v>468</v>
      </c>
    </row>
    <row r="1323" spans="1:20" x14ac:dyDescent="0.25">
      <c r="A1323">
        <v>194</v>
      </c>
      <c r="B1323">
        <v>511760</v>
      </c>
      <c r="C1323" t="s">
        <v>243</v>
      </c>
      <c r="D1323">
        <v>2020</v>
      </c>
      <c r="E1323">
        <v>0.40000000596046448</v>
      </c>
      <c r="F1323">
        <v>-0.19</v>
      </c>
      <c r="G1323" t="s">
        <v>465</v>
      </c>
      <c r="L1323" t="s">
        <v>466</v>
      </c>
      <c r="O1323">
        <v>0.98</v>
      </c>
      <c r="P1323">
        <v>1.39</v>
      </c>
      <c r="Q1323">
        <v>0.66</v>
      </c>
      <c r="R1323" s="3" t="s">
        <v>470</v>
      </c>
      <c r="S1323">
        <v>0.98</v>
      </c>
      <c r="T1323" t="s">
        <v>468</v>
      </c>
    </row>
    <row r="1324" spans="1:20" x14ac:dyDescent="0.25">
      <c r="A1324">
        <v>194</v>
      </c>
      <c r="B1324">
        <v>511760</v>
      </c>
      <c r="C1324" t="s">
        <v>243</v>
      </c>
      <c r="D1324">
        <v>2021</v>
      </c>
      <c r="E1324">
        <v>0.40000000596046448</v>
      </c>
      <c r="F1324">
        <v>-0.11</v>
      </c>
      <c r="G1324" t="s">
        <v>465</v>
      </c>
      <c r="L1324" t="s">
        <v>466</v>
      </c>
      <c r="O1324">
        <v>0.98</v>
      </c>
      <c r="P1324">
        <v>1.39</v>
      </c>
      <c r="Q1324">
        <v>0.66</v>
      </c>
      <c r="R1324" s="3" t="s">
        <v>470</v>
      </c>
      <c r="S1324">
        <v>0.98</v>
      </c>
      <c r="T1324" t="s">
        <v>468</v>
      </c>
    </row>
    <row r="1325" spans="1:20" x14ac:dyDescent="0.25">
      <c r="A1325">
        <v>194</v>
      </c>
      <c r="B1325">
        <v>511760</v>
      </c>
      <c r="C1325" t="s">
        <v>243</v>
      </c>
      <c r="D1325">
        <v>2022</v>
      </c>
      <c r="E1325">
        <v>0.40000000596046448</v>
      </c>
      <c r="G1325" t="s">
        <v>465</v>
      </c>
      <c r="H1325">
        <v>1.389999985694885</v>
      </c>
      <c r="L1325" t="s">
        <v>466</v>
      </c>
      <c r="O1325">
        <v>0.98</v>
      </c>
      <c r="P1325">
        <v>1.39</v>
      </c>
      <c r="Q1325">
        <v>0.66</v>
      </c>
      <c r="R1325" s="3" t="s">
        <v>470</v>
      </c>
      <c r="S1325">
        <v>0.98</v>
      </c>
      <c r="T1325" t="s">
        <v>468</v>
      </c>
    </row>
    <row r="1326" spans="1:20" x14ac:dyDescent="0.25">
      <c r="A1326">
        <v>194</v>
      </c>
      <c r="B1326">
        <v>511760</v>
      </c>
      <c r="C1326" t="s">
        <v>243</v>
      </c>
      <c r="D1326">
        <v>2023</v>
      </c>
      <c r="E1326">
        <v>0.40000000596046448</v>
      </c>
      <c r="F1326">
        <v>0.01</v>
      </c>
      <c r="G1326" t="s">
        <v>465</v>
      </c>
      <c r="L1326" t="s">
        <v>466</v>
      </c>
      <c r="O1326">
        <v>0.98</v>
      </c>
      <c r="P1326">
        <v>1.39</v>
      </c>
      <c r="Q1326">
        <v>0.66</v>
      </c>
      <c r="R1326" s="3" t="s">
        <v>470</v>
      </c>
      <c r="S1326">
        <v>0.98</v>
      </c>
      <c r="T1326" t="s">
        <v>468</v>
      </c>
    </row>
    <row r="1327" spans="1:20" x14ac:dyDescent="0.25">
      <c r="A1327">
        <v>194</v>
      </c>
      <c r="B1327">
        <v>511760</v>
      </c>
      <c r="C1327" t="s">
        <v>243</v>
      </c>
      <c r="D1327">
        <v>2024</v>
      </c>
      <c r="E1327">
        <v>0.40000000596046448</v>
      </c>
      <c r="F1327">
        <v>0.25</v>
      </c>
      <c r="G1327" t="s">
        <v>465</v>
      </c>
      <c r="H1327">
        <v>1.389999985694885</v>
      </c>
      <c r="L1327" t="s">
        <v>484</v>
      </c>
      <c r="M1327">
        <v>5.5599999427795401</v>
      </c>
      <c r="O1327">
        <v>0.98</v>
      </c>
      <c r="P1327">
        <v>1.39</v>
      </c>
      <c r="Q1327">
        <v>0.66</v>
      </c>
      <c r="R1327" s="3" t="s">
        <v>470</v>
      </c>
      <c r="S1327">
        <v>0.98</v>
      </c>
      <c r="T1327" t="s">
        <v>468</v>
      </c>
    </row>
    <row r="1328" spans="1:20" x14ac:dyDescent="0.25">
      <c r="A1328">
        <v>194</v>
      </c>
      <c r="B1328">
        <v>511760</v>
      </c>
      <c r="C1328" t="s">
        <v>243</v>
      </c>
      <c r="D1328">
        <v>2025</v>
      </c>
      <c r="E1328">
        <v>0.40000000596046448</v>
      </c>
      <c r="G1328" t="s">
        <v>465</v>
      </c>
      <c r="H1328">
        <v>1.220000028610229</v>
      </c>
      <c r="L1328" t="s">
        <v>466</v>
      </c>
      <c r="O1328">
        <v>0.98</v>
      </c>
      <c r="P1328">
        <v>1.39</v>
      </c>
      <c r="Q1328">
        <v>0.66</v>
      </c>
      <c r="R1328" s="3" t="s">
        <v>470</v>
      </c>
      <c r="S1328">
        <v>0.98</v>
      </c>
      <c r="T1328" t="s">
        <v>468</v>
      </c>
    </row>
    <row r="1329" spans="1:20" x14ac:dyDescent="0.25">
      <c r="A1329">
        <v>194</v>
      </c>
      <c r="B1329">
        <v>511760</v>
      </c>
      <c r="C1329" t="s">
        <v>243</v>
      </c>
      <c r="D1329">
        <v>2026</v>
      </c>
      <c r="E1329">
        <v>0.40000000596046448</v>
      </c>
      <c r="G1329" t="s">
        <v>465</v>
      </c>
      <c r="L1329" t="s">
        <v>466</v>
      </c>
      <c r="O1329">
        <v>0.98</v>
      </c>
      <c r="P1329">
        <v>1.39</v>
      </c>
      <c r="Q1329">
        <v>0.66</v>
      </c>
      <c r="R1329" s="3" t="s">
        <v>470</v>
      </c>
      <c r="S1329">
        <v>0.98</v>
      </c>
      <c r="T1329" t="s">
        <v>468</v>
      </c>
    </row>
    <row r="1330" spans="1:20" x14ac:dyDescent="0.25">
      <c r="A1330">
        <v>196</v>
      </c>
      <c r="B1330">
        <v>511768</v>
      </c>
      <c r="C1330" t="s">
        <v>245</v>
      </c>
      <c r="D1330">
        <v>2015</v>
      </c>
      <c r="E1330">
        <v>83.900001525878906</v>
      </c>
      <c r="F1330">
        <v>0.86</v>
      </c>
      <c r="G1330" t="s">
        <v>465</v>
      </c>
      <c r="H1330">
        <v>23</v>
      </c>
      <c r="I1330">
        <v>13.05000019073486</v>
      </c>
      <c r="L1330" t="s">
        <v>469</v>
      </c>
      <c r="M1330">
        <v>26.744186046511629</v>
      </c>
      <c r="N1330">
        <v>15.174418826435881</v>
      </c>
      <c r="O1330">
        <v>783.25</v>
      </c>
      <c r="P1330">
        <v>1035</v>
      </c>
      <c r="Q1330">
        <v>156</v>
      </c>
      <c r="R1330" s="3" t="s">
        <v>470</v>
      </c>
      <c r="S1330">
        <v>783.25</v>
      </c>
      <c r="T1330" t="s">
        <v>468</v>
      </c>
    </row>
    <row r="1331" spans="1:20" x14ac:dyDescent="0.25">
      <c r="A1331">
        <v>196</v>
      </c>
      <c r="B1331">
        <v>511768</v>
      </c>
      <c r="C1331" t="s">
        <v>245</v>
      </c>
      <c r="D1331">
        <v>2016</v>
      </c>
      <c r="E1331">
        <v>83.900001525878906</v>
      </c>
      <c r="F1331">
        <v>0.33</v>
      </c>
      <c r="G1331" t="s">
        <v>465</v>
      </c>
      <c r="H1331">
        <v>22</v>
      </c>
      <c r="I1331">
        <v>11.17500019073486</v>
      </c>
      <c r="L1331" t="s">
        <v>484</v>
      </c>
      <c r="M1331">
        <v>66.666666666666657</v>
      </c>
      <c r="N1331">
        <v>33.863636941620783</v>
      </c>
      <c r="O1331">
        <v>783.25</v>
      </c>
      <c r="P1331">
        <v>1035</v>
      </c>
      <c r="Q1331">
        <v>156</v>
      </c>
      <c r="R1331" s="3" t="s">
        <v>470</v>
      </c>
      <c r="S1331">
        <v>783.25</v>
      </c>
      <c r="T1331" t="s">
        <v>468</v>
      </c>
    </row>
    <row r="1332" spans="1:20" x14ac:dyDescent="0.25">
      <c r="A1332">
        <v>196</v>
      </c>
      <c r="B1332">
        <v>511768</v>
      </c>
      <c r="C1332" t="s">
        <v>245</v>
      </c>
      <c r="D1332">
        <v>2017</v>
      </c>
      <c r="E1332">
        <v>83.900001525878906</v>
      </c>
      <c r="F1332">
        <v>0.54</v>
      </c>
      <c r="G1332" t="s">
        <v>465</v>
      </c>
      <c r="H1332">
        <v>40.450000762939453</v>
      </c>
      <c r="I1332">
        <v>11</v>
      </c>
      <c r="L1332" t="s">
        <v>469</v>
      </c>
      <c r="M1332">
        <v>74.90740882025824</v>
      </c>
      <c r="N1332">
        <v>20.37037037037037</v>
      </c>
      <c r="O1332">
        <v>783.25</v>
      </c>
      <c r="P1332">
        <v>1035</v>
      </c>
      <c r="Q1332">
        <v>156</v>
      </c>
      <c r="R1332" s="3" t="s">
        <v>470</v>
      </c>
      <c r="S1332">
        <v>783.25</v>
      </c>
      <c r="T1332" t="s">
        <v>468</v>
      </c>
    </row>
    <row r="1333" spans="1:20" x14ac:dyDescent="0.25">
      <c r="A1333">
        <v>196</v>
      </c>
      <c r="B1333">
        <v>511768</v>
      </c>
      <c r="C1333" t="s">
        <v>245</v>
      </c>
      <c r="D1333">
        <v>2018</v>
      </c>
      <c r="E1333">
        <v>83.900001525878906</v>
      </c>
      <c r="F1333">
        <v>0.92</v>
      </c>
      <c r="G1333" t="s">
        <v>465</v>
      </c>
      <c r="H1333">
        <v>57.224998474121087</v>
      </c>
      <c r="I1333">
        <v>14.72500038146973</v>
      </c>
      <c r="L1333" t="s">
        <v>469</v>
      </c>
      <c r="M1333">
        <v>62.201085297957697</v>
      </c>
      <c r="N1333">
        <v>16.00543519724971</v>
      </c>
      <c r="O1333">
        <v>783.25</v>
      </c>
      <c r="P1333">
        <v>1035</v>
      </c>
      <c r="Q1333">
        <v>156</v>
      </c>
      <c r="R1333" s="3" t="s">
        <v>470</v>
      </c>
      <c r="S1333">
        <v>783.25</v>
      </c>
      <c r="T1333" t="s">
        <v>468</v>
      </c>
    </row>
    <row r="1334" spans="1:20" x14ac:dyDescent="0.25">
      <c r="A1334">
        <v>196</v>
      </c>
      <c r="B1334">
        <v>511768</v>
      </c>
      <c r="C1334" t="s">
        <v>245</v>
      </c>
      <c r="D1334">
        <v>2019</v>
      </c>
      <c r="E1334">
        <v>83.900001525878906</v>
      </c>
      <c r="F1334">
        <v>1.53</v>
      </c>
      <c r="G1334" t="s">
        <v>465</v>
      </c>
      <c r="H1334">
        <v>22.60000038146973</v>
      </c>
      <c r="I1334">
        <v>11.30000019073486</v>
      </c>
      <c r="L1334" t="s">
        <v>469</v>
      </c>
      <c r="M1334">
        <v>14.77124207939198</v>
      </c>
      <c r="N1334">
        <v>7.3856210396959856</v>
      </c>
      <c r="O1334">
        <v>783.25</v>
      </c>
      <c r="P1334">
        <v>1035</v>
      </c>
      <c r="Q1334">
        <v>156</v>
      </c>
      <c r="R1334" s="3" t="s">
        <v>470</v>
      </c>
      <c r="S1334">
        <v>783.25</v>
      </c>
      <c r="T1334" t="s">
        <v>468</v>
      </c>
    </row>
    <row r="1335" spans="1:20" x14ac:dyDescent="0.25">
      <c r="A1335">
        <v>196</v>
      </c>
      <c r="B1335">
        <v>511768</v>
      </c>
      <c r="C1335" t="s">
        <v>245</v>
      </c>
      <c r="D1335">
        <v>2020</v>
      </c>
      <c r="E1335">
        <v>83.900001525878906</v>
      </c>
      <c r="F1335">
        <v>1.1299999999999999</v>
      </c>
      <c r="G1335" t="s">
        <v>465</v>
      </c>
      <c r="H1335">
        <v>27.29999923706055</v>
      </c>
      <c r="I1335">
        <v>11.05000019073486</v>
      </c>
      <c r="L1335" t="s">
        <v>469</v>
      </c>
      <c r="M1335">
        <v>24.159291360230579</v>
      </c>
      <c r="N1335">
        <v>9.7787612307388141</v>
      </c>
      <c r="O1335">
        <v>783.25</v>
      </c>
      <c r="P1335">
        <v>1035</v>
      </c>
      <c r="Q1335">
        <v>156</v>
      </c>
      <c r="R1335" s="3" t="s">
        <v>470</v>
      </c>
      <c r="S1335">
        <v>783.25</v>
      </c>
      <c r="T1335" t="s">
        <v>468</v>
      </c>
    </row>
    <row r="1336" spans="1:20" x14ac:dyDescent="0.25">
      <c r="A1336">
        <v>196</v>
      </c>
      <c r="B1336">
        <v>511768</v>
      </c>
      <c r="C1336" t="s">
        <v>245</v>
      </c>
      <c r="D1336">
        <v>2021</v>
      </c>
      <c r="E1336">
        <v>83.900001525878906</v>
      </c>
      <c r="F1336">
        <v>3.16</v>
      </c>
      <c r="G1336" t="s">
        <v>465</v>
      </c>
      <c r="H1336">
        <v>186.1499938964844</v>
      </c>
      <c r="I1336">
        <v>19.25</v>
      </c>
      <c r="L1336" t="s">
        <v>469</v>
      </c>
      <c r="M1336">
        <v>58.908225916608977</v>
      </c>
      <c r="N1336">
        <v>6.0917721518987342</v>
      </c>
      <c r="O1336">
        <v>783.25</v>
      </c>
      <c r="P1336">
        <v>1035</v>
      </c>
      <c r="Q1336">
        <v>156</v>
      </c>
      <c r="R1336" s="3" t="s">
        <v>470</v>
      </c>
      <c r="S1336">
        <v>783.25</v>
      </c>
      <c r="T1336" t="s">
        <v>468</v>
      </c>
    </row>
    <row r="1337" spans="1:20" x14ac:dyDescent="0.25">
      <c r="A1337">
        <v>196</v>
      </c>
      <c r="B1337">
        <v>511768</v>
      </c>
      <c r="C1337" t="s">
        <v>245</v>
      </c>
      <c r="D1337">
        <v>2022</v>
      </c>
      <c r="E1337">
        <v>83.900001525878906</v>
      </c>
      <c r="F1337">
        <v>5.07</v>
      </c>
      <c r="G1337" t="s">
        <v>465</v>
      </c>
      <c r="H1337">
        <v>242</v>
      </c>
      <c r="I1337">
        <v>91</v>
      </c>
      <c r="L1337" t="s">
        <v>469</v>
      </c>
      <c r="M1337">
        <v>47.731755424063117</v>
      </c>
      <c r="N1337">
        <v>17.948717948717949</v>
      </c>
      <c r="O1337">
        <v>783.25</v>
      </c>
      <c r="P1337">
        <v>1035</v>
      </c>
      <c r="Q1337">
        <v>156</v>
      </c>
      <c r="R1337" s="3" t="s">
        <v>470</v>
      </c>
      <c r="S1337">
        <v>783.25</v>
      </c>
      <c r="T1337" t="s">
        <v>468</v>
      </c>
    </row>
    <row r="1338" spans="1:20" x14ac:dyDescent="0.25">
      <c r="A1338">
        <v>196</v>
      </c>
      <c r="B1338">
        <v>511768</v>
      </c>
      <c r="C1338" t="s">
        <v>245</v>
      </c>
      <c r="D1338">
        <v>2023</v>
      </c>
      <c r="E1338">
        <v>83.900001525878906</v>
      </c>
      <c r="F1338">
        <v>6.06</v>
      </c>
      <c r="G1338" t="s">
        <v>465</v>
      </c>
      <c r="H1338">
        <v>495.10000610351563</v>
      </c>
      <c r="I1338">
        <v>109.5</v>
      </c>
      <c r="L1338" t="s">
        <v>469</v>
      </c>
      <c r="M1338">
        <v>81.699670974177508</v>
      </c>
      <c r="N1338">
        <v>18.06930693069307</v>
      </c>
      <c r="O1338">
        <v>783.25</v>
      </c>
      <c r="P1338">
        <v>1035</v>
      </c>
      <c r="Q1338">
        <v>156</v>
      </c>
      <c r="R1338" s="3" t="s">
        <v>470</v>
      </c>
      <c r="S1338">
        <v>783.25</v>
      </c>
      <c r="T1338" t="s">
        <v>468</v>
      </c>
    </row>
    <row r="1339" spans="1:20" x14ac:dyDescent="0.25">
      <c r="A1339">
        <v>196</v>
      </c>
      <c r="B1339">
        <v>511768</v>
      </c>
      <c r="C1339" t="s">
        <v>245</v>
      </c>
      <c r="D1339">
        <v>2024</v>
      </c>
      <c r="E1339">
        <v>83.900001525878906</v>
      </c>
      <c r="F1339">
        <v>9.93</v>
      </c>
      <c r="G1339" t="s">
        <v>465</v>
      </c>
      <c r="H1339">
        <v>1035</v>
      </c>
      <c r="I1339">
        <v>156</v>
      </c>
      <c r="L1339" t="s">
        <v>469</v>
      </c>
      <c r="M1339">
        <v>104.22960725075529</v>
      </c>
      <c r="N1339">
        <v>15.70996978851964</v>
      </c>
      <c r="O1339">
        <v>783.25</v>
      </c>
      <c r="P1339">
        <v>1035</v>
      </c>
      <c r="Q1339">
        <v>156</v>
      </c>
      <c r="R1339" s="3" t="s">
        <v>470</v>
      </c>
      <c r="S1339">
        <v>783.25</v>
      </c>
      <c r="T1339" t="s">
        <v>468</v>
      </c>
    </row>
    <row r="1340" spans="1:20" x14ac:dyDescent="0.25">
      <c r="A1340">
        <v>196</v>
      </c>
      <c r="B1340">
        <v>511768</v>
      </c>
      <c r="C1340" t="s">
        <v>245</v>
      </c>
      <c r="D1340">
        <v>2025</v>
      </c>
      <c r="E1340">
        <v>83.900001525878906</v>
      </c>
      <c r="F1340">
        <v>11.69</v>
      </c>
      <c r="G1340" t="s">
        <v>465</v>
      </c>
      <c r="H1340">
        <v>175.3500061035156</v>
      </c>
      <c r="I1340">
        <v>100.5</v>
      </c>
      <c r="L1340" t="s">
        <v>469</v>
      </c>
      <c r="M1340">
        <v>15.000000522114251</v>
      </c>
      <c r="N1340">
        <v>8.5970915312232687</v>
      </c>
      <c r="O1340">
        <v>783.25</v>
      </c>
      <c r="P1340">
        <v>1035</v>
      </c>
      <c r="Q1340">
        <v>156</v>
      </c>
      <c r="R1340" s="3" t="s">
        <v>470</v>
      </c>
      <c r="S1340">
        <v>783.25</v>
      </c>
      <c r="T1340" t="s">
        <v>468</v>
      </c>
    </row>
    <row r="1341" spans="1:20" x14ac:dyDescent="0.25">
      <c r="A1341">
        <v>196</v>
      </c>
      <c r="B1341">
        <v>511768</v>
      </c>
      <c r="C1341" t="s">
        <v>245</v>
      </c>
      <c r="D1341">
        <v>2026</v>
      </c>
      <c r="E1341">
        <v>83.900001525878906</v>
      </c>
      <c r="F1341">
        <v>10.25</v>
      </c>
      <c r="G1341" t="s">
        <v>465</v>
      </c>
      <c r="H1341">
        <v>121</v>
      </c>
      <c r="I1341">
        <v>56</v>
      </c>
      <c r="L1341" t="s">
        <v>469</v>
      </c>
      <c r="M1341">
        <v>11.804878048780489</v>
      </c>
      <c r="N1341">
        <v>5.4634146341463419</v>
      </c>
      <c r="O1341">
        <v>783.25</v>
      </c>
      <c r="P1341">
        <v>1035</v>
      </c>
      <c r="Q1341">
        <v>156</v>
      </c>
      <c r="R1341" s="3" t="s">
        <v>470</v>
      </c>
      <c r="S1341">
        <v>783.25</v>
      </c>
      <c r="T1341" t="s">
        <v>468</v>
      </c>
    </row>
    <row r="1342" spans="1:20" x14ac:dyDescent="0.25">
      <c r="A1342">
        <v>201</v>
      </c>
      <c r="B1342">
        <v>512008</v>
      </c>
      <c r="C1342" t="s">
        <v>247</v>
      </c>
      <c r="D1342">
        <v>2015</v>
      </c>
      <c r="E1342">
        <v>196.1499938964844</v>
      </c>
      <c r="G1342" t="s">
        <v>465</v>
      </c>
      <c r="H1342">
        <v>5.9000000953674316</v>
      </c>
      <c r="I1342">
        <v>4.875</v>
      </c>
      <c r="L1342" t="s">
        <v>466</v>
      </c>
      <c r="O1342">
        <v>517.65</v>
      </c>
      <c r="P1342">
        <v>716.95</v>
      </c>
      <c r="Q1342">
        <v>303.10000000000002</v>
      </c>
      <c r="R1342" s="3" t="s">
        <v>470</v>
      </c>
      <c r="S1342">
        <v>517.65</v>
      </c>
      <c r="T1342" t="s">
        <v>468</v>
      </c>
    </row>
    <row r="1343" spans="1:20" x14ac:dyDescent="0.25">
      <c r="A1343">
        <v>201</v>
      </c>
      <c r="B1343">
        <v>512008</v>
      </c>
      <c r="C1343" t="s">
        <v>247</v>
      </c>
      <c r="D1343">
        <v>2016</v>
      </c>
      <c r="E1343">
        <v>196.1499938964844</v>
      </c>
      <c r="G1343" t="s">
        <v>465</v>
      </c>
      <c r="H1343">
        <v>5.6999998092651367</v>
      </c>
      <c r="I1343">
        <v>4.5</v>
      </c>
      <c r="L1343" t="s">
        <v>466</v>
      </c>
      <c r="O1343">
        <v>517.65</v>
      </c>
      <c r="P1343">
        <v>716.95</v>
      </c>
      <c r="Q1343">
        <v>303.10000000000002</v>
      </c>
      <c r="R1343" s="3" t="s">
        <v>470</v>
      </c>
      <c r="S1343">
        <v>517.65</v>
      </c>
      <c r="T1343" t="s">
        <v>468</v>
      </c>
    </row>
    <row r="1344" spans="1:20" x14ac:dyDescent="0.25">
      <c r="A1344">
        <v>201</v>
      </c>
      <c r="B1344">
        <v>512008</v>
      </c>
      <c r="C1344" t="s">
        <v>247</v>
      </c>
      <c r="D1344">
        <v>2017</v>
      </c>
      <c r="E1344">
        <v>196.1499938964844</v>
      </c>
      <c r="G1344" t="s">
        <v>465</v>
      </c>
      <c r="H1344">
        <v>6.320000171661377</v>
      </c>
      <c r="I1344">
        <v>4.5</v>
      </c>
      <c r="L1344" t="s">
        <v>466</v>
      </c>
      <c r="O1344">
        <v>517.65</v>
      </c>
      <c r="P1344">
        <v>716.95</v>
      </c>
      <c r="Q1344">
        <v>303.10000000000002</v>
      </c>
      <c r="R1344" s="3" t="s">
        <v>470</v>
      </c>
      <c r="S1344">
        <v>517.65</v>
      </c>
      <c r="T1344" t="s">
        <v>468</v>
      </c>
    </row>
    <row r="1345" spans="1:20" x14ac:dyDescent="0.25">
      <c r="A1345">
        <v>201</v>
      </c>
      <c r="B1345">
        <v>512008</v>
      </c>
      <c r="C1345" t="s">
        <v>247</v>
      </c>
      <c r="D1345">
        <v>2018</v>
      </c>
      <c r="E1345">
        <v>196.1499938964844</v>
      </c>
      <c r="G1345" t="s">
        <v>465</v>
      </c>
      <c r="H1345">
        <v>6.320000171661377</v>
      </c>
      <c r="I1345">
        <v>6.320000171661377</v>
      </c>
      <c r="L1345" t="s">
        <v>466</v>
      </c>
      <c r="O1345">
        <v>517.65</v>
      </c>
      <c r="P1345">
        <v>716.95</v>
      </c>
      <c r="Q1345">
        <v>303.10000000000002</v>
      </c>
      <c r="R1345" s="3" t="s">
        <v>470</v>
      </c>
      <c r="S1345">
        <v>517.65</v>
      </c>
      <c r="T1345" t="s">
        <v>468</v>
      </c>
    </row>
    <row r="1346" spans="1:20" x14ac:dyDescent="0.25">
      <c r="A1346">
        <v>201</v>
      </c>
      <c r="B1346">
        <v>512008</v>
      </c>
      <c r="C1346" t="s">
        <v>247</v>
      </c>
      <c r="D1346">
        <v>2019</v>
      </c>
      <c r="E1346">
        <v>196.1499938964844</v>
      </c>
      <c r="G1346" t="s">
        <v>465</v>
      </c>
      <c r="H1346">
        <v>6.320000171661377</v>
      </c>
      <c r="I1346">
        <v>6.320000171661377</v>
      </c>
      <c r="L1346" t="s">
        <v>466</v>
      </c>
      <c r="O1346">
        <v>517.65</v>
      </c>
      <c r="P1346">
        <v>716.95</v>
      </c>
      <c r="Q1346">
        <v>303.10000000000002</v>
      </c>
      <c r="R1346" s="3" t="s">
        <v>470</v>
      </c>
      <c r="S1346">
        <v>517.65</v>
      </c>
      <c r="T1346" t="s">
        <v>468</v>
      </c>
    </row>
    <row r="1347" spans="1:20" x14ac:dyDescent="0.25">
      <c r="A1347">
        <v>201</v>
      </c>
      <c r="B1347">
        <v>512008</v>
      </c>
      <c r="C1347" t="s">
        <v>247</v>
      </c>
      <c r="D1347">
        <v>2020</v>
      </c>
      <c r="E1347">
        <v>196.1499938964844</v>
      </c>
      <c r="G1347" t="s">
        <v>465</v>
      </c>
      <c r="H1347">
        <v>6.5100002288818359</v>
      </c>
      <c r="I1347">
        <v>6.005000114440918</v>
      </c>
      <c r="L1347" t="s">
        <v>466</v>
      </c>
      <c r="O1347">
        <v>517.65</v>
      </c>
      <c r="P1347">
        <v>716.95</v>
      </c>
      <c r="Q1347">
        <v>303.10000000000002</v>
      </c>
      <c r="R1347" s="3" t="s">
        <v>470</v>
      </c>
      <c r="S1347">
        <v>517.65</v>
      </c>
      <c r="T1347" t="s">
        <v>468</v>
      </c>
    </row>
    <row r="1348" spans="1:20" x14ac:dyDescent="0.25">
      <c r="A1348">
        <v>201</v>
      </c>
      <c r="B1348">
        <v>512008</v>
      </c>
      <c r="C1348" t="s">
        <v>247</v>
      </c>
      <c r="D1348">
        <v>2021</v>
      </c>
      <c r="E1348">
        <v>196.1499938964844</v>
      </c>
      <c r="G1348" t="s">
        <v>465</v>
      </c>
      <c r="H1348">
        <v>10.5</v>
      </c>
      <c r="I1348">
        <v>5.5</v>
      </c>
      <c r="L1348" t="s">
        <v>466</v>
      </c>
      <c r="O1348">
        <v>517.65</v>
      </c>
      <c r="P1348">
        <v>716.95</v>
      </c>
      <c r="Q1348">
        <v>303.10000000000002</v>
      </c>
      <c r="R1348" s="3" t="s">
        <v>470</v>
      </c>
      <c r="S1348">
        <v>517.65</v>
      </c>
      <c r="T1348" t="s">
        <v>468</v>
      </c>
    </row>
    <row r="1349" spans="1:20" x14ac:dyDescent="0.25">
      <c r="A1349">
        <v>201</v>
      </c>
      <c r="B1349">
        <v>512008</v>
      </c>
      <c r="C1349" t="s">
        <v>247</v>
      </c>
      <c r="D1349">
        <v>2022</v>
      </c>
      <c r="E1349">
        <v>196.1499938964844</v>
      </c>
      <c r="F1349">
        <v>0.01</v>
      </c>
      <c r="G1349" t="s">
        <v>465</v>
      </c>
      <c r="H1349">
        <v>32.150001525878913</v>
      </c>
      <c r="I1349">
        <v>10.5</v>
      </c>
      <c r="L1349" t="s">
        <v>484</v>
      </c>
      <c r="M1349">
        <v>3215.0001525878911</v>
      </c>
      <c r="N1349">
        <v>1050</v>
      </c>
      <c r="O1349">
        <v>517.65</v>
      </c>
      <c r="P1349">
        <v>716.95</v>
      </c>
      <c r="Q1349">
        <v>303.10000000000002</v>
      </c>
      <c r="R1349" s="3" t="s">
        <v>470</v>
      </c>
      <c r="S1349">
        <v>517.65</v>
      </c>
      <c r="T1349" t="s">
        <v>468</v>
      </c>
    </row>
    <row r="1350" spans="1:20" x14ac:dyDescent="0.25">
      <c r="A1350">
        <v>201</v>
      </c>
      <c r="B1350">
        <v>512008</v>
      </c>
      <c r="C1350" t="s">
        <v>247</v>
      </c>
      <c r="D1350">
        <v>2023</v>
      </c>
      <c r="E1350">
        <v>196.1499938964844</v>
      </c>
      <c r="F1350">
        <v>0.59</v>
      </c>
      <c r="G1350" t="s">
        <v>465</v>
      </c>
      <c r="H1350">
        <v>193.94999694824219</v>
      </c>
      <c r="I1350">
        <v>33.755001068115227</v>
      </c>
      <c r="L1350" t="s">
        <v>469</v>
      </c>
      <c r="M1350">
        <v>328.7288083868512</v>
      </c>
      <c r="N1350">
        <v>57.211866217144447</v>
      </c>
      <c r="O1350">
        <v>517.65</v>
      </c>
      <c r="P1350">
        <v>716.95</v>
      </c>
      <c r="Q1350">
        <v>303.10000000000002</v>
      </c>
      <c r="R1350" s="3" t="s">
        <v>470</v>
      </c>
      <c r="S1350">
        <v>517.65</v>
      </c>
      <c r="T1350" t="s">
        <v>468</v>
      </c>
    </row>
    <row r="1351" spans="1:20" x14ac:dyDescent="0.25">
      <c r="A1351">
        <v>201</v>
      </c>
      <c r="B1351">
        <v>512008</v>
      </c>
      <c r="C1351" t="s">
        <v>247</v>
      </c>
      <c r="D1351">
        <v>2024</v>
      </c>
      <c r="E1351">
        <v>196.1499938964844</v>
      </c>
      <c r="F1351">
        <v>5.41</v>
      </c>
      <c r="G1351" t="s">
        <v>465</v>
      </c>
      <c r="H1351">
        <v>358.47500610351563</v>
      </c>
      <c r="I1351">
        <v>151.55000305175781</v>
      </c>
      <c r="L1351" t="s">
        <v>469</v>
      </c>
      <c r="M1351">
        <v>66.26155380841324</v>
      </c>
      <c r="N1351">
        <v>28.012939565944141</v>
      </c>
      <c r="O1351">
        <v>517.65</v>
      </c>
      <c r="P1351">
        <v>716.95</v>
      </c>
      <c r="Q1351">
        <v>303.10000000000002</v>
      </c>
      <c r="R1351" s="3" t="s">
        <v>470</v>
      </c>
      <c r="S1351">
        <v>517.65</v>
      </c>
      <c r="T1351" t="s">
        <v>468</v>
      </c>
    </row>
    <row r="1352" spans="1:20" x14ac:dyDescent="0.25">
      <c r="A1352">
        <v>201</v>
      </c>
      <c r="B1352">
        <v>512008</v>
      </c>
      <c r="C1352" t="s">
        <v>247</v>
      </c>
      <c r="D1352">
        <v>2025</v>
      </c>
      <c r="E1352">
        <v>196.1499938964844</v>
      </c>
      <c r="F1352">
        <v>10.51</v>
      </c>
      <c r="G1352" t="s">
        <v>465</v>
      </c>
      <c r="H1352">
        <v>373.70001220703119</v>
      </c>
      <c r="I1352">
        <v>171.3500061035156</v>
      </c>
      <c r="L1352" t="s">
        <v>469</v>
      </c>
      <c r="M1352">
        <v>35.556613911230372</v>
      </c>
      <c r="N1352">
        <v>16.303521037442021</v>
      </c>
      <c r="O1352">
        <v>517.65</v>
      </c>
      <c r="P1352">
        <v>716.95</v>
      </c>
      <c r="Q1352">
        <v>303.10000000000002</v>
      </c>
      <c r="R1352" s="3" t="s">
        <v>470</v>
      </c>
      <c r="S1352">
        <v>517.65</v>
      </c>
      <c r="T1352" t="s">
        <v>468</v>
      </c>
    </row>
    <row r="1353" spans="1:20" x14ac:dyDescent="0.25">
      <c r="A1353">
        <v>201</v>
      </c>
      <c r="B1353">
        <v>512008</v>
      </c>
      <c r="C1353" t="s">
        <v>247</v>
      </c>
      <c r="D1353">
        <v>2026</v>
      </c>
      <c r="E1353">
        <v>196.1499938964844</v>
      </c>
      <c r="F1353">
        <v>15.66</v>
      </c>
      <c r="G1353" t="s">
        <v>465</v>
      </c>
      <c r="H1353">
        <v>311.89999389648438</v>
      </c>
      <c r="I1353">
        <v>171.6499938964844</v>
      </c>
      <c r="L1353" t="s">
        <v>469</v>
      </c>
      <c r="M1353">
        <v>19.91698556171675</v>
      </c>
      <c r="N1353">
        <v>10.96104686439875</v>
      </c>
      <c r="O1353">
        <v>517.65</v>
      </c>
      <c r="P1353">
        <v>716.95</v>
      </c>
      <c r="Q1353">
        <v>303.10000000000002</v>
      </c>
      <c r="R1353" s="3" t="s">
        <v>470</v>
      </c>
      <c r="S1353">
        <v>517.65</v>
      </c>
      <c r="T1353" t="s">
        <v>468</v>
      </c>
    </row>
    <row r="1354" spans="1:20" x14ac:dyDescent="0.25">
      <c r="A1354">
        <v>202</v>
      </c>
      <c r="B1354">
        <v>512018</v>
      </c>
      <c r="C1354" t="s">
        <v>249</v>
      </c>
      <c r="D1354">
        <v>2015</v>
      </c>
      <c r="E1354">
        <v>8.0100002288818359</v>
      </c>
      <c r="F1354">
        <v>0.09</v>
      </c>
      <c r="G1354" t="s">
        <v>465</v>
      </c>
      <c r="H1354">
        <v>12.52000045776367</v>
      </c>
      <c r="I1354">
        <v>3.220000028610229</v>
      </c>
      <c r="L1354" t="s">
        <v>484</v>
      </c>
      <c r="M1354">
        <v>139.11111619737409</v>
      </c>
      <c r="N1354">
        <v>35.777778095669213</v>
      </c>
      <c r="O1354">
        <v>9.6</v>
      </c>
      <c r="P1354">
        <v>17.97</v>
      </c>
      <c r="Q1354">
        <v>2.87</v>
      </c>
      <c r="R1354" s="3" t="s">
        <v>470</v>
      </c>
      <c r="S1354">
        <v>9.6</v>
      </c>
      <c r="T1354" t="s">
        <v>468</v>
      </c>
    </row>
    <row r="1355" spans="1:20" x14ac:dyDescent="0.25">
      <c r="A1355">
        <v>202</v>
      </c>
      <c r="B1355">
        <v>512018</v>
      </c>
      <c r="C1355" t="s">
        <v>249</v>
      </c>
      <c r="D1355">
        <v>2016</v>
      </c>
      <c r="E1355">
        <v>8.0100002288818359</v>
      </c>
      <c r="F1355">
        <v>-0.04</v>
      </c>
      <c r="G1355" t="s">
        <v>465</v>
      </c>
      <c r="H1355">
        <v>7</v>
      </c>
      <c r="I1355">
        <v>2.1500000953674321</v>
      </c>
      <c r="L1355" t="s">
        <v>471</v>
      </c>
      <c r="M1355">
        <v>-175</v>
      </c>
      <c r="N1355">
        <v>-53.750002384185798</v>
      </c>
      <c r="O1355">
        <v>9.6</v>
      </c>
      <c r="P1355">
        <v>17.97</v>
      </c>
      <c r="Q1355">
        <v>2.87</v>
      </c>
      <c r="R1355" s="3" t="s">
        <v>470</v>
      </c>
      <c r="S1355">
        <v>9.6</v>
      </c>
      <c r="T1355" t="s">
        <v>468</v>
      </c>
    </row>
    <row r="1356" spans="1:20" x14ac:dyDescent="0.25">
      <c r="A1356">
        <v>202</v>
      </c>
      <c r="B1356">
        <v>512018</v>
      </c>
      <c r="C1356" t="s">
        <v>249</v>
      </c>
      <c r="D1356">
        <v>2017</v>
      </c>
      <c r="E1356">
        <v>8.0100002288818359</v>
      </c>
      <c r="F1356">
        <v>0.01</v>
      </c>
      <c r="G1356" t="s">
        <v>465</v>
      </c>
      <c r="H1356">
        <v>4.4000000953674316</v>
      </c>
      <c r="I1356">
        <v>2.1099998950958252</v>
      </c>
      <c r="L1356" t="s">
        <v>484</v>
      </c>
      <c r="M1356">
        <v>440.00000953674322</v>
      </c>
      <c r="N1356">
        <v>210.99998950958249</v>
      </c>
      <c r="O1356">
        <v>9.6</v>
      </c>
      <c r="P1356">
        <v>17.97</v>
      </c>
      <c r="Q1356">
        <v>2.87</v>
      </c>
      <c r="R1356" s="3" t="s">
        <v>470</v>
      </c>
      <c r="S1356">
        <v>9.6</v>
      </c>
      <c r="T1356" t="s">
        <v>468</v>
      </c>
    </row>
    <row r="1357" spans="1:20" x14ac:dyDescent="0.25">
      <c r="A1357">
        <v>202</v>
      </c>
      <c r="B1357">
        <v>512018</v>
      </c>
      <c r="C1357" t="s">
        <v>249</v>
      </c>
      <c r="D1357">
        <v>2018</v>
      </c>
      <c r="E1357">
        <v>8.0100002288818359</v>
      </c>
      <c r="F1357">
        <v>0.01</v>
      </c>
      <c r="G1357" t="s">
        <v>465</v>
      </c>
      <c r="H1357">
        <v>3.8199999332427979</v>
      </c>
      <c r="I1357">
        <v>1.8500000238418579</v>
      </c>
      <c r="L1357" t="s">
        <v>484</v>
      </c>
      <c r="M1357">
        <v>381.99999332427979</v>
      </c>
      <c r="N1357">
        <v>185.00000238418579</v>
      </c>
      <c r="O1357">
        <v>9.6</v>
      </c>
      <c r="P1357">
        <v>17.97</v>
      </c>
      <c r="Q1357">
        <v>2.87</v>
      </c>
      <c r="R1357" s="3" t="s">
        <v>470</v>
      </c>
      <c r="S1357">
        <v>9.6</v>
      </c>
      <c r="T1357" t="s">
        <v>468</v>
      </c>
    </row>
    <row r="1358" spans="1:20" x14ac:dyDescent="0.25">
      <c r="A1358">
        <v>202</v>
      </c>
      <c r="B1358">
        <v>512018</v>
      </c>
      <c r="C1358" t="s">
        <v>249</v>
      </c>
      <c r="D1358">
        <v>2019</v>
      </c>
      <c r="E1358">
        <v>8.0100002288818359</v>
      </c>
      <c r="F1358">
        <v>-0.04</v>
      </c>
      <c r="G1358" t="s">
        <v>465</v>
      </c>
      <c r="H1358">
        <v>2.8599998950958252</v>
      </c>
      <c r="I1358">
        <v>1.620000004768372</v>
      </c>
      <c r="L1358" t="s">
        <v>471</v>
      </c>
      <c r="M1358">
        <v>-71.49999737739563</v>
      </c>
      <c r="N1358">
        <v>-40.500000119209297</v>
      </c>
      <c r="O1358">
        <v>9.6</v>
      </c>
      <c r="P1358">
        <v>17.97</v>
      </c>
      <c r="Q1358">
        <v>2.87</v>
      </c>
      <c r="R1358" s="3" t="s">
        <v>470</v>
      </c>
      <c r="S1358">
        <v>9.6</v>
      </c>
      <c r="T1358" t="s">
        <v>468</v>
      </c>
    </row>
    <row r="1359" spans="1:20" x14ac:dyDescent="0.25">
      <c r="A1359">
        <v>202</v>
      </c>
      <c r="B1359">
        <v>512018</v>
      </c>
      <c r="C1359" t="s">
        <v>249</v>
      </c>
      <c r="D1359">
        <v>2020</v>
      </c>
      <c r="E1359">
        <v>8.0100002288818359</v>
      </c>
      <c r="F1359">
        <v>-0.02</v>
      </c>
      <c r="G1359" t="s">
        <v>465</v>
      </c>
      <c r="H1359">
        <v>2.2599999904632568</v>
      </c>
      <c r="I1359">
        <v>1.25</v>
      </c>
      <c r="L1359" t="s">
        <v>471</v>
      </c>
      <c r="M1359">
        <v>-112.9999995231628</v>
      </c>
      <c r="N1359">
        <v>-62.5</v>
      </c>
      <c r="O1359">
        <v>9.6</v>
      </c>
      <c r="P1359">
        <v>17.97</v>
      </c>
      <c r="Q1359">
        <v>2.87</v>
      </c>
      <c r="R1359" s="3" t="s">
        <v>470</v>
      </c>
      <c r="S1359">
        <v>9.6</v>
      </c>
      <c r="T1359" t="s">
        <v>468</v>
      </c>
    </row>
    <row r="1360" spans="1:20" x14ac:dyDescent="0.25">
      <c r="A1360">
        <v>202</v>
      </c>
      <c r="B1360">
        <v>512018</v>
      </c>
      <c r="C1360" t="s">
        <v>249</v>
      </c>
      <c r="D1360">
        <v>2021</v>
      </c>
      <c r="E1360">
        <v>8.0100002288818359</v>
      </c>
      <c r="F1360">
        <v>-0.31</v>
      </c>
      <c r="G1360" t="s">
        <v>465</v>
      </c>
      <c r="H1360">
        <v>3.5399999618530269</v>
      </c>
      <c r="I1360">
        <v>1.370000004768372</v>
      </c>
      <c r="L1360" t="s">
        <v>471</v>
      </c>
      <c r="M1360">
        <v>-11.419354715654929</v>
      </c>
      <c r="N1360">
        <v>-4.4193548540915231</v>
      </c>
      <c r="O1360">
        <v>9.6</v>
      </c>
      <c r="P1360">
        <v>17.97</v>
      </c>
      <c r="Q1360">
        <v>2.87</v>
      </c>
      <c r="R1360" s="3" t="s">
        <v>470</v>
      </c>
      <c r="S1360">
        <v>9.6</v>
      </c>
      <c r="T1360" t="s">
        <v>468</v>
      </c>
    </row>
    <row r="1361" spans="1:20" x14ac:dyDescent="0.25">
      <c r="A1361">
        <v>202</v>
      </c>
      <c r="B1361">
        <v>512018</v>
      </c>
      <c r="C1361" t="s">
        <v>249</v>
      </c>
      <c r="D1361">
        <v>2022</v>
      </c>
      <c r="E1361">
        <v>8.0100002288818359</v>
      </c>
      <c r="F1361">
        <v>0.15</v>
      </c>
      <c r="G1361" t="s">
        <v>465</v>
      </c>
      <c r="H1361">
        <v>4.0799999237060547</v>
      </c>
      <c r="I1361">
        <v>1.8999999761581421</v>
      </c>
      <c r="L1361" t="s">
        <v>484</v>
      </c>
      <c r="M1361">
        <v>27.199999491373699</v>
      </c>
      <c r="N1361">
        <v>12.666666507720951</v>
      </c>
      <c r="O1361">
        <v>9.6</v>
      </c>
      <c r="P1361">
        <v>17.97</v>
      </c>
      <c r="Q1361">
        <v>2.87</v>
      </c>
      <c r="R1361" s="3" t="s">
        <v>470</v>
      </c>
      <c r="S1361">
        <v>9.6</v>
      </c>
      <c r="T1361" t="s">
        <v>468</v>
      </c>
    </row>
    <row r="1362" spans="1:20" x14ac:dyDescent="0.25">
      <c r="A1362">
        <v>202</v>
      </c>
      <c r="B1362">
        <v>512018</v>
      </c>
      <c r="C1362" t="s">
        <v>249</v>
      </c>
      <c r="D1362">
        <v>2023</v>
      </c>
      <c r="E1362">
        <v>8.0100002288818359</v>
      </c>
      <c r="F1362">
        <v>-7.0000000000000007E-2</v>
      </c>
      <c r="G1362" t="s">
        <v>465</v>
      </c>
      <c r="H1362">
        <v>3.059999942779541</v>
      </c>
      <c r="I1362">
        <v>1.610000014305115</v>
      </c>
      <c r="L1362" t="s">
        <v>471</v>
      </c>
      <c r="M1362">
        <v>-43.714284896850579</v>
      </c>
      <c r="N1362">
        <v>-23.000000204358781</v>
      </c>
      <c r="O1362">
        <v>9.6</v>
      </c>
      <c r="P1362">
        <v>17.97</v>
      </c>
      <c r="Q1362">
        <v>2.87</v>
      </c>
      <c r="R1362" s="3" t="s">
        <v>470</v>
      </c>
      <c r="S1362">
        <v>9.6</v>
      </c>
      <c r="T1362" t="s">
        <v>468</v>
      </c>
    </row>
    <row r="1363" spans="1:20" x14ac:dyDescent="0.25">
      <c r="A1363">
        <v>202</v>
      </c>
      <c r="B1363">
        <v>512018</v>
      </c>
      <c r="C1363" t="s">
        <v>249</v>
      </c>
      <c r="D1363">
        <v>2024</v>
      </c>
      <c r="E1363">
        <v>8.0100002288818359</v>
      </c>
      <c r="F1363">
        <v>7.0000000000000007E-2</v>
      </c>
      <c r="G1363" t="s">
        <v>465</v>
      </c>
      <c r="H1363">
        <v>17.969999313354489</v>
      </c>
      <c r="I1363">
        <v>2.1400001049041748</v>
      </c>
      <c r="L1363" t="s">
        <v>484</v>
      </c>
      <c r="M1363">
        <v>256.71427590506408</v>
      </c>
      <c r="N1363">
        <v>30.571430070059641</v>
      </c>
      <c r="O1363">
        <v>9.6</v>
      </c>
      <c r="P1363">
        <v>17.97</v>
      </c>
      <c r="Q1363">
        <v>2.87</v>
      </c>
      <c r="R1363" s="3" t="s">
        <v>470</v>
      </c>
      <c r="S1363">
        <v>9.6</v>
      </c>
      <c r="T1363" t="s">
        <v>468</v>
      </c>
    </row>
    <row r="1364" spans="1:20" x14ac:dyDescent="0.25">
      <c r="A1364">
        <v>202</v>
      </c>
      <c r="B1364">
        <v>512018</v>
      </c>
      <c r="C1364" t="s">
        <v>249</v>
      </c>
      <c r="D1364">
        <v>2025</v>
      </c>
      <c r="E1364">
        <v>8.0100002288818359</v>
      </c>
      <c r="F1364">
        <v>-0.34</v>
      </c>
      <c r="G1364" t="s">
        <v>465</v>
      </c>
      <c r="H1364">
        <v>15.94999980926514</v>
      </c>
      <c r="I1364">
        <v>7.0300002098083496</v>
      </c>
      <c r="L1364" t="s">
        <v>471</v>
      </c>
      <c r="M1364">
        <v>-46.911764144897468</v>
      </c>
      <c r="N1364">
        <v>-20.67647120531867</v>
      </c>
      <c r="O1364">
        <v>9.6</v>
      </c>
      <c r="P1364">
        <v>17.97</v>
      </c>
      <c r="Q1364">
        <v>2.87</v>
      </c>
      <c r="R1364" s="3" t="s">
        <v>470</v>
      </c>
      <c r="S1364">
        <v>9.6</v>
      </c>
      <c r="T1364" t="s">
        <v>468</v>
      </c>
    </row>
    <row r="1365" spans="1:20" x14ac:dyDescent="0.25">
      <c r="A1365">
        <v>202</v>
      </c>
      <c r="B1365">
        <v>512018</v>
      </c>
      <c r="C1365" t="s">
        <v>249</v>
      </c>
      <c r="D1365">
        <v>2026</v>
      </c>
      <c r="E1365">
        <v>8.0100002288818359</v>
      </c>
      <c r="G1365" t="s">
        <v>465</v>
      </c>
      <c r="H1365">
        <v>9.9899997711181641</v>
      </c>
      <c r="I1365">
        <v>7.0100002288818359</v>
      </c>
      <c r="L1365" t="s">
        <v>466</v>
      </c>
      <c r="O1365">
        <v>9.6</v>
      </c>
      <c r="P1365">
        <v>17.97</v>
      </c>
      <c r="Q1365">
        <v>2.87</v>
      </c>
      <c r="R1365" s="3" t="s">
        <v>470</v>
      </c>
      <c r="S1365">
        <v>9.6</v>
      </c>
      <c r="T1365" t="s">
        <v>468</v>
      </c>
    </row>
    <row r="1366" spans="1:20" x14ac:dyDescent="0.25">
      <c r="A1366">
        <v>203</v>
      </c>
      <c r="B1366">
        <v>512070</v>
      </c>
      <c r="C1366" t="s">
        <v>251</v>
      </c>
      <c r="D1366">
        <v>2015</v>
      </c>
      <c r="E1366">
        <v>608.0999755859375</v>
      </c>
      <c r="F1366">
        <v>15.82</v>
      </c>
      <c r="G1366" t="s">
        <v>465</v>
      </c>
      <c r="H1366">
        <v>384</v>
      </c>
      <c r="I1366">
        <v>210.46665954589841</v>
      </c>
      <c r="L1366" t="s">
        <v>469</v>
      </c>
      <c r="M1366">
        <v>24.273072060682679</v>
      </c>
      <c r="N1366">
        <v>13.30383435814781</v>
      </c>
      <c r="O1366">
        <v>605.15</v>
      </c>
      <c r="P1366">
        <v>812.2</v>
      </c>
      <c r="Q1366">
        <v>563.15</v>
      </c>
      <c r="R1366" s="2" t="s">
        <v>467</v>
      </c>
      <c r="S1366">
        <v>605.15</v>
      </c>
      <c r="T1366" t="s">
        <v>468</v>
      </c>
    </row>
    <row r="1367" spans="1:20" x14ac:dyDescent="0.25">
      <c r="A1367">
        <v>203</v>
      </c>
      <c r="B1367">
        <v>512070</v>
      </c>
      <c r="C1367" t="s">
        <v>251</v>
      </c>
      <c r="D1367">
        <v>2016</v>
      </c>
      <c r="E1367">
        <v>608.0999755859375</v>
      </c>
      <c r="F1367">
        <v>13</v>
      </c>
      <c r="G1367" t="s">
        <v>465</v>
      </c>
      <c r="H1367">
        <v>486.66665649414063</v>
      </c>
      <c r="I1367">
        <v>228</v>
      </c>
      <c r="L1367" t="s">
        <v>469</v>
      </c>
      <c r="M1367">
        <v>37.435896653395432</v>
      </c>
      <c r="N1367">
        <v>17.53846153846154</v>
      </c>
      <c r="O1367">
        <v>605.15</v>
      </c>
      <c r="P1367">
        <v>812.2</v>
      </c>
      <c r="Q1367">
        <v>563.15</v>
      </c>
      <c r="R1367" s="2" t="s">
        <v>467</v>
      </c>
      <c r="S1367">
        <v>605.15</v>
      </c>
      <c r="T1367" t="s">
        <v>468</v>
      </c>
    </row>
    <row r="1368" spans="1:20" x14ac:dyDescent="0.25">
      <c r="A1368">
        <v>203</v>
      </c>
      <c r="B1368">
        <v>512070</v>
      </c>
      <c r="C1368" t="s">
        <v>251</v>
      </c>
      <c r="D1368">
        <v>2017</v>
      </c>
      <c r="E1368">
        <v>608.0999755859375</v>
      </c>
      <c r="F1368">
        <v>20.18</v>
      </c>
      <c r="G1368" t="s">
        <v>465</v>
      </c>
      <c r="H1368">
        <v>601.33331298828125</v>
      </c>
      <c r="I1368">
        <v>434.89999389648438</v>
      </c>
      <c r="L1368" t="s">
        <v>469</v>
      </c>
      <c r="M1368">
        <v>29.798479335395498</v>
      </c>
      <c r="N1368">
        <v>21.55104033183768</v>
      </c>
      <c r="O1368">
        <v>605.15</v>
      </c>
      <c r="P1368">
        <v>812.2</v>
      </c>
      <c r="Q1368">
        <v>563.15</v>
      </c>
      <c r="R1368" s="2" t="s">
        <v>467</v>
      </c>
      <c r="S1368">
        <v>605.15</v>
      </c>
      <c r="T1368" t="s">
        <v>468</v>
      </c>
    </row>
    <row r="1369" spans="1:20" x14ac:dyDescent="0.25">
      <c r="A1369">
        <v>203</v>
      </c>
      <c r="B1369">
        <v>512070</v>
      </c>
      <c r="C1369" t="s">
        <v>251</v>
      </c>
      <c r="D1369">
        <v>2018</v>
      </c>
      <c r="E1369">
        <v>608.0999755859375</v>
      </c>
      <c r="F1369">
        <v>23.57</v>
      </c>
      <c r="G1369" t="s">
        <v>465</v>
      </c>
      <c r="H1369">
        <v>553.33331298828125</v>
      </c>
      <c r="I1369">
        <v>358.60000610351563</v>
      </c>
      <c r="L1369" t="s">
        <v>469</v>
      </c>
      <c r="M1369">
        <v>23.476169409770101</v>
      </c>
      <c r="N1369">
        <v>15.21425566837147</v>
      </c>
      <c r="O1369">
        <v>605.15</v>
      </c>
      <c r="P1369">
        <v>812.2</v>
      </c>
      <c r="Q1369">
        <v>563.15</v>
      </c>
      <c r="R1369" s="2" t="s">
        <v>467</v>
      </c>
      <c r="S1369">
        <v>605.15</v>
      </c>
      <c r="T1369" t="s">
        <v>468</v>
      </c>
    </row>
    <row r="1370" spans="1:20" x14ac:dyDescent="0.25">
      <c r="A1370">
        <v>203</v>
      </c>
      <c r="B1370">
        <v>512070</v>
      </c>
      <c r="C1370" t="s">
        <v>251</v>
      </c>
      <c r="D1370">
        <v>2019</v>
      </c>
      <c r="E1370">
        <v>608.0999755859375</v>
      </c>
      <c r="F1370">
        <v>17.350000000000001</v>
      </c>
      <c r="G1370" t="s">
        <v>465</v>
      </c>
      <c r="H1370">
        <v>709.25</v>
      </c>
      <c r="I1370">
        <v>495.73333740234381</v>
      </c>
      <c r="L1370" t="s">
        <v>469</v>
      </c>
      <c r="M1370">
        <v>40.878962536023053</v>
      </c>
      <c r="N1370">
        <v>28.572526651431922</v>
      </c>
      <c r="O1370">
        <v>605.15</v>
      </c>
      <c r="P1370">
        <v>812.2</v>
      </c>
      <c r="Q1370">
        <v>563.15</v>
      </c>
      <c r="R1370" s="2" t="s">
        <v>467</v>
      </c>
      <c r="S1370">
        <v>605.15</v>
      </c>
      <c r="T1370" t="s">
        <v>468</v>
      </c>
    </row>
    <row r="1371" spans="1:20" x14ac:dyDescent="0.25">
      <c r="A1371">
        <v>203</v>
      </c>
      <c r="B1371">
        <v>512070</v>
      </c>
      <c r="C1371" t="s">
        <v>251</v>
      </c>
      <c r="D1371">
        <v>2020</v>
      </c>
      <c r="E1371">
        <v>608.0999755859375</v>
      </c>
      <c r="F1371">
        <v>20.66</v>
      </c>
      <c r="G1371" t="s">
        <v>465</v>
      </c>
      <c r="H1371">
        <v>614.79998779296875</v>
      </c>
      <c r="I1371">
        <v>240.30000305175781</v>
      </c>
      <c r="L1371" t="s">
        <v>469</v>
      </c>
      <c r="M1371">
        <v>29.757985856387641</v>
      </c>
      <c r="N1371">
        <v>11.631171493308701</v>
      </c>
      <c r="O1371">
        <v>605.15</v>
      </c>
      <c r="P1371">
        <v>812.2</v>
      </c>
      <c r="Q1371">
        <v>563.15</v>
      </c>
      <c r="R1371" s="2" t="s">
        <v>467</v>
      </c>
      <c r="S1371">
        <v>605.15</v>
      </c>
      <c r="T1371" t="s">
        <v>468</v>
      </c>
    </row>
    <row r="1372" spans="1:20" x14ac:dyDescent="0.25">
      <c r="A1372">
        <v>203</v>
      </c>
      <c r="B1372">
        <v>512070</v>
      </c>
      <c r="C1372" t="s">
        <v>251</v>
      </c>
      <c r="D1372">
        <v>2021</v>
      </c>
      <c r="E1372">
        <v>608.0999755859375</v>
      </c>
      <c r="F1372">
        <v>33.4</v>
      </c>
      <c r="G1372" t="s">
        <v>465</v>
      </c>
      <c r="H1372">
        <v>864.75</v>
      </c>
      <c r="I1372">
        <v>466.5</v>
      </c>
      <c r="L1372" t="s">
        <v>469</v>
      </c>
      <c r="M1372">
        <v>25.890718562874252</v>
      </c>
      <c r="N1372">
        <v>13.96706586826347</v>
      </c>
      <c r="O1372">
        <v>605.15</v>
      </c>
      <c r="P1372">
        <v>812.2</v>
      </c>
      <c r="Q1372">
        <v>563.15</v>
      </c>
      <c r="R1372" s="2" t="s">
        <v>467</v>
      </c>
      <c r="S1372">
        <v>605.15</v>
      </c>
      <c r="T1372" t="s">
        <v>468</v>
      </c>
    </row>
    <row r="1373" spans="1:20" x14ac:dyDescent="0.25">
      <c r="A1373">
        <v>203</v>
      </c>
      <c r="B1373">
        <v>512070</v>
      </c>
      <c r="C1373" t="s">
        <v>251</v>
      </c>
      <c r="D1373">
        <v>2022</v>
      </c>
      <c r="E1373">
        <v>608.0999755859375</v>
      </c>
      <c r="F1373">
        <v>42.18</v>
      </c>
      <c r="G1373" t="s">
        <v>465</v>
      </c>
      <c r="H1373">
        <v>848</v>
      </c>
      <c r="I1373">
        <v>607.79998779296875</v>
      </c>
      <c r="L1373" t="s">
        <v>469</v>
      </c>
      <c r="M1373">
        <v>20.104314841156949</v>
      </c>
      <c r="N1373">
        <v>14.409672541322159</v>
      </c>
      <c r="O1373">
        <v>605.15</v>
      </c>
      <c r="P1373">
        <v>812.2</v>
      </c>
      <c r="Q1373">
        <v>563.15</v>
      </c>
      <c r="R1373" s="2" t="s">
        <v>467</v>
      </c>
      <c r="S1373">
        <v>605.15</v>
      </c>
      <c r="T1373" t="s">
        <v>468</v>
      </c>
    </row>
    <row r="1374" spans="1:20" x14ac:dyDescent="0.25">
      <c r="A1374">
        <v>203</v>
      </c>
      <c r="B1374">
        <v>512070</v>
      </c>
      <c r="C1374" t="s">
        <v>251</v>
      </c>
      <c r="D1374">
        <v>2023</v>
      </c>
      <c r="E1374">
        <v>608.0999755859375</v>
      </c>
      <c r="F1374">
        <v>42.28</v>
      </c>
      <c r="G1374" t="s">
        <v>465</v>
      </c>
      <c r="H1374">
        <v>780</v>
      </c>
      <c r="I1374">
        <v>528.3499755859375</v>
      </c>
      <c r="L1374" t="s">
        <v>469</v>
      </c>
      <c r="M1374">
        <v>18.448438978240301</v>
      </c>
      <c r="N1374">
        <v>12.496451645835799</v>
      </c>
      <c r="O1374">
        <v>605.15</v>
      </c>
      <c r="P1374">
        <v>812.2</v>
      </c>
      <c r="Q1374">
        <v>563.15</v>
      </c>
      <c r="R1374" s="2" t="s">
        <v>467</v>
      </c>
      <c r="S1374">
        <v>605.15</v>
      </c>
      <c r="T1374" t="s">
        <v>468</v>
      </c>
    </row>
    <row r="1375" spans="1:20" x14ac:dyDescent="0.25">
      <c r="A1375">
        <v>203</v>
      </c>
      <c r="B1375">
        <v>512070</v>
      </c>
      <c r="C1375" t="s">
        <v>251</v>
      </c>
      <c r="D1375">
        <v>2024</v>
      </c>
      <c r="E1375">
        <v>608.0999755859375</v>
      </c>
      <c r="F1375">
        <v>-14.21</v>
      </c>
      <c r="G1375" t="s">
        <v>465</v>
      </c>
      <c r="H1375">
        <v>625</v>
      </c>
      <c r="I1375">
        <v>448</v>
      </c>
      <c r="L1375" t="s">
        <v>471</v>
      </c>
      <c r="M1375">
        <v>-43.98311048557354</v>
      </c>
      <c r="N1375">
        <v>-31.52709359605911</v>
      </c>
      <c r="O1375">
        <v>605.15</v>
      </c>
      <c r="P1375">
        <v>812.2</v>
      </c>
      <c r="Q1375">
        <v>563.15</v>
      </c>
      <c r="R1375" s="2" t="s">
        <v>467</v>
      </c>
      <c r="S1375">
        <v>605.15</v>
      </c>
      <c r="T1375" t="s">
        <v>468</v>
      </c>
    </row>
    <row r="1376" spans="1:20" x14ac:dyDescent="0.25">
      <c r="A1376">
        <v>203</v>
      </c>
      <c r="B1376">
        <v>512070</v>
      </c>
      <c r="C1376" t="s">
        <v>251</v>
      </c>
      <c r="D1376">
        <v>2025</v>
      </c>
      <c r="E1376">
        <v>608.0999755859375</v>
      </c>
      <c r="F1376">
        <v>10.62</v>
      </c>
      <c r="G1376" t="s">
        <v>465</v>
      </c>
      <c r="H1376">
        <v>800.95001220703125</v>
      </c>
      <c r="I1376">
        <v>498.10000610351563</v>
      </c>
      <c r="L1376" t="s">
        <v>469</v>
      </c>
      <c r="M1376">
        <v>75.419021865068856</v>
      </c>
      <c r="N1376">
        <v>46.902072137807501</v>
      </c>
      <c r="O1376">
        <v>605.15</v>
      </c>
      <c r="P1376">
        <v>812.2</v>
      </c>
      <c r="Q1376">
        <v>563.15</v>
      </c>
      <c r="R1376" s="2" t="s">
        <v>467</v>
      </c>
      <c r="S1376">
        <v>605.15</v>
      </c>
      <c r="T1376" t="s">
        <v>468</v>
      </c>
    </row>
    <row r="1377" spans="1:20" x14ac:dyDescent="0.25">
      <c r="A1377">
        <v>203</v>
      </c>
      <c r="B1377">
        <v>512070</v>
      </c>
      <c r="C1377" t="s">
        <v>251</v>
      </c>
      <c r="D1377">
        <v>2026</v>
      </c>
      <c r="E1377">
        <v>608.0999755859375</v>
      </c>
      <c r="F1377">
        <v>22.78</v>
      </c>
      <c r="G1377" t="s">
        <v>465</v>
      </c>
      <c r="H1377">
        <v>812</v>
      </c>
      <c r="I1377">
        <v>563.25</v>
      </c>
      <c r="L1377" t="s">
        <v>469</v>
      </c>
      <c r="M1377">
        <v>35.645302897278313</v>
      </c>
      <c r="N1377">
        <v>24.725636523266019</v>
      </c>
      <c r="O1377">
        <v>605.15</v>
      </c>
      <c r="P1377">
        <v>812.2</v>
      </c>
      <c r="Q1377">
        <v>563.15</v>
      </c>
      <c r="R1377" s="2" t="s">
        <v>467</v>
      </c>
      <c r="S1377">
        <v>605.15</v>
      </c>
      <c r="T1377" t="s">
        <v>468</v>
      </c>
    </row>
    <row r="1378" spans="1:20" x14ac:dyDescent="0.25">
      <c r="A1378">
        <v>204</v>
      </c>
      <c r="B1378">
        <v>512101</v>
      </c>
      <c r="C1378" t="s">
        <v>253</v>
      </c>
      <c r="D1378">
        <v>2026</v>
      </c>
      <c r="E1378">
        <v>17.39999961853027</v>
      </c>
      <c r="F1378">
        <v>325.31</v>
      </c>
      <c r="G1378" t="s">
        <v>465</v>
      </c>
      <c r="H1378">
        <v>17.39999961853027</v>
      </c>
      <c r="I1378">
        <v>17.39999961853027</v>
      </c>
      <c r="L1378" t="s">
        <v>469</v>
      </c>
      <c r="M1378">
        <v>5.3487441574283819E-2</v>
      </c>
      <c r="N1378">
        <v>5.3487441574283819E-2</v>
      </c>
      <c r="O1378">
        <v>17.399999999999999</v>
      </c>
      <c r="P1378">
        <v>17.399999999999999</v>
      </c>
      <c r="Q1378">
        <v>17.399999999999999</v>
      </c>
      <c r="R1378" s="2" t="s">
        <v>467</v>
      </c>
      <c r="S1378">
        <v>17.399999999999999</v>
      </c>
      <c r="T1378" t="s">
        <v>468</v>
      </c>
    </row>
    <row r="1379" spans="1:20" x14ac:dyDescent="0.25">
      <c r="A1379">
        <v>205</v>
      </c>
      <c r="B1379">
        <v>512115</v>
      </c>
      <c r="C1379" t="s">
        <v>255</v>
      </c>
      <c r="D1379">
        <v>2015</v>
      </c>
      <c r="E1379">
        <v>63.490001678466797</v>
      </c>
      <c r="G1379" t="s">
        <v>465</v>
      </c>
      <c r="H1379">
        <v>2.369999885559082</v>
      </c>
      <c r="I1379">
        <v>2.369999885559082</v>
      </c>
      <c r="L1379" t="s">
        <v>466</v>
      </c>
      <c r="O1379">
        <v>121.7</v>
      </c>
      <c r="P1379">
        <v>197.75</v>
      </c>
      <c r="Q1379">
        <v>94.2</v>
      </c>
      <c r="R1379" s="3" t="s">
        <v>470</v>
      </c>
      <c r="S1379">
        <v>121.7</v>
      </c>
      <c r="T1379" t="s">
        <v>468</v>
      </c>
    </row>
    <row r="1380" spans="1:20" x14ac:dyDescent="0.25">
      <c r="A1380">
        <v>205</v>
      </c>
      <c r="B1380">
        <v>512115</v>
      </c>
      <c r="C1380" t="s">
        <v>255</v>
      </c>
      <c r="D1380">
        <v>2016</v>
      </c>
      <c r="E1380">
        <v>63.490001678466797</v>
      </c>
      <c r="G1380" t="s">
        <v>465</v>
      </c>
      <c r="H1380">
        <v>2.369999885559082</v>
      </c>
      <c r="I1380">
        <v>2.369999885559082</v>
      </c>
      <c r="L1380" t="s">
        <v>466</v>
      </c>
      <c r="O1380">
        <v>121.7</v>
      </c>
      <c r="P1380">
        <v>197.75</v>
      </c>
      <c r="Q1380">
        <v>94.2</v>
      </c>
      <c r="R1380" s="3" t="s">
        <v>470</v>
      </c>
      <c r="S1380">
        <v>121.7</v>
      </c>
      <c r="T1380" t="s">
        <v>468</v>
      </c>
    </row>
    <row r="1381" spans="1:20" x14ac:dyDescent="0.25">
      <c r="A1381">
        <v>205</v>
      </c>
      <c r="B1381">
        <v>512115</v>
      </c>
      <c r="C1381" t="s">
        <v>255</v>
      </c>
      <c r="D1381">
        <v>2017</v>
      </c>
      <c r="E1381">
        <v>63.490001678466797</v>
      </c>
      <c r="G1381" t="s">
        <v>465</v>
      </c>
      <c r="H1381">
        <v>2.369999885559082</v>
      </c>
      <c r="I1381">
        <v>2.369999885559082</v>
      </c>
      <c r="L1381" t="s">
        <v>466</v>
      </c>
      <c r="O1381">
        <v>121.7</v>
      </c>
      <c r="P1381">
        <v>197.75</v>
      </c>
      <c r="Q1381">
        <v>94.2</v>
      </c>
      <c r="R1381" s="3" t="s">
        <v>470</v>
      </c>
      <c r="S1381">
        <v>121.7</v>
      </c>
      <c r="T1381" t="s">
        <v>468</v>
      </c>
    </row>
    <row r="1382" spans="1:20" x14ac:dyDescent="0.25">
      <c r="A1382">
        <v>205</v>
      </c>
      <c r="B1382">
        <v>512115</v>
      </c>
      <c r="C1382" t="s">
        <v>255</v>
      </c>
      <c r="D1382">
        <v>2018</v>
      </c>
      <c r="E1382">
        <v>63.490001678466797</v>
      </c>
      <c r="G1382" t="s">
        <v>465</v>
      </c>
      <c r="H1382">
        <v>2.369999885559082</v>
      </c>
      <c r="I1382">
        <v>2.369999885559082</v>
      </c>
      <c r="L1382" t="s">
        <v>466</v>
      </c>
      <c r="O1382">
        <v>121.7</v>
      </c>
      <c r="P1382">
        <v>197.75</v>
      </c>
      <c r="Q1382">
        <v>94.2</v>
      </c>
      <c r="R1382" s="3" t="s">
        <v>470</v>
      </c>
      <c r="S1382">
        <v>121.7</v>
      </c>
      <c r="T1382" t="s">
        <v>468</v>
      </c>
    </row>
    <row r="1383" spans="1:20" x14ac:dyDescent="0.25">
      <c r="A1383">
        <v>205</v>
      </c>
      <c r="B1383">
        <v>512115</v>
      </c>
      <c r="C1383" t="s">
        <v>255</v>
      </c>
      <c r="D1383">
        <v>2019</v>
      </c>
      <c r="E1383">
        <v>63.490001678466797</v>
      </c>
      <c r="G1383" t="s">
        <v>465</v>
      </c>
      <c r="H1383">
        <v>2.369999885559082</v>
      </c>
      <c r="I1383">
        <v>2.369999885559082</v>
      </c>
      <c r="L1383" t="s">
        <v>466</v>
      </c>
      <c r="O1383">
        <v>121.7</v>
      </c>
      <c r="P1383">
        <v>197.75</v>
      </c>
      <c r="Q1383">
        <v>94.2</v>
      </c>
      <c r="R1383" s="3" t="s">
        <v>470</v>
      </c>
      <c r="S1383">
        <v>121.7</v>
      </c>
      <c r="T1383" t="s">
        <v>468</v>
      </c>
    </row>
    <row r="1384" spans="1:20" x14ac:dyDescent="0.25">
      <c r="A1384">
        <v>205</v>
      </c>
      <c r="B1384">
        <v>512115</v>
      </c>
      <c r="C1384" t="s">
        <v>255</v>
      </c>
      <c r="D1384">
        <v>2020</v>
      </c>
      <c r="E1384">
        <v>63.490001678466797</v>
      </c>
      <c r="G1384" t="s">
        <v>465</v>
      </c>
      <c r="H1384">
        <v>2.369999885559082</v>
      </c>
      <c r="I1384">
        <v>2.369999885559082</v>
      </c>
      <c r="L1384" t="s">
        <v>466</v>
      </c>
      <c r="O1384">
        <v>121.7</v>
      </c>
      <c r="P1384">
        <v>197.75</v>
      </c>
      <c r="Q1384">
        <v>94.2</v>
      </c>
      <c r="R1384" s="3" t="s">
        <v>470</v>
      </c>
      <c r="S1384">
        <v>121.7</v>
      </c>
      <c r="T1384" t="s">
        <v>468</v>
      </c>
    </row>
    <row r="1385" spans="1:20" x14ac:dyDescent="0.25">
      <c r="A1385">
        <v>205</v>
      </c>
      <c r="B1385">
        <v>512115</v>
      </c>
      <c r="C1385" t="s">
        <v>255</v>
      </c>
      <c r="D1385">
        <v>2021</v>
      </c>
      <c r="E1385">
        <v>63.490001678466797</v>
      </c>
      <c r="G1385" t="s">
        <v>465</v>
      </c>
      <c r="H1385">
        <v>2.369999885559082</v>
      </c>
      <c r="I1385">
        <v>2.369999885559082</v>
      </c>
      <c r="L1385" t="s">
        <v>466</v>
      </c>
      <c r="O1385">
        <v>121.7</v>
      </c>
      <c r="P1385">
        <v>197.75</v>
      </c>
      <c r="Q1385">
        <v>94.2</v>
      </c>
      <c r="R1385" s="3" t="s">
        <v>470</v>
      </c>
      <c r="S1385">
        <v>121.7</v>
      </c>
      <c r="T1385" t="s">
        <v>468</v>
      </c>
    </row>
    <row r="1386" spans="1:20" x14ac:dyDescent="0.25">
      <c r="A1386">
        <v>205</v>
      </c>
      <c r="B1386">
        <v>512115</v>
      </c>
      <c r="C1386" t="s">
        <v>255</v>
      </c>
      <c r="D1386">
        <v>2022</v>
      </c>
      <c r="E1386">
        <v>63.490001678466797</v>
      </c>
      <c r="G1386" t="s">
        <v>465</v>
      </c>
      <c r="H1386">
        <v>37.5</v>
      </c>
      <c r="I1386">
        <v>2.369999885559082</v>
      </c>
      <c r="L1386" t="s">
        <v>466</v>
      </c>
      <c r="O1386">
        <v>121.7</v>
      </c>
      <c r="P1386">
        <v>197.75</v>
      </c>
      <c r="Q1386">
        <v>94.2</v>
      </c>
      <c r="R1386" s="3" t="s">
        <v>470</v>
      </c>
      <c r="S1386">
        <v>121.7</v>
      </c>
      <c r="T1386" t="s">
        <v>468</v>
      </c>
    </row>
    <row r="1387" spans="1:20" x14ac:dyDescent="0.25">
      <c r="A1387">
        <v>205</v>
      </c>
      <c r="B1387">
        <v>512115</v>
      </c>
      <c r="C1387" t="s">
        <v>255</v>
      </c>
      <c r="D1387">
        <v>2023</v>
      </c>
      <c r="E1387">
        <v>63.490001678466797</v>
      </c>
      <c r="F1387">
        <v>-0.76</v>
      </c>
      <c r="G1387" t="s">
        <v>465</v>
      </c>
      <c r="H1387">
        <v>114.8199996948242</v>
      </c>
      <c r="I1387">
        <v>22.64999961853027</v>
      </c>
      <c r="L1387" t="s">
        <v>471</v>
      </c>
      <c r="M1387">
        <v>-151.07894696687401</v>
      </c>
      <c r="N1387">
        <v>-29.802631077013508</v>
      </c>
      <c r="O1387">
        <v>121.7</v>
      </c>
      <c r="P1387">
        <v>197.75</v>
      </c>
      <c r="Q1387">
        <v>94.2</v>
      </c>
      <c r="R1387" s="3" t="s">
        <v>470</v>
      </c>
      <c r="S1387">
        <v>121.7</v>
      </c>
      <c r="T1387" t="s">
        <v>468</v>
      </c>
    </row>
    <row r="1388" spans="1:20" x14ac:dyDescent="0.25">
      <c r="A1388">
        <v>205</v>
      </c>
      <c r="B1388">
        <v>512115</v>
      </c>
      <c r="C1388" t="s">
        <v>255</v>
      </c>
      <c r="D1388">
        <v>2024</v>
      </c>
      <c r="E1388">
        <v>63.490001678466797</v>
      </c>
      <c r="F1388">
        <v>0.86</v>
      </c>
      <c r="G1388" t="s">
        <v>465</v>
      </c>
      <c r="H1388">
        <v>197.75</v>
      </c>
      <c r="I1388">
        <v>94.199996948242188</v>
      </c>
      <c r="L1388" t="s">
        <v>469</v>
      </c>
      <c r="M1388">
        <v>229.94186046511629</v>
      </c>
      <c r="N1388">
        <v>109.5348801723746</v>
      </c>
      <c r="O1388">
        <v>121.7</v>
      </c>
      <c r="P1388">
        <v>197.75</v>
      </c>
      <c r="Q1388">
        <v>94.2</v>
      </c>
      <c r="R1388" s="3" t="s">
        <v>470</v>
      </c>
      <c r="S1388">
        <v>121.7</v>
      </c>
      <c r="T1388" t="s">
        <v>468</v>
      </c>
    </row>
    <row r="1389" spans="1:20" x14ac:dyDescent="0.25">
      <c r="A1389">
        <v>205</v>
      </c>
      <c r="B1389">
        <v>512115</v>
      </c>
      <c r="C1389" t="s">
        <v>255</v>
      </c>
      <c r="D1389">
        <v>2025</v>
      </c>
      <c r="E1389">
        <v>63.490001678466797</v>
      </c>
      <c r="F1389">
        <v>-1.01</v>
      </c>
      <c r="G1389" t="s">
        <v>465</v>
      </c>
      <c r="H1389">
        <v>115.9499969482422</v>
      </c>
      <c r="I1389">
        <v>41.009998321533203</v>
      </c>
      <c r="L1389" t="s">
        <v>471</v>
      </c>
      <c r="M1389">
        <v>-114.80197717647739</v>
      </c>
      <c r="N1389">
        <v>-40.603958734191288</v>
      </c>
      <c r="O1389">
        <v>121.7</v>
      </c>
      <c r="P1389">
        <v>197.75</v>
      </c>
      <c r="Q1389">
        <v>94.2</v>
      </c>
      <c r="R1389" s="3" t="s">
        <v>470</v>
      </c>
      <c r="S1389">
        <v>121.7</v>
      </c>
      <c r="T1389" t="s">
        <v>468</v>
      </c>
    </row>
    <row r="1390" spans="1:20" x14ac:dyDescent="0.25">
      <c r="A1390">
        <v>205</v>
      </c>
      <c r="B1390">
        <v>512115</v>
      </c>
      <c r="C1390" t="s">
        <v>255</v>
      </c>
      <c r="D1390">
        <v>2026</v>
      </c>
      <c r="E1390">
        <v>63.490001678466797</v>
      </c>
      <c r="F1390">
        <v>9.48</v>
      </c>
      <c r="G1390" t="s">
        <v>465</v>
      </c>
      <c r="H1390">
        <v>91</v>
      </c>
      <c r="I1390">
        <v>54</v>
      </c>
      <c r="L1390" t="s">
        <v>469</v>
      </c>
      <c r="M1390">
        <v>9.5991561181434601</v>
      </c>
      <c r="N1390">
        <v>5.6962025316455698</v>
      </c>
      <c r="O1390">
        <v>121.7</v>
      </c>
      <c r="P1390">
        <v>197.75</v>
      </c>
      <c r="Q1390">
        <v>94.2</v>
      </c>
      <c r="R1390" s="3" t="s">
        <v>470</v>
      </c>
      <c r="S1390">
        <v>121.7</v>
      </c>
      <c r="T1390" t="s">
        <v>468</v>
      </c>
    </row>
    <row r="1391" spans="1:20" x14ac:dyDescent="0.25">
      <c r="A1391">
        <v>206</v>
      </c>
      <c r="B1391">
        <v>512161</v>
      </c>
      <c r="C1391" t="s">
        <v>257</v>
      </c>
      <c r="D1391">
        <v>2015</v>
      </c>
      <c r="E1391">
        <v>17.579999923706051</v>
      </c>
      <c r="F1391">
        <v>6.88</v>
      </c>
      <c r="G1391" t="s">
        <v>465</v>
      </c>
      <c r="H1391">
        <v>809.15643310546875</v>
      </c>
      <c r="I1391">
        <v>215.62504577636719</v>
      </c>
      <c r="L1391" t="s">
        <v>469</v>
      </c>
      <c r="M1391">
        <v>117.60994667230651</v>
      </c>
      <c r="N1391">
        <v>31.340849676797561</v>
      </c>
      <c r="O1391">
        <f>IFERROR(VLOOKUP(B1391,BSE_500_LIVE!A:E,3,FALSE),"")</f>
        <v>0</v>
      </c>
      <c r="P1391">
        <f>IFERROR(VLOOKUP(B1391,BSE_500_LIVE!A:E,4,FALSE),"")</f>
        <v>0</v>
      </c>
      <c r="Q1391">
        <f>IFERROR(VLOOKUP(B1391,BSE_500_LIVE!A:E,5,FALSE),"")</f>
        <v>0</v>
      </c>
      <c r="R1391" t="str">
        <f t="shared" ref="R1391:R1402" si="20">IF(OR(E1391="",O1391=""),"PENDING_FETCH",IF(ABS(E1391-O1391)/E1391&gt;0.005,"MISMATCH_NEEDS_CORRECTION","VERIFIED_OK"))</f>
        <v>MISMATCH_NEEDS_CORRECTION</v>
      </c>
      <c r="S1391">
        <f t="shared" ref="S1391:S1402" si="21">IF(O1391&lt;&gt;"",O1391,E1391)</f>
        <v>0</v>
      </c>
      <c r="T1391">
        <f>IFERROR(VLOOKUP(B1391,BSE_500_LIVE!A:F,6,FALSE),"")</f>
        <v>0</v>
      </c>
    </row>
    <row r="1392" spans="1:20" x14ac:dyDescent="0.25">
      <c r="A1392">
        <v>206</v>
      </c>
      <c r="B1392">
        <v>512161</v>
      </c>
      <c r="C1392" t="s">
        <v>257</v>
      </c>
      <c r="D1392">
        <v>2016</v>
      </c>
      <c r="E1392">
        <v>17.579999923706051</v>
      </c>
      <c r="F1392">
        <v>13.65</v>
      </c>
      <c r="G1392" t="s">
        <v>465</v>
      </c>
      <c r="H1392">
        <v>956.250244140625</v>
      </c>
      <c r="I1392">
        <v>478.1251220703125</v>
      </c>
      <c r="L1392" t="s">
        <v>469</v>
      </c>
      <c r="M1392">
        <v>70.054962940705124</v>
      </c>
      <c r="N1392">
        <v>35.027481470352562</v>
      </c>
      <c r="O1392">
        <f>IFERROR(VLOOKUP(B1392,BSE_500_LIVE!A:E,3,FALSE),"")</f>
        <v>0</v>
      </c>
      <c r="P1392">
        <f>IFERROR(VLOOKUP(B1392,BSE_500_LIVE!A:E,4,FALSE),"")</f>
        <v>0</v>
      </c>
      <c r="Q1392">
        <f>IFERROR(VLOOKUP(B1392,BSE_500_LIVE!A:E,5,FALSE),"")</f>
        <v>0</v>
      </c>
      <c r="R1392" t="str">
        <f t="shared" si="20"/>
        <v>MISMATCH_NEEDS_CORRECTION</v>
      </c>
      <c r="S1392">
        <f t="shared" si="21"/>
        <v>0</v>
      </c>
      <c r="T1392">
        <f>IFERROR(VLOOKUP(B1392,BSE_500_LIVE!A:F,6,FALSE),"")</f>
        <v>0</v>
      </c>
    </row>
    <row r="1393" spans="1:20" x14ac:dyDescent="0.25">
      <c r="A1393">
        <v>206</v>
      </c>
      <c r="B1393">
        <v>512161</v>
      </c>
      <c r="C1393" t="s">
        <v>257</v>
      </c>
      <c r="D1393">
        <v>2017</v>
      </c>
      <c r="E1393">
        <v>17.579999923706051</v>
      </c>
      <c r="F1393">
        <v>34.229999999999997</v>
      </c>
      <c r="G1393" t="s">
        <v>465</v>
      </c>
      <c r="H1393">
        <v>1024</v>
      </c>
      <c r="I1393">
        <v>364.75</v>
      </c>
      <c r="L1393" t="s">
        <v>469</v>
      </c>
      <c r="M1393">
        <v>29.915278995033599</v>
      </c>
      <c r="N1393">
        <v>10.65585743499854</v>
      </c>
      <c r="O1393">
        <f>IFERROR(VLOOKUP(B1393,BSE_500_LIVE!A:E,3,FALSE),"")</f>
        <v>0</v>
      </c>
      <c r="P1393">
        <f>IFERROR(VLOOKUP(B1393,BSE_500_LIVE!A:E,4,FALSE),"")</f>
        <v>0</v>
      </c>
      <c r="Q1393">
        <f>IFERROR(VLOOKUP(B1393,BSE_500_LIVE!A:E,5,FALSE),"")</f>
        <v>0</v>
      </c>
      <c r="R1393" t="str">
        <f t="shared" si="20"/>
        <v>MISMATCH_NEEDS_CORRECTION</v>
      </c>
      <c r="S1393">
        <f t="shared" si="21"/>
        <v>0</v>
      </c>
      <c r="T1393">
        <f>IFERROR(VLOOKUP(B1393,BSE_500_LIVE!A:F,6,FALSE),"")</f>
        <v>0</v>
      </c>
    </row>
    <row r="1394" spans="1:20" x14ac:dyDescent="0.25">
      <c r="A1394">
        <v>206</v>
      </c>
      <c r="B1394">
        <v>512161</v>
      </c>
      <c r="C1394" t="s">
        <v>257</v>
      </c>
      <c r="D1394">
        <v>2018</v>
      </c>
      <c r="E1394">
        <v>17.579999923706051</v>
      </c>
      <c r="F1394">
        <v>56.24</v>
      </c>
      <c r="G1394" t="s">
        <v>465</v>
      </c>
      <c r="H1394">
        <v>914.3499755859375</v>
      </c>
      <c r="I1394">
        <v>55</v>
      </c>
      <c r="L1394" t="s">
        <v>469</v>
      </c>
      <c r="M1394">
        <v>16.258000988370149</v>
      </c>
      <c r="N1394">
        <v>0.97795163584637268</v>
      </c>
      <c r="O1394">
        <f>IFERROR(VLOOKUP(B1394,BSE_500_LIVE!A:E,3,FALSE),"")</f>
        <v>0</v>
      </c>
      <c r="P1394">
        <f>IFERROR(VLOOKUP(B1394,BSE_500_LIVE!A:E,4,FALSE),"")</f>
        <v>0</v>
      </c>
      <c r="Q1394">
        <f>IFERROR(VLOOKUP(B1394,BSE_500_LIVE!A:E,5,FALSE),"")</f>
        <v>0</v>
      </c>
      <c r="R1394" t="str">
        <f t="shared" si="20"/>
        <v>MISMATCH_NEEDS_CORRECTION</v>
      </c>
      <c r="S1394">
        <f t="shared" si="21"/>
        <v>0</v>
      </c>
      <c r="T1394">
        <f>IFERROR(VLOOKUP(B1394,BSE_500_LIVE!A:F,6,FALSE),"")</f>
        <v>0</v>
      </c>
    </row>
    <row r="1395" spans="1:20" x14ac:dyDescent="0.25">
      <c r="A1395">
        <v>206</v>
      </c>
      <c r="B1395">
        <v>512161</v>
      </c>
      <c r="C1395" t="s">
        <v>257</v>
      </c>
      <c r="D1395">
        <v>2019</v>
      </c>
      <c r="E1395">
        <v>17.579999923706051</v>
      </c>
      <c r="F1395">
        <v>22.52</v>
      </c>
      <c r="G1395" t="s">
        <v>465</v>
      </c>
      <c r="H1395">
        <v>167.30000305175781</v>
      </c>
      <c r="I1395">
        <v>32.599998474121087</v>
      </c>
      <c r="L1395" t="s">
        <v>469</v>
      </c>
      <c r="M1395">
        <v>7.4289521781419987</v>
      </c>
      <c r="N1395">
        <v>1.447602063682109</v>
      </c>
      <c r="O1395">
        <f>IFERROR(VLOOKUP(B1395,BSE_500_LIVE!A:E,3,FALSE),"")</f>
        <v>0</v>
      </c>
      <c r="P1395">
        <f>IFERROR(VLOOKUP(B1395,BSE_500_LIVE!A:E,4,FALSE),"")</f>
        <v>0</v>
      </c>
      <c r="Q1395">
        <f>IFERROR(VLOOKUP(B1395,BSE_500_LIVE!A:E,5,FALSE),"")</f>
        <v>0</v>
      </c>
      <c r="R1395" t="str">
        <f t="shared" si="20"/>
        <v>MISMATCH_NEEDS_CORRECTION</v>
      </c>
      <c r="S1395">
        <f t="shared" si="21"/>
        <v>0</v>
      </c>
      <c r="T1395">
        <f>IFERROR(VLOOKUP(B1395,BSE_500_LIVE!A:F,6,FALSE),"")</f>
        <v>0</v>
      </c>
    </row>
    <row r="1396" spans="1:20" x14ac:dyDescent="0.25">
      <c r="A1396">
        <v>206</v>
      </c>
      <c r="B1396">
        <v>512161</v>
      </c>
      <c r="C1396" t="s">
        <v>257</v>
      </c>
      <c r="D1396">
        <v>2020</v>
      </c>
      <c r="E1396">
        <v>17.579999923706051</v>
      </c>
      <c r="F1396">
        <v>-164.42</v>
      </c>
      <c r="G1396" t="s">
        <v>465</v>
      </c>
      <c r="H1396">
        <v>111.34999847412109</v>
      </c>
      <c r="I1396">
        <v>20.29999923706055</v>
      </c>
      <c r="L1396" t="s">
        <v>471</v>
      </c>
      <c r="M1396">
        <v>-0.67722903828075109</v>
      </c>
      <c r="N1396">
        <v>-0.12346429410692469</v>
      </c>
      <c r="O1396">
        <f>IFERROR(VLOOKUP(B1396,BSE_500_LIVE!A:E,3,FALSE),"")</f>
        <v>0</v>
      </c>
      <c r="P1396">
        <f>IFERROR(VLOOKUP(B1396,BSE_500_LIVE!A:E,4,FALSE),"")</f>
        <v>0</v>
      </c>
      <c r="Q1396">
        <f>IFERROR(VLOOKUP(B1396,BSE_500_LIVE!A:E,5,FALSE),"")</f>
        <v>0</v>
      </c>
      <c r="R1396" t="str">
        <f t="shared" si="20"/>
        <v>MISMATCH_NEEDS_CORRECTION</v>
      </c>
      <c r="S1396">
        <f t="shared" si="21"/>
        <v>0</v>
      </c>
      <c r="T1396">
        <f>IFERROR(VLOOKUP(B1396,BSE_500_LIVE!A:F,6,FALSE),"")</f>
        <v>0</v>
      </c>
    </row>
    <row r="1397" spans="1:20" x14ac:dyDescent="0.25">
      <c r="A1397">
        <v>206</v>
      </c>
      <c r="B1397">
        <v>512161</v>
      </c>
      <c r="C1397" t="s">
        <v>257</v>
      </c>
      <c r="D1397">
        <v>2021</v>
      </c>
      <c r="E1397">
        <v>17.579999923706051</v>
      </c>
      <c r="F1397">
        <v>0.52</v>
      </c>
      <c r="G1397" t="s">
        <v>465</v>
      </c>
      <c r="H1397">
        <v>245.25</v>
      </c>
      <c r="I1397">
        <v>74.550003051757813</v>
      </c>
      <c r="L1397" t="s">
        <v>469</v>
      </c>
      <c r="M1397">
        <v>471.63461538461542</v>
      </c>
      <c r="N1397">
        <v>143.3653904841496</v>
      </c>
      <c r="O1397">
        <f>IFERROR(VLOOKUP(B1397,BSE_500_LIVE!A:E,3,FALSE),"")</f>
        <v>0</v>
      </c>
      <c r="P1397">
        <f>IFERROR(VLOOKUP(B1397,BSE_500_LIVE!A:E,4,FALSE),"")</f>
        <v>0</v>
      </c>
      <c r="Q1397">
        <f>IFERROR(VLOOKUP(B1397,BSE_500_LIVE!A:E,5,FALSE),"")</f>
        <v>0</v>
      </c>
      <c r="R1397" t="str">
        <f t="shared" si="20"/>
        <v>MISMATCH_NEEDS_CORRECTION</v>
      </c>
      <c r="S1397">
        <f t="shared" si="21"/>
        <v>0</v>
      </c>
      <c r="T1397">
        <f>IFERROR(VLOOKUP(B1397,BSE_500_LIVE!A:F,6,FALSE),"")</f>
        <v>0</v>
      </c>
    </row>
    <row r="1398" spans="1:20" x14ac:dyDescent="0.25">
      <c r="A1398">
        <v>206</v>
      </c>
      <c r="B1398">
        <v>512161</v>
      </c>
      <c r="C1398" t="s">
        <v>257</v>
      </c>
      <c r="D1398">
        <v>2022</v>
      </c>
      <c r="E1398">
        <v>17.579999923706051</v>
      </c>
      <c r="F1398">
        <v>-20.59</v>
      </c>
      <c r="G1398" t="s">
        <v>465</v>
      </c>
      <c r="H1398">
        <v>148</v>
      </c>
      <c r="I1398">
        <v>54.049999237060547</v>
      </c>
      <c r="L1398" t="s">
        <v>471</v>
      </c>
      <c r="M1398">
        <v>-7.1879553181155904</v>
      </c>
      <c r="N1398">
        <v>-2.6250606720281962</v>
      </c>
      <c r="O1398">
        <f>IFERROR(VLOOKUP(B1398,BSE_500_LIVE!A:E,3,FALSE),"")</f>
        <v>0</v>
      </c>
      <c r="P1398">
        <f>IFERROR(VLOOKUP(B1398,BSE_500_LIVE!A:E,4,FALSE),"")</f>
        <v>0</v>
      </c>
      <c r="Q1398">
        <f>IFERROR(VLOOKUP(B1398,BSE_500_LIVE!A:E,5,FALSE),"")</f>
        <v>0</v>
      </c>
      <c r="R1398" t="str">
        <f t="shared" si="20"/>
        <v>MISMATCH_NEEDS_CORRECTION</v>
      </c>
      <c r="S1398">
        <f t="shared" si="21"/>
        <v>0</v>
      </c>
      <c r="T1398">
        <f>IFERROR(VLOOKUP(B1398,BSE_500_LIVE!A:F,6,FALSE),"")</f>
        <v>0</v>
      </c>
    </row>
    <row r="1399" spans="1:20" x14ac:dyDescent="0.25">
      <c r="A1399">
        <v>206</v>
      </c>
      <c r="B1399">
        <v>512161</v>
      </c>
      <c r="C1399" t="s">
        <v>257</v>
      </c>
      <c r="D1399">
        <v>2023</v>
      </c>
      <c r="E1399">
        <v>17.579999923706051</v>
      </c>
      <c r="F1399">
        <v>-14.54</v>
      </c>
      <c r="G1399" t="s">
        <v>465</v>
      </c>
      <c r="H1399">
        <v>65.599998474121094</v>
      </c>
      <c r="I1399">
        <v>30.059999465942379</v>
      </c>
      <c r="L1399" t="s">
        <v>471</v>
      </c>
      <c r="M1399">
        <v>-4.5116917795131428</v>
      </c>
      <c r="N1399">
        <v>-2.0674002383729291</v>
      </c>
      <c r="O1399">
        <f>IFERROR(VLOOKUP(B1399,BSE_500_LIVE!A:E,3,FALSE),"")</f>
        <v>0</v>
      </c>
      <c r="P1399">
        <f>IFERROR(VLOOKUP(B1399,BSE_500_LIVE!A:E,4,FALSE),"")</f>
        <v>0</v>
      </c>
      <c r="Q1399">
        <f>IFERROR(VLOOKUP(B1399,BSE_500_LIVE!A:E,5,FALSE),"")</f>
        <v>0</v>
      </c>
      <c r="R1399" t="str">
        <f t="shared" si="20"/>
        <v>MISMATCH_NEEDS_CORRECTION</v>
      </c>
      <c r="S1399">
        <f t="shared" si="21"/>
        <v>0</v>
      </c>
      <c r="T1399">
        <f>IFERROR(VLOOKUP(B1399,BSE_500_LIVE!A:F,6,FALSE),"")</f>
        <v>0</v>
      </c>
    </row>
    <row r="1400" spans="1:20" x14ac:dyDescent="0.25">
      <c r="A1400">
        <v>206</v>
      </c>
      <c r="B1400">
        <v>512161</v>
      </c>
      <c r="C1400" t="s">
        <v>257</v>
      </c>
      <c r="D1400">
        <v>2024</v>
      </c>
      <c r="E1400">
        <v>17.579999923706051</v>
      </c>
      <c r="F1400">
        <v>-28.68</v>
      </c>
      <c r="G1400" t="s">
        <v>465</v>
      </c>
      <c r="H1400">
        <v>72.949996948242188</v>
      </c>
      <c r="I1400">
        <v>29.270000457763668</v>
      </c>
      <c r="L1400" t="s">
        <v>471</v>
      </c>
      <c r="M1400">
        <v>-2.5435842729512621</v>
      </c>
      <c r="N1400">
        <v>-1.0205718430182591</v>
      </c>
      <c r="O1400">
        <f>IFERROR(VLOOKUP(B1400,BSE_500_LIVE!A:E,3,FALSE),"")</f>
        <v>0</v>
      </c>
      <c r="P1400">
        <f>IFERROR(VLOOKUP(B1400,BSE_500_LIVE!A:E,4,FALSE),"")</f>
        <v>0</v>
      </c>
      <c r="Q1400">
        <f>IFERROR(VLOOKUP(B1400,BSE_500_LIVE!A:E,5,FALSE),"")</f>
        <v>0</v>
      </c>
      <c r="R1400" t="str">
        <f t="shared" si="20"/>
        <v>MISMATCH_NEEDS_CORRECTION</v>
      </c>
      <c r="S1400">
        <f t="shared" si="21"/>
        <v>0</v>
      </c>
      <c r="T1400">
        <f>IFERROR(VLOOKUP(B1400,BSE_500_LIVE!A:F,6,FALSE),"")</f>
        <v>0</v>
      </c>
    </row>
    <row r="1401" spans="1:20" x14ac:dyDescent="0.25">
      <c r="A1401">
        <v>206</v>
      </c>
      <c r="B1401">
        <v>512161</v>
      </c>
      <c r="C1401" t="s">
        <v>257</v>
      </c>
      <c r="D1401">
        <v>2025</v>
      </c>
      <c r="E1401">
        <v>17.579999923706051</v>
      </c>
      <c r="F1401">
        <v>-13.72</v>
      </c>
      <c r="G1401" t="s">
        <v>465</v>
      </c>
      <c r="H1401">
        <v>35.400001525878913</v>
      </c>
      <c r="I1401">
        <v>16.129999160766602</v>
      </c>
      <c r="L1401" t="s">
        <v>471</v>
      </c>
      <c r="M1401">
        <v>-2.5801750383293669</v>
      </c>
      <c r="N1401">
        <v>-1.1756559155077699</v>
      </c>
      <c r="O1401">
        <f>IFERROR(VLOOKUP(B1401,BSE_500_LIVE!A:E,3,FALSE),"")</f>
        <v>0</v>
      </c>
      <c r="P1401">
        <f>IFERROR(VLOOKUP(B1401,BSE_500_LIVE!A:E,4,FALSE),"")</f>
        <v>0</v>
      </c>
      <c r="Q1401">
        <f>IFERROR(VLOOKUP(B1401,BSE_500_LIVE!A:E,5,FALSE),"")</f>
        <v>0</v>
      </c>
      <c r="R1401" t="str">
        <f t="shared" si="20"/>
        <v>MISMATCH_NEEDS_CORRECTION</v>
      </c>
      <c r="S1401">
        <f t="shared" si="21"/>
        <v>0</v>
      </c>
      <c r="T1401">
        <f>IFERROR(VLOOKUP(B1401,BSE_500_LIVE!A:F,6,FALSE),"")</f>
        <v>0</v>
      </c>
    </row>
    <row r="1402" spans="1:20" x14ac:dyDescent="0.25">
      <c r="A1402">
        <v>206</v>
      </c>
      <c r="B1402">
        <v>512161</v>
      </c>
      <c r="C1402" t="s">
        <v>257</v>
      </c>
      <c r="D1402">
        <v>2026</v>
      </c>
      <c r="E1402">
        <v>17.579999923706051</v>
      </c>
      <c r="F1402">
        <v>-42.07</v>
      </c>
      <c r="G1402" t="s">
        <v>465</v>
      </c>
      <c r="H1402">
        <v>27.70000076293945</v>
      </c>
      <c r="I1402">
        <v>16.879999160766602</v>
      </c>
      <c r="L1402" t="s">
        <v>471</v>
      </c>
      <c r="M1402">
        <v>-0.6584264502719146</v>
      </c>
      <c r="N1402">
        <v>-0.40123601523096269</v>
      </c>
      <c r="O1402">
        <f>IFERROR(VLOOKUP(B1402,BSE_500_LIVE!A:E,3,FALSE),"")</f>
        <v>0</v>
      </c>
      <c r="P1402">
        <f>IFERROR(VLOOKUP(B1402,BSE_500_LIVE!A:E,4,FALSE),"")</f>
        <v>0</v>
      </c>
      <c r="Q1402">
        <f>IFERROR(VLOOKUP(B1402,BSE_500_LIVE!A:E,5,FALSE),"")</f>
        <v>0</v>
      </c>
      <c r="R1402" t="str">
        <f t="shared" si="20"/>
        <v>MISMATCH_NEEDS_CORRECTION</v>
      </c>
      <c r="S1402">
        <f t="shared" si="21"/>
        <v>0</v>
      </c>
      <c r="T1402">
        <f>IFERROR(VLOOKUP(B1402,BSE_500_LIVE!A:F,6,FALSE),"")</f>
        <v>0</v>
      </c>
    </row>
    <row r="1403" spans="1:20" x14ac:dyDescent="0.25">
      <c r="A1403">
        <v>207</v>
      </c>
      <c r="B1403">
        <v>512197</v>
      </c>
      <c r="C1403" t="s">
        <v>259</v>
      </c>
      <c r="D1403">
        <v>2015</v>
      </c>
      <c r="E1403">
        <v>7.0199999809265137</v>
      </c>
      <c r="F1403">
        <v>1.24</v>
      </c>
      <c r="G1403" t="s">
        <v>465</v>
      </c>
      <c r="H1403">
        <v>7.4499998092651367</v>
      </c>
      <c r="I1403">
        <v>2.5699999332427979</v>
      </c>
      <c r="L1403" t="s">
        <v>469</v>
      </c>
      <c r="M1403">
        <v>6.008064362310594</v>
      </c>
      <c r="N1403">
        <v>2.072580591324837</v>
      </c>
      <c r="O1403">
        <v>3.55</v>
      </c>
      <c r="P1403">
        <v>7.19</v>
      </c>
      <c r="Q1403">
        <v>2.5499999999999998</v>
      </c>
      <c r="R1403" s="3" t="s">
        <v>470</v>
      </c>
      <c r="S1403">
        <v>3.55</v>
      </c>
      <c r="T1403" t="s">
        <v>468</v>
      </c>
    </row>
    <row r="1404" spans="1:20" x14ac:dyDescent="0.25">
      <c r="A1404">
        <v>207</v>
      </c>
      <c r="B1404">
        <v>512197</v>
      </c>
      <c r="C1404" t="s">
        <v>259</v>
      </c>
      <c r="D1404">
        <v>2016</v>
      </c>
      <c r="E1404">
        <v>7.0199999809265137</v>
      </c>
      <c r="F1404">
        <v>-0.28999999999999998</v>
      </c>
      <c r="G1404" t="s">
        <v>465</v>
      </c>
      <c r="H1404">
        <v>2.8199999332427979</v>
      </c>
      <c r="I1404">
        <v>2.089999914169312</v>
      </c>
      <c r="L1404" t="s">
        <v>471</v>
      </c>
      <c r="M1404">
        <v>-9.7241377008372343</v>
      </c>
      <c r="N1404">
        <v>-7.2068962557562486</v>
      </c>
      <c r="O1404">
        <v>3.55</v>
      </c>
      <c r="P1404">
        <v>7.19</v>
      </c>
      <c r="Q1404">
        <v>2.5499999999999998</v>
      </c>
      <c r="R1404" s="3" t="s">
        <v>470</v>
      </c>
      <c r="S1404">
        <v>3.55</v>
      </c>
      <c r="T1404" t="s">
        <v>468</v>
      </c>
    </row>
    <row r="1405" spans="1:20" x14ac:dyDescent="0.25">
      <c r="A1405">
        <v>207</v>
      </c>
      <c r="B1405">
        <v>512197</v>
      </c>
      <c r="C1405" t="s">
        <v>259</v>
      </c>
      <c r="D1405">
        <v>2017</v>
      </c>
      <c r="E1405">
        <v>7.0199999809265137</v>
      </c>
      <c r="F1405">
        <v>1.49</v>
      </c>
      <c r="G1405" t="s">
        <v>465</v>
      </c>
      <c r="H1405">
        <v>3.5699999332427979</v>
      </c>
      <c r="I1405">
        <v>2.089999914169312</v>
      </c>
      <c r="L1405" t="s">
        <v>469</v>
      </c>
      <c r="M1405">
        <v>2.3959731095589252</v>
      </c>
      <c r="N1405">
        <v>1.4026845061539011</v>
      </c>
      <c r="O1405">
        <v>3.55</v>
      </c>
      <c r="P1405">
        <v>7.19</v>
      </c>
      <c r="Q1405">
        <v>2.5499999999999998</v>
      </c>
      <c r="R1405" s="3" t="s">
        <v>470</v>
      </c>
      <c r="S1405">
        <v>3.55</v>
      </c>
      <c r="T1405" t="s">
        <v>468</v>
      </c>
    </row>
    <row r="1406" spans="1:20" x14ac:dyDescent="0.25">
      <c r="A1406">
        <v>207</v>
      </c>
      <c r="B1406">
        <v>512197</v>
      </c>
      <c r="C1406" t="s">
        <v>259</v>
      </c>
      <c r="D1406">
        <v>2018</v>
      </c>
      <c r="E1406">
        <v>7.0199999809265137</v>
      </c>
      <c r="F1406">
        <v>0.73</v>
      </c>
      <c r="G1406" t="s">
        <v>465</v>
      </c>
      <c r="H1406">
        <v>5.4699997901916504</v>
      </c>
      <c r="I1406">
        <v>2.5699999332427979</v>
      </c>
      <c r="L1406" t="s">
        <v>469</v>
      </c>
      <c r="M1406">
        <v>7.4931503975228093</v>
      </c>
      <c r="N1406">
        <v>3.520547853757257</v>
      </c>
      <c r="O1406">
        <v>3.55</v>
      </c>
      <c r="P1406">
        <v>7.19</v>
      </c>
      <c r="Q1406">
        <v>2.5499999999999998</v>
      </c>
      <c r="R1406" s="3" t="s">
        <v>470</v>
      </c>
      <c r="S1406">
        <v>3.55</v>
      </c>
      <c r="T1406" t="s">
        <v>468</v>
      </c>
    </row>
    <row r="1407" spans="1:20" x14ac:dyDescent="0.25">
      <c r="A1407">
        <v>207</v>
      </c>
      <c r="B1407">
        <v>512197</v>
      </c>
      <c r="C1407" t="s">
        <v>259</v>
      </c>
      <c r="D1407">
        <v>2019</v>
      </c>
      <c r="E1407">
        <v>7.0199999809265137</v>
      </c>
      <c r="F1407">
        <v>-28.47</v>
      </c>
      <c r="G1407" t="s">
        <v>465</v>
      </c>
      <c r="H1407">
        <v>3.9900000095367432</v>
      </c>
      <c r="I1407">
        <v>2.2400000095367432</v>
      </c>
      <c r="L1407" t="s">
        <v>471</v>
      </c>
      <c r="M1407">
        <v>-0.14014752404414271</v>
      </c>
      <c r="N1407">
        <v>-7.8679311890999054E-2</v>
      </c>
      <c r="O1407">
        <v>3.55</v>
      </c>
      <c r="P1407">
        <v>7.19</v>
      </c>
      <c r="Q1407">
        <v>2.5499999999999998</v>
      </c>
      <c r="R1407" s="3" t="s">
        <v>470</v>
      </c>
      <c r="S1407">
        <v>3.55</v>
      </c>
      <c r="T1407" t="s">
        <v>468</v>
      </c>
    </row>
    <row r="1408" spans="1:20" x14ac:dyDescent="0.25">
      <c r="A1408">
        <v>207</v>
      </c>
      <c r="B1408">
        <v>512197</v>
      </c>
      <c r="C1408" t="s">
        <v>259</v>
      </c>
      <c r="D1408">
        <v>2020</v>
      </c>
      <c r="E1408">
        <v>7.0199999809265137</v>
      </c>
      <c r="G1408" t="s">
        <v>465</v>
      </c>
      <c r="H1408">
        <v>4.570000171661377</v>
      </c>
      <c r="I1408">
        <v>3.0999999046325679</v>
      </c>
      <c r="L1408" t="s">
        <v>466</v>
      </c>
      <c r="O1408">
        <v>3.55</v>
      </c>
      <c r="P1408">
        <v>7.19</v>
      </c>
      <c r="Q1408">
        <v>2.5499999999999998</v>
      </c>
      <c r="R1408" s="3" t="s">
        <v>470</v>
      </c>
      <c r="S1408">
        <v>3.55</v>
      </c>
      <c r="T1408" t="s">
        <v>468</v>
      </c>
    </row>
    <row r="1409" spans="1:20" x14ac:dyDescent="0.25">
      <c r="A1409">
        <v>207</v>
      </c>
      <c r="B1409">
        <v>512197</v>
      </c>
      <c r="C1409" t="s">
        <v>259</v>
      </c>
      <c r="D1409">
        <v>2021</v>
      </c>
      <c r="E1409">
        <v>7.0199999809265137</v>
      </c>
      <c r="G1409" t="s">
        <v>465</v>
      </c>
      <c r="H1409">
        <v>4.7199997901916504</v>
      </c>
      <c r="I1409">
        <v>2.5</v>
      </c>
      <c r="L1409" t="s">
        <v>466</v>
      </c>
      <c r="O1409">
        <v>3.55</v>
      </c>
      <c r="P1409">
        <v>7.19</v>
      </c>
      <c r="Q1409">
        <v>2.5499999999999998</v>
      </c>
      <c r="R1409" s="3" t="s">
        <v>470</v>
      </c>
      <c r="S1409">
        <v>3.55</v>
      </c>
      <c r="T1409" t="s">
        <v>468</v>
      </c>
    </row>
    <row r="1410" spans="1:20" x14ac:dyDescent="0.25">
      <c r="A1410">
        <v>207</v>
      </c>
      <c r="B1410">
        <v>512197</v>
      </c>
      <c r="C1410" t="s">
        <v>259</v>
      </c>
      <c r="D1410">
        <v>2022</v>
      </c>
      <c r="E1410">
        <v>7.0199999809265137</v>
      </c>
      <c r="G1410" t="s">
        <v>465</v>
      </c>
      <c r="H1410">
        <v>6.869999885559082</v>
      </c>
      <c r="I1410">
        <v>2.029999971389771</v>
      </c>
      <c r="L1410" t="s">
        <v>466</v>
      </c>
      <c r="O1410">
        <v>3.55</v>
      </c>
      <c r="P1410">
        <v>7.19</v>
      </c>
      <c r="Q1410">
        <v>2.5499999999999998</v>
      </c>
      <c r="R1410" s="3" t="s">
        <v>470</v>
      </c>
      <c r="S1410">
        <v>3.55</v>
      </c>
      <c r="T1410" t="s">
        <v>468</v>
      </c>
    </row>
    <row r="1411" spans="1:20" x14ac:dyDescent="0.25">
      <c r="A1411">
        <v>207</v>
      </c>
      <c r="B1411">
        <v>512197</v>
      </c>
      <c r="C1411" t="s">
        <v>259</v>
      </c>
      <c r="D1411">
        <v>2023</v>
      </c>
      <c r="E1411">
        <v>7.0199999809265137</v>
      </c>
      <c r="G1411" t="s">
        <v>465</v>
      </c>
      <c r="H1411">
        <v>3.7000000476837158</v>
      </c>
      <c r="I1411">
        <v>2</v>
      </c>
      <c r="L1411" t="s">
        <v>466</v>
      </c>
      <c r="O1411">
        <v>3.55</v>
      </c>
      <c r="P1411">
        <v>7.19</v>
      </c>
      <c r="Q1411">
        <v>2.5499999999999998</v>
      </c>
      <c r="R1411" s="3" t="s">
        <v>470</v>
      </c>
      <c r="S1411">
        <v>3.55</v>
      </c>
      <c r="T1411" t="s">
        <v>468</v>
      </c>
    </row>
    <row r="1412" spans="1:20" x14ac:dyDescent="0.25">
      <c r="A1412">
        <v>207</v>
      </c>
      <c r="B1412">
        <v>512197</v>
      </c>
      <c r="C1412" t="s">
        <v>259</v>
      </c>
      <c r="D1412">
        <v>2024</v>
      </c>
      <c r="E1412">
        <v>7.0199999809265137</v>
      </c>
      <c r="G1412" t="s">
        <v>465</v>
      </c>
      <c r="H1412">
        <v>7.190000057220459</v>
      </c>
      <c r="I1412">
        <v>2.5499999523162842</v>
      </c>
      <c r="L1412" t="s">
        <v>466</v>
      </c>
      <c r="O1412">
        <v>3.55</v>
      </c>
      <c r="P1412">
        <v>7.19</v>
      </c>
      <c r="Q1412">
        <v>2.5499999999999998</v>
      </c>
      <c r="R1412" s="3" t="s">
        <v>470</v>
      </c>
      <c r="S1412">
        <v>3.55</v>
      </c>
      <c r="T1412" t="s">
        <v>468</v>
      </c>
    </row>
    <row r="1413" spans="1:20" x14ac:dyDescent="0.25">
      <c r="A1413">
        <v>207</v>
      </c>
      <c r="B1413">
        <v>512197</v>
      </c>
      <c r="C1413" t="s">
        <v>259</v>
      </c>
      <c r="D1413">
        <v>2025</v>
      </c>
      <c r="E1413">
        <v>7.0199999809265137</v>
      </c>
      <c r="G1413" t="s">
        <v>465</v>
      </c>
      <c r="H1413">
        <v>10.14999961853027</v>
      </c>
      <c r="I1413">
        <v>4.5399999618530273</v>
      </c>
      <c r="L1413" t="s">
        <v>466</v>
      </c>
      <c r="O1413">
        <v>3.55</v>
      </c>
      <c r="P1413">
        <v>7.19</v>
      </c>
      <c r="Q1413">
        <v>2.5499999999999998</v>
      </c>
      <c r="R1413" s="3" t="s">
        <v>470</v>
      </c>
      <c r="S1413">
        <v>3.55</v>
      </c>
      <c r="T1413" t="s">
        <v>468</v>
      </c>
    </row>
    <row r="1414" spans="1:20" x14ac:dyDescent="0.25">
      <c r="A1414">
        <v>207</v>
      </c>
      <c r="B1414">
        <v>512197</v>
      </c>
      <c r="C1414" t="s">
        <v>259</v>
      </c>
      <c r="D1414">
        <v>2026</v>
      </c>
      <c r="E1414">
        <v>7.0199999809265137</v>
      </c>
      <c r="G1414" t="s">
        <v>465</v>
      </c>
      <c r="H1414">
        <v>7.1500000953674316</v>
      </c>
      <c r="I1414">
        <v>3.589999914169312</v>
      </c>
      <c r="L1414" t="s">
        <v>466</v>
      </c>
      <c r="O1414">
        <v>3.55</v>
      </c>
      <c r="P1414">
        <v>7.19</v>
      </c>
      <c r="Q1414">
        <v>2.5499999999999998</v>
      </c>
      <c r="R1414" s="3" t="s">
        <v>470</v>
      </c>
      <c r="S1414">
        <v>3.55</v>
      </c>
      <c r="T1414" t="s">
        <v>468</v>
      </c>
    </row>
    <row r="1415" spans="1:20" x14ac:dyDescent="0.25">
      <c r="A1415">
        <v>208</v>
      </c>
      <c r="B1415">
        <v>512215</v>
      </c>
      <c r="C1415" t="s">
        <v>261</v>
      </c>
      <c r="D1415">
        <v>2015</v>
      </c>
      <c r="E1415">
        <v>32.490001678466797</v>
      </c>
      <c r="F1415">
        <v>-1.75</v>
      </c>
      <c r="G1415" t="s">
        <v>465</v>
      </c>
      <c r="H1415">
        <v>15.460000038146971</v>
      </c>
      <c r="I1415">
        <v>11.569999694824221</v>
      </c>
      <c r="L1415" t="s">
        <v>471</v>
      </c>
      <c r="M1415">
        <v>-8.8342857360839826</v>
      </c>
      <c r="N1415">
        <v>-6.6114283970424106</v>
      </c>
      <c r="O1415">
        <v>34</v>
      </c>
      <c r="P1415">
        <v>46.05</v>
      </c>
      <c r="Q1415">
        <v>32.49</v>
      </c>
      <c r="R1415" s="2" t="s">
        <v>467</v>
      </c>
      <c r="S1415">
        <v>34</v>
      </c>
      <c r="T1415" t="s">
        <v>468</v>
      </c>
    </row>
    <row r="1416" spans="1:20" x14ac:dyDescent="0.25">
      <c r="A1416">
        <v>208</v>
      </c>
      <c r="B1416">
        <v>512215</v>
      </c>
      <c r="C1416" t="s">
        <v>261</v>
      </c>
      <c r="D1416">
        <v>2016</v>
      </c>
      <c r="E1416">
        <v>32.490001678466797</v>
      </c>
      <c r="F1416">
        <v>-2.2999999999999998</v>
      </c>
      <c r="G1416" t="s">
        <v>465</v>
      </c>
      <c r="H1416">
        <v>54.450000762939453</v>
      </c>
      <c r="I1416">
        <v>15.460000038146971</v>
      </c>
      <c r="L1416" t="s">
        <v>471</v>
      </c>
      <c r="M1416">
        <v>-23.67391337519107</v>
      </c>
      <c r="N1416">
        <v>-6.7217391470204229</v>
      </c>
      <c r="O1416">
        <v>34</v>
      </c>
      <c r="P1416">
        <v>46.05</v>
      </c>
      <c r="Q1416">
        <v>32.49</v>
      </c>
      <c r="R1416" s="2" t="s">
        <v>467</v>
      </c>
      <c r="S1416">
        <v>34</v>
      </c>
      <c r="T1416" t="s">
        <v>468</v>
      </c>
    </row>
    <row r="1417" spans="1:20" x14ac:dyDescent="0.25">
      <c r="A1417">
        <v>208</v>
      </c>
      <c r="B1417">
        <v>512215</v>
      </c>
      <c r="C1417" t="s">
        <v>261</v>
      </c>
      <c r="D1417">
        <v>2017</v>
      </c>
      <c r="E1417">
        <v>32.490001678466797</v>
      </c>
      <c r="F1417">
        <v>-3.35</v>
      </c>
      <c r="G1417" t="s">
        <v>465</v>
      </c>
      <c r="H1417">
        <v>71.699996948242188</v>
      </c>
      <c r="I1417">
        <v>42.099998474121087</v>
      </c>
      <c r="L1417" t="s">
        <v>471</v>
      </c>
      <c r="M1417">
        <v>-21.402984163654381</v>
      </c>
      <c r="N1417">
        <v>-12.567163723618229</v>
      </c>
      <c r="O1417">
        <v>34</v>
      </c>
      <c r="P1417">
        <v>46.05</v>
      </c>
      <c r="Q1417">
        <v>32.49</v>
      </c>
      <c r="R1417" s="2" t="s">
        <v>467</v>
      </c>
      <c r="S1417">
        <v>34</v>
      </c>
      <c r="T1417" t="s">
        <v>468</v>
      </c>
    </row>
    <row r="1418" spans="1:20" x14ac:dyDescent="0.25">
      <c r="A1418">
        <v>208</v>
      </c>
      <c r="B1418">
        <v>512215</v>
      </c>
      <c r="C1418" t="s">
        <v>261</v>
      </c>
      <c r="D1418">
        <v>2018</v>
      </c>
      <c r="E1418">
        <v>32.490001678466797</v>
      </c>
      <c r="F1418">
        <v>1.33</v>
      </c>
      <c r="G1418" t="s">
        <v>465</v>
      </c>
      <c r="H1418">
        <v>53</v>
      </c>
      <c r="I1418">
        <v>47.900001525878913</v>
      </c>
      <c r="L1418" t="s">
        <v>469</v>
      </c>
      <c r="M1418">
        <v>39.849624060150383</v>
      </c>
      <c r="N1418">
        <v>36.015038741262337</v>
      </c>
      <c r="O1418">
        <v>34</v>
      </c>
      <c r="P1418">
        <v>46.05</v>
      </c>
      <c r="Q1418">
        <v>32.49</v>
      </c>
      <c r="R1418" s="2" t="s">
        <v>467</v>
      </c>
      <c r="S1418">
        <v>34</v>
      </c>
      <c r="T1418" t="s">
        <v>468</v>
      </c>
    </row>
    <row r="1419" spans="1:20" x14ac:dyDescent="0.25">
      <c r="A1419">
        <v>208</v>
      </c>
      <c r="B1419">
        <v>512215</v>
      </c>
      <c r="C1419" t="s">
        <v>261</v>
      </c>
      <c r="D1419">
        <v>2019</v>
      </c>
      <c r="E1419">
        <v>32.490001678466797</v>
      </c>
      <c r="F1419">
        <v>1.4</v>
      </c>
      <c r="G1419" t="s">
        <v>465</v>
      </c>
      <c r="H1419">
        <v>95.949996948242188</v>
      </c>
      <c r="I1419">
        <v>44</v>
      </c>
      <c r="L1419" t="s">
        <v>469</v>
      </c>
      <c r="M1419">
        <v>68.535712105887285</v>
      </c>
      <c r="N1419">
        <v>31.428571428571431</v>
      </c>
      <c r="O1419">
        <v>34</v>
      </c>
      <c r="P1419">
        <v>46.05</v>
      </c>
      <c r="Q1419">
        <v>32.49</v>
      </c>
      <c r="R1419" s="2" t="s">
        <v>467</v>
      </c>
      <c r="S1419">
        <v>34</v>
      </c>
      <c r="T1419" t="s">
        <v>468</v>
      </c>
    </row>
    <row r="1420" spans="1:20" x14ac:dyDescent="0.25">
      <c r="A1420">
        <v>208</v>
      </c>
      <c r="B1420">
        <v>512215</v>
      </c>
      <c r="C1420" t="s">
        <v>261</v>
      </c>
      <c r="D1420">
        <v>2020</v>
      </c>
      <c r="E1420">
        <v>32.490001678466797</v>
      </c>
      <c r="F1420">
        <v>0.19</v>
      </c>
      <c r="G1420" t="s">
        <v>465</v>
      </c>
      <c r="H1420">
        <v>51.200000762939453</v>
      </c>
      <c r="I1420">
        <v>18.54999923706055</v>
      </c>
      <c r="L1420" t="s">
        <v>484</v>
      </c>
      <c r="M1420">
        <v>269.47368822599708</v>
      </c>
      <c r="N1420">
        <v>97.631574931897632</v>
      </c>
      <c r="O1420">
        <v>34</v>
      </c>
      <c r="P1420">
        <v>46.05</v>
      </c>
      <c r="Q1420">
        <v>32.49</v>
      </c>
      <c r="R1420" s="2" t="s">
        <v>467</v>
      </c>
      <c r="S1420">
        <v>34</v>
      </c>
      <c r="T1420" t="s">
        <v>468</v>
      </c>
    </row>
    <row r="1421" spans="1:20" x14ac:dyDescent="0.25">
      <c r="A1421">
        <v>208</v>
      </c>
      <c r="B1421">
        <v>512215</v>
      </c>
      <c r="C1421" t="s">
        <v>261</v>
      </c>
      <c r="D1421">
        <v>2021</v>
      </c>
      <c r="E1421">
        <v>32.490001678466797</v>
      </c>
      <c r="F1421">
        <v>-0.03</v>
      </c>
      <c r="G1421" t="s">
        <v>465</v>
      </c>
      <c r="H1421">
        <v>34</v>
      </c>
      <c r="I1421">
        <v>18.39999961853027</v>
      </c>
      <c r="L1421" t="s">
        <v>471</v>
      </c>
      <c r="M1421">
        <v>-1133.333333333333</v>
      </c>
      <c r="N1421">
        <v>-613.33332061767567</v>
      </c>
      <c r="O1421">
        <v>34</v>
      </c>
      <c r="P1421">
        <v>46.05</v>
      </c>
      <c r="Q1421">
        <v>32.49</v>
      </c>
      <c r="R1421" s="2" t="s">
        <v>467</v>
      </c>
      <c r="S1421">
        <v>34</v>
      </c>
      <c r="T1421" t="s">
        <v>468</v>
      </c>
    </row>
    <row r="1422" spans="1:20" x14ac:dyDescent="0.25">
      <c r="A1422">
        <v>208</v>
      </c>
      <c r="B1422">
        <v>512215</v>
      </c>
      <c r="C1422" t="s">
        <v>261</v>
      </c>
      <c r="D1422">
        <v>2022</v>
      </c>
      <c r="E1422">
        <v>32.490001678466797</v>
      </c>
      <c r="F1422">
        <v>-0.03</v>
      </c>
      <c r="G1422" t="s">
        <v>465</v>
      </c>
      <c r="H1422">
        <v>51.400001525878913</v>
      </c>
      <c r="I1422">
        <v>19.54999923706055</v>
      </c>
      <c r="L1422" t="s">
        <v>471</v>
      </c>
      <c r="M1422">
        <v>-1713.3333841959641</v>
      </c>
      <c r="N1422">
        <v>-651.66664123535168</v>
      </c>
      <c r="O1422">
        <v>34</v>
      </c>
      <c r="P1422">
        <v>46.05</v>
      </c>
      <c r="Q1422">
        <v>32.49</v>
      </c>
      <c r="R1422" s="2" t="s">
        <v>467</v>
      </c>
      <c r="S1422">
        <v>34</v>
      </c>
      <c r="T1422" t="s">
        <v>468</v>
      </c>
    </row>
    <row r="1423" spans="1:20" x14ac:dyDescent="0.25">
      <c r="A1423">
        <v>208</v>
      </c>
      <c r="B1423">
        <v>512215</v>
      </c>
      <c r="C1423" t="s">
        <v>261</v>
      </c>
      <c r="D1423">
        <v>2023</v>
      </c>
      <c r="E1423">
        <v>32.490001678466797</v>
      </c>
      <c r="F1423">
        <v>-0.16</v>
      </c>
      <c r="G1423" t="s">
        <v>465</v>
      </c>
      <c r="H1423">
        <v>55.560001373291023</v>
      </c>
      <c r="I1423">
        <v>19.25</v>
      </c>
      <c r="L1423" t="s">
        <v>471</v>
      </c>
      <c r="M1423">
        <v>-347.2500085830689</v>
      </c>
      <c r="N1423">
        <v>-120.3125</v>
      </c>
      <c r="O1423">
        <v>34</v>
      </c>
      <c r="P1423">
        <v>46.05</v>
      </c>
      <c r="Q1423">
        <v>32.49</v>
      </c>
      <c r="R1423" s="2" t="s">
        <v>467</v>
      </c>
      <c r="S1423">
        <v>34</v>
      </c>
      <c r="T1423" t="s">
        <v>468</v>
      </c>
    </row>
    <row r="1424" spans="1:20" x14ac:dyDescent="0.25">
      <c r="A1424">
        <v>208</v>
      </c>
      <c r="B1424">
        <v>512215</v>
      </c>
      <c r="C1424" t="s">
        <v>261</v>
      </c>
      <c r="D1424">
        <v>2024</v>
      </c>
      <c r="E1424">
        <v>32.490001678466797</v>
      </c>
      <c r="G1424" t="s">
        <v>465</v>
      </c>
      <c r="H1424">
        <v>46.049999237060547</v>
      </c>
      <c r="I1424">
        <v>32.490001678466797</v>
      </c>
      <c r="L1424" t="s">
        <v>466</v>
      </c>
      <c r="O1424">
        <v>34</v>
      </c>
      <c r="P1424">
        <v>46.05</v>
      </c>
      <c r="Q1424">
        <v>32.49</v>
      </c>
      <c r="R1424" s="2" t="s">
        <v>467</v>
      </c>
      <c r="S1424">
        <v>34</v>
      </c>
      <c r="T1424" t="s">
        <v>468</v>
      </c>
    </row>
    <row r="1425" spans="1:20" x14ac:dyDescent="0.25">
      <c r="A1425">
        <v>208</v>
      </c>
      <c r="B1425">
        <v>512215</v>
      </c>
      <c r="C1425" t="s">
        <v>261</v>
      </c>
      <c r="D1425">
        <v>2025</v>
      </c>
      <c r="E1425">
        <v>32.490001678466797</v>
      </c>
      <c r="G1425" t="s">
        <v>465</v>
      </c>
      <c r="H1425">
        <v>32.490001678466797</v>
      </c>
      <c r="I1425">
        <v>32.490001678466797</v>
      </c>
      <c r="L1425" t="s">
        <v>466</v>
      </c>
      <c r="O1425">
        <v>34</v>
      </c>
      <c r="P1425">
        <v>46.05</v>
      </c>
      <c r="Q1425">
        <v>32.49</v>
      </c>
      <c r="R1425" s="2" t="s">
        <v>467</v>
      </c>
      <c r="S1425">
        <v>34</v>
      </c>
      <c r="T1425" t="s">
        <v>468</v>
      </c>
    </row>
    <row r="1426" spans="1:20" x14ac:dyDescent="0.25">
      <c r="A1426">
        <v>208</v>
      </c>
      <c r="B1426">
        <v>512215</v>
      </c>
      <c r="C1426" t="s">
        <v>261</v>
      </c>
      <c r="D1426">
        <v>2026</v>
      </c>
      <c r="E1426">
        <v>32.490001678466797</v>
      </c>
      <c r="G1426" t="s">
        <v>465</v>
      </c>
      <c r="H1426">
        <v>32.490001678466797</v>
      </c>
      <c r="I1426">
        <v>32.490001678466797</v>
      </c>
      <c r="L1426" t="s">
        <v>466</v>
      </c>
      <c r="O1426">
        <v>34</v>
      </c>
      <c r="P1426">
        <v>46.05</v>
      </c>
      <c r="Q1426">
        <v>32.49</v>
      </c>
      <c r="R1426" s="2" t="s">
        <v>467</v>
      </c>
      <c r="S1426">
        <v>34</v>
      </c>
      <c r="T1426" t="s">
        <v>468</v>
      </c>
    </row>
    <row r="1427" spans="1:20" x14ac:dyDescent="0.25">
      <c r="A1427">
        <v>209</v>
      </c>
      <c r="B1427">
        <v>512247</v>
      </c>
      <c r="C1427" t="s">
        <v>263</v>
      </c>
      <c r="D1427">
        <v>2015</v>
      </c>
      <c r="E1427">
        <v>2.7300000190734859</v>
      </c>
      <c r="F1427">
        <v>0.06</v>
      </c>
      <c r="G1427" t="s">
        <v>465</v>
      </c>
      <c r="H1427">
        <v>2.066665887832642</v>
      </c>
      <c r="I1427">
        <v>1.206665992736816</v>
      </c>
      <c r="L1427" t="s">
        <v>484</v>
      </c>
      <c r="M1427">
        <v>34.444431463877372</v>
      </c>
      <c r="N1427">
        <v>20.111099878946931</v>
      </c>
      <c r="O1427">
        <v>4.87</v>
      </c>
      <c r="P1427">
        <v>8.24</v>
      </c>
      <c r="Q1427">
        <v>4</v>
      </c>
      <c r="R1427" s="3" t="s">
        <v>470</v>
      </c>
      <c r="S1427">
        <v>4.87</v>
      </c>
      <c r="T1427" t="s">
        <v>468</v>
      </c>
    </row>
    <row r="1428" spans="1:20" x14ac:dyDescent="0.25">
      <c r="A1428">
        <v>209</v>
      </c>
      <c r="B1428">
        <v>512247</v>
      </c>
      <c r="C1428" t="s">
        <v>263</v>
      </c>
      <c r="D1428">
        <v>2016</v>
      </c>
      <c r="E1428">
        <v>2.7300000190734859</v>
      </c>
      <c r="F1428">
        <v>-0.05</v>
      </c>
      <c r="G1428" t="s">
        <v>465</v>
      </c>
      <c r="H1428">
        <v>3.1933329105377202</v>
      </c>
      <c r="I1428">
        <v>1.546666026115417</v>
      </c>
      <c r="L1428" t="s">
        <v>471</v>
      </c>
      <c r="M1428">
        <v>-63.866658210754402</v>
      </c>
      <c r="N1428">
        <v>-30.933320522308339</v>
      </c>
      <c r="O1428">
        <v>4.87</v>
      </c>
      <c r="P1428">
        <v>8.24</v>
      </c>
      <c r="Q1428">
        <v>4</v>
      </c>
      <c r="R1428" s="3" t="s">
        <v>470</v>
      </c>
      <c r="S1428">
        <v>4.87</v>
      </c>
      <c r="T1428" t="s">
        <v>468</v>
      </c>
    </row>
    <row r="1429" spans="1:20" x14ac:dyDescent="0.25">
      <c r="A1429">
        <v>209</v>
      </c>
      <c r="B1429">
        <v>512247</v>
      </c>
      <c r="C1429" t="s">
        <v>263</v>
      </c>
      <c r="D1429">
        <v>2017</v>
      </c>
      <c r="E1429">
        <v>2.7300000190734859</v>
      </c>
      <c r="F1429">
        <v>7.0000000000000007E-2</v>
      </c>
      <c r="G1429" t="s">
        <v>465</v>
      </c>
      <c r="H1429">
        <v>3.8666660785675049</v>
      </c>
      <c r="I1429">
        <v>1.466665983200073</v>
      </c>
      <c r="L1429" t="s">
        <v>484</v>
      </c>
      <c r="M1429">
        <v>55.238086836678633</v>
      </c>
      <c r="N1429">
        <v>20.952371188572471</v>
      </c>
      <c r="O1429">
        <v>4.87</v>
      </c>
      <c r="P1429">
        <v>8.24</v>
      </c>
      <c r="Q1429">
        <v>4</v>
      </c>
      <c r="R1429" s="3" t="s">
        <v>470</v>
      </c>
      <c r="S1429">
        <v>4.87</v>
      </c>
      <c r="T1429" t="s">
        <v>468</v>
      </c>
    </row>
    <row r="1430" spans="1:20" x14ac:dyDescent="0.25">
      <c r="A1430">
        <v>209</v>
      </c>
      <c r="B1430">
        <v>512247</v>
      </c>
      <c r="C1430" t="s">
        <v>263</v>
      </c>
      <c r="D1430">
        <v>2018</v>
      </c>
      <c r="E1430">
        <v>2.7300000190734859</v>
      </c>
      <c r="F1430">
        <v>0.1</v>
      </c>
      <c r="G1430" t="s">
        <v>465</v>
      </c>
      <c r="H1430">
        <v>2.7333331108093262</v>
      </c>
      <c r="I1430">
        <v>1.6466660499572749</v>
      </c>
      <c r="L1430" t="s">
        <v>484</v>
      </c>
      <c r="M1430">
        <v>27.333331108093262</v>
      </c>
      <c r="N1430">
        <v>16.46666049957275</v>
      </c>
      <c r="O1430">
        <v>4.87</v>
      </c>
      <c r="P1430">
        <v>8.24</v>
      </c>
      <c r="Q1430">
        <v>4</v>
      </c>
      <c r="R1430" s="3" t="s">
        <v>470</v>
      </c>
      <c r="S1430">
        <v>4.87</v>
      </c>
      <c r="T1430" t="s">
        <v>468</v>
      </c>
    </row>
    <row r="1431" spans="1:20" x14ac:dyDescent="0.25">
      <c r="A1431">
        <v>209</v>
      </c>
      <c r="B1431">
        <v>512247</v>
      </c>
      <c r="C1431" t="s">
        <v>263</v>
      </c>
      <c r="D1431">
        <v>2019</v>
      </c>
      <c r="E1431">
        <v>2.7300000190734859</v>
      </c>
      <c r="F1431">
        <v>0.08</v>
      </c>
      <c r="G1431" t="s">
        <v>465</v>
      </c>
      <c r="H1431">
        <v>2.5866661071777339</v>
      </c>
      <c r="I1431">
        <v>1.679999947547913</v>
      </c>
      <c r="L1431" t="s">
        <v>484</v>
      </c>
      <c r="M1431">
        <v>32.333326339721673</v>
      </c>
      <c r="N1431">
        <v>20.999999344348911</v>
      </c>
      <c r="O1431">
        <v>4.87</v>
      </c>
      <c r="P1431">
        <v>8.24</v>
      </c>
      <c r="Q1431">
        <v>4</v>
      </c>
      <c r="R1431" s="3" t="s">
        <v>470</v>
      </c>
      <c r="S1431">
        <v>4.87</v>
      </c>
      <c r="T1431" t="s">
        <v>468</v>
      </c>
    </row>
    <row r="1432" spans="1:20" x14ac:dyDescent="0.25">
      <c r="A1432">
        <v>209</v>
      </c>
      <c r="B1432">
        <v>512247</v>
      </c>
      <c r="C1432" t="s">
        <v>263</v>
      </c>
      <c r="D1432">
        <v>2020</v>
      </c>
      <c r="E1432">
        <v>2.7300000190734859</v>
      </c>
      <c r="F1432">
        <v>0.03</v>
      </c>
      <c r="G1432" t="s">
        <v>465</v>
      </c>
      <c r="H1432">
        <v>2.2599999904632568</v>
      </c>
      <c r="I1432">
        <v>1.1333329677581789</v>
      </c>
      <c r="L1432" t="s">
        <v>484</v>
      </c>
      <c r="M1432">
        <v>75.333333015441895</v>
      </c>
      <c r="N1432">
        <v>37.7777655919393</v>
      </c>
      <c r="O1432">
        <v>4.87</v>
      </c>
      <c r="P1432">
        <v>8.24</v>
      </c>
      <c r="Q1432">
        <v>4</v>
      </c>
      <c r="R1432" s="3" t="s">
        <v>470</v>
      </c>
      <c r="S1432">
        <v>4.87</v>
      </c>
      <c r="T1432" t="s">
        <v>468</v>
      </c>
    </row>
    <row r="1433" spans="1:20" x14ac:dyDescent="0.25">
      <c r="A1433">
        <v>209</v>
      </c>
      <c r="B1433">
        <v>512247</v>
      </c>
      <c r="C1433" t="s">
        <v>263</v>
      </c>
      <c r="D1433">
        <v>2021</v>
      </c>
      <c r="E1433">
        <v>2.7300000190734859</v>
      </c>
      <c r="F1433">
        <v>0.06</v>
      </c>
      <c r="G1433" t="s">
        <v>465</v>
      </c>
      <c r="H1433">
        <v>8.6599998474121094</v>
      </c>
      <c r="I1433">
        <v>1.4800000190734861</v>
      </c>
      <c r="L1433" t="s">
        <v>484</v>
      </c>
      <c r="M1433">
        <v>144.33333079020181</v>
      </c>
      <c r="N1433">
        <v>24.666666984558098</v>
      </c>
      <c r="O1433">
        <v>4.87</v>
      </c>
      <c r="P1433">
        <v>8.24</v>
      </c>
      <c r="Q1433">
        <v>4</v>
      </c>
      <c r="R1433" s="3" t="s">
        <v>470</v>
      </c>
      <c r="S1433">
        <v>4.87</v>
      </c>
      <c r="T1433" t="s">
        <v>468</v>
      </c>
    </row>
    <row r="1434" spans="1:20" x14ac:dyDescent="0.25">
      <c r="A1434">
        <v>209</v>
      </c>
      <c r="B1434">
        <v>512247</v>
      </c>
      <c r="C1434" t="s">
        <v>263</v>
      </c>
      <c r="D1434">
        <v>2022</v>
      </c>
      <c r="E1434">
        <v>2.7300000190734859</v>
      </c>
      <c r="F1434">
        <v>0.11</v>
      </c>
      <c r="G1434" t="s">
        <v>465</v>
      </c>
      <c r="H1434">
        <v>9.5399999618530273</v>
      </c>
      <c r="I1434">
        <v>3.2000000476837158</v>
      </c>
      <c r="L1434" t="s">
        <v>484</v>
      </c>
      <c r="M1434">
        <v>86.727272380482063</v>
      </c>
      <c r="N1434">
        <v>29.090909524397421</v>
      </c>
      <c r="O1434">
        <v>4.87</v>
      </c>
      <c r="P1434">
        <v>8.24</v>
      </c>
      <c r="Q1434">
        <v>4</v>
      </c>
      <c r="R1434" s="3" t="s">
        <v>470</v>
      </c>
      <c r="S1434">
        <v>4.87</v>
      </c>
      <c r="T1434" t="s">
        <v>468</v>
      </c>
    </row>
    <row r="1435" spans="1:20" x14ac:dyDescent="0.25">
      <c r="A1435">
        <v>209</v>
      </c>
      <c r="B1435">
        <v>512247</v>
      </c>
      <c r="C1435" t="s">
        <v>263</v>
      </c>
      <c r="D1435">
        <v>2023</v>
      </c>
      <c r="E1435">
        <v>2.7300000190734859</v>
      </c>
      <c r="F1435">
        <v>0.08</v>
      </c>
      <c r="G1435" t="s">
        <v>465</v>
      </c>
      <c r="H1435">
        <v>5.2199997901916504</v>
      </c>
      <c r="I1435">
        <v>2.4866659641265869</v>
      </c>
      <c r="L1435" t="s">
        <v>484</v>
      </c>
      <c r="M1435">
        <v>65.24999737739563</v>
      </c>
      <c r="N1435">
        <v>31.08332455158234</v>
      </c>
      <c r="O1435">
        <v>4.87</v>
      </c>
      <c r="P1435">
        <v>8.24</v>
      </c>
      <c r="Q1435">
        <v>4</v>
      </c>
      <c r="R1435" s="3" t="s">
        <v>470</v>
      </c>
      <c r="S1435">
        <v>4.87</v>
      </c>
      <c r="T1435" t="s">
        <v>468</v>
      </c>
    </row>
    <row r="1436" spans="1:20" x14ac:dyDescent="0.25">
      <c r="A1436">
        <v>209</v>
      </c>
      <c r="B1436">
        <v>512247</v>
      </c>
      <c r="C1436" t="s">
        <v>263</v>
      </c>
      <c r="D1436">
        <v>2024</v>
      </c>
      <c r="E1436">
        <v>2.7300000190734859</v>
      </c>
      <c r="F1436">
        <v>0.17</v>
      </c>
      <c r="G1436" t="s">
        <v>465</v>
      </c>
      <c r="H1436">
        <v>8.2399997711181641</v>
      </c>
      <c r="I1436">
        <v>4</v>
      </c>
      <c r="L1436" t="s">
        <v>484</v>
      </c>
      <c r="M1436">
        <v>48.47058688893037</v>
      </c>
      <c r="N1436">
        <v>23.52941176470588</v>
      </c>
      <c r="O1436">
        <v>4.87</v>
      </c>
      <c r="P1436">
        <v>8.24</v>
      </c>
      <c r="Q1436">
        <v>4</v>
      </c>
      <c r="R1436" s="3" t="s">
        <v>470</v>
      </c>
      <c r="S1436">
        <v>4.87</v>
      </c>
      <c r="T1436" t="s">
        <v>468</v>
      </c>
    </row>
    <row r="1437" spans="1:20" x14ac:dyDescent="0.25">
      <c r="A1437">
        <v>209</v>
      </c>
      <c r="B1437">
        <v>512247</v>
      </c>
      <c r="C1437" t="s">
        <v>263</v>
      </c>
      <c r="D1437">
        <v>2025</v>
      </c>
      <c r="E1437">
        <v>2.7300000190734859</v>
      </c>
      <c r="F1437">
        <v>0.09</v>
      </c>
      <c r="G1437" t="s">
        <v>465</v>
      </c>
      <c r="H1437">
        <v>5.0900001525878906</v>
      </c>
      <c r="I1437">
        <v>2.6500000953674321</v>
      </c>
      <c r="L1437" t="s">
        <v>484</v>
      </c>
      <c r="M1437">
        <v>56.555557250976563</v>
      </c>
      <c r="N1437">
        <v>29.44444550408258</v>
      </c>
      <c r="O1437">
        <v>4.87</v>
      </c>
      <c r="P1437">
        <v>8.24</v>
      </c>
      <c r="Q1437">
        <v>4</v>
      </c>
      <c r="R1437" s="3" t="s">
        <v>470</v>
      </c>
      <c r="S1437">
        <v>4.87</v>
      </c>
      <c r="T1437" t="s">
        <v>468</v>
      </c>
    </row>
    <row r="1438" spans="1:20" x14ac:dyDescent="0.25">
      <c r="A1438">
        <v>209</v>
      </c>
      <c r="B1438">
        <v>512247</v>
      </c>
      <c r="C1438" t="s">
        <v>263</v>
      </c>
      <c r="D1438">
        <v>2026</v>
      </c>
      <c r="E1438">
        <v>2.7300000190734859</v>
      </c>
      <c r="F1438">
        <v>0.12</v>
      </c>
      <c r="G1438" t="s">
        <v>465</v>
      </c>
      <c r="H1438">
        <v>3.2999999523162842</v>
      </c>
      <c r="I1438">
        <v>2.2699999809265141</v>
      </c>
      <c r="L1438" t="s">
        <v>484</v>
      </c>
      <c r="M1438">
        <v>27.4999996026357</v>
      </c>
      <c r="N1438">
        <v>18.916666507720951</v>
      </c>
      <c r="O1438">
        <v>4.87</v>
      </c>
      <c r="P1438">
        <v>8.24</v>
      </c>
      <c r="Q1438">
        <v>4</v>
      </c>
      <c r="R1438" s="3" t="s">
        <v>470</v>
      </c>
      <c r="S1438">
        <v>4.87</v>
      </c>
      <c r="T1438" t="s">
        <v>468</v>
      </c>
    </row>
    <row r="1439" spans="1:20" x14ac:dyDescent="0.25">
      <c r="A1439">
        <v>211</v>
      </c>
      <c r="B1439">
        <v>512265</v>
      </c>
      <c r="C1439" t="s">
        <v>265</v>
      </c>
      <c r="D1439">
        <v>2026</v>
      </c>
      <c r="E1439">
        <v>12</v>
      </c>
      <c r="F1439">
        <v>1.23</v>
      </c>
      <c r="G1439" t="s">
        <v>465</v>
      </c>
      <c r="H1439">
        <v>12</v>
      </c>
      <c r="I1439">
        <v>12</v>
      </c>
      <c r="L1439" t="s">
        <v>469</v>
      </c>
      <c r="M1439">
        <v>9.7560975609756095</v>
      </c>
      <c r="N1439">
        <v>9.7560975609756095</v>
      </c>
      <c r="O1439">
        <v>12</v>
      </c>
      <c r="P1439">
        <v>12</v>
      </c>
      <c r="Q1439">
        <v>12</v>
      </c>
      <c r="R1439" s="2" t="s">
        <v>467</v>
      </c>
      <c r="S1439">
        <v>12</v>
      </c>
      <c r="T1439" t="s">
        <v>468</v>
      </c>
    </row>
    <row r="1440" spans="1:20" x14ac:dyDescent="0.25">
      <c r="A1440">
        <v>212</v>
      </c>
      <c r="B1440">
        <v>512279</v>
      </c>
      <c r="C1440" t="s">
        <v>267</v>
      </c>
      <c r="D1440">
        <v>2015</v>
      </c>
      <c r="E1440">
        <v>34.299999237060547</v>
      </c>
      <c r="F1440">
        <v>9.44</v>
      </c>
      <c r="G1440" t="s">
        <v>465</v>
      </c>
      <c r="H1440">
        <v>50.849998474121087</v>
      </c>
      <c r="I1440">
        <v>26</v>
      </c>
      <c r="L1440" t="s">
        <v>469</v>
      </c>
      <c r="M1440">
        <v>5.3866523807331674</v>
      </c>
      <c r="N1440">
        <v>2.754237288135593</v>
      </c>
      <c r="O1440">
        <v>22.9</v>
      </c>
      <c r="P1440">
        <v>33</v>
      </c>
      <c r="Q1440">
        <v>15.68</v>
      </c>
      <c r="R1440" s="3" t="s">
        <v>470</v>
      </c>
      <c r="S1440">
        <v>22.9</v>
      </c>
      <c r="T1440" t="s">
        <v>468</v>
      </c>
    </row>
    <row r="1441" spans="1:20" x14ac:dyDescent="0.25">
      <c r="A1441">
        <v>212</v>
      </c>
      <c r="B1441">
        <v>512279</v>
      </c>
      <c r="C1441" t="s">
        <v>267</v>
      </c>
      <c r="D1441">
        <v>2016</v>
      </c>
      <c r="E1441">
        <v>34.299999237060547</v>
      </c>
      <c r="F1441">
        <v>-24.73</v>
      </c>
      <c r="G1441" t="s">
        <v>465</v>
      </c>
      <c r="H1441">
        <v>65.199996948242188</v>
      </c>
      <c r="I1441">
        <v>28.89999961853027</v>
      </c>
      <c r="L1441" t="s">
        <v>471</v>
      </c>
      <c r="M1441">
        <v>-2.636473794914767</v>
      </c>
      <c r="N1441">
        <v>-1.1686210925406499</v>
      </c>
      <c r="O1441">
        <v>22.9</v>
      </c>
      <c r="P1441">
        <v>33</v>
      </c>
      <c r="Q1441">
        <v>15.68</v>
      </c>
      <c r="R1441" s="3" t="s">
        <v>470</v>
      </c>
      <c r="S1441">
        <v>22.9</v>
      </c>
      <c r="T1441" t="s">
        <v>468</v>
      </c>
    </row>
    <row r="1442" spans="1:20" x14ac:dyDescent="0.25">
      <c r="A1442">
        <v>212</v>
      </c>
      <c r="B1442">
        <v>512279</v>
      </c>
      <c r="C1442" t="s">
        <v>267</v>
      </c>
      <c r="D1442">
        <v>2017</v>
      </c>
      <c r="E1442">
        <v>34.299999237060547</v>
      </c>
      <c r="G1442" t="s">
        <v>465</v>
      </c>
      <c r="H1442">
        <v>43</v>
      </c>
      <c r="I1442">
        <v>36</v>
      </c>
      <c r="L1442" t="s">
        <v>466</v>
      </c>
      <c r="O1442">
        <v>22.9</v>
      </c>
      <c r="P1442">
        <v>33</v>
      </c>
      <c r="Q1442">
        <v>15.68</v>
      </c>
      <c r="R1442" s="3" t="s">
        <v>470</v>
      </c>
      <c r="S1442">
        <v>22.9</v>
      </c>
      <c r="T1442" t="s">
        <v>468</v>
      </c>
    </row>
    <row r="1443" spans="1:20" x14ac:dyDescent="0.25">
      <c r="A1443">
        <v>212</v>
      </c>
      <c r="B1443">
        <v>512279</v>
      </c>
      <c r="C1443" t="s">
        <v>267</v>
      </c>
      <c r="D1443">
        <v>2018</v>
      </c>
      <c r="E1443">
        <v>34.299999237060547</v>
      </c>
      <c r="G1443" t="s">
        <v>465</v>
      </c>
      <c r="H1443">
        <v>36.5</v>
      </c>
      <c r="I1443">
        <v>19</v>
      </c>
      <c r="L1443" t="s">
        <v>466</v>
      </c>
      <c r="O1443">
        <v>22.9</v>
      </c>
      <c r="P1443">
        <v>33</v>
      </c>
      <c r="Q1443">
        <v>15.68</v>
      </c>
      <c r="R1443" s="3" t="s">
        <v>470</v>
      </c>
      <c r="S1443">
        <v>22.9</v>
      </c>
      <c r="T1443" t="s">
        <v>468</v>
      </c>
    </row>
    <row r="1444" spans="1:20" x14ac:dyDescent="0.25">
      <c r="A1444">
        <v>212</v>
      </c>
      <c r="B1444">
        <v>512279</v>
      </c>
      <c r="C1444" t="s">
        <v>267</v>
      </c>
      <c r="D1444">
        <v>2019</v>
      </c>
      <c r="E1444">
        <v>34.299999237060547</v>
      </c>
      <c r="G1444" t="s">
        <v>465</v>
      </c>
      <c r="H1444">
        <v>19.95000076293945</v>
      </c>
      <c r="I1444">
        <v>18.04999923706055</v>
      </c>
      <c r="L1444" t="s">
        <v>466</v>
      </c>
      <c r="O1444">
        <v>22.9</v>
      </c>
      <c r="P1444">
        <v>33</v>
      </c>
      <c r="Q1444">
        <v>15.68</v>
      </c>
      <c r="R1444" s="3" t="s">
        <v>470</v>
      </c>
      <c r="S1444">
        <v>22.9</v>
      </c>
      <c r="T1444" t="s">
        <v>468</v>
      </c>
    </row>
    <row r="1445" spans="1:20" x14ac:dyDescent="0.25">
      <c r="A1445">
        <v>212</v>
      </c>
      <c r="B1445">
        <v>512279</v>
      </c>
      <c r="C1445" t="s">
        <v>267</v>
      </c>
      <c r="D1445">
        <v>2020</v>
      </c>
      <c r="E1445">
        <v>34.299999237060547</v>
      </c>
      <c r="G1445" t="s">
        <v>465</v>
      </c>
      <c r="H1445">
        <v>18.04999923706055</v>
      </c>
      <c r="I1445">
        <v>3.970000028610229</v>
      </c>
      <c r="L1445" t="s">
        <v>466</v>
      </c>
      <c r="O1445">
        <v>22.9</v>
      </c>
      <c r="P1445">
        <v>33</v>
      </c>
      <c r="Q1445">
        <v>15.68</v>
      </c>
      <c r="R1445" s="3" t="s">
        <v>470</v>
      </c>
      <c r="S1445">
        <v>22.9</v>
      </c>
      <c r="T1445" t="s">
        <v>468</v>
      </c>
    </row>
    <row r="1446" spans="1:20" x14ac:dyDescent="0.25">
      <c r="A1446">
        <v>212</v>
      </c>
      <c r="B1446">
        <v>512279</v>
      </c>
      <c r="C1446" t="s">
        <v>267</v>
      </c>
      <c r="D1446">
        <v>2021</v>
      </c>
      <c r="E1446">
        <v>34.299999237060547</v>
      </c>
      <c r="G1446" t="s">
        <v>465</v>
      </c>
      <c r="H1446">
        <v>13.14000034332275</v>
      </c>
      <c r="I1446">
        <v>4.179999828338623</v>
      </c>
      <c r="L1446" t="s">
        <v>466</v>
      </c>
      <c r="O1446">
        <v>22.9</v>
      </c>
      <c r="P1446">
        <v>33</v>
      </c>
      <c r="Q1446">
        <v>15.68</v>
      </c>
      <c r="R1446" s="3" t="s">
        <v>470</v>
      </c>
      <c r="S1446">
        <v>22.9</v>
      </c>
      <c r="T1446" t="s">
        <v>468</v>
      </c>
    </row>
    <row r="1447" spans="1:20" x14ac:dyDescent="0.25">
      <c r="A1447">
        <v>212</v>
      </c>
      <c r="B1447">
        <v>512279</v>
      </c>
      <c r="C1447" t="s">
        <v>267</v>
      </c>
      <c r="D1447">
        <v>2022</v>
      </c>
      <c r="E1447">
        <v>34.299999237060547</v>
      </c>
      <c r="G1447" t="s">
        <v>465</v>
      </c>
      <c r="H1447">
        <v>32.299999237060547</v>
      </c>
      <c r="I1447">
        <v>7.2199997901916504</v>
      </c>
      <c r="L1447" t="s">
        <v>466</v>
      </c>
      <c r="O1447">
        <v>22.9</v>
      </c>
      <c r="P1447">
        <v>33</v>
      </c>
      <c r="Q1447">
        <v>15.68</v>
      </c>
      <c r="R1447" s="3" t="s">
        <v>470</v>
      </c>
      <c r="S1447">
        <v>22.9</v>
      </c>
      <c r="T1447" t="s">
        <v>468</v>
      </c>
    </row>
    <row r="1448" spans="1:20" x14ac:dyDescent="0.25">
      <c r="A1448">
        <v>212</v>
      </c>
      <c r="B1448">
        <v>512279</v>
      </c>
      <c r="C1448" t="s">
        <v>267</v>
      </c>
      <c r="D1448">
        <v>2023</v>
      </c>
      <c r="E1448">
        <v>34.299999237060547</v>
      </c>
      <c r="G1448" t="s">
        <v>465</v>
      </c>
      <c r="H1448">
        <v>22.340000152587891</v>
      </c>
      <c r="I1448">
        <v>7</v>
      </c>
      <c r="L1448" t="s">
        <v>466</v>
      </c>
      <c r="O1448">
        <v>22.9</v>
      </c>
      <c r="P1448">
        <v>33</v>
      </c>
      <c r="Q1448">
        <v>15.68</v>
      </c>
      <c r="R1448" s="3" t="s">
        <v>470</v>
      </c>
      <c r="S1448">
        <v>22.9</v>
      </c>
      <c r="T1448" t="s">
        <v>468</v>
      </c>
    </row>
    <row r="1449" spans="1:20" x14ac:dyDescent="0.25">
      <c r="A1449">
        <v>212</v>
      </c>
      <c r="B1449">
        <v>512279</v>
      </c>
      <c r="C1449" t="s">
        <v>267</v>
      </c>
      <c r="D1449">
        <v>2024</v>
      </c>
      <c r="E1449">
        <v>34.299999237060547</v>
      </c>
      <c r="G1449" t="s">
        <v>465</v>
      </c>
      <c r="H1449">
        <v>33</v>
      </c>
      <c r="I1449">
        <v>16.39999961853027</v>
      </c>
      <c r="L1449" t="s">
        <v>466</v>
      </c>
      <c r="O1449">
        <v>22.9</v>
      </c>
      <c r="P1449">
        <v>33</v>
      </c>
      <c r="Q1449">
        <v>15.68</v>
      </c>
      <c r="R1449" s="3" t="s">
        <v>470</v>
      </c>
      <c r="S1449">
        <v>22.9</v>
      </c>
      <c r="T1449" t="s">
        <v>468</v>
      </c>
    </row>
    <row r="1450" spans="1:20" x14ac:dyDescent="0.25">
      <c r="A1450">
        <v>212</v>
      </c>
      <c r="B1450">
        <v>512279</v>
      </c>
      <c r="C1450" t="s">
        <v>267</v>
      </c>
      <c r="D1450">
        <v>2025</v>
      </c>
      <c r="E1450">
        <v>34.299999237060547</v>
      </c>
      <c r="G1450" t="s">
        <v>465</v>
      </c>
      <c r="H1450">
        <v>42.150001525878913</v>
      </c>
      <c r="I1450">
        <v>14.170000076293951</v>
      </c>
      <c r="L1450" t="s">
        <v>466</v>
      </c>
      <c r="O1450">
        <v>22.9</v>
      </c>
      <c r="P1450">
        <v>33</v>
      </c>
      <c r="Q1450">
        <v>15.68</v>
      </c>
      <c r="R1450" s="3" t="s">
        <v>470</v>
      </c>
      <c r="S1450">
        <v>22.9</v>
      </c>
      <c r="T1450" t="s">
        <v>468</v>
      </c>
    </row>
    <row r="1451" spans="1:20" x14ac:dyDescent="0.25">
      <c r="A1451">
        <v>212</v>
      </c>
      <c r="B1451">
        <v>512279</v>
      </c>
      <c r="C1451" t="s">
        <v>267</v>
      </c>
      <c r="D1451">
        <v>2026</v>
      </c>
      <c r="E1451">
        <v>34.299999237060547</v>
      </c>
      <c r="G1451" t="s">
        <v>465</v>
      </c>
      <c r="H1451">
        <v>40.040000915527337</v>
      </c>
      <c r="I1451">
        <v>27.079999923706051</v>
      </c>
      <c r="L1451" t="s">
        <v>466</v>
      </c>
      <c r="O1451">
        <v>22.9</v>
      </c>
      <c r="P1451">
        <v>33</v>
      </c>
      <c r="Q1451">
        <v>15.68</v>
      </c>
      <c r="R1451" s="3" t="s">
        <v>470</v>
      </c>
      <c r="S1451">
        <v>22.9</v>
      </c>
      <c r="T1451" t="s">
        <v>468</v>
      </c>
    </row>
    <row r="1452" spans="1:20" x14ac:dyDescent="0.25">
      <c r="A1452">
        <v>213</v>
      </c>
      <c r="B1452">
        <v>512289</v>
      </c>
      <c r="C1452" t="s">
        <v>269</v>
      </c>
      <c r="D1452">
        <v>2015</v>
      </c>
      <c r="E1452">
        <v>5.0199999809265137</v>
      </c>
      <c r="F1452">
        <v>5.24</v>
      </c>
      <c r="G1452" t="s">
        <v>465</v>
      </c>
      <c r="H1452">
        <v>89.699996948242188</v>
      </c>
      <c r="I1452">
        <v>54.299999237060547</v>
      </c>
      <c r="L1452" t="s">
        <v>469</v>
      </c>
      <c r="M1452">
        <v>17.118320028290491</v>
      </c>
      <c r="N1452">
        <v>10.3625952742482</v>
      </c>
      <c r="O1452">
        <v>39.25</v>
      </c>
      <c r="P1452">
        <v>62.29</v>
      </c>
      <c r="Q1452">
        <v>27.94</v>
      </c>
      <c r="R1452" s="3" t="s">
        <v>470</v>
      </c>
      <c r="S1452">
        <v>39.25</v>
      </c>
      <c r="T1452" t="s">
        <v>468</v>
      </c>
    </row>
    <row r="1453" spans="1:20" x14ac:dyDescent="0.25">
      <c r="A1453">
        <v>213</v>
      </c>
      <c r="B1453">
        <v>512289</v>
      </c>
      <c r="C1453" t="s">
        <v>269</v>
      </c>
      <c r="D1453">
        <v>2016</v>
      </c>
      <c r="E1453">
        <v>5.0199999809265137</v>
      </c>
      <c r="F1453">
        <v>1.73</v>
      </c>
      <c r="G1453" t="s">
        <v>465</v>
      </c>
      <c r="H1453">
        <v>179</v>
      </c>
      <c r="I1453">
        <v>49</v>
      </c>
      <c r="L1453" t="s">
        <v>469</v>
      </c>
      <c r="M1453">
        <v>103.4682080924856</v>
      </c>
      <c r="N1453">
        <v>28.323699421965319</v>
      </c>
      <c r="O1453">
        <v>39.25</v>
      </c>
      <c r="P1453">
        <v>62.29</v>
      </c>
      <c r="Q1453">
        <v>27.94</v>
      </c>
      <c r="R1453" s="3" t="s">
        <v>470</v>
      </c>
      <c r="S1453">
        <v>39.25</v>
      </c>
      <c r="T1453" t="s">
        <v>468</v>
      </c>
    </row>
    <row r="1454" spans="1:20" x14ac:dyDescent="0.25">
      <c r="A1454">
        <v>213</v>
      </c>
      <c r="B1454">
        <v>512289</v>
      </c>
      <c r="C1454" t="s">
        <v>269</v>
      </c>
      <c r="D1454">
        <v>2017</v>
      </c>
      <c r="E1454">
        <v>5.0199999809265137</v>
      </c>
      <c r="F1454">
        <v>0.91</v>
      </c>
      <c r="G1454" t="s">
        <v>465</v>
      </c>
      <c r="H1454">
        <v>233.6000061035156</v>
      </c>
      <c r="I1454">
        <v>87.199996948242188</v>
      </c>
      <c r="L1454" t="s">
        <v>469</v>
      </c>
      <c r="M1454">
        <v>256.70330341045673</v>
      </c>
      <c r="N1454">
        <v>95.824172470595812</v>
      </c>
      <c r="O1454">
        <v>39.25</v>
      </c>
      <c r="P1454">
        <v>62.29</v>
      </c>
      <c r="Q1454">
        <v>27.94</v>
      </c>
      <c r="R1454" s="3" t="s">
        <v>470</v>
      </c>
      <c r="S1454">
        <v>39.25</v>
      </c>
      <c r="T1454" t="s">
        <v>468</v>
      </c>
    </row>
    <row r="1455" spans="1:20" x14ac:dyDescent="0.25">
      <c r="A1455">
        <v>213</v>
      </c>
      <c r="B1455">
        <v>512289</v>
      </c>
      <c r="C1455" t="s">
        <v>269</v>
      </c>
      <c r="D1455">
        <v>2018</v>
      </c>
      <c r="E1455">
        <v>5.0199999809265137</v>
      </c>
      <c r="F1455">
        <v>4.92</v>
      </c>
      <c r="G1455" t="s">
        <v>465</v>
      </c>
      <c r="H1455">
        <v>200.6000061035156</v>
      </c>
      <c r="I1455">
        <v>63.150001525878913</v>
      </c>
      <c r="L1455" t="s">
        <v>469</v>
      </c>
      <c r="M1455">
        <v>40.772358964129189</v>
      </c>
      <c r="N1455">
        <v>12.835366163796531</v>
      </c>
      <c r="O1455">
        <v>39.25</v>
      </c>
      <c r="P1455">
        <v>62.29</v>
      </c>
      <c r="Q1455">
        <v>27.94</v>
      </c>
      <c r="R1455" s="3" t="s">
        <v>470</v>
      </c>
      <c r="S1455">
        <v>39.25</v>
      </c>
      <c r="T1455" t="s">
        <v>468</v>
      </c>
    </row>
    <row r="1456" spans="1:20" x14ac:dyDescent="0.25">
      <c r="A1456">
        <v>213</v>
      </c>
      <c r="B1456">
        <v>512289</v>
      </c>
      <c r="C1456" t="s">
        <v>269</v>
      </c>
      <c r="D1456">
        <v>2019</v>
      </c>
      <c r="E1456">
        <v>5.0199999809265137</v>
      </c>
      <c r="F1456">
        <v>7.32</v>
      </c>
      <c r="G1456" t="s">
        <v>465</v>
      </c>
      <c r="H1456">
        <v>88.900001525878906</v>
      </c>
      <c r="I1456">
        <v>5.8299999237060547</v>
      </c>
      <c r="L1456" t="s">
        <v>469</v>
      </c>
      <c r="M1456">
        <v>12.144808951622799</v>
      </c>
      <c r="N1456">
        <v>0.79644807700902387</v>
      </c>
      <c r="O1456">
        <v>39.25</v>
      </c>
      <c r="P1456">
        <v>62.29</v>
      </c>
      <c r="Q1456">
        <v>27.94</v>
      </c>
      <c r="R1456" s="3" t="s">
        <v>470</v>
      </c>
      <c r="S1456">
        <v>39.25</v>
      </c>
      <c r="T1456" t="s">
        <v>468</v>
      </c>
    </row>
    <row r="1457" spans="1:20" x14ac:dyDescent="0.25">
      <c r="A1457">
        <v>213</v>
      </c>
      <c r="B1457">
        <v>512289</v>
      </c>
      <c r="C1457" t="s">
        <v>269</v>
      </c>
      <c r="D1457">
        <v>2020</v>
      </c>
      <c r="E1457">
        <v>5.0199999809265137</v>
      </c>
      <c r="F1457">
        <v>-48.24</v>
      </c>
      <c r="G1457" t="s">
        <v>465</v>
      </c>
      <c r="H1457">
        <v>18.39999961853027</v>
      </c>
      <c r="I1457">
        <v>5.1999998092651367</v>
      </c>
      <c r="L1457" t="s">
        <v>471</v>
      </c>
      <c r="M1457">
        <v>-0.3814261944139774</v>
      </c>
      <c r="N1457">
        <v>-0.1077943575718312</v>
      </c>
      <c r="O1457">
        <v>39.25</v>
      </c>
      <c r="P1457">
        <v>62.29</v>
      </c>
      <c r="Q1457">
        <v>27.94</v>
      </c>
      <c r="R1457" s="3" t="s">
        <v>470</v>
      </c>
      <c r="S1457">
        <v>39.25</v>
      </c>
      <c r="T1457" t="s">
        <v>468</v>
      </c>
    </row>
    <row r="1458" spans="1:20" x14ac:dyDescent="0.25">
      <c r="A1458">
        <v>213</v>
      </c>
      <c r="B1458">
        <v>512289</v>
      </c>
      <c r="C1458" t="s">
        <v>269</v>
      </c>
      <c r="D1458">
        <v>2021</v>
      </c>
      <c r="E1458">
        <v>5.0199999809265137</v>
      </c>
      <c r="F1458">
        <v>-84.32</v>
      </c>
      <c r="G1458" t="s">
        <v>465</v>
      </c>
      <c r="H1458">
        <v>9.619999885559082</v>
      </c>
      <c r="I1458">
        <v>4.8499999046325684</v>
      </c>
      <c r="L1458" t="s">
        <v>471</v>
      </c>
      <c r="M1458">
        <v>-0.1140891827034996</v>
      </c>
      <c r="N1458">
        <v>-5.7518974201050392E-2</v>
      </c>
      <c r="O1458">
        <v>39.25</v>
      </c>
      <c r="P1458">
        <v>62.29</v>
      </c>
      <c r="Q1458">
        <v>27.94</v>
      </c>
      <c r="R1458" s="3" t="s">
        <v>470</v>
      </c>
      <c r="S1458">
        <v>39.25</v>
      </c>
      <c r="T1458" t="s">
        <v>468</v>
      </c>
    </row>
    <row r="1459" spans="1:20" x14ac:dyDescent="0.25">
      <c r="A1459">
        <v>213</v>
      </c>
      <c r="B1459">
        <v>512289</v>
      </c>
      <c r="C1459" t="s">
        <v>269</v>
      </c>
      <c r="D1459">
        <v>2022</v>
      </c>
      <c r="E1459">
        <v>5.0199999809265137</v>
      </c>
      <c r="F1459">
        <v>-33.01</v>
      </c>
      <c r="G1459" t="s">
        <v>465</v>
      </c>
      <c r="H1459">
        <v>5.0199999809265137</v>
      </c>
      <c r="I1459">
        <v>5.0199999809265137</v>
      </c>
      <c r="L1459" t="s">
        <v>471</v>
      </c>
      <c r="M1459">
        <v>-0.15207512817105459</v>
      </c>
      <c r="N1459">
        <v>-0.15207512817105459</v>
      </c>
      <c r="O1459">
        <v>39.25</v>
      </c>
      <c r="P1459">
        <v>62.29</v>
      </c>
      <c r="Q1459">
        <v>27.94</v>
      </c>
      <c r="R1459" s="3" t="s">
        <v>470</v>
      </c>
      <c r="S1459">
        <v>39.25</v>
      </c>
      <c r="T1459" t="s">
        <v>468</v>
      </c>
    </row>
    <row r="1460" spans="1:20" x14ac:dyDescent="0.25">
      <c r="A1460">
        <v>213</v>
      </c>
      <c r="B1460">
        <v>512289</v>
      </c>
      <c r="C1460" t="s">
        <v>269</v>
      </c>
      <c r="D1460">
        <v>2023</v>
      </c>
      <c r="E1460">
        <v>5.0199999809265137</v>
      </c>
      <c r="F1460">
        <v>-11.19</v>
      </c>
      <c r="G1460" t="s">
        <v>465</v>
      </c>
      <c r="H1460">
        <v>5.0199999809265137</v>
      </c>
      <c r="I1460">
        <v>5.0199999809265137</v>
      </c>
      <c r="L1460" t="s">
        <v>471</v>
      </c>
      <c r="M1460">
        <v>-0.44861483296930421</v>
      </c>
      <c r="N1460">
        <v>-0.44861483296930421</v>
      </c>
      <c r="O1460">
        <v>39.25</v>
      </c>
      <c r="P1460">
        <v>62.29</v>
      </c>
      <c r="Q1460">
        <v>27.94</v>
      </c>
      <c r="R1460" s="3" t="s">
        <v>470</v>
      </c>
      <c r="S1460">
        <v>39.25</v>
      </c>
      <c r="T1460" t="s">
        <v>468</v>
      </c>
    </row>
    <row r="1461" spans="1:20" x14ac:dyDescent="0.25">
      <c r="A1461">
        <v>213</v>
      </c>
      <c r="B1461">
        <v>512289</v>
      </c>
      <c r="C1461" t="s">
        <v>269</v>
      </c>
      <c r="D1461">
        <v>2024</v>
      </c>
      <c r="E1461">
        <v>5.0199999809265137</v>
      </c>
      <c r="F1461">
        <v>-35.74</v>
      </c>
      <c r="G1461" t="s">
        <v>465</v>
      </c>
      <c r="H1461">
        <v>5.0199999809265137</v>
      </c>
      <c r="I1461">
        <v>5.0199999809265137</v>
      </c>
      <c r="L1461" t="s">
        <v>471</v>
      </c>
      <c r="M1461">
        <v>-0.14045886908020461</v>
      </c>
      <c r="N1461">
        <v>-0.14045886908020461</v>
      </c>
      <c r="O1461">
        <v>39.25</v>
      </c>
      <c r="P1461">
        <v>62.29</v>
      </c>
      <c r="Q1461">
        <v>27.94</v>
      </c>
      <c r="R1461" s="3" t="s">
        <v>470</v>
      </c>
      <c r="S1461">
        <v>39.25</v>
      </c>
      <c r="T1461" t="s">
        <v>468</v>
      </c>
    </row>
    <row r="1462" spans="1:20" x14ac:dyDescent="0.25">
      <c r="A1462">
        <v>213</v>
      </c>
      <c r="B1462">
        <v>512289</v>
      </c>
      <c r="C1462" t="s">
        <v>269</v>
      </c>
      <c r="D1462">
        <v>2025</v>
      </c>
      <c r="E1462">
        <v>5.0199999809265137</v>
      </c>
      <c r="G1462" t="s">
        <v>465</v>
      </c>
      <c r="H1462">
        <v>5.0199999809265137</v>
      </c>
      <c r="I1462">
        <v>5.0199999809265137</v>
      </c>
      <c r="L1462" t="s">
        <v>466</v>
      </c>
      <c r="O1462">
        <v>39.25</v>
      </c>
      <c r="P1462">
        <v>62.29</v>
      </c>
      <c r="Q1462">
        <v>27.94</v>
      </c>
      <c r="R1462" s="3" t="s">
        <v>470</v>
      </c>
      <c r="S1462">
        <v>39.25</v>
      </c>
      <c r="T1462" t="s">
        <v>468</v>
      </c>
    </row>
    <row r="1463" spans="1:20" x14ac:dyDescent="0.25">
      <c r="A1463">
        <v>213</v>
      </c>
      <c r="B1463">
        <v>512289</v>
      </c>
      <c r="C1463" t="s">
        <v>269</v>
      </c>
      <c r="D1463">
        <v>2026</v>
      </c>
      <c r="E1463">
        <v>5.0199999809265137</v>
      </c>
      <c r="G1463" t="s">
        <v>465</v>
      </c>
      <c r="H1463">
        <v>5.0199999809265137</v>
      </c>
      <c r="I1463">
        <v>5.0199999809265137</v>
      </c>
      <c r="L1463" t="s">
        <v>466</v>
      </c>
      <c r="O1463">
        <v>39.25</v>
      </c>
      <c r="P1463">
        <v>62.29</v>
      </c>
      <c r="Q1463">
        <v>27.94</v>
      </c>
      <c r="R1463" s="3" t="s">
        <v>470</v>
      </c>
      <c r="S1463">
        <v>39.25</v>
      </c>
      <c r="T1463" t="s">
        <v>468</v>
      </c>
    </row>
    <row r="1464" spans="1:20" x14ac:dyDescent="0.25">
      <c r="A1464">
        <v>214</v>
      </c>
      <c r="B1464">
        <v>512399</v>
      </c>
      <c r="C1464" t="s">
        <v>271</v>
      </c>
      <c r="D1464">
        <v>2015</v>
      </c>
      <c r="E1464">
        <v>41.090000152587891</v>
      </c>
      <c r="F1464">
        <v>0.31</v>
      </c>
      <c r="G1464" t="s">
        <v>465</v>
      </c>
      <c r="H1464">
        <v>3.371999979019165</v>
      </c>
      <c r="I1464">
        <v>3.371999979019165</v>
      </c>
      <c r="L1464" t="s">
        <v>484</v>
      </c>
      <c r="M1464">
        <v>10.877419287158601</v>
      </c>
      <c r="N1464">
        <v>10.877419287158601</v>
      </c>
      <c r="O1464">
        <v>22.22</v>
      </c>
      <c r="P1464">
        <v>48.68</v>
      </c>
      <c r="Q1464">
        <v>11.91</v>
      </c>
      <c r="R1464" s="3" t="s">
        <v>470</v>
      </c>
      <c r="S1464">
        <v>22.22</v>
      </c>
      <c r="T1464" t="s">
        <v>468</v>
      </c>
    </row>
    <row r="1465" spans="1:20" x14ac:dyDescent="0.25">
      <c r="A1465">
        <v>214</v>
      </c>
      <c r="B1465">
        <v>512399</v>
      </c>
      <c r="C1465" t="s">
        <v>271</v>
      </c>
      <c r="D1465">
        <v>2016</v>
      </c>
      <c r="E1465">
        <v>41.090000152587891</v>
      </c>
      <c r="F1465">
        <v>0.27</v>
      </c>
      <c r="G1465" t="s">
        <v>465</v>
      </c>
      <c r="H1465">
        <v>3.371999979019165</v>
      </c>
      <c r="I1465">
        <v>3.371999979019165</v>
      </c>
      <c r="L1465" t="s">
        <v>484</v>
      </c>
      <c r="M1465">
        <v>12.48888881118209</v>
      </c>
      <c r="N1465">
        <v>12.48888881118209</v>
      </c>
      <c r="O1465">
        <v>22.22</v>
      </c>
      <c r="P1465">
        <v>48.68</v>
      </c>
      <c r="Q1465">
        <v>11.91</v>
      </c>
      <c r="R1465" s="3" t="s">
        <v>470</v>
      </c>
      <c r="S1465">
        <v>22.22</v>
      </c>
      <c r="T1465" t="s">
        <v>468</v>
      </c>
    </row>
    <row r="1466" spans="1:20" x14ac:dyDescent="0.25">
      <c r="A1466">
        <v>214</v>
      </c>
      <c r="B1466">
        <v>512399</v>
      </c>
      <c r="C1466" t="s">
        <v>271</v>
      </c>
      <c r="D1466">
        <v>2017</v>
      </c>
      <c r="E1466">
        <v>41.090000152587891</v>
      </c>
      <c r="F1466">
        <v>0.31</v>
      </c>
      <c r="G1466" t="s">
        <v>465</v>
      </c>
      <c r="H1466">
        <v>4.5</v>
      </c>
      <c r="I1466">
        <v>3.371999979019165</v>
      </c>
      <c r="L1466" t="s">
        <v>484</v>
      </c>
      <c r="M1466">
        <v>14.516129032258061</v>
      </c>
      <c r="N1466">
        <v>10.877419287158601</v>
      </c>
      <c r="O1466">
        <v>22.22</v>
      </c>
      <c r="P1466">
        <v>48.68</v>
      </c>
      <c r="Q1466">
        <v>11.91</v>
      </c>
      <c r="R1466" s="3" t="s">
        <v>470</v>
      </c>
      <c r="S1466">
        <v>22.22</v>
      </c>
      <c r="T1466" t="s">
        <v>468</v>
      </c>
    </row>
    <row r="1467" spans="1:20" x14ac:dyDescent="0.25">
      <c r="A1467">
        <v>214</v>
      </c>
      <c r="B1467">
        <v>512399</v>
      </c>
      <c r="C1467" t="s">
        <v>271</v>
      </c>
      <c r="D1467">
        <v>2018</v>
      </c>
      <c r="E1467">
        <v>41.090000152587891</v>
      </c>
      <c r="F1467">
        <v>0.13</v>
      </c>
      <c r="G1467" t="s">
        <v>465</v>
      </c>
      <c r="H1467">
        <v>7.8959999084472656</v>
      </c>
      <c r="I1467">
        <v>4.380000114440918</v>
      </c>
      <c r="L1467" t="s">
        <v>484</v>
      </c>
      <c r="M1467">
        <v>60.738460834209732</v>
      </c>
      <c r="N1467">
        <v>33.692308572622437</v>
      </c>
      <c r="O1467">
        <v>22.22</v>
      </c>
      <c r="P1467">
        <v>48.68</v>
      </c>
      <c r="Q1467">
        <v>11.91</v>
      </c>
      <c r="R1467" s="3" t="s">
        <v>470</v>
      </c>
      <c r="S1467">
        <v>22.22</v>
      </c>
      <c r="T1467" t="s">
        <v>468</v>
      </c>
    </row>
    <row r="1468" spans="1:20" x14ac:dyDescent="0.25">
      <c r="A1468">
        <v>214</v>
      </c>
      <c r="B1468">
        <v>512399</v>
      </c>
      <c r="C1468" t="s">
        <v>271</v>
      </c>
      <c r="D1468">
        <v>2019</v>
      </c>
      <c r="E1468">
        <v>41.090000152587891</v>
      </c>
      <c r="F1468">
        <v>-7.0000000000000007E-2</v>
      </c>
      <c r="G1468" t="s">
        <v>465</v>
      </c>
      <c r="H1468">
        <v>11.159999847412109</v>
      </c>
      <c r="I1468">
        <v>4.1319999694824219</v>
      </c>
      <c r="L1468" t="s">
        <v>471</v>
      </c>
      <c r="M1468">
        <v>-159.4285692487444</v>
      </c>
      <c r="N1468">
        <v>-59.028570992606021</v>
      </c>
      <c r="O1468">
        <v>22.22</v>
      </c>
      <c r="P1468">
        <v>48.68</v>
      </c>
      <c r="Q1468">
        <v>11.91</v>
      </c>
      <c r="R1468" s="3" t="s">
        <v>470</v>
      </c>
      <c r="S1468">
        <v>22.22</v>
      </c>
      <c r="T1468" t="s">
        <v>468</v>
      </c>
    </row>
    <row r="1469" spans="1:20" x14ac:dyDescent="0.25">
      <c r="A1469">
        <v>214</v>
      </c>
      <c r="B1469">
        <v>512399</v>
      </c>
      <c r="C1469" t="s">
        <v>271</v>
      </c>
      <c r="D1469">
        <v>2020</v>
      </c>
      <c r="E1469">
        <v>41.090000152587891</v>
      </c>
      <c r="F1469">
        <v>0.08</v>
      </c>
      <c r="G1469" t="s">
        <v>465</v>
      </c>
      <c r="H1469">
        <v>12.19999980926514</v>
      </c>
      <c r="I1469">
        <v>11.159999847412109</v>
      </c>
      <c r="L1469" t="s">
        <v>484</v>
      </c>
      <c r="M1469">
        <v>152.49999761581421</v>
      </c>
      <c r="N1469">
        <v>139.4999980926514</v>
      </c>
      <c r="O1469">
        <v>22.22</v>
      </c>
      <c r="P1469">
        <v>48.68</v>
      </c>
      <c r="Q1469">
        <v>11.91</v>
      </c>
      <c r="R1469" s="3" t="s">
        <v>470</v>
      </c>
      <c r="S1469">
        <v>22.22</v>
      </c>
      <c r="T1469" t="s">
        <v>468</v>
      </c>
    </row>
    <row r="1470" spans="1:20" x14ac:dyDescent="0.25">
      <c r="A1470">
        <v>214</v>
      </c>
      <c r="B1470">
        <v>512399</v>
      </c>
      <c r="C1470" t="s">
        <v>271</v>
      </c>
      <c r="D1470">
        <v>2021</v>
      </c>
      <c r="E1470">
        <v>41.090000152587891</v>
      </c>
      <c r="F1470">
        <v>-0.14000000000000001</v>
      </c>
      <c r="G1470" t="s">
        <v>465</v>
      </c>
      <c r="H1470">
        <v>15.039999961853029</v>
      </c>
      <c r="I1470">
        <v>6.9800000190734863</v>
      </c>
      <c r="L1470" t="s">
        <v>471</v>
      </c>
      <c r="M1470">
        <v>-107.4285711560931</v>
      </c>
      <c r="N1470">
        <v>-49.857142993382041</v>
      </c>
      <c r="O1470">
        <v>22.22</v>
      </c>
      <c r="P1470">
        <v>48.68</v>
      </c>
      <c r="Q1470">
        <v>11.91</v>
      </c>
      <c r="R1470" s="3" t="s">
        <v>470</v>
      </c>
      <c r="S1470">
        <v>22.22</v>
      </c>
      <c r="T1470" t="s">
        <v>468</v>
      </c>
    </row>
    <row r="1471" spans="1:20" x14ac:dyDescent="0.25">
      <c r="A1471">
        <v>214</v>
      </c>
      <c r="B1471">
        <v>512399</v>
      </c>
      <c r="C1471" t="s">
        <v>271</v>
      </c>
      <c r="D1471">
        <v>2022</v>
      </c>
      <c r="E1471">
        <v>41.090000152587891</v>
      </c>
      <c r="F1471">
        <v>-0.44</v>
      </c>
      <c r="G1471" t="s">
        <v>465</v>
      </c>
      <c r="H1471">
        <v>52.580001831054688</v>
      </c>
      <c r="I1471">
        <v>7.309999942779541</v>
      </c>
      <c r="L1471" t="s">
        <v>471</v>
      </c>
      <c r="M1471">
        <v>-119.50000416148789</v>
      </c>
      <c r="N1471">
        <v>-16.613636233589869</v>
      </c>
      <c r="O1471">
        <v>22.22</v>
      </c>
      <c r="P1471">
        <v>48.68</v>
      </c>
      <c r="Q1471">
        <v>11.91</v>
      </c>
      <c r="R1471" s="3" t="s">
        <v>470</v>
      </c>
      <c r="S1471">
        <v>22.22</v>
      </c>
      <c r="T1471" t="s">
        <v>468</v>
      </c>
    </row>
    <row r="1472" spans="1:20" x14ac:dyDescent="0.25">
      <c r="A1472">
        <v>214</v>
      </c>
      <c r="B1472">
        <v>512399</v>
      </c>
      <c r="C1472" t="s">
        <v>271</v>
      </c>
      <c r="D1472">
        <v>2023</v>
      </c>
      <c r="E1472">
        <v>41.090000152587891</v>
      </c>
      <c r="F1472">
        <v>-2.79</v>
      </c>
      <c r="G1472" t="s">
        <v>465</v>
      </c>
      <c r="H1472">
        <v>90.650001525878906</v>
      </c>
      <c r="I1472">
        <v>10.10999965667725</v>
      </c>
      <c r="L1472" t="s">
        <v>471</v>
      </c>
      <c r="M1472">
        <v>-32.491039973433303</v>
      </c>
      <c r="N1472">
        <v>-3.623655790923745</v>
      </c>
      <c r="O1472">
        <v>22.22</v>
      </c>
      <c r="P1472">
        <v>48.68</v>
      </c>
      <c r="Q1472">
        <v>11.91</v>
      </c>
      <c r="R1472" s="3" t="s">
        <v>470</v>
      </c>
      <c r="S1472">
        <v>22.22</v>
      </c>
      <c r="T1472" t="s">
        <v>468</v>
      </c>
    </row>
    <row r="1473" spans="1:20" x14ac:dyDescent="0.25">
      <c r="A1473">
        <v>214</v>
      </c>
      <c r="B1473">
        <v>512399</v>
      </c>
      <c r="C1473" t="s">
        <v>271</v>
      </c>
      <c r="D1473">
        <v>2024</v>
      </c>
      <c r="E1473">
        <v>41.090000152587891</v>
      </c>
      <c r="F1473">
        <v>2.75</v>
      </c>
      <c r="G1473" t="s">
        <v>465</v>
      </c>
      <c r="H1473">
        <v>48.680000305175781</v>
      </c>
      <c r="I1473">
        <v>11.909999847412109</v>
      </c>
      <c r="L1473" t="s">
        <v>469</v>
      </c>
      <c r="M1473">
        <v>17.701818292791192</v>
      </c>
      <c r="N1473">
        <v>4.330909035422585</v>
      </c>
      <c r="O1473">
        <v>22.22</v>
      </c>
      <c r="P1473">
        <v>48.68</v>
      </c>
      <c r="Q1473">
        <v>11.91</v>
      </c>
      <c r="R1473" s="3" t="s">
        <v>470</v>
      </c>
      <c r="S1473">
        <v>22.22</v>
      </c>
      <c r="T1473" t="s">
        <v>468</v>
      </c>
    </row>
    <row r="1474" spans="1:20" x14ac:dyDescent="0.25">
      <c r="A1474">
        <v>214</v>
      </c>
      <c r="B1474">
        <v>512399</v>
      </c>
      <c r="C1474" t="s">
        <v>271</v>
      </c>
      <c r="D1474">
        <v>2025</v>
      </c>
      <c r="E1474">
        <v>41.090000152587891</v>
      </c>
      <c r="F1474">
        <v>0.41</v>
      </c>
      <c r="G1474" t="s">
        <v>465</v>
      </c>
      <c r="H1474">
        <v>49.939998626708977</v>
      </c>
      <c r="I1474">
        <v>25.610000610351559</v>
      </c>
      <c r="L1474" t="s">
        <v>484</v>
      </c>
      <c r="M1474">
        <v>121.8048746992902</v>
      </c>
      <c r="N1474">
        <v>62.463416122808681</v>
      </c>
      <c r="O1474">
        <v>22.22</v>
      </c>
      <c r="P1474">
        <v>48.68</v>
      </c>
      <c r="Q1474">
        <v>11.91</v>
      </c>
      <c r="R1474" s="3" t="s">
        <v>470</v>
      </c>
      <c r="S1474">
        <v>22.22</v>
      </c>
      <c r="T1474" t="s">
        <v>468</v>
      </c>
    </row>
    <row r="1475" spans="1:20" x14ac:dyDescent="0.25">
      <c r="A1475">
        <v>214</v>
      </c>
      <c r="B1475">
        <v>512399</v>
      </c>
      <c r="C1475" t="s">
        <v>271</v>
      </c>
      <c r="D1475">
        <v>2026</v>
      </c>
      <c r="E1475">
        <v>41.090000152587891</v>
      </c>
      <c r="F1475">
        <v>8.11</v>
      </c>
      <c r="G1475" t="s">
        <v>465</v>
      </c>
      <c r="H1475">
        <v>52.450000762939453</v>
      </c>
      <c r="I1475">
        <v>32.590000152587891</v>
      </c>
      <c r="L1475" t="s">
        <v>469</v>
      </c>
      <c r="M1475">
        <v>6.4673243850726827</v>
      </c>
      <c r="N1475">
        <v>4.0184957031551036</v>
      </c>
      <c r="O1475">
        <v>22.22</v>
      </c>
      <c r="P1475">
        <v>48.68</v>
      </c>
      <c r="Q1475">
        <v>11.91</v>
      </c>
      <c r="R1475" s="3" t="s">
        <v>470</v>
      </c>
      <c r="S1475">
        <v>22.22</v>
      </c>
      <c r="T1475" t="s">
        <v>468</v>
      </c>
    </row>
    <row r="1476" spans="1:20" x14ac:dyDescent="0.25">
      <c r="A1476">
        <v>215</v>
      </c>
      <c r="B1476">
        <v>512408</v>
      </c>
      <c r="C1476" t="s">
        <v>273</v>
      </c>
      <c r="D1476">
        <v>2026</v>
      </c>
      <c r="E1476">
        <v>10.05000019073486</v>
      </c>
      <c r="G1476" t="s">
        <v>465</v>
      </c>
      <c r="H1476">
        <v>10.05000019073486</v>
      </c>
      <c r="I1476">
        <v>10.05000019073486</v>
      </c>
      <c r="L1476" t="s">
        <v>466</v>
      </c>
      <c r="O1476">
        <v>10.050000000000001</v>
      </c>
      <c r="P1476">
        <v>10.050000000000001</v>
      </c>
      <c r="Q1476">
        <v>10.050000000000001</v>
      </c>
      <c r="R1476" s="2" t="s">
        <v>467</v>
      </c>
      <c r="S1476">
        <v>10.050000000000001</v>
      </c>
      <c r="T1476" t="s">
        <v>468</v>
      </c>
    </row>
    <row r="1477" spans="1:20" x14ac:dyDescent="0.25">
      <c r="A1477">
        <v>217</v>
      </c>
      <c r="B1477">
        <v>512477</v>
      </c>
      <c r="C1477" t="s">
        <v>275</v>
      </c>
      <c r="D1477">
        <v>2015</v>
      </c>
      <c r="E1477">
        <v>490</v>
      </c>
      <c r="F1477">
        <v>8.67</v>
      </c>
      <c r="G1477" t="s">
        <v>465</v>
      </c>
      <c r="H1477">
        <v>94.550003051757813</v>
      </c>
      <c r="I1477">
        <v>81.699996948242188</v>
      </c>
      <c r="L1477" t="s">
        <v>469</v>
      </c>
      <c r="M1477">
        <v>10.9054213439167</v>
      </c>
      <c r="N1477">
        <v>9.4232983792666882</v>
      </c>
      <c r="O1477">
        <v>259.89999999999998</v>
      </c>
      <c r="P1477">
        <v>535</v>
      </c>
      <c r="Q1477">
        <v>198</v>
      </c>
      <c r="R1477" s="3" t="s">
        <v>470</v>
      </c>
      <c r="S1477">
        <v>259.89999999999998</v>
      </c>
      <c r="T1477" t="s">
        <v>468</v>
      </c>
    </row>
    <row r="1478" spans="1:20" x14ac:dyDescent="0.25">
      <c r="A1478">
        <v>217</v>
      </c>
      <c r="B1478">
        <v>512477</v>
      </c>
      <c r="C1478" t="s">
        <v>275</v>
      </c>
      <c r="D1478">
        <v>2016</v>
      </c>
      <c r="E1478">
        <v>490</v>
      </c>
      <c r="F1478">
        <v>6.93</v>
      </c>
      <c r="G1478" t="s">
        <v>465</v>
      </c>
      <c r="H1478">
        <v>88</v>
      </c>
      <c r="I1478">
        <v>38.75</v>
      </c>
      <c r="L1478" t="s">
        <v>469</v>
      </c>
      <c r="M1478">
        <v>12.698412698412699</v>
      </c>
      <c r="N1478">
        <v>5.591630591630592</v>
      </c>
      <c r="O1478">
        <v>259.89999999999998</v>
      </c>
      <c r="P1478">
        <v>535</v>
      </c>
      <c r="Q1478">
        <v>198</v>
      </c>
      <c r="R1478" s="3" t="s">
        <v>470</v>
      </c>
      <c r="S1478">
        <v>259.89999999999998</v>
      </c>
      <c r="T1478" t="s">
        <v>468</v>
      </c>
    </row>
    <row r="1479" spans="1:20" x14ac:dyDescent="0.25">
      <c r="A1479">
        <v>217</v>
      </c>
      <c r="B1479">
        <v>512477</v>
      </c>
      <c r="C1479" t="s">
        <v>275</v>
      </c>
      <c r="D1479">
        <v>2017</v>
      </c>
      <c r="E1479">
        <v>490</v>
      </c>
      <c r="F1479">
        <v>7.4</v>
      </c>
      <c r="G1479" t="s">
        <v>465</v>
      </c>
      <c r="H1479">
        <v>73.400001525878906</v>
      </c>
      <c r="I1479">
        <v>46.599998474121087</v>
      </c>
      <c r="L1479" t="s">
        <v>469</v>
      </c>
      <c r="M1479">
        <v>9.9189191251187712</v>
      </c>
      <c r="N1479">
        <v>6.2972970910974437</v>
      </c>
      <c r="O1479">
        <v>259.89999999999998</v>
      </c>
      <c r="P1479">
        <v>535</v>
      </c>
      <c r="Q1479">
        <v>198</v>
      </c>
      <c r="R1479" s="3" t="s">
        <v>470</v>
      </c>
      <c r="S1479">
        <v>259.89999999999998</v>
      </c>
      <c r="T1479" t="s">
        <v>468</v>
      </c>
    </row>
    <row r="1480" spans="1:20" x14ac:dyDescent="0.25">
      <c r="A1480">
        <v>217</v>
      </c>
      <c r="B1480">
        <v>512477</v>
      </c>
      <c r="C1480" t="s">
        <v>275</v>
      </c>
      <c r="D1480">
        <v>2018</v>
      </c>
      <c r="E1480">
        <v>490</v>
      </c>
      <c r="F1480">
        <v>6.07</v>
      </c>
      <c r="G1480" t="s">
        <v>465</v>
      </c>
      <c r="H1480">
        <v>70.949996948242188</v>
      </c>
      <c r="I1480">
        <v>27.20000076293945</v>
      </c>
      <c r="L1480" t="s">
        <v>469</v>
      </c>
      <c r="M1480">
        <v>11.688632116679109</v>
      </c>
      <c r="N1480">
        <v>4.4810544914233033</v>
      </c>
      <c r="O1480">
        <v>259.89999999999998</v>
      </c>
      <c r="P1480">
        <v>535</v>
      </c>
      <c r="Q1480">
        <v>198</v>
      </c>
      <c r="R1480" s="3" t="s">
        <v>470</v>
      </c>
      <c r="S1480">
        <v>259.89999999999998</v>
      </c>
      <c r="T1480" t="s">
        <v>468</v>
      </c>
    </row>
    <row r="1481" spans="1:20" x14ac:dyDescent="0.25">
      <c r="A1481">
        <v>217</v>
      </c>
      <c r="B1481">
        <v>512477</v>
      </c>
      <c r="C1481" t="s">
        <v>275</v>
      </c>
      <c r="D1481">
        <v>2019</v>
      </c>
      <c r="E1481">
        <v>490</v>
      </c>
      <c r="F1481">
        <v>6.53</v>
      </c>
      <c r="G1481" t="s">
        <v>465</v>
      </c>
      <c r="H1481">
        <v>33.5</v>
      </c>
      <c r="I1481">
        <v>13.69999980926514</v>
      </c>
      <c r="L1481" t="s">
        <v>469</v>
      </c>
      <c r="M1481">
        <v>5.1301684532924963</v>
      </c>
      <c r="N1481">
        <v>2.0980091591523951</v>
      </c>
      <c r="O1481">
        <v>259.89999999999998</v>
      </c>
      <c r="P1481">
        <v>535</v>
      </c>
      <c r="Q1481">
        <v>198</v>
      </c>
      <c r="R1481" s="3" t="s">
        <v>470</v>
      </c>
      <c r="S1481">
        <v>259.89999999999998</v>
      </c>
      <c r="T1481" t="s">
        <v>468</v>
      </c>
    </row>
    <row r="1482" spans="1:20" x14ac:dyDescent="0.25">
      <c r="A1482">
        <v>217</v>
      </c>
      <c r="B1482">
        <v>512477</v>
      </c>
      <c r="C1482" t="s">
        <v>275</v>
      </c>
      <c r="D1482">
        <v>2020</v>
      </c>
      <c r="E1482">
        <v>490</v>
      </c>
      <c r="F1482">
        <v>2.87</v>
      </c>
      <c r="G1482" t="s">
        <v>465</v>
      </c>
      <c r="H1482">
        <v>24.45000076293945</v>
      </c>
      <c r="I1482">
        <v>9.5</v>
      </c>
      <c r="L1482" t="s">
        <v>469</v>
      </c>
      <c r="M1482">
        <v>8.5191640288987625</v>
      </c>
      <c r="N1482">
        <v>3.3101045296167251</v>
      </c>
      <c r="O1482">
        <v>259.89999999999998</v>
      </c>
      <c r="P1482">
        <v>535</v>
      </c>
      <c r="Q1482">
        <v>198</v>
      </c>
      <c r="R1482" s="3" t="s">
        <v>470</v>
      </c>
      <c r="S1482">
        <v>259.89999999999998</v>
      </c>
      <c r="T1482" t="s">
        <v>468</v>
      </c>
    </row>
    <row r="1483" spans="1:20" x14ac:dyDescent="0.25">
      <c r="A1483">
        <v>217</v>
      </c>
      <c r="B1483">
        <v>512477</v>
      </c>
      <c r="C1483" t="s">
        <v>275</v>
      </c>
      <c r="D1483">
        <v>2021</v>
      </c>
      <c r="E1483">
        <v>490</v>
      </c>
      <c r="F1483">
        <v>13.73</v>
      </c>
      <c r="G1483" t="s">
        <v>465</v>
      </c>
      <c r="H1483">
        <v>130.1000061035156</v>
      </c>
      <c r="I1483">
        <v>17.89999961853027</v>
      </c>
      <c r="L1483" t="s">
        <v>469</v>
      </c>
      <c r="M1483">
        <v>9.4756013185371888</v>
      </c>
      <c r="N1483">
        <v>1.3037144660255111</v>
      </c>
      <c r="O1483">
        <v>259.89999999999998</v>
      </c>
      <c r="P1483">
        <v>535</v>
      </c>
      <c r="Q1483">
        <v>198</v>
      </c>
      <c r="R1483" s="3" t="s">
        <v>470</v>
      </c>
      <c r="S1483">
        <v>259.89999999999998</v>
      </c>
      <c r="T1483" t="s">
        <v>468</v>
      </c>
    </row>
    <row r="1484" spans="1:20" x14ac:dyDescent="0.25">
      <c r="A1484">
        <v>217</v>
      </c>
      <c r="B1484">
        <v>512477</v>
      </c>
      <c r="C1484" t="s">
        <v>275</v>
      </c>
      <c r="D1484">
        <v>2022</v>
      </c>
      <c r="E1484">
        <v>490</v>
      </c>
      <c r="F1484">
        <v>2.73</v>
      </c>
      <c r="G1484" t="s">
        <v>465</v>
      </c>
      <c r="H1484">
        <v>153.44999694824219</v>
      </c>
      <c r="I1484">
        <v>58</v>
      </c>
      <c r="L1484" t="s">
        <v>469</v>
      </c>
      <c r="M1484">
        <v>56.208790090931203</v>
      </c>
      <c r="N1484">
        <v>21.245421245421241</v>
      </c>
      <c r="O1484">
        <v>259.89999999999998</v>
      </c>
      <c r="P1484">
        <v>535</v>
      </c>
      <c r="Q1484">
        <v>198</v>
      </c>
      <c r="R1484" s="3" t="s">
        <v>470</v>
      </c>
      <c r="S1484">
        <v>259.89999999999998</v>
      </c>
      <c r="T1484" t="s">
        <v>468</v>
      </c>
    </row>
    <row r="1485" spans="1:20" x14ac:dyDescent="0.25">
      <c r="A1485">
        <v>217</v>
      </c>
      <c r="B1485">
        <v>512477</v>
      </c>
      <c r="C1485" t="s">
        <v>275</v>
      </c>
      <c r="D1485">
        <v>2023</v>
      </c>
      <c r="E1485">
        <v>490</v>
      </c>
      <c r="F1485">
        <v>21.07</v>
      </c>
      <c r="G1485" t="s">
        <v>465</v>
      </c>
      <c r="H1485">
        <v>309</v>
      </c>
      <c r="I1485">
        <v>58.459999084472663</v>
      </c>
      <c r="L1485" t="s">
        <v>469</v>
      </c>
      <c r="M1485">
        <v>14.665401044138591</v>
      </c>
      <c r="N1485">
        <v>2.7745609437338712</v>
      </c>
      <c r="O1485">
        <v>259.89999999999998</v>
      </c>
      <c r="P1485">
        <v>535</v>
      </c>
      <c r="Q1485">
        <v>198</v>
      </c>
      <c r="R1485" s="3" t="s">
        <v>470</v>
      </c>
      <c r="S1485">
        <v>259.89999999999998</v>
      </c>
      <c r="T1485" t="s">
        <v>468</v>
      </c>
    </row>
    <row r="1486" spans="1:20" x14ac:dyDescent="0.25">
      <c r="A1486">
        <v>217</v>
      </c>
      <c r="B1486">
        <v>512477</v>
      </c>
      <c r="C1486" t="s">
        <v>275</v>
      </c>
      <c r="D1486">
        <v>2024</v>
      </c>
      <c r="E1486">
        <v>490</v>
      </c>
      <c r="F1486">
        <v>22.2</v>
      </c>
      <c r="G1486" t="s">
        <v>465</v>
      </c>
      <c r="H1486">
        <v>475</v>
      </c>
      <c r="I1486">
        <v>198</v>
      </c>
      <c r="L1486" t="s">
        <v>469</v>
      </c>
      <c r="M1486">
        <v>21.396396396396401</v>
      </c>
      <c r="N1486">
        <v>8.9189189189189193</v>
      </c>
      <c r="O1486">
        <v>259.89999999999998</v>
      </c>
      <c r="P1486">
        <v>535</v>
      </c>
      <c r="Q1486">
        <v>198</v>
      </c>
      <c r="R1486" s="3" t="s">
        <v>470</v>
      </c>
      <c r="S1486">
        <v>259.89999999999998</v>
      </c>
      <c r="T1486" t="s">
        <v>468</v>
      </c>
    </row>
    <row r="1487" spans="1:20" x14ac:dyDescent="0.25">
      <c r="A1487">
        <v>217</v>
      </c>
      <c r="B1487">
        <v>512477</v>
      </c>
      <c r="C1487" t="s">
        <v>275</v>
      </c>
      <c r="D1487">
        <v>2025</v>
      </c>
      <c r="E1487">
        <v>490</v>
      </c>
      <c r="F1487">
        <v>13</v>
      </c>
      <c r="G1487" t="s">
        <v>465</v>
      </c>
      <c r="H1487">
        <v>648</v>
      </c>
      <c r="I1487">
        <v>250</v>
      </c>
      <c r="L1487" t="s">
        <v>469</v>
      </c>
      <c r="M1487">
        <v>49.846153846153847</v>
      </c>
      <c r="N1487">
        <v>19.23076923076923</v>
      </c>
      <c r="O1487">
        <v>259.89999999999998</v>
      </c>
      <c r="P1487">
        <v>535</v>
      </c>
      <c r="Q1487">
        <v>198</v>
      </c>
      <c r="R1487" s="3" t="s">
        <v>470</v>
      </c>
      <c r="S1487">
        <v>259.89999999999998</v>
      </c>
      <c r="T1487" t="s">
        <v>468</v>
      </c>
    </row>
    <row r="1488" spans="1:20" x14ac:dyDescent="0.25">
      <c r="A1488">
        <v>217</v>
      </c>
      <c r="B1488">
        <v>512477</v>
      </c>
      <c r="C1488" t="s">
        <v>275</v>
      </c>
      <c r="D1488">
        <v>2026</v>
      </c>
      <c r="E1488">
        <v>490</v>
      </c>
      <c r="F1488">
        <v>37.799999999999997</v>
      </c>
      <c r="G1488" t="s">
        <v>465</v>
      </c>
      <c r="H1488">
        <v>525</v>
      </c>
      <c r="I1488">
        <v>220.05000305175781</v>
      </c>
      <c r="L1488" t="s">
        <v>469</v>
      </c>
      <c r="M1488">
        <v>13.888888888888889</v>
      </c>
      <c r="N1488">
        <v>5.8214286521629059</v>
      </c>
      <c r="O1488">
        <v>259.89999999999998</v>
      </c>
      <c r="P1488">
        <v>535</v>
      </c>
      <c r="Q1488">
        <v>198</v>
      </c>
      <c r="R1488" s="3" t="s">
        <v>470</v>
      </c>
      <c r="S1488">
        <v>259.89999999999998</v>
      </c>
      <c r="T1488" t="s">
        <v>468</v>
      </c>
    </row>
    <row r="1489" spans="1:20" x14ac:dyDescent="0.25">
      <c r="A1489">
        <v>218</v>
      </c>
      <c r="B1489">
        <v>512511</v>
      </c>
      <c r="C1489" t="s">
        <v>277</v>
      </c>
      <c r="D1489">
        <v>2015</v>
      </c>
      <c r="E1489">
        <v>1.080000042915344</v>
      </c>
      <c r="F1489">
        <v>1.26</v>
      </c>
      <c r="G1489" t="s">
        <v>465</v>
      </c>
      <c r="H1489">
        <v>1</v>
      </c>
      <c r="I1489">
        <v>1</v>
      </c>
      <c r="L1489" t="s">
        <v>469</v>
      </c>
      <c r="M1489">
        <v>0.79365079365079361</v>
      </c>
      <c r="N1489">
        <v>0.79365079365079361</v>
      </c>
      <c r="O1489">
        <v>1.03</v>
      </c>
      <c r="P1489">
        <v>1.08</v>
      </c>
      <c r="Q1489">
        <v>1.03</v>
      </c>
      <c r="R1489" s="2" t="s">
        <v>467</v>
      </c>
      <c r="S1489">
        <v>1.03</v>
      </c>
      <c r="T1489" t="s">
        <v>468</v>
      </c>
    </row>
    <row r="1490" spans="1:20" x14ac:dyDescent="0.25">
      <c r="A1490">
        <v>218</v>
      </c>
      <c r="B1490">
        <v>512511</v>
      </c>
      <c r="C1490" t="s">
        <v>277</v>
      </c>
      <c r="D1490">
        <v>2016</v>
      </c>
      <c r="E1490">
        <v>1.080000042915344</v>
      </c>
      <c r="F1490">
        <v>0.65</v>
      </c>
      <c r="G1490" t="s">
        <v>465</v>
      </c>
      <c r="H1490">
        <v>1</v>
      </c>
      <c r="I1490">
        <v>1</v>
      </c>
      <c r="L1490" t="s">
        <v>469</v>
      </c>
      <c r="M1490">
        <v>1.5384615384615381</v>
      </c>
      <c r="N1490">
        <v>1.5384615384615381</v>
      </c>
      <c r="O1490">
        <v>1.03</v>
      </c>
      <c r="P1490">
        <v>1.08</v>
      </c>
      <c r="Q1490">
        <v>1.03</v>
      </c>
      <c r="R1490" s="2" t="s">
        <v>467</v>
      </c>
      <c r="S1490">
        <v>1.03</v>
      </c>
      <c r="T1490" t="s">
        <v>468</v>
      </c>
    </row>
    <row r="1491" spans="1:20" x14ac:dyDescent="0.25">
      <c r="A1491">
        <v>218</v>
      </c>
      <c r="B1491">
        <v>512511</v>
      </c>
      <c r="C1491" t="s">
        <v>277</v>
      </c>
      <c r="D1491">
        <v>2017</v>
      </c>
      <c r="E1491">
        <v>1.080000042915344</v>
      </c>
      <c r="F1491">
        <v>0.05</v>
      </c>
      <c r="G1491" t="s">
        <v>465</v>
      </c>
      <c r="H1491">
        <v>1</v>
      </c>
      <c r="I1491">
        <v>1</v>
      </c>
      <c r="L1491" t="s">
        <v>484</v>
      </c>
      <c r="M1491">
        <v>20</v>
      </c>
      <c r="N1491">
        <v>20</v>
      </c>
      <c r="O1491">
        <v>1.03</v>
      </c>
      <c r="P1491">
        <v>1.08</v>
      </c>
      <c r="Q1491">
        <v>1.03</v>
      </c>
      <c r="R1491" s="2" t="s">
        <v>467</v>
      </c>
      <c r="S1491">
        <v>1.03</v>
      </c>
      <c r="T1491" t="s">
        <v>468</v>
      </c>
    </row>
    <row r="1492" spans="1:20" x14ac:dyDescent="0.25">
      <c r="A1492">
        <v>218</v>
      </c>
      <c r="B1492">
        <v>512511</v>
      </c>
      <c r="C1492" t="s">
        <v>277</v>
      </c>
      <c r="D1492">
        <v>2018</v>
      </c>
      <c r="E1492">
        <v>1.080000042915344</v>
      </c>
      <c r="F1492">
        <v>0.3</v>
      </c>
      <c r="G1492" t="s">
        <v>465</v>
      </c>
      <c r="H1492">
        <v>1</v>
      </c>
      <c r="I1492">
        <v>1</v>
      </c>
      <c r="L1492" t="s">
        <v>484</v>
      </c>
      <c r="M1492">
        <v>3.333333333333333</v>
      </c>
      <c r="N1492">
        <v>3.333333333333333</v>
      </c>
      <c r="O1492">
        <v>1.03</v>
      </c>
      <c r="P1492">
        <v>1.08</v>
      </c>
      <c r="Q1492">
        <v>1.03</v>
      </c>
      <c r="R1492" s="2" t="s">
        <v>467</v>
      </c>
      <c r="S1492">
        <v>1.03</v>
      </c>
      <c r="T1492" t="s">
        <v>468</v>
      </c>
    </row>
    <row r="1493" spans="1:20" x14ac:dyDescent="0.25">
      <c r="A1493">
        <v>218</v>
      </c>
      <c r="B1493">
        <v>512511</v>
      </c>
      <c r="C1493" t="s">
        <v>277</v>
      </c>
      <c r="D1493">
        <v>2022</v>
      </c>
      <c r="E1493">
        <v>1.080000042915344</v>
      </c>
      <c r="F1493">
        <v>0.15</v>
      </c>
      <c r="G1493" t="s">
        <v>465</v>
      </c>
      <c r="H1493">
        <v>1.029999971389771</v>
      </c>
      <c r="L1493" t="s">
        <v>484</v>
      </c>
      <c r="M1493">
        <v>6.8666664759318063</v>
      </c>
      <c r="O1493">
        <v>1.03</v>
      </c>
      <c r="P1493">
        <v>1.08</v>
      </c>
      <c r="Q1493">
        <v>1.03</v>
      </c>
      <c r="R1493" s="2" t="s">
        <v>467</v>
      </c>
      <c r="S1493">
        <v>1.03</v>
      </c>
      <c r="T1493" t="s">
        <v>468</v>
      </c>
    </row>
    <row r="1494" spans="1:20" x14ac:dyDescent="0.25">
      <c r="A1494">
        <v>218</v>
      </c>
      <c r="B1494">
        <v>512511</v>
      </c>
      <c r="C1494" t="s">
        <v>277</v>
      </c>
      <c r="D1494">
        <v>2023</v>
      </c>
      <c r="E1494">
        <v>1.080000042915344</v>
      </c>
      <c r="F1494">
        <v>0.35</v>
      </c>
      <c r="G1494" t="s">
        <v>465</v>
      </c>
      <c r="H1494">
        <v>1.029999971389771</v>
      </c>
      <c r="I1494">
        <v>1.029999971389771</v>
      </c>
      <c r="L1494" t="s">
        <v>484</v>
      </c>
      <c r="M1494">
        <v>2.942857061113632</v>
      </c>
      <c r="N1494">
        <v>2.942857061113632</v>
      </c>
      <c r="O1494">
        <v>1.03</v>
      </c>
      <c r="P1494">
        <v>1.08</v>
      </c>
      <c r="Q1494">
        <v>1.03</v>
      </c>
      <c r="R1494" s="2" t="s">
        <v>467</v>
      </c>
      <c r="S1494">
        <v>1.03</v>
      </c>
      <c r="T1494" t="s">
        <v>468</v>
      </c>
    </row>
    <row r="1495" spans="1:20" x14ac:dyDescent="0.25">
      <c r="A1495">
        <v>218</v>
      </c>
      <c r="B1495">
        <v>512511</v>
      </c>
      <c r="C1495" t="s">
        <v>277</v>
      </c>
      <c r="D1495">
        <v>2024</v>
      </c>
      <c r="E1495">
        <v>1.080000042915344</v>
      </c>
      <c r="F1495">
        <v>0.5</v>
      </c>
      <c r="G1495" t="s">
        <v>465</v>
      </c>
      <c r="H1495">
        <v>1.029999971389771</v>
      </c>
      <c r="I1495">
        <v>1.029999971389771</v>
      </c>
      <c r="L1495" t="s">
        <v>469</v>
      </c>
      <c r="M1495">
        <v>2.0599999427795419</v>
      </c>
      <c r="N1495">
        <v>2.0599999427795419</v>
      </c>
      <c r="O1495">
        <v>1.03</v>
      </c>
      <c r="P1495">
        <v>1.08</v>
      </c>
      <c r="Q1495">
        <v>1.03</v>
      </c>
      <c r="R1495" s="2" t="s">
        <v>467</v>
      </c>
      <c r="S1495">
        <v>1.03</v>
      </c>
      <c r="T1495" t="s">
        <v>468</v>
      </c>
    </row>
    <row r="1496" spans="1:20" x14ac:dyDescent="0.25">
      <c r="A1496">
        <v>218</v>
      </c>
      <c r="B1496">
        <v>512511</v>
      </c>
      <c r="C1496" t="s">
        <v>277</v>
      </c>
      <c r="D1496">
        <v>2025</v>
      </c>
      <c r="E1496">
        <v>1.080000042915344</v>
      </c>
      <c r="F1496">
        <v>0.65</v>
      </c>
      <c r="G1496" t="s">
        <v>465</v>
      </c>
      <c r="H1496">
        <v>1.080000042915344</v>
      </c>
      <c r="I1496">
        <v>1.029999971389771</v>
      </c>
      <c r="L1496" t="s">
        <v>469</v>
      </c>
      <c r="M1496">
        <v>1.661538527562068</v>
      </c>
      <c r="N1496">
        <v>1.584615340599647</v>
      </c>
      <c r="O1496">
        <v>1.03</v>
      </c>
      <c r="P1496">
        <v>1.08</v>
      </c>
      <c r="Q1496">
        <v>1.03</v>
      </c>
      <c r="R1496" s="2" t="s">
        <v>467</v>
      </c>
      <c r="S1496">
        <v>1.03</v>
      </c>
      <c r="T1496" t="s">
        <v>468</v>
      </c>
    </row>
    <row r="1497" spans="1:20" x14ac:dyDescent="0.25">
      <c r="A1497">
        <v>218</v>
      </c>
      <c r="B1497">
        <v>512511</v>
      </c>
      <c r="C1497" t="s">
        <v>277</v>
      </c>
      <c r="D1497">
        <v>2026</v>
      </c>
      <c r="E1497">
        <v>1.080000042915344</v>
      </c>
      <c r="F1497">
        <v>0.6</v>
      </c>
      <c r="G1497" t="s">
        <v>465</v>
      </c>
      <c r="H1497">
        <v>1.080000042915344</v>
      </c>
      <c r="I1497">
        <v>1.080000042915344</v>
      </c>
      <c r="L1497" t="s">
        <v>469</v>
      </c>
      <c r="M1497">
        <v>1.800000071525574</v>
      </c>
      <c r="N1497">
        <v>1.800000071525574</v>
      </c>
      <c r="O1497">
        <v>1.03</v>
      </c>
      <c r="P1497">
        <v>1.08</v>
      </c>
      <c r="Q1497">
        <v>1.03</v>
      </c>
      <c r="R1497" s="2" t="s">
        <v>467</v>
      </c>
      <c r="S1497">
        <v>1.03</v>
      </c>
      <c r="T1497" t="s">
        <v>468</v>
      </c>
    </row>
    <row r="1498" spans="1:20" x14ac:dyDescent="0.25">
      <c r="A1498">
        <v>219</v>
      </c>
      <c r="B1498">
        <v>512573</v>
      </c>
      <c r="C1498" t="s">
        <v>279</v>
      </c>
      <c r="D1498">
        <v>2015</v>
      </c>
      <c r="E1498">
        <v>979.29998779296875</v>
      </c>
      <c r="F1498">
        <v>8.52</v>
      </c>
      <c r="G1498" t="s">
        <v>465</v>
      </c>
      <c r="H1498">
        <v>230</v>
      </c>
      <c r="I1498">
        <v>96.666664123535156</v>
      </c>
      <c r="L1498" t="s">
        <v>469</v>
      </c>
      <c r="M1498">
        <v>26.995305164319252</v>
      </c>
      <c r="N1498">
        <v>11.345852596659061</v>
      </c>
      <c r="O1498">
        <v>949.95</v>
      </c>
      <c r="P1498">
        <v>1593.8</v>
      </c>
      <c r="Q1498">
        <v>614.25</v>
      </c>
      <c r="R1498" s="2" t="s">
        <v>467</v>
      </c>
      <c r="S1498">
        <v>949.95</v>
      </c>
      <c r="T1498" t="s">
        <v>468</v>
      </c>
    </row>
    <row r="1499" spans="1:20" x14ac:dyDescent="0.25">
      <c r="A1499">
        <v>219</v>
      </c>
      <c r="B1499">
        <v>512573</v>
      </c>
      <c r="C1499" t="s">
        <v>279</v>
      </c>
      <c r="D1499">
        <v>2016</v>
      </c>
      <c r="E1499">
        <v>979.29998779296875</v>
      </c>
      <c r="F1499">
        <v>11.56</v>
      </c>
      <c r="G1499" t="s">
        <v>465</v>
      </c>
      <c r="H1499">
        <v>210.5</v>
      </c>
      <c r="I1499">
        <v>110.966667175293</v>
      </c>
      <c r="L1499" t="s">
        <v>469</v>
      </c>
      <c r="M1499">
        <v>18.20934256055363</v>
      </c>
      <c r="N1499">
        <v>9.5991926622225776</v>
      </c>
      <c r="O1499">
        <v>949.95</v>
      </c>
      <c r="P1499">
        <v>1593.8</v>
      </c>
      <c r="Q1499">
        <v>614.25</v>
      </c>
      <c r="R1499" s="2" t="s">
        <v>467</v>
      </c>
      <c r="S1499">
        <v>949.95</v>
      </c>
      <c r="T1499" t="s">
        <v>468</v>
      </c>
    </row>
    <row r="1500" spans="1:20" x14ac:dyDescent="0.25">
      <c r="A1500">
        <v>219</v>
      </c>
      <c r="B1500">
        <v>512573</v>
      </c>
      <c r="C1500" t="s">
        <v>279</v>
      </c>
      <c r="D1500">
        <v>2017</v>
      </c>
      <c r="E1500">
        <v>979.29998779296875</v>
      </c>
      <c r="F1500">
        <v>15.83</v>
      </c>
      <c r="G1500" t="s">
        <v>465</v>
      </c>
      <c r="H1500">
        <v>1000</v>
      </c>
      <c r="I1500">
        <v>163.1499938964844</v>
      </c>
      <c r="L1500" t="s">
        <v>469</v>
      </c>
      <c r="M1500">
        <v>63.171193935565377</v>
      </c>
      <c r="N1500">
        <v>10.306379905021119</v>
      </c>
      <c r="O1500">
        <v>949.95</v>
      </c>
      <c r="P1500">
        <v>1593.8</v>
      </c>
      <c r="Q1500">
        <v>614.25</v>
      </c>
      <c r="R1500" s="2" t="s">
        <v>467</v>
      </c>
      <c r="S1500">
        <v>949.95</v>
      </c>
      <c r="T1500" t="s">
        <v>468</v>
      </c>
    </row>
    <row r="1501" spans="1:20" x14ac:dyDescent="0.25">
      <c r="A1501">
        <v>219</v>
      </c>
      <c r="B1501">
        <v>512573</v>
      </c>
      <c r="C1501" t="s">
        <v>279</v>
      </c>
      <c r="D1501">
        <v>2018</v>
      </c>
      <c r="E1501">
        <v>979.29998779296875</v>
      </c>
      <c r="F1501">
        <v>32.78</v>
      </c>
      <c r="G1501" t="s">
        <v>465</v>
      </c>
      <c r="H1501">
        <v>916.6500244140625</v>
      </c>
      <c r="I1501">
        <v>334.60000610351563</v>
      </c>
      <c r="L1501" t="s">
        <v>469</v>
      </c>
      <c r="M1501">
        <v>27.963698121234369</v>
      </c>
      <c r="N1501">
        <v>10.20744374934459</v>
      </c>
      <c r="O1501">
        <v>949.95</v>
      </c>
      <c r="P1501">
        <v>1593.8</v>
      </c>
      <c r="Q1501">
        <v>614.25</v>
      </c>
      <c r="R1501" s="2" t="s">
        <v>467</v>
      </c>
      <c r="S1501">
        <v>949.95</v>
      </c>
      <c r="T1501" t="s">
        <v>468</v>
      </c>
    </row>
    <row r="1502" spans="1:20" x14ac:dyDescent="0.25">
      <c r="A1502">
        <v>219</v>
      </c>
      <c r="B1502">
        <v>512573</v>
      </c>
      <c r="C1502" t="s">
        <v>279</v>
      </c>
      <c r="D1502">
        <v>2019</v>
      </c>
      <c r="E1502">
        <v>979.29998779296875</v>
      </c>
      <c r="F1502">
        <v>20.079999999999998</v>
      </c>
      <c r="G1502" t="s">
        <v>465</v>
      </c>
      <c r="H1502">
        <v>599</v>
      </c>
      <c r="I1502">
        <v>253</v>
      </c>
      <c r="L1502" t="s">
        <v>469</v>
      </c>
      <c r="M1502">
        <v>29.830677290836661</v>
      </c>
      <c r="N1502">
        <v>12.599601593625501</v>
      </c>
      <c r="O1502">
        <v>949.95</v>
      </c>
      <c r="P1502">
        <v>1593.8</v>
      </c>
      <c r="Q1502">
        <v>614.25</v>
      </c>
      <c r="R1502" s="2" t="s">
        <v>467</v>
      </c>
      <c r="S1502">
        <v>949.95</v>
      </c>
      <c r="T1502" t="s">
        <v>468</v>
      </c>
    </row>
    <row r="1503" spans="1:20" x14ac:dyDescent="0.25">
      <c r="A1503">
        <v>219</v>
      </c>
      <c r="B1503">
        <v>512573</v>
      </c>
      <c r="C1503" t="s">
        <v>279</v>
      </c>
      <c r="D1503">
        <v>2020</v>
      </c>
      <c r="E1503">
        <v>979.29998779296875</v>
      </c>
      <c r="F1503">
        <v>25.43</v>
      </c>
      <c r="G1503" t="s">
        <v>465</v>
      </c>
      <c r="H1503">
        <v>769.9000244140625</v>
      </c>
      <c r="I1503">
        <v>250</v>
      </c>
      <c r="L1503" t="s">
        <v>469</v>
      </c>
      <c r="M1503">
        <v>30.275266394575802</v>
      </c>
      <c r="N1503">
        <v>9.8309083759339373</v>
      </c>
      <c r="O1503">
        <v>949.95</v>
      </c>
      <c r="P1503">
        <v>1593.8</v>
      </c>
      <c r="Q1503">
        <v>614.25</v>
      </c>
      <c r="R1503" s="2" t="s">
        <v>467</v>
      </c>
      <c r="S1503">
        <v>949.95</v>
      </c>
      <c r="T1503" t="s">
        <v>468</v>
      </c>
    </row>
    <row r="1504" spans="1:20" x14ac:dyDescent="0.25">
      <c r="A1504">
        <v>219</v>
      </c>
      <c r="B1504">
        <v>512573</v>
      </c>
      <c r="C1504" t="s">
        <v>279</v>
      </c>
      <c r="D1504">
        <v>2021</v>
      </c>
      <c r="E1504">
        <v>979.29998779296875</v>
      </c>
      <c r="F1504">
        <v>26.43</v>
      </c>
      <c r="G1504" t="s">
        <v>465</v>
      </c>
      <c r="H1504">
        <v>675</v>
      </c>
      <c r="I1504">
        <v>411.85000610351563</v>
      </c>
      <c r="L1504" t="s">
        <v>469</v>
      </c>
      <c r="M1504">
        <v>25.539160045402951</v>
      </c>
      <c r="N1504">
        <v>15.58267143789314</v>
      </c>
      <c r="O1504">
        <v>949.95</v>
      </c>
      <c r="P1504">
        <v>1593.8</v>
      </c>
      <c r="Q1504">
        <v>614.25</v>
      </c>
      <c r="R1504" s="2" t="s">
        <v>467</v>
      </c>
      <c r="S1504">
        <v>949.95</v>
      </c>
      <c r="T1504" t="s">
        <v>468</v>
      </c>
    </row>
    <row r="1505" spans="1:20" x14ac:dyDescent="0.25">
      <c r="A1505">
        <v>219</v>
      </c>
      <c r="B1505">
        <v>512573</v>
      </c>
      <c r="C1505" t="s">
        <v>279</v>
      </c>
      <c r="D1505">
        <v>2022</v>
      </c>
      <c r="E1505">
        <v>979.29998779296875</v>
      </c>
      <c r="F1505">
        <v>16.260000000000002</v>
      </c>
      <c r="G1505" t="s">
        <v>465</v>
      </c>
      <c r="H1505">
        <v>638</v>
      </c>
      <c r="I1505">
        <v>364.25</v>
      </c>
      <c r="L1505" t="s">
        <v>469</v>
      </c>
      <c r="M1505">
        <v>39.237392373923733</v>
      </c>
      <c r="N1505">
        <v>22.401599015990161</v>
      </c>
      <c r="O1505">
        <v>949.95</v>
      </c>
      <c r="P1505">
        <v>1593.8</v>
      </c>
      <c r="Q1505">
        <v>614.25</v>
      </c>
      <c r="R1505" s="2" t="s">
        <v>467</v>
      </c>
      <c r="S1505">
        <v>949.95</v>
      </c>
      <c r="T1505" t="s">
        <v>468</v>
      </c>
    </row>
    <row r="1506" spans="1:20" x14ac:dyDescent="0.25">
      <c r="A1506">
        <v>219</v>
      </c>
      <c r="B1506">
        <v>512573</v>
      </c>
      <c r="C1506" t="s">
        <v>279</v>
      </c>
      <c r="D1506">
        <v>2023</v>
      </c>
      <c r="E1506">
        <v>979.29998779296875</v>
      </c>
      <c r="F1506">
        <v>20.45</v>
      </c>
      <c r="G1506" t="s">
        <v>465</v>
      </c>
      <c r="H1506">
        <v>487.85000610351563</v>
      </c>
      <c r="I1506">
        <v>321.14999389648438</v>
      </c>
      <c r="L1506" t="s">
        <v>469</v>
      </c>
      <c r="M1506">
        <v>23.855746019731821</v>
      </c>
      <c r="N1506">
        <v>15.704156180757179</v>
      </c>
      <c r="O1506">
        <v>949.95</v>
      </c>
      <c r="P1506">
        <v>1593.8</v>
      </c>
      <c r="Q1506">
        <v>614.25</v>
      </c>
      <c r="R1506" s="2" t="s">
        <v>467</v>
      </c>
      <c r="S1506">
        <v>949.95</v>
      </c>
      <c r="T1506" t="s">
        <v>468</v>
      </c>
    </row>
    <row r="1507" spans="1:20" x14ac:dyDescent="0.25">
      <c r="A1507">
        <v>219</v>
      </c>
      <c r="B1507">
        <v>512573</v>
      </c>
      <c r="C1507" t="s">
        <v>279</v>
      </c>
      <c r="D1507">
        <v>2024</v>
      </c>
      <c r="E1507">
        <v>979.29998779296875</v>
      </c>
      <c r="F1507">
        <v>26.21</v>
      </c>
      <c r="G1507" t="s">
        <v>465</v>
      </c>
      <c r="H1507">
        <v>791.0999755859375</v>
      </c>
      <c r="I1507">
        <v>424.29998779296881</v>
      </c>
      <c r="L1507" t="s">
        <v>469</v>
      </c>
      <c r="M1507">
        <v>30.183135276075451</v>
      </c>
      <c r="N1507">
        <v>16.188477214535251</v>
      </c>
      <c r="O1507">
        <v>949.95</v>
      </c>
      <c r="P1507">
        <v>1593.8</v>
      </c>
      <c r="Q1507">
        <v>614.25</v>
      </c>
      <c r="R1507" s="2" t="s">
        <v>467</v>
      </c>
      <c r="S1507">
        <v>949.95</v>
      </c>
      <c r="T1507" t="s">
        <v>468</v>
      </c>
    </row>
    <row r="1508" spans="1:20" x14ac:dyDescent="0.25">
      <c r="A1508">
        <v>219</v>
      </c>
      <c r="B1508">
        <v>512573</v>
      </c>
      <c r="C1508" t="s">
        <v>279</v>
      </c>
      <c r="D1508">
        <v>2025</v>
      </c>
      <c r="E1508">
        <v>979.29998779296875</v>
      </c>
      <c r="F1508">
        <v>38.81</v>
      </c>
      <c r="G1508" t="s">
        <v>465</v>
      </c>
      <c r="H1508">
        <v>965</v>
      </c>
      <c r="I1508">
        <v>572.04998779296875</v>
      </c>
      <c r="L1508" t="s">
        <v>469</v>
      </c>
      <c r="M1508">
        <v>24.86472558618912</v>
      </c>
      <c r="N1508">
        <v>14.73975747984975</v>
      </c>
      <c r="O1508">
        <v>949.95</v>
      </c>
      <c r="P1508">
        <v>1593.8</v>
      </c>
      <c r="Q1508">
        <v>614.25</v>
      </c>
      <c r="R1508" s="2" t="s">
        <v>467</v>
      </c>
      <c r="S1508">
        <v>949.95</v>
      </c>
      <c r="T1508" t="s">
        <v>468</v>
      </c>
    </row>
    <row r="1509" spans="1:20" x14ac:dyDescent="0.25">
      <c r="A1509">
        <v>219</v>
      </c>
      <c r="B1509">
        <v>512573</v>
      </c>
      <c r="C1509" t="s">
        <v>279</v>
      </c>
      <c r="D1509">
        <v>2026</v>
      </c>
      <c r="E1509">
        <v>979.29998779296875</v>
      </c>
      <c r="F1509">
        <v>44.48</v>
      </c>
      <c r="G1509" t="s">
        <v>465</v>
      </c>
      <c r="H1509">
        <v>1592.300048828125</v>
      </c>
      <c r="I1509">
        <v>739.1500244140625</v>
      </c>
      <c r="L1509" t="s">
        <v>469</v>
      </c>
      <c r="M1509">
        <v>35.798112608545978</v>
      </c>
      <c r="N1509">
        <v>16.617581484129101</v>
      </c>
      <c r="O1509">
        <v>949.95</v>
      </c>
      <c r="P1509">
        <v>1593.8</v>
      </c>
      <c r="Q1509">
        <v>614.25</v>
      </c>
      <c r="R1509" s="2" t="s">
        <v>467</v>
      </c>
      <c r="S1509">
        <v>949.95</v>
      </c>
      <c r="T1509" t="s">
        <v>468</v>
      </c>
    </row>
    <row r="1510" spans="1:20" x14ac:dyDescent="0.25">
      <c r="A1510">
        <v>220</v>
      </c>
      <c r="B1510">
        <v>512599</v>
      </c>
      <c r="C1510" t="s">
        <v>281</v>
      </c>
      <c r="D1510">
        <v>2015</v>
      </c>
      <c r="E1510">
        <v>3036.5</v>
      </c>
      <c r="F1510">
        <v>15.81</v>
      </c>
      <c r="G1510" t="s">
        <v>465</v>
      </c>
      <c r="H1510">
        <v>322.31503295898438</v>
      </c>
      <c r="I1510">
        <v>36.960285186767578</v>
      </c>
      <c r="L1510" t="s">
        <v>469</v>
      </c>
      <c r="M1510">
        <v>20.386782603351321</v>
      </c>
      <c r="N1510">
        <v>2.3377789491946599</v>
      </c>
      <c r="O1510">
        <v>3003.5</v>
      </c>
      <c r="P1510">
        <v>3245</v>
      </c>
      <c r="Q1510">
        <v>1753.45</v>
      </c>
      <c r="R1510" s="2" t="s">
        <v>467</v>
      </c>
      <c r="S1510">
        <v>3003.5</v>
      </c>
      <c r="T1510" t="s">
        <v>468</v>
      </c>
    </row>
    <row r="1511" spans="1:20" x14ac:dyDescent="0.25">
      <c r="A1511">
        <v>220</v>
      </c>
      <c r="B1511">
        <v>512599</v>
      </c>
      <c r="C1511" t="s">
        <v>281</v>
      </c>
      <c r="D1511">
        <v>2016</v>
      </c>
      <c r="E1511">
        <v>3036.5</v>
      </c>
      <c r="F1511">
        <v>8.2100000000000009</v>
      </c>
      <c r="G1511" t="s">
        <v>465</v>
      </c>
      <c r="H1511">
        <v>51.637760162353523</v>
      </c>
      <c r="I1511">
        <v>32.750686645507813</v>
      </c>
      <c r="L1511" t="s">
        <v>469</v>
      </c>
      <c r="M1511">
        <v>6.2896175593609636</v>
      </c>
      <c r="N1511">
        <v>3.9891213940935208</v>
      </c>
      <c r="O1511">
        <v>3003.5</v>
      </c>
      <c r="P1511">
        <v>3245</v>
      </c>
      <c r="Q1511">
        <v>1753.45</v>
      </c>
      <c r="R1511" s="2" t="s">
        <v>467</v>
      </c>
      <c r="S1511">
        <v>3003.5</v>
      </c>
      <c r="T1511" t="s">
        <v>468</v>
      </c>
    </row>
    <row r="1512" spans="1:20" x14ac:dyDescent="0.25">
      <c r="A1512">
        <v>220</v>
      </c>
      <c r="B1512">
        <v>512599</v>
      </c>
      <c r="C1512" t="s">
        <v>281</v>
      </c>
      <c r="D1512">
        <v>2017</v>
      </c>
      <c r="E1512">
        <v>3036.5</v>
      </c>
      <c r="F1512">
        <v>8.02</v>
      </c>
      <c r="G1512" t="s">
        <v>465</v>
      </c>
      <c r="H1512">
        <v>94.772125244140625</v>
      </c>
      <c r="I1512">
        <v>42.601150512695313</v>
      </c>
      <c r="L1512" t="s">
        <v>469</v>
      </c>
      <c r="M1512">
        <v>11.816973222461421</v>
      </c>
      <c r="N1512">
        <v>5.3118641537026576</v>
      </c>
      <c r="O1512">
        <v>3003.5</v>
      </c>
      <c r="P1512">
        <v>3245</v>
      </c>
      <c r="Q1512">
        <v>1753.45</v>
      </c>
      <c r="R1512" s="2" t="s">
        <v>467</v>
      </c>
      <c r="S1512">
        <v>3003.5</v>
      </c>
      <c r="T1512" t="s">
        <v>468</v>
      </c>
    </row>
    <row r="1513" spans="1:20" x14ac:dyDescent="0.25">
      <c r="A1513">
        <v>220</v>
      </c>
      <c r="B1513">
        <v>512599</v>
      </c>
      <c r="C1513" t="s">
        <v>281</v>
      </c>
      <c r="D1513">
        <v>2018</v>
      </c>
      <c r="E1513">
        <v>3036.5</v>
      </c>
      <c r="F1513">
        <v>6.15</v>
      </c>
      <c r="G1513" t="s">
        <v>465</v>
      </c>
      <c r="H1513">
        <v>180</v>
      </c>
      <c r="I1513">
        <v>65.953933715820313</v>
      </c>
      <c r="L1513" t="s">
        <v>469</v>
      </c>
      <c r="M1513">
        <v>29.26829268292683</v>
      </c>
      <c r="N1513">
        <v>10.724216864361029</v>
      </c>
      <c r="O1513">
        <v>3003.5</v>
      </c>
      <c r="P1513">
        <v>3245</v>
      </c>
      <c r="Q1513">
        <v>1753.45</v>
      </c>
      <c r="R1513" s="2" t="s">
        <v>467</v>
      </c>
      <c r="S1513">
        <v>3003.5</v>
      </c>
      <c r="T1513" t="s">
        <v>468</v>
      </c>
    </row>
    <row r="1514" spans="1:20" x14ac:dyDescent="0.25">
      <c r="A1514">
        <v>220</v>
      </c>
      <c r="B1514">
        <v>512599</v>
      </c>
      <c r="C1514" t="s">
        <v>281</v>
      </c>
      <c r="D1514">
        <v>2019</v>
      </c>
      <c r="E1514">
        <v>3036.5</v>
      </c>
      <c r="F1514">
        <v>5.82</v>
      </c>
      <c r="G1514" t="s">
        <v>465</v>
      </c>
      <c r="H1514">
        <v>221.3999938964844</v>
      </c>
      <c r="I1514">
        <v>113</v>
      </c>
      <c r="L1514" t="s">
        <v>469</v>
      </c>
      <c r="M1514">
        <v>38.041236064688043</v>
      </c>
      <c r="N1514">
        <v>19.415807560137459</v>
      </c>
      <c r="O1514">
        <v>3003.5</v>
      </c>
      <c r="P1514">
        <v>3245</v>
      </c>
      <c r="Q1514">
        <v>1753.45</v>
      </c>
      <c r="R1514" s="2" t="s">
        <v>467</v>
      </c>
      <c r="S1514">
        <v>3003.5</v>
      </c>
      <c r="T1514" t="s">
        <v>468</v>
      </c>
    </row>
    <row r="1515" spans="1:20" x14ac:dyDescent="0.25">
      <c r="A1515">
        <v>220</v>
      </c>
      <c r="B1515">
        <v>512599</v>
      </c>
      <c r="C1515" t="s">
        <v>281</v>
      </c>
      <c r="D1515">
        <v>2020</v>
      </c>
      <c r="E1515">
        <v>3036.5</v>
      </c>
      <c r="F1515">
        <v>9.24</v>
      </c>
      <c r="G1515" t="s">
        <v>465</v>
      </c>
      <c r="H1515">
        <v>507.04998779296881</v>
      </c>
      <c r="I1515">
        <v>116.25</v>
      </c>
      <c r="L1515" t="s">
        <v>469</v>
      </c>
      <c r="M1515">
        <v>54.875539804433849</v>
      </c>
      <c r="N1515">
        <v>12.58116883116883</v>
      </c>
      <c r="O1515">
        <v>3003.5</v>
      </c>
      <c r="P1515">
        <v>3245</v>
      </c>
      <c r="Q1515">
        <v>1753.45</v>
      </c>
      <c r="R1515" s="2" t="s">
        <v>467</v>
      </c>
      <c r="S1515">
        <v>3003.5</v>
      </c>
      <c r="T1515" t="s">
        <v>468</v>
      </c>
    </row>
    <row r="1516" spans="1:20" x14ac:dyDescent="0.25">
      <c r="A1516">
        <v>220</v>
      </c>
      <c r="B1516">
        <v>512599</v>
      </c>
      <c r="C1516" t="s">
        <v>281</v>
      </c>
      <c r="D1516">
        <v>2021</v>
      </c>
      <c r="E1516">
        <v>3036.5</v>
      </c>
      <c r="F1516">
        <v>7.49</v>
      </c>
      <c r="G1516" t="s">
        <v>465</v>
      </c>
      <c r="H1516">
        <v>1788</v>
      </c>
      <c r="I1516">
        <v>484.70001220703119</v>
      </c>
      <c r="L1516" t="s">
        <v>469</v>
      </c>
      <c r="M1516">
        <v>238.71829105473961</v>
      </c>
      <c r="N1516">
        <v>64.712952230578267</v>
      </c>
      <c r="O1516">
        <v>3003.5</v>
      </c>
      <c r="P1516">
        <v>3245</v>
      </c>
      <c r="Q1516">
        <v>1753.45</v>
      </c>
      <c r="R1516" s="2" t="s">
        <v>467</v>
      </c>
      <c r="S1516">
        <v>3003.5</v>
      </c>
      <c r="T1516" t="s">
        <v>468</v>
      </c>
    </row>
    <row r="1517" spans="1:20" x14ac:dyDescent="0.25">
      <c r="A1517">
        <v>220</v>
      </c>
      <c r="B1517">
        <v>512599</v>
      </c>
      <c r="C1517" t="s">
        <v>281</v>
      </c>
      <c r="D1517">
        <v>2022</v>
      </c>
      <c r="E1517">
        <v>3036.5</v>
      </c>
      <c r="F1517">
        <v>6.3</v>
      </c>
      <c r="G1517" t="s">
        <v>465</v>
      </c>
      <c r="H1517">
        <v>4189.5498046875</v>
      </c>
      <c r="I1517">
        <v>1529.550048828125</v>
      </c>
      <c r="L1517" t="s">
        <v>469</v>
      </c>
      <c r="M1517">
        <v>665.00790550595241</v>
      </c>
      <c r="N1517">
        <v>242.7857220362103</v>
      </c>
      <c r="O1517">
        <v>3003.5</v>
      </c>
      <c r="P1517">
        <v>3245</v>
      </c>
      <c r="Q1517">
        <v>1753.45</v>
      </c>
      <c r="R1517" s="2" t="s">
        <v>467</v>
      </c>
      <c r="S1517">
        <v>3003.5</v>
      </c>
      <c r="T1517" t="s">
        <v>468</v>
      </c>
    </row>
    <row r="1518" spans="1:20" x14ac:dyDescent="0.25">
      <c r="A1518">
        <v>220</v>
      </c>
      <c r="B1518">
        <v>512599</v>
      </c>
      <c r="C1518" t="s">
        <v>281</v>
      </c>
      <c r="D1518">
        <v>2023</v>
      </c>
      <c r="E1518">
        <v>3036.5</v>
      </c>
      <c r="F1518">
        <v>19.3</v>
      </c>
      <c r="G1518" t="s">
        <v>465</v>
      </c>
      <c r="H1518">
        <v>3879</v>
      </c>
      <c r="I1518">
        <v>1017.099975585938</v>
      </c>
      <c r="L1518" t="s">
        <v>469</v>
      </c>
      <c r="M1518">
        <v>200.9844559585492</v>
      </c>
      <c r="N1518">
        <v>52.699480600307673</v>
      </c>
      <c r="O1518">
        <v>3003.5</v>
      </c>
      <c r="P1518">
        <v>3245</v>
      </c>
      <c r="Q1518">
        <v>1753.45</v>
      </c>
      <c r="R1518" s="2" t="s">
        <v>467</v>
      </c>
      <c r="S1518">
        <v>3003.5</v>
      </c>
      <c r="T1518" t="s">
        <v>468</v>
      </c>
    </row>
    <row r="1519" spans="1:20" x14ac:dyDescent="0.25">
      <c r="A1519">
        <v>220</v>
      </c>
      <c r="B1519">
        <v>512599</v>
      </c>
      <c r="C1519" t="s">
        <v>281</v>
      </c>
      <c r="D1519">
        <v>2024</v>
      </c>
      <c r="E1519">
        <v>3036.5</v>
      </c>
      <c r="F1519">
        <v>25.37</v>
      </c>
      <c r="G1519" t="s">
        <v>465</v>
      </c>
      <c r="H1519">
        <v>3743</v>
      </c>
      <c r="I1519">
        <v>2030</v>
      </c>
      <c r="L1519" t="s">
        <v>469</v>
      </c>
      <c r="M1519">
        <v>147.53646038628301</v>
      </c>
      <c r="N1519">
        <v>80.015766653527791</v>
      </c>
      <c r="O1519">
        <v>3003.5</v>
      </c>
      <c r="P1519">
        <v>3245</v>
      </c>
      <c r="Q1519">
        <v>1753.45</v>
      </c>
      <c r="R1519" s="2" t="s">
        <v>467</v>
      </c>
      <c r="S1519">
        <v>3003.5</v>
      </c>
      <c r="T1519" t="s">
        <v>468</v>
      </c>
    </row>
    <row r="1520" spans="1:20" x14ac:dyDescent="0.25">
      <c r="A1520">
        <v>220</v>
      </c>
      <c r="B1520">
        <v>512599</v>
      </c>
      <c r="C1520" t="s">
        <v>281</v>
      </c>
      <c r="D1520">
        <v>2025</v>
      </c>
      <c r="E1520">
        <v>3036.5</v>
      </c>
      <c r="F1520">
        <v>55.02</v>
      </c>
      <c r="G1520" t="s">
        <v>465</v>
      </c>
      <c r="H1520">
        <v>2695</v>
      </c>
      <c r="I1520">
        <v>2026.900024414062</v>
      </c>
      <c r="L1520" t="s">
        <v>469</v>
      </c>
      <c r="M1520">
        <v>48.982188295165393</v>
      </c>
      <c r="N1520">
        <v>36.839331596038932</v>
      </c>
      <c r="O1520">
        <v>3003.5</v>
      </c>
      <c r="P1520">
        <v>3245</v>
      </c>
      <c r="Q1520">
        <v>1753.45</v>
      </c>
      <c r="R1520" s="2" t="s">
        <v>467</v>
      </c>
      <c r="S1520">
        <v>3003.5</v>
      </c>
      <c r="T1520" t="s">
        <v>468</v>
      </c>
    </row>
    <row r="1521" spans="1:20" x14ac:dyDescent="0.25">
      <c r="A1521">
        <v>220</v>
      </c>
      <c r="B1521">
        <v>512599</v>
      </c>
      <c r="C1521" t="s">
        <v>281</v>
      </c>
      <c r="D1521">
        <v>2026</v>
      </c>
      <c r="E1521">
        <v>3036.5</v>
      </c>
      <c r="F1521">
        <v>72.31</v>
      </c>
      <c r="G1521" t="s">
        <v>465</v>
      </c>
      <c r="H1521">
        <v>3245</v>
      </c>
      <c r="I1521">
        <v>1753.449951171875</v>
      </c>
      <c r="L1521" t="s">
        <v>469</v>
      </c>
      <c r="M1521">
        <v>44.876227354446137</v>
      </c>
      <c r="N1521">
        <v>24.24906584389262</v>
      </c>
      <c r="O1521">
        <v>3003.5</v>
      </c>
      <c r="P1521">
        <v>3245</v>
      </c>
      <c r="Q1521">
        <v>1753.45</v>
      </c>
      <c r="R1521" s="2" t="s">
        <v>467</v>
      </c>
      <c r="S1521">
        <v>3003.5</v>
      </c>
      <c r="T1521" t="s">
        <v>468</v>
      </c>
    </row>
    <row r="1522" spans="1:20" x14ac:dyDescent="0.25">
      <c r="A1522">
        <v>222</v>
      </c>
      <c r="B1522">
        <v>512634</v>
      </c>
      <c r="C1522" t="s">
        <v>283</v>
      </c>
      <c r="D1522">
        <v>2015</v>
      </c>
      <c r="E1522">
        <v>162.25</v>
      </c>
      <c r="F1522">
        <v>2.34</v>
      </c>
      <c r="G1522" t="s">
        <v>465</v>
      </c>
      <c r="H1522">
        <v>75</v>
      </c>
      <c r="I1522">
        <v>33.5</v>
      </c>
      <c r="L1522" t="s">
        <v>469</v>
      </c>
      <c r="M1522">
        <v>32.051282051282051</v>
      </c>
      <c r="N1522">
        <v>14.31623931623932</v>
      </c>
      <c r="O1522">
        <v>143.9</v>
      </c>
      <c r="P1522">
        <v>180.7</v>
      </c>
      <c r="Q1522">
        <v>102</v>
      </c>
      <c r="R1522" s="3" t="s">
        <v>470</v>
      </c>
      <c r="S1522">
        <v>143.9</v>
      </c>
      <c r="T1522" t="s">
        <v>468</v>
      </c>
    </row>
    <row r="1523" spans="1:20" x14ac:dyDescent="0.25">
      <c r="A1523">
        <v>222</v>
      </c>
      <c r="B1523">
        <v>512634</v>
      </c>
      <c r="C1523" t="s">
        <v>283</v>
      </c>
      <c r="D1523">
        <v>2016</v>
      </c>
      <c r="E1523">
        <v>162.25</v>
      </c>
      <c r="G1523" t="s">
        <v>465</v>
      </c>
      <c r="H1523">
        <v>80.849998474121094</v>
      </c>
      <c r="I1523">
        <v>46</v>
      </c>
      <c r="L1523" t="s">
        <v>466</v>
      </c>
      <c r="O1523">
        <v>143.9</v>
      </c>
      <c r="P1523">
        <v>180.7</v>
      </c>
      <c r="Q1523">
        <v>102</v>
      </c>
      <c r="R1523" s="3" t="s">
        <v>470</v>
      </c>
      <c r="S1523">
        <v>143.9</v>
      </c>
      <c r="T1523" t="s">
        <v>468</v>
      </c>
    </row>
    <row r="1524" spans="1:20" x14ac:dyDescent="0.25">
      <c r="A1524">
        <v>222</v>
      </c>
      <c r="B1524">
        <v>512634</v>
      </c>
      <c r="C1524" t="s">
        <v>283</v>
      </c>
      <c r="D1524">
        <v>2017</v>
      </c>
      <c r="E1524">
        <v>162.25</v>
      </c>
      <c r="G1524" t="s">
        <v>465</v>
      </c>
      <c r="H1524">
        <v>94</v>
      </c>
      <c r="I1524">
        <v>56</v>
      </c>
      <c r="L1524" t="s">
        <v>466</v>
      </c>
      <c r="O1524">
        <v>143.9</v>
      </c>
      <c r="P1524">
        <v>180.7</v>
      </c>
      <c r="Q1524">
        <v>102</v>
      </c>
      <c r="R1524" s="3" t="s">
        <v>470</v>
      </c>
      <c r="S1524">
        <v>143.9</v>
      </c>
      <c r="T1524" t="s">
        <v>468</v>
      </c>
    </row>
    <row r="1525" spans="1:20" x14ac:dyDescent="0.25">
      <c r="A1525">
        <v>222</v>
      </c>
      <c r="B1525">
        <v>512634</v>
      </c>
      <c r="C1525" t="s">
        <v>283</v>
      </c>
      <c r="D1525">
        <v>2018</v>
      </c>
      <c r="E1525">
        <v>162.25</v>
      </c>
      <c r="G1525" t="s">
        <v>465</v>
      </c>
      <c r="H1525">
        <v>102</v>
      </c>
      <c r="I1525">
        <v>53.299999237060547</v>
      </c>
      <c r="L1525" t="s">
        <v>466</v>
      </c>
      <c r="O1525">
        <v>143.9</v>
      </c>
      <c r="P1525">
        <v>180.7</v>
      </c>
      <c r="Q1525">
        <v>102</v>
      </c>
      <c r="R1525" s="3" t="s">
        <v>470</v>
      </c>
      <c r="S1525">
        <v>143.9</v>
      </c>
      <c r="T1525" t="s">
        <v>468</v>
      </c>
    </row>
    <row r="1526" spans="1:20" x14ac:dyDescent="0.25">
      <c r="A1526">
        <v>222</v>
      </c>
      <c r="B1526">
        <v>512634</v>
      </c>
      <c r="C1526" t="s">
        <v>283</v>
      </c>
      <c r="D1526">
        <v>2019</v>
      </c>
      <c r="E1526">
        <v>162.25</v>
      </c>
      <c r="G1526" t="s">
        <v>465</v>
      </c>
      <c r="H1526">
        <v>74.949996948242188</v>
      </c>
      <c r="I1526">
        <v>37.200000762939453</v>
      </c>
      <c r="L1526" t="s">
        <v>466</v>
      </c>
      <c r="O1526">
        <v>143.9</v>
      </c>
      <c r="P1526">
        <v>180.7</v>
      </c>
      <c r="Q1526">
        <v>102</v>
      </c>
      <c r="R1526" s="3" t="s">
        <v>470</v>
      </c>
      <c r="S1526">
        <v>143.9</v>
      </c>
      <c r="T1526" t="s">
        <v>468</v>
      </c>
    </row>
    <row r="1527" spans="1:20" x14ac:dyDescent="0.25">
      <c r="A1527">
        <v>222</v>
      </c>
      <c r="B1527">
        <v>512634</v>
      </c>
      <c r="C1527" t="s">
        <v>283</v>
      </c>
      <c r="D1527">
        <v>2020</v>
      </c>
      <c r="E1527">
        <v>162.25</v>
      </c>
      <c r="G1527" t="s">
        <v>465</v>
      </c>
      <c r="H1527">
        <v>54.349998474121087</v>
      </c>
      <c r="I1527">
        <v>28.29999923706055</v>
      </c>
      <c r="L1527" t="s">
        <v>466</v>
      </c>
      <c r="O1527">
        <v>143.9</v>
      </c>
      <c r="P1527">
        <v>180.7</v>
      </c>
      <c r="Q1527">
        <v>102</v>
      </c>
      <c r="R1527" s="3" t="s">
        <v>470</v>
      </c>
      <c r="S1527">
        <v>143.9</v>
      </c>
      <c r="T1527" t="s">
        <v>468</v>
      </c>
    </row>
    <row r="1528" spans="1:20" x14ac:dyDescent="0.25">
      <c r="A1528">
        <v>222</v>
      </c>
      <c r="B1528">
        <v>512634</v>
      </c>
      <c r="C1528" t="s">
        <v>283</v>
      </c>
      <c r="D1528">
        <v>2021</v>
      </c>
      <c r="E1528">
        <v>162.25</v>
      </c>
      <c r="G1528" t="s">
        <v>465</v>
      </c>
      <c r="H1528">
        <v>56.5</v>
      </c>
      <c r="I1528">
        <v>36.299999237060547</v>
      </c>
      <c r="L1528" t="s">
        <v>466</v>
      </c>
      <c r="O1528">
        <v>143.9</v>
      </c>
      <c r="P1528">
        <v>180.7</v>
      </c>
      <c r="Q1528">
        <v>102</v>
      </c>
      <c r="R1528" s="3" t="s">
        <v>470</v>
      </c>
      <c r="S1528">
        <v>143.9</v>
      </c>
      <c r="T1528" t="s">
        <v>468</v>
      </c>
    </row>
    <row r="1529" spans="1:20" x14ac:dyDescent="0.25">
      <c r="A1529">
        <v>222</v>
      </c>
      <c r="B1529">
        <v>512634</v>
      </c>
      <c r="C1529" t="s">
        <v>283</v>
      </c>
      <c r="D1529">
        <v>2022</v>
      </c>
      <c r="E1529">
        <v>162.25</v>
      </c>
      <c r="G1529" t="s">
        <v>465</v>
      </c>
      <c r="H1529">
        <v>82.949996948242188</v>
      </c>
      <c r="I1529">
        <v>40</v>
      </c>
      <c r="L1529" t="s">
        <v>466</v>
      </c>
      <c r="O1529">
        <v>143.9</v>
      </c>
      <c r="P1529">
        <v>180.7</v>
      </c>
      <c r="Q1529">
        <v>102</v>
      </c>
      <c r="R1529" s="3" t="s">
        <v>470</v>
      </c>
      <c r="S1529">
        <v>143.9</v>
      </c>
      <c r="T1529" t="s">
        <v>468</v>
      </c>
    </row>
    <row r="1530" spans="1:20" x14ac:dyDescent="0.25">
      <c r="A1530">
        <v>222</v>
      </c>
      <c r="B1530">
        <v>512634</v>
      </c>
      <c r="C1530" t="s">
        <v>283</v>
      </c>
      <c r="D1530">
        <v>2023</v>
      </c>
      <c r="E1530">
        <v>162.25</v>
      </c>
      <c r="G1530" t="s">
        <v>465</v>
      </c>
      <c r="H1530">
        <v>134.25</v>
      </c>
      <c r="I1530">
        <v>51</v>
      </c>
      <c r="L1530" t="s">
        <v>466</v>
      </c>
      <c r="O1530">
        <v>143.9</v>
      </c>
      <c r="P1530">
        <v>180.7</v>
      </c>
      <c r="Q1530">
        <v>102</v>
      </c>
      <c r="R1530" s="3" t="s">
        <v>470</v>
      </c>
      <c r="S1530">
        <v>143.9</v>
      </c>
      <c r="T1530" t="s">
        <v>468</v>
      </c>
    </row>
    <row r="1531" spans="1:20" x14ac:dyDescent="0.25">
      <c r="A1531">
        <v>222</v>
      </c>
      <c r="B1531">
        <v>512634</v>
      </c>
      <c r="C1531" t="s">
        <v>283</v>
      </c>
      <c r="D1531">
        <v>2024</v>
      </c>
      <c r="E1531">
        <v>162.25</v>
      </c>
      <c r="G1531" t="s">
        <v>465</v>
      </c>
      <c r="H1531">
        <v>180.69999694824219</v>
      </c>
      <c r="I1531">
        <v>102</v>
      </c>
      <c r="L1531" t="s">
        <v>466</v>
      </c>
      <c r="O1531">
        <v>143.9</v>
      </c>
      <c r="P1531">
        <v>180.7</v>
      </c>
      <c r="Q1531">
        <v>102</v>
      </c>
      <c r="R1531" s="3" t="s">
        <v>470</v>
      </c>
      <c r="S1531">
        <v>143.9</v>
      </c>
      <c r="T1531" t="s">
        <v>468</v>
      </c>
    </row>
    <row r="1532" spans="1:20" x14ac:dyDescent="0.25">
      <c r="A1532">
        <v>222</v>
      </c>
      <c r="B1532">
        <v>512634</v>
      </c>
      <c r="C1532" t="s">
        <v>283</v>
      </c>
      <c r="D1532">
        <v>2025</v>
      </c>
      <c r="E1532">
        <v>162.25</v>
      </c>
      <c r="G1532" t="s">
        <v>465</v>
      </c>
      <c r="H1532">
        <v>172</v>
      </c>
      <c r="I1532">
        <v>118</v>
      </c>
      <c r="L1532" t="s">
        <v>466</v>
      </c>
      <c r="O1532">
        <v>143.9</v>
      </c>
      <c r="P1532">
        <v>180.7</v>
      </c>
      <c r="Q1532">
        <v>102</v>
      </c>
      <c r="R1532" s="3" t="s">
        <v>470</v>
      </c>
      <c r="S1532">
        <v>143.9</v>
      </c>
      <c r="T1532" t="s">
        <v>468</v>
      </c>
    </row>
    <row r="1533" spans="1:20" x14ac:dyDescent="0.25">
      <c r="A1533">
        <v>222</v>
      </c>
      <c r="B1533">
        <v>512634</v>
      </c>
      <c r="C1533" t="s">
        <v>283</v>
      </c>
      <c r="D1533">
        <v>2026</v>
      </c>
      <c r="E1533">
        <v>162.25</v>
      </c>
      <c r="G1533" t="s">
        <v>465</v>
      </c>
      <c r="H1533">
        <v>189</v>
      </c>
      <c r="I1533">
        <v>133</v>
      </c>
      <c r="L1533" t="s">
        <v>466</v>
      </c>
      <c r="O1533">
        <v>143.9</v>
      </c>
      <c r="P1533">
        <v>180.7</v>
      </c>
      <c r="Q1533">
        <v>102</v>
      </c>
      <c r="R1533" s="3" t="s">
        <v>470</v>
      </c>
      <c r="S1533">
        <v>143.9</v>
      </c>
      <c r="T1533" t="s">
        <v>468</v>
      </c>
    </row>
    <row r="1534" spans="1:20" x14ac:dyDescent="0.25">
      <c r="A1534">
        <v>237</v>
      </c>
      <c r="B1534">
        <v>513119</v>
      </c>
      <c r="C1534" t="s">
        <v>285</v>
      </c>
      <c r="D1534">
        <v>2015</v>
      </c>
      <c r="E1534">
        <v>627.5999755859375</v>
      </c>
      <c r="F1534">
        <v>0.46</v>
      </c>
      <c r="G1534" t="s">
        <v>465</v>
      </c>
      <c r="H1534">
        <v>41</v>
      </c>
      <c r="I1534">
        <v>13.64999961853027</v>
      </c>
      <c r="L1534" t="s">
        <v>484</v>
      </c>
      <c r="M1534">
        <v>89.130434782608688</v>
      </c>
      <c r="N1534">
        <v>29.673912214196239</v>
      </c>
      <c r="O1534">
        <v>96.15</v>
      </c>
      <c r="P1534">
        <v>312.2</v>
      </c>
      <c r="Q1534">
        <v>51</v>
      </c>
      <c r="R1534" s="3" t="s">
        <v>470</v>
      </c>
      <c r="S1534">
        <v>96.15</v>
      </c>
      <c r="T1534" t="s">
        <v>468</v>
      </c>
    </row>
    <row r="1535" spans="1:20" x14ac:dyDescent="0.25">
      <c r="A1535">
        <v>237</v>
      </c>
      <c r="B1535">
        <v>513119</v>
      </c>
      <c r="C1535" t="s">
        <v>285</v>
      </c>
      <c r="D1535">
        <v>2016</v>
      </c>
      <c r="E1535">
        <v>627.5999755859375</v>
      </c>
      <c r="F1535">
        <v>-0.63</v>
      </c>
      <c r="G1535" t="s">
        <v>465</v>
      </c>
      <c r="H1535">
        <v>33.75</v>
      </c>
      <c r="I1535">
        <v>13.69999980926514</v>
      </c>
      <c r="L1535" t="s">
        <v>471</v>
      </c>
      <c r="M1535">
        <v>-53.571428571428569</v>
      </c>
      <c r="N1535">
        <v>-21.746031443278</v>
      </c>
      <c r="O1535">
        <v>96.15</v>
      </c>
      <c r="P1535">
        <v>312.2</v>
      </c>
      <c r="Q1535">
        <v>51</v>
      </c>
      <c r="R1535" s="3" t="s">
        <v>470</v>
      </c>
      <c r="S1535">
        <v>96.15</v>
      </c>
      <c r="T1535" t="s">
        <v>468</v>
      </c>
    </row>
    <row r="1536" spans="1:20" x14ac:dyDescent="0.25">
      <c r="A1536">
        <v>237</v>
      </c>
      <c r="B1536">
        <v>513119</v>
      </c>
      <c r="C1536" t="s">
        <v>285</v>
      </c>
      <c r="D1536">
        <v>2017</v>
      </c>
      <c r="E1536">
        <v>627.5999755859375</v>
      </c>
      <c r="F1536">
        <v>-0.34</v>
      </c>
      <c r="G1536" t="s">
        <v>465</v>
      </c>
      <c r="H1536">
        <v>25</v>
      </c>
      <c r="I1536">
        <v>12.55000019073486</v>
      </c>
      <c r="L1536" t="s">
        <v>471</v>
      </c>
      <c r="M1536">
        <v>-73.529411764705884</v>
      </c>
      <c r="N1536">
        <v>-36.911765266867228</v>
      </c>
      <c r="O1536">
        <v>96.15</v>
      </c>
      <c r="P1536">
        <v>312.2</v>
      </c>
      <c r="Q1536">
        <v>51</v>
      </c>
      <c r="R1536" s="3" t="s">
        <v>470</v>
      </c>
      <c r="S1536">
        <v>96.15</v>
      </c>
      <c r="T1536" t="s">
        <v>468</v>
      </c>
    </row>
    <row r="1537" spans="1:20" x14ac:dyDescent="0.25">
      <c r="A1537">
        <v>237</v>
      </c>
      <c r="B1537">
        <v>513119</v>
      </c>
      <c r="C1537" t="s">
        <v>285</v>
      </c>
      <c r="D1537">
        <v>2018</v>
      </c>
      <c r="E1537">
        <v>627.5999755859375</v>
      </c>
      <c r="F1537">
        <v>-0.17</v>
      </c>
      <c r="G1537" t="s">
        <v>465</v>
      </c>
      <c r="H1537">
        <v>27.04999923706055</v>
      </c>
      <c r="I1537">
        <v>19.95000076293945</v>
      </c>
      <c r="L1537" t="s">
        <v>471</v>
      </c>
      <c r="M1537">
        <v>-159.11764257094441</v>
      </c>
      <c r="N1537">
        <v>-117.3529456643497</v>
      </c>
      <c r="O1537">
        <v>96.15</v>
      </c>
      <c r="P1537">
        <v>312.2</v>
      </c>
      <c r="Q1537">
        <v>51</v>
      </c>
      <c r="R1537" s="3" t="s">
        <v>470</v>
      </c>
      <c r="S1537">
        <v>96.15</v>
      </c>
      <c r="T1537" t="s">
        <v>468</v>
      </c>
    </row>
    <row r="1538" spans="1:20" x14ac:dyDescent="0.25">
      <c r="A1538">
        <v>237</v>
      </c>
      <c r="B1538">
        <v>513119</v>
      </c>
      <c r="C1538" t="s">
        <v>285</v>
      </c>
      <c r="D1538">
        <v>2019</v>
      </c>
      <c r="E1538">
        <v>627.5999755859375</v>
      </c>
      <c r="F1538">
        <v>0.37</v>
      </c>
      <c r="G1538" t="s">
        <v>465</v>
      </c>
      <c r="H1538">
        <v>23.20000076293945</v>
      </c>
      <c r="I1538">
        <v>7.2699999809265137</v>
      </c>
      <c r="L1538" t="s">
        <v>484</v>
      </c>
      <c r="M1538">
        <v>62.702704764701217</v>
      </c>
      <c r="N1538">
        <v>19.648648597098681</v>
      </c>
      <c r="O1538">
        <v>96.15</v>
      </c>
      <c r="P1538">
        <v>312.2</v>
      </c>
      <c r="Q1538">
        <v>51</v>
      </c>
      <c r="R1538" s="3" t="s">
        <v>470</v>
      </c>
      <c r="S1538">
        <v>96.15</v>
      </c>
      <c r="T1538" t="s">
        <v>468</v>
      </c>
    </row>
    <row r="1539" spans="1:20" x14ac:dyDescent="0.25">
      <c r="A1539">
        <v>237</v>
      </c>
      <c r="B1539">
        <v>513119</v>
      </c>
      <c r="C1539" t="s">
        <v>285</v>
      </c>
      <c r="D1539">
        <v>2020</v>
      </c>
      <c r="E1539">
        <v>627.5999755859375</v>
      </c>
      <c r="F1539">
        <v>-0.74</v>
      </c>
      <c r="G1539" t="s">
        <v>465</v>
      </c>
      <c r="H1539">
        <v>7.5900001525878906</v>
      </c>
      <c r="I1539">
        <v>3.279999971389771</v>
      </c>
      <c r="L1539" t="s">
        <v>471</v>
      </c>
      <c r="M1539">
        <v>-10.25675696295661</v>
      </c>
      <c r="N1539">
        <v>-4.432432393769961</v>
      </c>
      <c r="O1539">
        <v>96.15</v>
      </c>
      <c r="P1539">
        <v>312.2</v>
      </c>
      <c r="Q1539">
        <v>51</v>
      </c>
      <c r="R1539" s="3" t="s">
        <v>470</v>
      </c>
      <c r="S1539">
        <v>96.15</v>
      </c>
      <c r="T1539" t="s">
        <v>468</v>
      </c>
    </row>
    <row r="1540" spans="1:20" x14ac:dyDescent="0.25">
      <c r="A1540">
        <v>237</v>
      </c>
      <c r="B1540">
        <v>513119</v>
      </c>
      <c r="C1540" t="s">
        <v>285</v>
      </c>
      <c r="D1540">
        <v>2021</v>
      </c>
      <c r="E1540">
        <v>627.5999755859375</v>
      </c>
      <c r="F1540">
        <v>-1.17</v>
      </c>
      <c r="G1540" t="s">
        <v>465</v>
      </c>
      <c r="H1540">
        <v>13</v>
      </c>
      <c r="I1540">
        <v>5.380000114440918</v>
      </c>
      <c r="L1540" t="s">
        <v>471</v>
      </c>
      <c r="M1540">
        <v>-11.111111111111111</v>
      </c>
      <c r="N1540">
        <v>-4.5982906961033487</v>
      </c>
      <c r="O1540">
        <v>96.15</v>
      </c>
      <c r="P1540">
        <v>312.2</v>
      </c>
      <c r="Q1540">
        <v>51</v>
      </c>
      <c r="R1540" s="3" t="s">
        <v>470</v>
      </c>
      <c r="S1540">
        <v>96.15</v>
      </c>
      <c r="T1540" t="s">
        <v>468</v>
      </c>
    </row>
    <row r="1541" spans="1:20" x14ac:dyDescent="0.25">
      <c r="A1541">
        <v>237</v>
      </c>
      <c r="B1541">
        <v>513119</v>
      </c>
      <c r="C1541" t="s">
        <v>285</v>
      </c>
      <c r="D1541">
        <v>2022</v>
      </c>
      <c r="E1541">
        <v>627.5999755859375</v>
      </c>
      <c r="F1541">
        <v>0.71</v>
      </c>
      <c r="G1541" t="s">
        <v>465</v>
      </c>
      <c r="H1541">
        <v>153.5</v>
      </c>
      <c r="I1541">
        <v>10.659999847412109</v>
      </c>
      <c r="L1541" t="s">
        <v>469</v>
      </c>
      <c r="M1541">
        <v>216.19718309859161</v>
      </c>
      <c r="N1541">
        <v>15.014084292129731</v>
      </c>
      <c r="O1541">
        <v>96.15</v>
      </c>
      <c r="P1541">
        <v>312.2</v>
      </c>
      <c r="Q1541">
        <v>51</v>
      </c>
      <c r="R1541" s="3" t="s">
        <v>470</v>
      </c>
      <c r="S1541">
        <v>96.15</v>
      </c>
      <c r="T1541" t="s">
        <v>468</v>
      </c>
    </row>
    <row r="1542" spans="1:20" x14ac:dyDescent="0.25">
      <c r="A1542">
        <v>237</v>
      </c>
      <c r="B1542">
        <v>513119</v>
      </c>
      <c r="C1542" t="s">
        <v>285</v>
      </c>
      <c r="D1542">
        <v>2023</v>
      </c>
      <c r="E1542">
        <v>627.5999755859375</v>
      </c>
      <c r="F1542">
        <v>5.97</v>
      </c>
      <c r="G1542" t="s">
        <v>465</v>
      </c>
      <c r="H1542">
        <v>62.549999237060547</v>
      </c>
      <c r="I1542">
        <v>25.659999847412109</v>
      </c>
      <c r="L1542" t="s">
        <v>469</v>
      </c>
      <c r="M1542">
        <v>10.47738680687781</v>
      </c>
      <c r="N1542">
        <v>4.2981574283772384</v>
      </c>
      <c r="O1542">
        <v>96.15</v>
      </c>
      <c r="P1542">
        <v>312.2</v>
      </c>
      <c r="Q1542">
        <v>51</v>
      </c>
      <c r="R1542" s="3" t="s">
        <v>470</v>
      </c>
      <c r="S1542">
        <v>96.15</v>
      </c>
      <c r="T1542" t="s">
        <v>468</v>
      </c>
    </row>
    <row r="1543" spans="1:20" x14ac:dyDescent="0.25">
      <c r="A1543">
        <v>237</v>
      </c>
      <c r="B1543">
        <v>513119</v>
      </c>
      <c r="C1543" t="s">
        <v>285</v>
      </c>
      <c r="D1543">
        <v>2024</v>
      </c>
      <c r="E1543">
        <v>627.5999755859375</v>
      </c>
      <c r="F1543">
        <v>0.6</v>
      </c>
      <c r="G1543" t="s">
        <v>465</v>
      </c>
      <c r="H1543">
        <v>230.6499938964844</v>
      </c>
      <c r="I1543">
        <v>51</v>
      </c>
      <c r="L1543" t="s">
        <v>469</v>
      </c>
      <c r="M1543">
        <v>384.41665649414068</v>
      </c>
      <c r="N1543">
        <v>85</v>
      </c>
      <c r="O1543">
        <v>96.15</v>
      </c>
      <c r="P1543">
        <v>312.2</v>
      </c>
      <c r="Q1543">
        <v>51</v>
      </c>
      <c r="R1543" s="3" t="s">
        <v>470</v>
      </c>
      <c r="S1543">
        <v>96.15</v>
      </c>
      <c r="T1543" t="s">
        <v>468</v>
      </c>
    </row>
    <row r="1544" spans="1:20" x14ac:dyDescent="0.25">
      <c r="A1544">
        <v>237</v>
      </c>
      <c r="B1544">
        <v>513119</v>
      </c>
      <c r="C1544" t="s">
        <v>285</v>
      </c>
      <c r="D1544">
        <v>2025</v>
      </c>
      <c r="E1544">
        <v>627.5999755859375</v>
      </c>
      <c r="F1544">
        <v>4.1399999999999997</v>
      </c>
      <c r="G1544" t="s">
        <v>465</v>
      </c>
      <c r="H1544">
        <v>520.20001220703125</v>
      </c>
      <c r="I1544">
        <v>160.05000305175781</v>
      </c>
      <c r="L1544" t="s">
        <v>469</v>
      </c>
      <c r="M1544">
        <v>125.6521768616018</v>
      </c>
      <c r="N1544">
        <v>38.659421026994643</v>
      </c>
      <c r="O1544">
        <v>96.15</v>
      </c>
      <c r="P1544">
        <v>312.2</v>
      </c>
      <c r="Q1544">
        <v>51</v>
      </c>
      <c r="R1544" s="3" t="s">
        <v>470</v>
      </c>
      <c r="S1544">
        <v>96.15</v>
      </c>
      <c r="T1544" t="s">
        <v>468</v>
      </c>
    </row>
    <row r="1545" spans="1:20" x14ac:dyDescent="0.25">
      <c r="A1545">
        <v>237</v>
      </c>
      <c r="B1545">
        <v>513119</v>
      </c>
      <c r="C1545" t="s">
        <v>285</v>
      </c>
      <c r="D1545">
        <v>2026</v>
      </c>
      <c r="E1545">
        <v>627.5999755859375</v>
      </c>
      <c r="F1545">
        <v>10.89</v>
      </c>
      <c r="G1545" t="s">
        <v>465</v>
      </c>
      <c r="H1545">
        <v>1125.900024414062</v>
      </c>
      <c r="I1545">
        <v>543.3499755859375</v>
      </c>
      <c r="L1545" t="s">
        <v>469</v>
      </c>
      <c r="M1545">
        <v>103.3884319939451</v>
      </c>
      <c r="N1545">
        <v>49.894396288883136</v>
      </c>
      <c r="O1545">
        <v>96.15</v>
      </c>
      <c r="P1545">
        <v>312.2</v>
      </c>
      <c r="Q1545">
        <v>51</v>
      </c>
      <c r="R1545" s="3" t="s">
        <v>470</v>
      </c>
      <c r="S1545">
        <v>96.15</v>
      </c>
      <c r="T1545" t="s">
        <v>468</v>
      </c>
    </row>
    <row r="1546" spans="1:20" x14ac:dyDescent="0.25">
      <c r="A1546">
        <v>239</v>
      </c>
      <c r="B1546">
        <v>513149</v>
      </c>
      <c r="C1546" t="s">
        <v>287</v>
      </c>
      <c r="D1546">
        <v>2015</v>
      </c>
      <c r="E1546">
        <v>896.6500244140625</v>
      </c>
      <c r="F1546">
        <v>20.16</v>
      </c>
      <c r="G1546" t="s">
        <v>465</v>
      </c>
      <c r="H1546">
        <v>181.1000061035156</v>
      </c>
      <c r="I1546">
        <v>73</v>
      </c>
      <c r="L1546" t="s">
        <v>469</v>
      </c>
      <c r="M1546">
        <v>8.9831352233886701</v>
      </c>
      <c r="N1546">
        <v>3.621031746031746</v>
      </c>
      <c r="O1546">
        <v>680.1</v>
      </c>
      <c r="P1546">
        <v>1020</v>
      </c>
      <c r="Q1546">
        <v>600</v>
      </c>
      <c r="R1546" s="3" t="s">
        <v>470</v>
      </c>
      <c r="S1546">
        <v>680.1</v>
      </c>
      <c r="T1546" t="s">
        <v>468</v>
      </c>
    </row>
    <row r="1547" spans="1:20" x14ac:dyDescent="0.25">
      <c r="A1547">
        <v>239</v>
      </c>
      <c r="B1547">
        <v>513149</v>
      </c>
      <c r="C1547" t="s">
        <v>287</v>
      </c>
      <c r="D1547">
        <v>2016</v>
      </c>
      <c r="E1547">
        <v>896.6500244140625</v>
      </c>
      <c r="F1547">
        <v>190.47</v>
      </c>
      <c r="G1547" t="s">
        <v>465</v>
      </c>
      <c r="H1547">
        <v>219.55000305175781</v>
      </c>
      <c r="I1547">
        <v>79</v>
      </c>
      <c r="L1547" t="s">
        <v>469</v>
      </c>
      <c r="M1547">
        <v>1.1526749779585119</v>
      </c>
      <c r="N1547">
        <v>0.41476347981309392</v>
      </c>
      <c r="O1547">
        <v>680.1</v>
      </c>
      <c r="P1547">
        <v>1020</v>
      </c>
      <c r="Q1547">
        <v>600</v>
      </c>
      <c r="R1547" s="3" t="s">
        <v>470</v>
      </c>
      <c r="S1547">
        <v>680.1</v>
      </c>
      <c r="T1547" t="s">
        <v>468</v>
      </c>
    </row>
    <row r="1548" spans="1:20" x14ac:dyDescent="0.25">
      <c r="A1548">
        <v>239</v>
      </c>
      <c r="B1548">
        <v>513149</v>
      </c>
      <c r="C1548" t="s">
        <v>287</v>
      </c>
      <c r="D1548">
        <v>2017</v>
      </c>
      <c r="E1548">
        <v>896.6500244140625</v>
      </c>
      <c r="F1548">
        <v>-4.84</v>
      </c>
      <c r="G1548" t="s">
        <v>465</v>
      </c>
      <c r="H1548">
        <v>201</v>
      </c>
      <c r="I1548">
        <v>115.9499969482422</v>
      </c>
      <c r="L1548" t="s">
        <v>471</v>
      </c>
      <c r="M1548">
        <v>-41.528925619834709</v>
      </c>
      <c r="N1548">
        <v>-23.956610939719461</v>
      </c>
      <c r="O1548">
        <v>680.1</v>
      </c>
      <c r="P1548">
        <v>1020</v>
      </c>
      <c r="Q1548">
        <v>600</v>
      </c>
      <c r="R1548" s="3" t="s">
        <v>470</v>
      </c>
      <c r="S1548">
        <v>680.1</v>
      </c>
      <c r="T1548" t="s">
        <v>468</v>
      </c>
    </row>
    <row r="1549" spans="1:20" x14ac:dyDescent="0.25">
      <c r="A1549">
        <v>239</v>
      </c>
      <c r="B1549">
        <v>513149</v>
      </c>
      <c r="C1549" t="s">
        <v>287</v>
      </c>
      <c r="D1549">
        <v>2018</v>
      </c>
      <c r="E1549">
        <v>896.6500244140625</v>
      </c>
      <c r="G1549" t="s">
        <v>465</v>
      </c>
      <c r="H1549">
        <v>194.25</v>
      </c>
      <c r="I1549">
        <v>80.5</v>
      </c>
      <c r="L1549" t="s">
        <v>466</v>
      </c>
      <c r="O1549">
        <v>680.1</v>
      </c>
      <c r="P1549">
        <v>1020</v>
      </c>
      <c r="Q1549">
        <v>600</v>
      </c>
      <c r="R1549" s="3" t="s">
        <v>470</v>
      </c>
      <c r="S1549">
        <v>680.1</v>
      </c>
      <c r="T1549" t="s">
        <v>468</v>
      </c>
    </row>
    <row r="1550" spans="1:20" x14ac:dyDescent="0.25">
      <c r="A1550">
        <v>239</v>
      </c>
      <c r="B1550">
        <v>513149</v>
      </c>
      <c r="C1550" t="s">
        <v>287</v>
      </c>
      <c r="D1550">
        <v>2019</v>
      </c>
      <c r="E1550">
        <v>896.6500244140625</v>
      </c>
      <c r="F1550">
        <v>3.28</v>
      </c>
      <c r="G1550" t="s">
        <v>465</v>
      </c>
      <c r="H1550">
        <v>180.94999694824219</v>
      </c>
      <c r="I1550">
        <v>88.199996948242188</v>
      </c>
      <c r="L1550" t="s">
        <v>469</v>
      </c>
      <c r="M1550">
        <v>55.167681996415297</v>
      </c>
      <c r="N1550">
        <v>26.89024297202506</v>
      </c>
      <c r="O1550">
        <v>680.1</v>
      </c>
      <c r="P1550">
        <v>1020</v>
      </c>
      <c r="Q1550">
        <v>600</v>
      </c>
      <c r="R1550" s="3" t="s">
        <v>470</v>
      </c>
      <c r="S1550">
        <v>680.1</v>
      </c>
      <c r="T1550" t="s">
        <v>468</v>
      </c>
    </row>
    <row r="1551" spans="1:20" x14ac:dyDescent="0.25">
      <c r="A1551">
        <v>239</v>
      </c>
      <c r="B1551">
        <v>513149</v>
      </c>
      <c r="C1551" t="s">
        <v>287</v>
      </c>
      <c r="D1551">
        <v>2020</v>
      </c>
      <c r="E1551">
        <v>896.6500244140625</v>
      </c>
      <c r="F1551">
        <v>-4.6900000000000004</v>
      </c>
      <c r="G1551" t="s">
        <v>465</v>
      </c>
      <c r="H1551">
        <v>175.5</v>
      </c>
      <c r="I1551">
        <v>74.900001525878906</v>
      </c>
      <c r="L1551" t="s">
        <v>471</v>
      </c>
      <c r="M1551">
        <v>-37.420042643923239</v>
      </c>
      <c r="N1551">
        <v>-15.97014957907866</v>
      </c>
      <c r="O1551">
        <v>680.1</v>
      </c>
      <c r="P1551">
        <v>1020</v>
      </c>
      <c r="Q1551">
        <v>600</v>
      </c>
      <c r="R1551" s="3" t="s">
        <v>470</v>
      </c>
      <c r="S1551">
        <v>680.1</v>
      </c>
      <c r="T1551" t="s">
        <v>468</v>
      </c>
    </row>
    <row r="1552" spans="1:20" x14ac:dyDescent="0.25">
      <c r="A1552">
        <v>239</v>
      </c>
      <c r="B1552">
        <v>513149</v>
      </c>
      <c r="C1552" t="s">
        <v>287</v>
      </c>
      <c r="D1552">
        <v>2021</v>
      </c>
      <c r="E1552">
        <v>896.6500244140625</v>
      </c>
      <c r="F1552">
        <v>-2.19</v>
      </c>
      <c r="G1552" t="s">
        <v>465</v>
      </c>
      <c r="H1552">
        <v>174</v>
      </c>
      <c r="I1552">
        <v>97.199996948242188</v>
      </c>
      <c r="L1552" t="s">
        <v>471</v>
      </c>
      <c r="M1552">
        <v>-79.452054794520549</v>
      </c>
      <c r="N1552">
        <v>-44.383560250338903</v>
      </c>
      <c r="O1552">
        <v>680.1</v>
      </c>
      <c r="P1552">
        <v>1020</v>
      </c>
      <c r="Q1552">
        <v>600</v>
      </c>
      <c r="R1552" s="3" t="s">
        <v>470</v>
      </c>
      <c r="S1552">
        <v>680.1</v>
      </c>
      <c r="T1552" t="s">
        <v>468</v>
      </c>
    </row>
    <row r="1553" spans="1:20" x14ac:dyDescent="0.25">
      <c r="A1553">
        <v>239</v>
      </c>
      <c r="B1553">
        <v>513149</v>
      </c>
      <c r="C1553" t="s">
        <v>287</v>
      </c>
      <c r="D1553">
        <v>2022</v>
      </c>
      <c r="E1553">
        <v>896.6500244140625</v>
      </c>
      <c r="F1553">
        <v>13.44</v>
      </c>
      <c r="G1553" t="s">
        <v>465</v>
      </c>
      <c r="H1553">
        <v>977.29998779296875</v>
      </c>
      <c r="I1553">
        <v>109</v>
      </c>
      <c r="L1553" t="s">
        <v>469</v>
      </c>
      <c r="M1553">
        <v>72.715772901262554</v>
      </c>
      <c r="N1553">
        <v>8.1101190476190474</v>
      </c>
      <c r="O1553">
        <v>680.1</v>
      </c>
      <c r="P1553">
        <v>1020</v>
      </c>
      <c r="Q1553">
        <v>600</v>
      </c>
      <c r="R1553" s="3" t="s">
        <v>470</v>
      </c>
      <c r="S1553">
        <v>680.1</v>
      </c>
      <c r="T1553" t="s">
        <v>468</v>
      </c>
    </row>
    <row r="1554" spans="1:20" x14ac:dyDescent="0.25">
      <c r="A1554">
        <v>239</v>
      </c>
      <c r="B1554">
        <v>513149</v>
      </c>
      <c r="C1554" t="s">
        <v>287</v>
      </c>
      <c r="D1554">
        <v>2023</v>
      </c>
      <c r="E1554">
        <v>896.6500244140625</v>
      </c>
      <c r="F1554">
        <v>0.31</v>
      </c>
      <c r="G1554" t="s">
        <v>465</v>
      </c>
      <c r="H1554">
        <v>1210</v>
      </c>
      <c r="I1554">
        <v>611</v>
      </c>
      <c r="L1554" t="s">
        <v>484</v>
      </c>
      <c r="M1554">
        <v>3903.2258064516132</v>
      </c>
      <c r="N1554">
        <v>1970.9677419354839</v>
      </c>
      <c r="O1554">
        <v>680.1</v>
      </c>
      <c r="P1554">
        <v>1020</v>
      </c>
      <c r="Q1554">
        <v>600</v>
      </c>
      <c r="R1554" s="3" t="s">
        <v>470</v>
      </c>
      <c r="S1554">
        <v>680.1</v>
      </c>
      <c r="T1554" t="s">
        <v>468</v>
      </c>
    </row>
    <row r="1555" spans="1:20" x14ac:dyDescent="0.25">
      <c r="A1555">
        <v>239</v>
      </c>
      <c r="B1555">
        <v>513149</v>
      </c>
      <c r="C1555" t="s">
        <v>287</v>
      </c>
      <c r="D1555">
        <v>2024</v>
      </c>
      <c r="E1555">
        <v>896.6500244140625</v>
      </c>
      <c r="F1555">
        <v>15.94</v>
      </c>
      <c r="G1555" t="s">
        <v>465</v>
      </c>
      <c r="H1555">
        <v>1020</v>
      </c>
      <c r="I1555">
        <v>600</v>
      </c>
      <c r="L1555" t="s">
        <v>469</v>
      </c>
      <c r="M1555">
        <v>63.989962358845673</v>
      </c>
      <c r="N1555">
        <v>37.641154328732753</v>
      </c>
      <c r="O1555">
        <v>680.1</v>
      </c>
      <c r="P1555">
        <v>1020</v>
      </c>
      <c r="Q1555">
        <v>600</v>
      </c>
      <c r="R1555" s="3" t="s">
        <v>470</v>
      </c>
      <c r="S1555">
        <v>680.1</v>
      </c>
      <c r="T1555" t="s">
        <v>468</v>
      </c>
    </row>
    <row r="1556" spans="1:20" x14ac:dyDescent="0.25">
      <c r="A1556">
        <v>239</v>
      </c>
      <c r="B1556">
        <v>513149</v>
      </c>
      <c r="C1556" t="s">
        <v>287</v>
      </c>
      <c r="D1556">
        <v>2025</v>
      </c>
      <c r="E1556">
        <v>896.6500244140625</v>
      </c>
      <c r="F1556">
        <v>-13.75</v>
      </c>
      <c r="G1556" t="s">
        <v>465</v>
      </c>
      <c r="H1556">
        <v>835</v>
      </c>
      <c r="I1556">
        <v>621.0999755859375</v>
      </c>
      <c r="L1556" t="s">
        <v>471</v>
      </c>
      <c r="M1556">
        <v>-60.727272727272727</v>
      </c>
      <c r="N1556">
        <v>-45.170907315340912</v>
      </c>
      <c r="O1556">
        <v>680.1</v>
      </c>
      <c r="P1556">
        <v>1020</v>
      </c>
      <c r="Q1556">
        <v>600</v>
      </c>
      <c r="R1556" s="3" t="s">
        <v>470</v>
      </c>
      <c r="S1556">
        <v>680.1</v>
      </c>
      <c r="T1556" t="s">
        <v>468</v>
      </c>
    </row>
    <row r="1557" spans="1:20" x14ac:dyDescent="0.25">
      <c r="A1557">
        <v>239</v>
      </c>
      <c r="B1557">
        <v>513149</v>
      </c>
      <c r="C1557" t="s">
        <v>287</v>
      </c>
      <c r="D1557">
        <v>2026</v>
      </c>
      <c r="E1557">
        <v>896.6500244140625</v>
      </c>
      <c r="F1557">
        <v>6.72</v>
      </c>
      <c r="G1557" t="s">
        <v>465</v>
      </c>
      <c r="H1557">
        <v>918</v>
      </c>
      <c r="I1557">
        <v>586.1500244140625</v>
      </c>
      <c r="L1557" t="s">
        <v>469</v>
      </c>
      <c r="M1557">
        <v>136.60714285714289</v>
      </c>
      <c r="N1557">
        <v>87.224706013997405</v>
      </c>
      <c r="O1557">
        <v>680.1</v>
      </c>
      <c r="P1557">
        <v>1020</v>
      </c>
      <c r="Q1557">
        <v>600</v>
      </c>
      <c r="R1557" s="3" t="s">
        <v>470</v>
      </c>
      <c r="S1557">
        <v>680.1</v>
      </c>
      <c r="T1557" t="s">
        <v>468</v>
      </c>
    </row>
    <row r="1558" spans="1:20" x14ac:dyDescent="0.25">
      <c r="A1558">
        <v>241</v>
      </c>
      <c r="B1558">
        <v>513179</v>
      </c>
      <c r="C1558" t="s">
        <v>289</v>
      </c>
      <c r="D1558">
        <v>2015</v>
      </c>
      <c r="E1558">
        <v>3.8499999046325679</v>
      </c>
      <c r="G1558" t="s">
        <v>465</v>
      </c>
      <c r="H1558">
        <v>20.29999923706055</v>
      </c>
      <c r="I1558">
        <v>12.60000038146973</v>
      </c>
      <c r="L1558" t="s">
        <v>466</v>
      </c>
      <c r="O1558">
        <f>IFERROR(VLOOKUP(B1558,BSE_500_LIVE!A:E,3,FALSE),"")</f>
        <v>0</v>
      </c>
      <c r="P1558">
        <f>IFERROR(VLOOKUP(B1558,BSE_500_LIVE!A:E,4,FALSE),"")</f>
        <v>0</v>
      </c>
      <c r="Q1558">
        <f>IFERROR(VLOOKUP(B1558,BSE_500_LIVE!A:E,5,FALSE),"")</f>
        <v>0</v>
      </c>
      <c r="R1558" t="str">
        <f t="shared" ref="R1558:R1566" si="22">IF(OR(E1558="",O1558=""),"PENDING_FETCH",IF(ABS(E1558-O1558)/E1558&gt;0.005,"MISMATCH_NEEDS_CORRECTION","VERIFIED_OK"))</f>
        <v>MISMATCH_NEEDS_CORRECTION</v>
      </c>
      <c r="S1558">
        <f t="shared" ref="S1558:S1566" si="23">IF(O1558&lt;&gt;"",O1558,E1558)</f>
        <v>0</v>
      </c>
      <c r="T1558">
        <f>IFERROR(VLOOKUP(B1558,BSE_500_LIVE!A:F,6,FALSE),"")</f>
        <v>0</v>
      </c>
    </row>
    <row r="1559" spans="1:20" x14ac:dyDescent="0.25">
      <c r="A1559">
        <v>241</v>
      </c>
      <c r="B1559">
        <v>513179</v>
      </c>
      <c r="C1559" t="s">
        <v>289</v>
      </c>
      <c r="D1559">
        <v>2016</v>
      </c>
      <c r="E1559">
        <v>3.8499999046325679</v>
      </c>
      <c r="G1559" t="s">
        <v>465</v>
      </c>
      <c r="H1559">
        <v>25.79999923706055</v>
      </c>
      <c r="I1559">
        <v>10.170000076293951</v>
      </c>
      <c r="L1559" t="s">
        <v>466</v>
      </c>
      <c r="O1559">
        <f>IFERROR(VLOOKUP(B1559,BSE_500_LIVE!A:E,3,FALSE),"")</f>
        <v>0</v>
      </c>
      <c r="P1559">
        <f>IFERROR(VLOOKUP(B1559,BSE_500_LIVE!A:E,4,FALSE),"")</f>
        <v>0</v>
      </c>
      <c r="Q1559">
        <f>IFERROR(VLOOKUP(B1559,BSE_500_LIVE!A:E,5,FALSE),"")</f>
        <v>0</v>
      </c>
      <c r="R1559" t="str">
        <f t="shared" si="22"/>
        <v>MISMATCH_NEEDS_CORRECTION</v>
      </c>
      <c r="S1559">
        <f t="shared" si="23"/>
        <v>0</v>
      </c>
      <c r="T1559">
        <f>IFERROR(VLOOKUP(B1559,BSE_500_LIVE!A:F,6,FALSE),"")</f>
        <v>0</v>
      </c>
    </row>
    <row r="1560" spans="1:20" x14ac:dyDescent="0.25">
      <c r="A1560">
        <v>241</v>
      </c>
      <c r="B1560">
        <v>513179</v>
      </c>
      <c r="C1560" t="s">
        <v>289</v>
      </c>
      <c r="D1560">
        <v>2017</v>
      </c>
      <c r="E1560">
        <v>3.8499999046325679</v>
      </c>
      <c r="G1560" t="s">
        <v>465</v>
      </c>
      <c r="H1560">
        <v>51.5</v>
      </c>
      <c r="I1560">
        <v>19.35000038146973</v>
      </c>
      <c r="L1560" t="s">
        <v>466</v>
      </c>
      <c r="O1560">
        <f>IFERROR(VLOOKUP(B1560,BSE_500_LIVE!A:E,3,FALSE),"")</f>
        <v>0</v>
      </c>
      <c r="P1560">
        <f>IFERROR(VLOOKUP(B1560,BSE_500_LIVE!A:E,4,FALSE),"")</f>
        <v>0</v>
      </c>
      <c r="Q1560">
        <f>IFERROR(VLOOKUP(B1560,BSE_500_LIVE!A:E,5,FALSE),"")</f>
        <v>0</v>
      </c>
      <c r="R1560" t="str">
        <f t="shared" si="22"/>
        <v>MISMATCH_NEEDS_CORRECTION</v>
      </c>
      <c r="S1560">
        <f t="shared" si="23"/>
        <v>0</v>
      </c>
      <c r="T1560">
        <f>IFERROR(VLOOKUP(B1560,BSE_500_LIVE!A:F,6,FALSE),"")</f>
        <v>0</v>
      </c>
    </row>
    <row r="1561" spans="1:20" x14ac:dyDescent="0.25">
      <c r="A1561">
        <v>241</v>
      </c>
      <c r="B1561">
        <v>513179</v>
      </c>
      <c r="C1561" t="s">
        <v>289</v>
      </c>
      <c r="D1561">
        <v>2018</v>
      </c>
      <c r="E1561">
        <v>3.8499999046325679</v>
      </c>
      <c r="G1561" t="s">
        <v>465</v>
      </c>
      <c r="H1561">
        <v>47.950000762939453</v>
      </c>
      <c r="I1561">
        <v>6.440000057220459</v>
      </c>
      <c r="L1561" t="s">
        <v>466</v>
      </c>
      <c r="O1561">
        <f>IFERROR(VLOOKUP(B1561,BSE_500_LIVE!A:E,3,FALSE),"")</f>
        <v>0</v>
      </c>
      <c r="P1561">
        <f>IFERROR(VLOOKUP(B1561,BSE_500_LIVE!A:E,4,FALSE),"")</f>
        <v>0</v>
      </c>
      <c r="Q1561">
        <f>IFERROR(VLOOKUP(B1561,BSE_500_LIVE!A:E,5,FALSE),"")</f>
        <v>0</v>
      </c>
      <c r="R1561" t="str">
        <f t="shared" si="22"/>
        <v>MISMATCH_NEEDS_CORRECTION</v>
      </c>
      <c r="S1561">
        <f t="shared" si="23"/>
        <v>0</v>
      </c>
      <c r="T1561">
        <f>IFERROR(VLOOKUP(B1561,BSE_500_LIVE!A:F,6,FALSE),"")</f>
        <v>0</v>
      </c>
    </row>
    <row r="1562" spans="1:20" x14ac:dyDescent="0.25">
      <c r="A1562">
        <v>241</v>
      </c>
      <c r="B1562">
        <v>513179</v>
      </c>
      <c r="C1562" t="s">
        <v>289</v>
      </c>
      <c r="D1562">
        <v>2019</v>
      </c>
      <c r="E1562">
        <v>3.8499999046325679</v>
      </c>
      <c r="G1562" t="s">
        <v>465</v>
      </c>
      <c r="H1562">
        <v>7.440000057220459</v>
      </c>
      <c r="I1562">
        <v>1.610000014305115</v>
      </c>
      <c r="L1562" t="s">
        <v>466</v>
      </c>
      <c r="O1562">
        <f>IFERROR(VLOOKUP(B1562,BSE_500_LIVE!A:E,3,FALSE),"")</f>
        <v>0</v>
      </c>
      <c r="P1562">
        <f>IFERROR(VLOOKUP(B1562,BSE_500_LIVE!A:E,4,FALSE),"")</f>
        <v>0</v>
      </c>
      <c r="Q1562">
        <f>IFERROR(VLOOKUP(B1562,BSE_500_LIVE!A:E,5,FALSE),"")</f>
        <v>0</v>
      </c>
      <c r="R1562" t="str">
        <f t="shared" si="22"/>
        <v>MISMATCH_NEEDS_CORRECTION</v>
      </c>
      <c r="S1562">
        <f t="shared" si="23"/>
        <v>0</v>
      </c>
      <c r="T1562">
        <f>IFERROR(VLOOKUP(B1562,BSE_500_LIVE!A:F,6,FALSE),"")</f>
        <v>0</v>
      </c>
    </row>
    <row r="1563" spans="1:20" x14ac:dyDescent="0.25">
      <c r="A1563">
        <v>241</v>
      </c>
      <c r="B1563">
        <v>513179</v>
      </c>
      <c r="C1563" t="s">
        <v>289</v>
      </c>
      <c r="D1563">
        <v>2020</v>
      </c>
      <c r="E1563">
        <v>3.8499999046325679</v>
      </c>
      <c r="G1563" t="s">
        <v>465</v>
      </c>
      <c r="H1563">
        <v>5.1500000953674316</v>
      </c>
      <c r="I1563">
        <v>1.2699999809265139</v>
      </c>
      <c r="L1563" t="s">
        <v>466</v>
      </c>
      <c r="O1563">
        <f>IFERROR(VLOOKUP(B1563,BSE_500_LIVE!A:E,3,FALSE),"")</f>
        <v>0</v>
      </c>
      <c r="P1563">
        <f>IFERROR(VLOOKUP(B1563,BSE_500_LIVE!A:E,4,FALSE),"")</f>
        <v>0</v>
      </c>
      <c r="Q1563">
        <f>IFERROR(VLOOKUP(B1563,BSE_500_LIVE!A:E,5,FALSE),"")</f>
        <v>0</v>
      </c>
      <c r="R1563" t="str">
        <f t="shared" si="22"/>
        <v>MISMATCH_NEEDS_CORRECTION</v>
      </c>
      <c r="S1563">
        <f t="shared" si="23"/>
        <v>0</v>
      </c>
      <c r="T1563">
        <f>IFERROR(VLOOKUP(B1563,BSE_500_LIVE!A:F,6,FALSE),"")</f>
        <v>0</v>
      </c>
    </row>
    <row r="1564" spans="1:20" x14ac:dyDescent="0.25">
      <c r="A1564">
        <v>241</v>
      </c>
      <c r="B1564">
        <v>513179</v>
      </c>
      <c r="C1564" t="s">
        <v>289</v>
      </c>
      <c r="D1564">
        <v>2021</v>
      </c>
      <c r="E1564">
        <v>3.8499999046325679</v>
      </c>
      <c r="G1564" t="s">
        <v>465</v>
      </c>
      <c r="H1564">
        <v>6.7300000190734863</v>
      </c>
      <c r="I1564">
        <v>3.1400001049041748</v>
      </c>
      <c r="L1564" t="s">
        <v>466</v>
      </c>
      <c r="O1564">
        <f>IFERROR(VLOOKUP(B1564,BSE_500_LIVE!A:E,3,FALSE),"")</f>
        <v>0</v>
      </c>
      <c r="P1564">
        <f>IFERROR(VLOOKUP(B1564,BSE_500_LIVE!A:E,4,FALSE),"")</f>
        <v>0</v>
      </c>
      <c r="Q1564">
        <f>IFERROR(VLOOKUP(B1564,BSE_500_LIVE!A:E,5,FALSE),"")</f>
        <v>0</v>
      </c>
      <c r="R1564" t="str">
        <f t="shared" si="22"/>
        <v>MISMATCH_NEEDS_CORRECTION</v>
      </c>
      <c r="S1564">
        <f t="shared" si="23"/>
        <v>0</v>
      </c>
      <c r="T1564">
        <f>IFERROR(VLOOKUP(B1564,BSE_500_LIVE!A:F,6,FALSE),"")</f>
        <v>0</v>
      </c>
    </row>
    <row r="1565" spans="1:20" x14ac:dyDescent="0.25">
      <c r="A1565">
        <v>241</v>
      </c>
      <c r="B1565">
        <v>513179</v>
      </c>
      <c r="C1565" t="s">
        <v>289</v>
      </c>
      <c r="D1565">
        <v>2022</v>
      </c>
      <c r="E1565">
        <v>3.8499999046325679</v>
      </c>
      <c r="G1565" t="s">
        <v>465</v>
      </c>
      <c r="H1565">
        <v>7.1700000762939453</v>
      </c>
      <c r="I1565">
        <v>2.8499999046325679</v>
      </c>
      <c r="L1565" t="s">
        <v>466</v>
      </c>
      <c r="O1565">
        <f>IFERROR(VLOOKUP(B1565,BSE_500_LIVE!A:E,3,FALSE),"")</f>
        <v>0</v>
      </c>
      <c r="P1565">
        <f>IFERROR(VLOOKUP(B1565,BSE_500_LIVE!A:E,4,FALSE),"")</f>
        <v>0</v>
      </c>
      <c r="Q1565">
        <f>IFERROR(VLOOKUP(B1565,BSE_500_LIVE!A:E,5,FALSE),"")</f>
        <v>0</v>
      </c>
      <c r="R1565" t="str">
        <f t="shared" si="22"/>
        <v>MISMATCH_NEEDS_CORRECTION</v>
      </c>
      <c r="S1565">
        <f t="shared" si="23"/>
        <v>0</v>
      </c>
      <c r="T1565">
        <f>IFERROR(VLOOKUP(B1565,BSE_500_LIVE!A:F,6,FALSE),"")</f>
        <v>0</v>
      </c>
    </row>
    <row r="1566" spans="1:20" x14ac:dyDescent="0.25">
      <c r="A1566">
        <v>241</v>
      </c>
      <c r="B1566">
        <v>513179</v>
      </c>
      <c r="C1566" t="s">
        <v>289</v>
      </c>
      <c r="D1566">
        <v>2023</v>
      </c>
      <c r="E1566">
        <v>3.8499999046325679</v>
      </c>
      <c r="G1566" t="s">
        <v>465</v>
      </c>
      <c r="H1566">
        <v>5.179999828338623</v>
      </c>
      <c r="I1566">
        <v>2.910000085830688</v>
      </c>
      <c r="L1566" t="s">
        <v>466</v>
      </c>
      <c r="O1566">
        <f>IFERROR(VLOOKUP(B1566,BSE_500_LIVE!A:E,3,FALSE),"")</f>
        <v>0</v>
      </c>
      <c r="P1566">
        <f>IFERROR(VLOOKUP(B1566,BSE_500_LIVE!A:E,4,FALSE),"")</f>
        <v>0</v>
      </c>
      <c r="Q1566">
        <f>IFERROR(VLOOKUP(B1566,BSE_500_LIVE!A:E,5,FALSE),"")</f>
        <v>0</v>
      </c>
      <c r="R1566" t="str">
        <f t="shared" si="22"/>
        <v>MISMATCH_NEEDS_CORRECTION</v>
      </c>
      <c r="S1566">
        <f t="shared" si="23"/>
        <v>0</v>
      </c>
      <c r="T1566">
        <f>IFERROR(VLOOKUP(B1566,BSE_500_LIVE!A:F,6,FALSE),"")</f>
        <v>0</v>
      </c>
    </row>
    <row r="1567" spans="1:20" x14ac:dyDescent="0.25">
      <c r="A1567">
        <v>243</v>
      </c>
      <c r="B1567">
        <v>513216</v>
      </c>
      <c r="C1567" t="s">
        <v>291</v>
      </c>
      <c r="D1567">
        <v>2015</v>
      </c>
      <c r="E1567">
        <v>3.4000000953674321</v>
      </c>
      <c r="G1567" t="s">
        <v>465</v>
      </c>
      <c r="H1567">
        <v>74.900001525878906</v>
      </c>
      <c r="I1567">
        <v>27</v>
      </c>
      <c r="L1567" t="s">
        <v>466</v>
      </c>
      <c r="O1567">
        <v>260.60000000000002</v>
      </c>
      <c r="P1567">
        <v>465</v>
      </c>
      <c r="Q1567">
        <v>188.8</v>
      </c>
      <c r="R1567" s="3" t="s">
        <v>470</v>
      </c>
      <c r="S1567">
        <v>260.60000000000002</v>
      </c>
      <c r="T1567" t="s">
        <v>468</v>
      </c>
    </row>
    <row r="1568" spans="1:20" x14ac:dyDescent="0.25">
      <c r="A1568">
        <v>243</v>
      </c>
      <c r="B1568">
        <v>513216</v>
      </c>
      <c r="C1568" t="s">
        <v>291</v>
      </c>
      <c r="D1568">
        <v>2016</v>
      </c>
      <c r="E1568">
        <v>3.4000000953674321</v>
      </c>
      <c r="G1568" t="s">
        <v>465</v>
      </c>
      <c r="H1568">
        <v>37.150001525878913</v>
      </c>
      <c r="I1568">
        <v>23.39999961853027</v>
      </c>
      <c r="L1568" t="s">
        <v>466</v>
      </c>
      <c r="O1568">
        <v>260.60000000000002</v>
      </c>
      <c r="P1568">
        <v>465</v>
      </c>
      <c r="Q1568">
        <v>188.8</v>
      </c>
      <c r="R1568" s="3" t="s">
        <v>470</v>
      </c>
      <c r="S1568">
        <v>260.60000000000002</v>
      </c>
      <c r="T1568" t="s">
        <v>468</v>
      </c>
    </row>
    <row r="1569" spans="1:20" x14ac:dyDescent="0.25">
      <c r="A1569">
        <v>243</v>
      </c>
      <c r="B1569">
        <v>513216</v>
      </c>
      <c r="C1569" t="s">
        <v>291</v>
      </c>
      <c r="D1569">
        <v>2017</v>
      </c>
      <c r="E1569">
        <v>3.4000000953674321</v>
      </c>
      <c r="G1569" t="s">
        <v>465</v>
      </c>
      <c r="H1569">
        <v>36.799999237060547</v>
      </c>
      <c r="I1569">
        <v>21.45000076293945</v>
      </c>
      <c r="L1569" t="s">
        <v>466</v>
      </c>
      <c r="O1569">
        <v>260.60000000000002</v>
      </c>
      <c r="P1569">
        <v>465</v>
      </c>
      <c r="Q1569">
        <v>188.8</v>
      </c>
      <c r="R1569" s="3" t="s">
        <v>470</v>
      </c>
      <c r="S1569">
        <v>260.60000000000002</v>
      </c>
      <c r="T1569" t="s">
        <v>468</v>
      </c>
    </row>
    <row r="1570" spans="1:20" x14ac:dyDescent="0.25">
      <c r="A1570">
        <v>243</v>
      </c>
      <c r="B1570">
        <v>513216</v>
      </c>
      <c r="C1570" t="s">
        <v>291</v>
      </c>
      <c r="D1570">
        <v>2018</v>
      </c>
      <c r="E1570">
        <v>3.4000000953674321</v>
      </c>
      <c r="G1570" t="s">
        <v>465</v>
      </c>
      <c r="H1570">
        <v>30.45000076293945</v>
      </c>
      <c r="I1570">
        <v>7.369999885559082</v>
      </c>
      <c r="L1570" t="s">
        <v>466</v>
      </c>
      <c r="O1570">
        <v>260.60000000000002</v>
      </c>
      <c r="P1570">
        <v>465</v>
      </c>
      <c r="Q1570">
        <v>188.8</v>
      </c>
      <c r="R1570" s="3" t="s">
        <v>470</v>
      </c>
      <c r="S1570">
        <v>260.60000000000002</v>
      </c>
      <c r="T1570" t="s">
        <v>468</v>
      </c>
    </row>
    <row r="1571" spans="1:20" x14ac:dyDescent="0.25">
      <c r="A1571">
        <v>243</v>
      </c>
      <c r="B1571">
        <v>513216</v>
      </c>
      <c r="C1571" t="s">
        <v>291</v>
      </c>
      <c r="D1571">
        <v>2019</v>
      </c>
      <c r="E1571">
        <v>3.4000000953674321</v>
      </c>
      <c r="G1571" t="s">
        <v>465</v>
      </c>
      <c r="H1571">
        <v>12.590000152587891</v>
      </c>
      <c r="I1571">
        <v>5.6100001335144043</v>
      </c>
      <c r="L1571" t="s">
        <v>466</v>
      </c>
      <c r="O1571">
        <v>260.60000000000002</v>
      </c>
      <c r="P1571">
        <v>465</v>
      </c>
      <c r="Q1571">
        <v>188.8</v>
      </c>
      <c r="R1571" s="3" t="s">
        <v>470</v>
      </c>
      <c r="S1571">
        <v>260.60000000000002</v>
      </c>
      <c r="T1571" t="s">
        <v>468</v>
      </c>
    </row>
    <row r="1572" spans="1:20" x14ac:dyDescent="0.25">
      <c r="A1572">
        <v>243</v>
      </c>
      <c r="B1572">
        <v>513216</v>
      </c>
      <c r="C1572" t="s">
        <v>291</v>
      </c>
      <c r="D1572">
        <v>2020</v>
      </c>
      <c r="E1572">
        <v>3.4000000953674321</v>
      </c>
      <c r="G1572" t="s">
        <v>465</v>
      </c>
      <c r="H1572">
        <v>9.9300003051757813</v>
      </c>
      <c r="I1572">
        <v>3.619999885559082</v>
      </c>
      <c r="L1572" t="s">
        <v>466</v>
      </c>
      <c r="O1572">
        <v>260.60000000000002</v>
      </c>
      <c r="P1572">
        <v>465</v>
      </c>
      <c r="Q1572">
        <v>188.8</v>
      </c>
      <c r="R1572" s="3" t="s">
        <v>470</v>
      </c>
      <c r="S1572">
        <v>260.60000000000002</v>
      </c>
      <c r="T1572" t="s">
        <v>468</v>
      </c>
    </row>
    <row r="1573" spans="1:20" x14ac:dyDescent="0.25">
      <c r="A1573">
        <v>243</v>
      </c>
      <c r="B1573">
        <v>513216</v>
      </c>
      <c r="C1573" t="s">
        <v>291</v>
      </c>
      <c r="D1573">
        <v>2021</v>
      </c>
      <c r="E1573">
        <v>3.4000000953674321</v>
      </c>
      <c r="G1573" t="s">
        <v>465</v>
      </c>
      <c r="H1573">
        <v>11.079999923706049</v>
      </c>
      <c r="I1573">
        <v>3.559999942779541</v>
      </c>
      <c r="L1573" t="s">
        <v>466</v>
      </c>
      <c r="O1573">
        <v>260.60000000000002</v>
      </c>
      <c r="P1573">
        <v>465</v>
      </c>
      <c r="Q1573">
        <v>188.8</v>
      </c>
      <c r="R1573" s="3" t="s">
        <v>470</v>
      </c>
      <c r="S1573">
        <v>260.60000000000002</v>
      </c>
      <c r="T1573" t="s">
        <v>468</v>
      </c>
    </row>
    <row r="1574" spans="1:20" x14ac:dyDescent="0.25">
      <c r="A1574">
        <v>243</v>
      </c>
      <c r="B1574">
        <v>513216</v>
      </c>
      <c r="C1574" t="s">
        <v>291</v>
      </c>
      <c r="D1574">
        <v>2022</v>
      </c>
      <c r="E1574">
        <v>3.4000000953674321</v>
      </c>
      <c r="G1574" t="s">
        <v>465</v>
      </c>
      <c r="H1574">
        <v>8.3900003433227539</v>
      </c>
      <c r="I1574">
        <v>3.0499999523162842</v>
      </c>
      <c r="L1574" t="s">
        <v>466</v>
      </c>
      <c r="O1574">
        <v>260.60000000000002</v>
      </c>
      <c r="P1574">
        <v>465</v>
      </c>
      <c r="Q1574">
        <v>188.8</v>
      </c>
      <c r="R1574" s="3" t="s">
        <v>470</v>
      </c>
      <c r="S1574">
        <v>260.60000000000002</v>
      </c>
      <c r="T1574" t="s">
        <v>468</v>
      </c>
    </row>
    <row r="1575" spans="1:20" x14ac:dyDescent="0.25">
      <c r="A1575">
        <v>244</v>
      </c>
      <c r="B1575">
        <v>513228</v>
      </c>
      <c r="C1575" t="s">
        <v>293</v>
      </c>
      <c r="D1575">
        <v>2015</v>
      </c>
      <c r="E1575">
        <v>165.25</v>
      </c>
      <c r="F1575">
        <v>2.98</v>
      </c>
      <c r="G1575" t="s">
        <v>465</v>
      </c>
      <c r="H1575">
        <v>71</v>
      </c>
      <c r="I1575">
        <v>43</v>
      </c>
      <c r="L1575" t="s">
        <v>469</v>
      </c>
      <c r="M1575">
        <v>23.825503355704701</v>
      </c>
      <c r="N1575">
        <v>14.429530201342279</v>
      </c>
      <c r="O1575">
        <v>166.55</v>
      </c>
      <c r="P1575">
        <v>279.8</v>
      </c>
      <c r="Q1575">
        <v>128.9</v>
      </c>
      <c r="R1575" s="2" t="s">
        <v>467</v>
      </c>
      <c r="S1575">
        <v>166.55</v>
      </c>
      <c r="T1575" t="s">
        <v>468</v>
      </c>
    </row>
    <row r="1576" spans="1:20" x14ac:dyDescent="0.25">
      <c r="A1576">
        <v>244</v>
      </c>
      <c r="B1576">
        <v>513228</v>
      </c>
      <c r="C1576" t="s">
        <v>293</v>
      </c>
      <c r="D1576">
        <v>2016</v>
      </c>
      <c r="E1576">
        <v>165.25</v>
      </c>
      <c r="F1576">
        <v>3.64</v>
      </c>
      <c r="G1576" t="s">
        <v>465</v>
      </c>
      <c r="H1576">
        <v>61.349998474121087</v>
      </c>
      <c r="I1576">
        <v>38.5</v>
      </c>
      <c r="L1576" t="s">
        <v>469</v>
      </c>
      <c r="M1576">
        <v>16.854395185198101</v>
      </c>
      <c r="N1576">
        <v>10.57692307692308</v>
      </c>
      <c r="O1576">
        <v>166.55</v>
      </c>
      <c r="P1576">
        <v>279.8</v>
      </c>
      <c r="Q1576">
        <v>128.9</v>
      </c>
      <c r="R1576" s="2" t="s">
        <v>467</v>
      </c>
      <c r="S1576">
        <v>166.55</v>
      </c>
      <c r="T1576" t="s">
        <v>468</v>
      </c>
    </row>
    <row r="1577" spans="1:20" x14ac:dyDescent="0.25">
      <c r="A1577">
        <v>244</v>
      </c>
      <c r="B1577">
        <v>513228</v>
      </c>
      <c r="C1577" t="s">
        <v>293</v>
      </c>
      <c r="D1577">
        <v>2017</v>
      </c>
      <c r="E1577">
        <v>165.25</v>
      </c>
      <c r="F1577">
        <v>2.87</v>
      </c>
      <c r="G1577" t="s">
        <v>465</v>
      </c>
      <c r="H1577">
        <v>78.599998474121094</v>
      </c>
      <c r="I1577">
        <v>40</v>
      </c>
      <c r="L1577" t="s">
        <v>469</v>
      </c>
      <c r="M1577">
        <v>27.386759050216408</v>
      </c>
      <c r="N1577">
        <v>13.93728222996516</v>
      </c>
      <c r="O1577">
        <v>166.55</v>
      </c>
      <c r="P1577">
        <v>279.8</v>
      </c>
      <c r="Q1577">
        <v>128.9</v>
      </c>
      <c r="R1577" s="2" t="s">
        <v>467</v>
      </c>
      <c r="S1577">
        <v>166.55</v>
      </c>
      <c r="T1577" t="s">
        <v>468</v>
      </c>
    </row>
    <row r="1578" spans="1:20" x14ac:dyDescent="0.25">
      <c r="A1578">
        <v>244</v>
      </c>
      <c r="B1578">
        <v>513228</v>
      </c>
      <c r="C1578" t="s">
        <v>293</v>
      </c>
      <c r="D1578">
        <v>2018</v>
      </c>
      <c r="E1578">
        <v>165.25</v>
      </c>
      <c r="F1578">
        <v>7.43</v>
      </c>
      <c r="G1578" t="s">
        <v>465</v>
      </c>
      <c r="H1578">
        <v>79</v>
      </c>
      <c r="I1578">
        <v>34</v>
      </c>
      <c r="L1578" t="s">
        <v>469</v>
      </c>
      <c r="M1578">
        <v>10.632570659488559</v>
      </c>
      <c r="N1578">
        <v>4.5760430686406464</v>
      </c>
      <c r="O1578">
        <v>166.55</v>
      </c>
      <c r="P1578">
        <v>279.8</v>
      </c>
      <c r="Q1578">
        <v>128.9</v>
      </c>
      <c r="R1578" s="2" t="s">
        <v>467</v>
      </c>
      <c r="S1578">
        <v>166.55</v>
      </c>
      <c r="T1578" t="s">
        <v>468</v>
      </c>
    </row>
    <row r="1579" spans="1:20" x14ac:dyDescent="0.25">
      <c r="A1579">
        <v>244</v>
      </c>
      <c r="B1579">
        <v>513228</v>
      </c>
      <c r="C1579" t="s">
        <v>293</v>
      </c>
      <c r="D1579">
        <v>2019</v>
      </c>
      <c r="E1579">
        <v>165.25</v>
      </c>
      <c r="F1579">
        <v>5.52</v>
      </c>
      <c r="G1579" t="s">
        <v>465</v>
      </c>
      <c r="H1579">
        <v>43.599998474121087</v>
      </c>
      <c r="I1579">
        <v>23.25</v>
      </c>
      <c r="L1579" t="s">
        <v>469</v>
      </c>
      <c r="M1579">
        <v>7.8985504482103428</v>
      </c>
      <c r="N1579">
        <v>4.2119565217391308</v>
      </c>
      <c r="O1579">
        <v>166.55</v>
      </c>
      <c r="P1579">
        <v>279.8</v>
      </c>
      <c r="Q1579">
        <v>128.9</v>
      </c>
      <c r="R1579" s="2" t="s">
        <v>467</v>
      </c>
      <c r="S1579">
        <v>166.55</v>
      </c>
      <c r="T1579" t="s">
        <v>468</v>
      </c>
    </row>
    <row r="1580" spans="1:20" x14ac:dyDescent="0.25">
      <c r="A1580">
        <v>244</v>
      </c>
      <c r="B1580">
        <v>513228</v>
      </c>
      <c r="C1580" t="s">
        <v>293</v>
      </c>
      <c r="D1580">
        <v>2020</v>
      </c>
      <c r="E1580">
        <v>165.25</v>
      </c>
      <c r="F1580">
        <v>3.65</v>
      </c>
      <c r="G1580" t="s">
        <v>465</v>
      </c>
      <c r="H1580">
        <v>29.89999961853027</v>
      </c>
      <c r="I1580">
        <v>11.39999961853027</v>
      </c>
      <c r="L1580" t="s">
        <v>469</v>
      </c>
      <c r="M1580">
        <v>8.1917807174055532</v>
      </c>
      <c r="N1580">
        <v>3.1232875667206219</v>
      </c>
      <c r="O1580">
        <v>166.55</v>
      </c>
      <c r="P1580">
        <v>279.8</v>
      </c>
      <c r="Q1580">
        <v>128.9</v>
      </c>
      <c r="R1580" s="2" t="s">
        <v>467</v>
      </c>
      <c r="S1580">
        <v>166.55</v>
      </c>
      <c r="T1580" t="s">
        <v>468</v>
      </c>
    </row>
    <row r="1581" spans="1:20" x14ac:dyDescent="0.25">
      <c r="A1581">
        <v>244</v>
      </c>
      <c r="B1581">
        <v>513228</v>
      </c>
      <c r="C1581" t="s">
        <v>293</v>
      </c>
      <c r="D1581">
        <v>2021</v>
      </c>
      <c r="E1581">
        <v>165.25</v>
      </c>
      <c r="F1581">
        <v>0.18</v>
      </c>
      <c r="G1581" t="s">
        <v>465</v>
      </c>
      <c r="H1581">
        <v>42.900001525878913</v>
      </c>
      <c r="I1581">
        <v>16.25</v>
      </c>
      <c r="L1581" t="s">
        <v>484</v>
      </c>
      <c r="M1581">
        <v>238.33334181043841</v>
      </c>
      <c r="N1581">
        <v>90.277777777777786</v>
      </c>
      <c r="O1581">
        <v>166.55</v>
      </c>
      <c r="P1581">
        <v>279.8</v>
      </c>
      <c r="Q1581">
        <v>128.9</v>
      </c>
      <c r="R1581" s="2" t="s">
        <v>467</v>
      </c>
      <c r="S1581">
        <v>166.55</v>
      </c>
      <c r="T1581" t="s">
        <v>468</v>
      </c>
    </row>
    <row r="1582" spans="1:20" x14ac:dyDescent="0.25">
      <c r="A1582">
        <v>244</v>
      </c>
      <c r="B1582">
        <v>513228</v>
      </c>
      <c r="C1582" t="s">
        <v>293</v>
      </c>
      <c r="D1582">
        <v>2022</v>
      </c>
      <c r="E1582">
        <v>165.25</v>
      </c>
      <c r="F1582">
        <v>2.94</v>
      </c>
      <c r="G1582" t="s">
        <v>465</v>
      </c>
      <c r="H1582">
        <v>70.199996948242188</v>
      </c>
      <c r="I1582">
        <v>31.29999923706055</v>
      </c>
      <c r="L1582" t="s">
        <v>469</v>
      </c>
      <c r="M1582">
        <v>23.877549982395301</v>
      </c>
      <c r="N1582">
        <v>10.646258243898149</v>
      </c>
      <c r="O1582">
        <v>166.55</v>
      </c>
      <c r="P1582">
        <v>279.8</v>
      </c>
      <c r="Q1582">
        <v>128.9</v>
      </c>
      <c r="R1582" s="2" t="s">
        <v>467</v>
      </c>
      <c r="S1582">
        <v>166.55</v>
      </c>
      <c r="T1582" t="s">
        <v>468</v>
      </c>
    </row>
    <row r="1583" spans="1:20" x14ac:dyDescent="0.25">
      <c r="A1583">
        <v>244</v>
      </c>
      <c r="B1583">
        <v>513228</v>
      </c>
      <c r="C1583" t="s">
        <v>293</v>
      </c>
      <c r="D1583">
        <v>2023</v>
      </c>
      <c r="E1583">
        <v>165.25</v>
      </c>
      <c r="F1583">
        <v>5.59</v>
      </c>
      <c r="G1583" t="s">
        <v>465</v>
      </c>
      <c r="H1583">
        <v>132</v>
      </c>
      <c r="I1583">
        <v>52.5</v>
      </c>
      <c r="L1583" t="s">
        <v>469</v>
      </c>
      <c r="M1583">
        <v>23.613595706618959</v>
      </c>
      <c r="N1583">
        <v>9.3917710196779964</v>
      </c>
      <c r="O1583">
        <v>166.55</v>
      </c>
      <c r="P1583">
        <v>279.8</v>
      </c>
      <c r="Q1583">
        <v>128.9</v>
      </c>
      <c r="R1583" s="2" t="s">
        <v>467</v>
      </c>
      <c r="S1583">
        <v>166.55</v>
      </c>
      <c r="T1583" t="s">
        <v>468</v>
      </c>
    </row>
    <row r="1584" spans="1:20" x14ac:dyDescent="0.25">
      <c r="A1584">
        <v>244</v>
      </c>
      <c r="B1584">
        <v>513228</v>
      </c>
      <c r="C1584" t="s">
        <v>293</v>
      </c>
      <c r="D1584">
        <v>2024</v>
      </c>
      <c r="E1584">
        <v>165.25</v>
      </c>
      <c r="F1584">
        <v>7.29</v>
      </c>
      <c r="G1584" t="s">
        <v>465</v>
      </c>
      <c r="H1584">
        <v>227.69999694824219</v>
      </c>
      <c r="I1584">
        <v>107</v>
      </c>
      <c r="L1584" t="s">
        <v>469</v>
      </c>
      <c r="M1584">
        <v>31.2345674826121</v>
      </c>
      <c r="N1584">
        <v>14.67764060356653</v>
      </c>
      <c r="O1584">
        <v>166.55</v>
      </c>
      <c r="P1584">
        <v>279.8</v>
      </c>
      <c r="Q1584">
        <v>128.9</v>
      </c>
      <c r="R1584" s="2" t="s">
        <v>467</v>
      </c>
      <c r="S1584">
        <v>166.55</v>
      </c>
      <c r="T1584" t="s">
        <v>468</v>
      </c>
    </row>
    <row r="1585" spans="1:20" x14ac:dyDescent="0.25">
      <c r="A1585">
        <v>244</v>
      </c>
      <c r="B1585">
        <v>513228</v>
      </c>
      <c r="C1585" t="s">
        <v>293</v>
      </c>
      <c r="D1585">
        <v>2025</v>
      </c>
      <c r="E1585">
        <v>165.25</v>
      </c>
      <c r="F1585">
        <v>8.84</v>
      </c>
      <c r="G1585" t="s">
        <v>465</v>
      </c>
      <c r="H1585">
        <v>279.79998779296881</v>
      </c>
      <c r="I1585">
        <v>136.6000061035156</v>
      </c>
      <c r="L1585" t="s">
        <v>469</v>
      </c>
      <c r="M1585">
        <v>31.651582329521361</v>
      </c>
      <c r="N1585">
        <v>15.452489378225749</v>
      </c>
      <c r="O1585">
        <v>166.55</v>
      </c>
      <c r="P1585">
        <v>279.8</v>
      </c>
      <c r="Q1585">
        <v>128.9</v>
      </c>
      <c r="R1585" s="2" t="s">
        <v>467</v>
      </c>
      <c r="S1585">
        <v>166.55</v>
      </c>
      <c r="T1585" t="s">
        <v>468</v>
      </c>
    </row>
    <row r="1586" spans="1:20" x14ac:dyDescent="0.25">
      <c r="A1586">
        <v>244</v>
      </c>
      <c r="B1586">
        <v>513228</v>
      </c>
      <c r="C1586" t="s">
        <v>293</v>
      </c>
      <c r="D1586">
        <v>2026</v>
      </c>
      <c r="E1586">
        <v>165.25</v>
      </c>
      <c r="F1586">
        <v>10.29</v>
      </c>
      <c r="G1586" t="s">
        <v>465</v>
      </c>
      <c r="H1586">
        <v>213.6000061035156</v>
      </c>
      <c r="I1586">
        <v>128.8999938964844</v>
      </c>
      <c r="L1586" t="s">
        <v>469</v>
      </c>
      <c r="M1586">
        <v>20.758018085861579</v>
      </c>
      <c r="N1586">
        <v>12.526724382554359</v>
      </c>
      <c r="O1586">
        <v>166.55</v>
      </c>
      <c r="P1586">
        <v>279.8</v>
      </c>
      <c r="Q1586">
        <v>128.9</v>
      </c>
      <c r="R1586" s="2" t="s">
        <v>467</v>
      </c>
      <c r="S1586">
        <v>166.55</v>
      </c>
      <c r="T1586" t="s">
        <v>468</v>
      </c>
    </row>
    <row r="1587" spans="1:20" x14ac:dyDescent="0.25">
      <c r="A1587">
        <v>245</v>
      </c>
      <c r="B1587">
        <v>513250</v>
      </c>
      <c r="C1587" t="s">
        <v>295</v>
      </c>
      <c r="D1587">
        <v>2015</v>
      </c>
      <c r="E1587">
        <v>11.19999980926514</v>
      </c>
      <c r="F1587">
        <v>-23.11</v>
      </c>
      <c r="G1587" t="s">
        <v>465</v>
      </c>
      <c r="H1587">
        <v>42.299999237060547</v>
      </c>
      <c r="L1587" t="s">
        <v>471</v>
      </c>
      <c r="M1587">
        <v>-1.83037642739336</v>
      </c>
      <c r="O1587">
        <v>10.9</v>
      </c>
      <c r="P1587">
        <v>28.18</v>
      </c>
      <c r="Q1587">
        <v>7.92</v>
      </c>
      <c r="R1587" s="2" t="s">
        <v>467</v>
      </c>
      <c r="S1587">
        <v>10.9</v>
      </c>
      <c r="T1587" t="s">
        <v>468</v>
      </c>
    </row>
    <row r="1588" spans="1:20" x14ac:dyDescent="0.25">
      <c r="A1588">
        <v>245</v>
      </c>
      <c r="B1588">
        <v>513250</v>
      </c>
      <c r="C1588" t="s">
        <v>295</v>
      </c>
      <c r="D1588">
        <v>2016</v>
      </c>
      <c r="E1588">
        <v>11.19999980926514</v>
      </c>
      <c r="F1588">
        <v>-41.12</v>
      </c>
      <c r="G1588" t="s">
        <v>465</v>
      </c>
      <c r="H1588">
        <v>19.39999961853027</v>
      </c>
      <c r="I1588">
        <v>8.3000001907348633</v>
      </c>
      <c r="L1588" t="s">
        <v>471</v>
      </c>
      <c r="M1588">
        <v>-0.47178987399149491</v>
      </c>
      <c r="N1588">
        <v>-0.20184825366573109</v>
      </c>
      <c r="O1588">
        <v>10.9</v>
      </c>
      <c r="P1588">
        <v>28.18</v>
      </c>
      <c r="Q1588">
        <v>7.92</v>
      </c>
      <c r="R1588" s="2" t="s">
        <v>467</v>
      </c>
      <c r="S1588">
        <v>10.9</v>
      </c>
      <c r="T1588" t="s">
        <v>468</v>
      </c>
    </row>
    <row r="1589" spans="1:20" x14ac:dyDescent="0.25">
      <c r="A1589">
        <v>245</v>
      </c>
      <c r="B1589">
        <v>513250</v>
      </c>
      <c r="C1589" t="s">
        <v>295</v>
      </c>
      <c r="D1589">
        <v>2017</v>
      </c>
      <c r="E1589">
        <v>11.19999980926514</v>
      </c>
      <c r="G1589" t="s">
        <v>465</v>
      </c>
      <c r="H1589">
        <v>15.30000019073486</v>
      </c>
      <c r="I1589">
        <v>6.9800000190734863</v>
      </c>
      <c r="L1589" t="s">
        <v>466</v>
      </c>
      <c r="O1589">
        <v>10.9</v>
      </c>
      <c r="P1589">
        <v>28.18</v>
      </c>
      <c r="Q1589">
        <v>7.92</v>
      </c>
      <c r="R1589" s="2" t="s">
        <v>467</v>
      </c>
      <c r="S1589">
        <v>10.9</v>
      </c>
      <c r="T1589" t="s">
        <v>468</v>
      </c>
    </row>
    <row r="1590" spans="1:20" x14ac:dyDescent="0.25">
      <c r="A1590">
        <v>245</v>
      </c>
      <c r="B1590">
        <v>513250</v>
      </c>
      <c r="C1590" t="s">
        <v>295</v>
      </c>
      <c r="D1590">
        <v>2018</v>
      </c>
      <c r="E1590">
        <v>11.19999980926514</v>
      </c>
      <c r="F1590">
        <v>-245.22</v>
      </c>
      <c r="G1590" t="s">
        <v>465</v>
      </c>
      <c r="H1590">
        <v>15.539999961853029</v>
      </c>
      <c r="I1590">
        <v>1.7300000190734861</v>
      </c>
      <c r="L1590" t="s">
        <v>471</v>
      </c>
      <c r="M1590">
        <v>-6.3371666103307356E-2</v>
      </c>
      <c r="N1590">
        <v>-7.0548895647723929E-3</v>
      </c>
      <c r="O1590">
        <v>10.9</v>
      </c>
      <c r="P1590">
        <v>28.18</v>
      </c>
      <c r="Q1590">
        <v>7.92</v>
      </c>
      <c r="R1590" s="2" t="s">
        <v>467</v>
      </c>
      <c r="S1590">
        <v>10.9</v>
      </c>
      <c r="T1590" t="s">
        <v>468</v>
      </c>
    </row>
    <row r="1591" spans="1:20" x14ac:dyDescent="0.25">
      <c r="A1591">
        <v>245</v>
      </c>
      <c r="B1591">
        <v>513250</v>
      </c>
      <c r="C1591" t="s">
        <v>295</v>
      </c>
      <c r="D1591">
        <v>2019</v>
      </c>
      <c r="E1591">
        <v>11.19999980926514</v>
      </c>
      <c r="F1591">
        <v>-104.17</v>
      </c>
      <c r="G1591" t="s">
        <v>465</v>
      </c>
      <c r="H1591">
        <v>4.429999828338623</v>
      </c>
      <c r="L1591" t="s">
        <v>471</v>
      </c>
      <c r="M1591">
        <v>-4.2526637499650792E-2</v>
      </c>
      <c r="O1591">
        <v>10.9</v>
      </c>
      <c r="P1591">
        <v>28.18</v>
      </c>
      <c r="Q1591">
        <v>7.92</v>
      </c>
      <c r="R1591" s="2" t="s">
        <v>467</v>
      </c>
      <c r="S1591">
        <v>10.9</v>
      </c>
      <c r="T1591" t="s">
        <v>468</v>
      </c>
    </row>
    <row r="1592" spans="1:20" x14ac:dyDescent="0.25">
      <c r="A1592">
        <v>245</v>
      </c>
      <c r="B1592">
        <v>513250</v>
      </c>
      <c r="C1592" t="s">
        <v>295</v>
      </c>
      <c r="D1592">
        <v>2020</v>
      </c>
      <c r="E1592">
        <v>11.19999980926514</v>
      </c>
      <c r="F1592">
        <v>-135.94999999999999</v>
      </c>
      <c r="G1592" t="s">
        <v>465</v>
      </c>
      <c r="H1592">
        <v>6.3000001907348633</v>
      </c>
      <c r="I1592">
        <v>1.419999957084656</v>
      </c>
      <c r="L1592" t="s">
        <v>471</v>
      </c>
      <c r="M1592">
        <v>-4.634056778767829E-2</v>
      </c>
      <c r="N1592">
        <v>-1.044501623453223E-2</v>
      </c>
      <c r="O1592">
        <v>10.9</v>
      </c>
      <c r="P1592">
        <v>28.18</v>
      </c>
      <c r="Q1592">
        <v>7.92</v>
      </c>
      <c r="R1592" s="2" t="s">
        <v>467</v>
      </c>
      <c r="S1592">
        <v>10.9</v>
      </c>
      <c r="T1592" t="s">
        <v>468</v>
      </c>
    </row>
    <row r="1593" spans="1:20" x14ac:dyDescent="0.25">
      <c r="A1593">
        <v>245</v>
      </c>
      <c r="B1593">
        <v>513250</v>
      </c>
      <c r="C1593" t="s">
        <v>295</v>
      </c>
      <c r="D1593">
        <v>2021</v>
      </c>
      <c r="E1593">
        <v>11.19999980926514</v>
      </c>
      <c r="F1593">
        <v>-102.67</v>
      </c>
      <c r="G1593" t="s">
        <v>465</v>
      </c>
      <c r="H1593">
        <v>22.04999923706055</v>
      </c>
      <c r="I1593">
        <v>3.8499999046325679</v>
      </c>
      <c r="L1593" t="s">
        <v>471</v>
      </c>
      <c r="M1593">
        <v>-0.21476574692763761</v>
      </c>
      <c r="N1593">
        <v>-3.7498781578188048E-2</v>
      </c>
      <c r="O1593">
        <v>10.9</v>
      </c>
      <c r="P1593">
        <v>28.18</v>
      </c>
      <c r="Q1593">
        <v>7.92</v>
      </c>
      <c r="R1593" s="2" t="s">
        <v>467</v>
      </c>
      <c r="S1593">
        <v>10.9</v>
      </c>
      <c r="T1593" t="s">
        <v>468</v>
      </c>
    </row>
    <row r="1594" spans="1:20" x14ac:dyDescent="0.25">
      <c r="A1594">
        <v>245</v>
      </c>
      <c r="B1594">
        <v>513250</v>
      </c>
      <c r="C1594" t="s">
        <v>295</v>
      </c>
      <c r="D1594">
        <v>2022</v>
      </c>
      <c r="E1594">
        <v>11.19999980926514</v>
      </c>
      <c r="F1594">
        <v>-0.43</v>
      </c>
      <c r="G1594" t="s">
        <v>465</v>
      </c>
      <c r="H1594">
        <v>25.95000076293945</v>
      </c>
      <c r="I1594">
        <v>11.39999961853027</v>
      </c>
      <c r="L1594" t="s">
        <v>471</v>
      </c>
      <c r="M1594">
        <v>-60.348838983580123</v>
      </c>
      <c r="N1594">
        <v>-26.511627019837839</v>
      </c>
      <c r="O1594">
        <v>10.9</v>
      </c>
      <c r="P1594">
        <v>28.18</v>
      </c>
      <c r="Q1594">
        <v>7.92</v>
      </c>
      <c r="R1594" s="2" t="s">
        <v>467</v>
      </c>
      <c r="S1594">
        <v>10.9</v>
      </c>
      <c r="T1594" t="s">
        <v>468</v>
      </c>
    </row>
    <row r="1595" spans="1:20" x14ac:dyDescent="0.25">
      <c r="A1595">
        <v>245</v>
      </c>
      <c r="B1595">
        <v>513250</v>
      </c>
      <c r="C1595" t="s">
        <v>295</v>
      </c>
      <c r="D1595">
        <v>2023</v>
      </c>
      <c r="E1595">
        <v>11.19999980926514</v>
      </c>
      <c r="F1595">
        <v>-0.04</v>
      </c>
      <c r="G1595" t="s">
        <v>465</v>
      </c>
      <c r="H1595">
        <v>20.889999389648441</v>
      </c>
      <c r="I1595">
        <v>5.179999828338623</v>
      </c>
      <c r="L1595" t="s">
        <v>471</v>
      </c>
      <c r="M1595">
        <v>-522.24998474121105</v>
      </c>
      <c r="N1595">
        <v>-129.4999957084656</v>
      </c>
      <c r="O1595">
        <v>10.9</v>
      </c>
      <c r="P1595">
        <v>28.18</v>
      </c>
      <c r="Q1595">
        <v>7.92</v>
      </c>
      <c r="R1595" s="2" t="s">
        <v>467</v>
      </c>
      <c r="S1595">
        <v>10.9</v>
      </c>
      <c r="T1595" t="s">
        <v>468</v>
      </c>
    </row>
    <row r="1596" spans="1:20" x14ac:dyDescent="0.25">
      <c r="A1596">
        <v>245</v>
      </c>
      <c r="B1596">
        <v>513250</v>
      </c>
      <c r="C1596" t="s">
        <v>295</v>
      </c>
      <c r="D1596">
        <v>2024</v>
      </c>
      <c r="E1596">
        <v>11.19999980926514</v>
      </c>
      <c r="F1596">
        <v>0.25</v>
      </c>
      <c r="G1596" t="s">
        <v>465</v>
      </c>
      <c r="H1596">
        <v>41.360000610351563</v>
      </c>
      <c r="I1596">
        <v>18.348905563354489</v>
      </c>
      <c r="L1596" t="s">
        <v>484</v>
      </c>
      <c r="M1596">
        <v>165.44000244140619</v>
      </c>
      <c r="N1596">
        <v>73.395622253417955</v>
      </c>
      <c r="O1596">
        <v>10.9</v>
      </c>
      <c r="P1596">
        <v>28.18</v>
      </c>
      <c r="Q1596">
        <v>7.92</v>
      </c>
      <c r="R1596" s="2" t="s">
        <v>467</v>
      </c>
      <c r="S1596">
        <v>10.9</v>
      </c>
      <c r="T1596" t="s">
        <v>468</v>
      </c>
    </row>
    <row r="1597" spans="1:20" x14ac:dyDescent="0.25">
      <c r="A1597">
        <v>245</v>
      </c>
      <c r="B1597">
        <v>513250</v>
      </c>
      <c r="C1597" t="s">
        <v>295</v>
      </c>
      <c r="D1597">
        <v>2025</v>
      </c>
      <c r="E1597">
        <v>11.19999980926514</v>
      </c>
      <c r="F1597">
        <v>0.3</v>
      </c>
      <c r="G1597" t="s">
        <v>465</v>
      </c>
      <c r="H1597">
        <v>28.930000305175781</v>
      </c>
      <c r="I1597">
        <v>9.0100002288818359</v>
      </c>
      <c r="L1597" t="s">
        <v>484</v>
      </c>
      <c r="M1597">
        <v>96.433334350585938</v>
      </c>
      <c r="N1597">
        <v>30.033334096272789</v>
      </c>
      <c r="O1597">
        <v>10.9</v>
      </c>
      <c r="P1597">
        <v>28.18</v>
      </c>
      <c r="Q1597">
        <v>7.92</v>
      </c>
      <c r="R1597" s="2" t="s">
        <v>467</v>
      </c>
      <c r="S1597">
        <v>10.9</v>
      </c>
      <c r="T1597" t="s">
        <v>468</v>
      </c>
    </row>
    <row r="1598" spans="1:20" x14ac:dyDescent="0.25">
      <c r="A1598">
        <v>245</v>
      </c>
      <c r="B1598">
        <v>513250</v>
      </c>
      <c r="C1598" t="s">
        <v>295</v>
      </c>
      <c r="D1598">
        <v>2026</v>
      </c>
      <c r="E1598">
        <v>11.19999980926514</v>
      </c>
      <c r="F1598">
        <v>0.47</v>
      </c>
      <c r="G1598" t="s">
        <v>465</v>
      </c>
      <c r="H1598">
        <v>14.409999847412109</v>
      </c>
      <c r="I1598">
        <v>7.9200000762939453</v>
      </c>
      <c r="L1598" t="s">
        <v>484</v>
      </c>
      <c r="M1598">
        <v>30.659574143430021</v>
      </c>
      <c r="N1598">
        <v>16.851063992114781</v>
      </c>
      <c r="O1598">
        <v>10.9</v>
      </c>
      <c r="P1598">
        <v>28.18</v>
      </c>
      <c r="Q1598">
        <v>7.92</v>
      </c>
      <c r="R1598" s="2" t="s">
        <v>467</v>
      </c>
      <c r="S1598">
        <v>10.9</v>
      </c>
      <c r="T1598" t="s">
        <v>468</v>
      </c>
    </row>
    <row r="1599" spans="1:20" x14ac:dyDescent="0.25">
      <c r="A1599">
        <v>246</v>
      </c>
      <c r="B1599">
        <v>513262</v>
      </c>
      <c r="C1599" t="s">
        <v>297</v>
      </c>
      <c r="D1599">
        <v>2015</v>
      </c>
      <c r="E1599">
        <v>293.95001220703119</v>
      </c>
      <c r="G1599" t="s">
        <v>465</v>
      </c>
      <c r="H1599">
        <v>45.799999237060547</v>
      </c>
      <c r="I1599">
        <v>25.45000076293945</v>
      </c>
      <c r="L1599" t="s">
        <v>466</v>
      </c>
      <c r="O1599">
        <v>300.36</v>
      </c>
      <c r="P1599">
        <v>304.08</v>
      </c>
      <c r="Q1599">
        <v>169</v>
      </c>
      <c r="R1599" s="2" t="s">
        <v>467</v>
      </c>
      <c r="S1599">
        <v>300.36</v>
      </c>
      <c r="T1599" t="s">
        <v>468</v>
      </c>
    </row>
    <row r="1600" spans="1:20" x14ac:dyDescent="0.25">
      <c r="A1600">
        <v>246</v>
      </c>
      <c r="B1600">
        <v>513262</v>
      </c>
      <c r="C1600" t="s">
        <v>297</v>
      </c>
      <c r="D1600">
        <v>2016</v>
      </c>
      <c r="E1600">
        <v>293.95001220703119</v>
      </c>
      <c r="G1600" t="s">
        <v>465</v>
      </c>
      <c r="H1600">
        <v>77.5</v>
      </c>
      <c r="I1600">
        <v>28.39999961853027</v>
      </c>
      <c r="L1600" t="s">
        <v>466</v>
      </c>
      <c r="O1600">
        <v>300.36</v>
      </c>
      <c r="P1600">
        <v>304.08</v>
      </c>
      <c r="Q1600">
        <v>169</v>
      </c>
      <c r="R1600" s="2" t="s">
        <v>467</v>
      </c>
      <c r="S1600">
        <v>300.36</v>
      </c>
      <c r="T1600" t="s">
        <v>468</v>
      </c>
    </row>
    <row r="1601" spans="1:20" x14ac:dyDescent="0.25">
      <c r="A1601">
        <v>246</v>
      </c>
      <c r="B1601">
        <v>513262</v>
      </c>
      <c r="C1601" t="s">
        <v>297</v>
      </c>
      <c r="D1601">
        <v>2017</v>
      </c>
      <c r="E1601">
        <v>293.95001220703119</v>
      </c>
      <c r="G1601" t="s">
        <v>465</v>
      </c>
      <c r="H1601">
        <v>116.5749969482422</v>
      </c>
      <c r="I1601">
        <v>62.845001220703118</v>
      </c>
      <c r="L1601" t="s">
        <v>466</v>
      </c>
      <c r="O1601">
        <v>300.36</v>
      </c>
      <c r="P1601">
        <v>304.08</v>
      </c>
      <c r="Q1601">
        <v>169</v>
      </c>
      <c r="R1601" s="2" t="s">
        <v>467</v>
      </c>
      <c r="S1601">
        <v>300.36</v>
      </c>
      <c r="T1601" t="s">
        <v>468</v>
      </c>
    </row>
    <row r="1602" spans="1:20" x14ac:dyDescent="0.25">
      <c r="A1602">
        <v>246</v>
      </c>
      <c r="B1602">
        <v>513262</v>
      </c>
      <c r="C1602" t="s">
        <v>297</v>
      </c>
      <c r="D1602">
        <v>2018</v>
      </c>
      <c r="E1602">
        <v>293.95001220703119</v>
      </c>
      <c r="G1602" t="s">
        <v>465</v>
      </c>
      <c r="H1602">
        <v>147.3699951171875</v>
      </c>
      <c r="I1602">
        <v>93</v>
      </c>
      <c r="L1602" t="s">
        <v>466</v>
      </c>
      <c r="O1602">
        <v>300.36</v>
      </c>
      <c r="P1602">
        <v>304.08</v>
      </c>
      <c r="Q1602">
        <v>169</v>
      </c>
      <c r="R1602" s="2" t="s">
        <v>467</v>
      </c>
      <c r="S1602">
        <v>300.36</v>
      </c>
      <c r="T1602" t="s">
        <v>468</v>
      </c>
    </row>
    <row r="1603" spans="1:20" x14ac:dyDescent="0.25">
      <c r="A1603">
        <v>246</v>
      </c>
      <c r="B1603">
        <v>513262</v>
      </c>
      <c r="C1603" t="s">
        <v>297</v>
      </c>
      <c r="D1603">
        <v>2019</v>
      </c>
      <c r="E1603">
        <v>293.95001220703119</v>
      </c>
      <c r="G1603" t="s">
        <v>465</v>
      </c>
      <c r="H1603">
        <v>94.199996948242188</v>
      </c>
      <c r="I1603">
        <v>72</v>
      </c>
      <c r="L1603" t="s">
        <v>466</v>
      </c>
      <c r="O1603">
        <v>300.36</v>
      </c>
      <c r="P1603">
        <v>304.08</v>
      </c>
      <c r="Q1603">
        <v>169</v>
      </c>
      <c r="R1603" s="2" t="s">
        <v>467</v>
      </c>
      <c r="S1603">
        <v>300.36</v>
      </c>
      <c r="T1603" t="s">
        <v>468</v>
      </c>
    </row>
    <row r="1604" spans="1:20" x14ac:dyDescent="0.25">
      <c r="A1604">
        <v>246</v>
      </c>
      <c r="B1604">
        <v>513262</v>
      </c>
      <c r="C1604" t="s">
        <v>297</v>
      </c>
      <c r="D1604">
        <v>2020</v>
      </c>
      <c r="E1604">
        <v>293.95001220703119</v>
      </c>
      <c r="G1604" t="s">
        <v>465</v>
      </c>
      <c r="H1604">
        <v>77.5</v>
      </c>
      <c r="I1604">
        <v>31.735000610351559</v>
      </c>
      <c r="L1604" t="s">
        <v>466</v>
      </c>
      <c r="O1604">
        <v>300.36</v>
      </c>
      <c r="P1604">
        <v>304.08</v>
      </c>
      <c r="Q1604">
        <v>169</v>
      </c>
      <c r="R1604" s="2" t="s">
        <v>467</v>
      </c>
      <c r="S1604">
        <v>300.36</v>
      </c>
      <c r="T1604" t="s">
        <v>468</v>
      </c>
    </row>
    <row r="1605" spans="1:20" x14ac:dyDescent="0.25">
      <c r="A1605">
        <v>246</v>
      </c>
      <c r="B1605">
        <v>513262</v>
      </c>
      <c r="C1605" t="s">
        <v>297</v>
      </c>
      <c r="D1605">
        <v>2021</v>
      </c>
      <c r="E1605">
        <v>293.95001220703119</v>
      </c>
      <c r="G1605" t="s">
        <v>465</v>
      </c>
      <c r="H1605">
        <v>199</v>
      </c>
      <c r="I1605">
        <v>52.700000762939453</v>
      </c>
      <c r="L1605" t="s">
        <v>466</v>
      </c>
      <c r="O1605">
        <v>300.36</v>
      </c>
      <c r="P1605">
        <v>304.08</v>
      </c>
      <c r="Q1605">
        <v>169</v>
      </c>
      <c r="R1605" s="2" t="s">
        <v>467</v>
      </c>
      <c r="S1605">
        <v>300.36</v>
      </c>
      <c r="T1605" t="s">
        <v>468</v>
      </c>
    </row>
    <row r="1606" spans="1:20" x14ac:dyDescent="0.25">
      <c r="A1606">
        <v>246</v>
      </c>
      <c r="B1606">
        <v>513262</v>
      </c>
      <c r="C1606" t="s">
        <v>297</v>
      </c>
      <c r="D1606">
        <v>2022</v>
      </c>
      <c r="E1606">
        <v>293.95001220703119</v>
      </c>
      <c r="F1606">
        <v>13.16</v>
      </c>
      <c r="G1606" t="s">
        <v>465</v>
      </c>
      <c r="H1606">
        <v>189.69000244140619</v>
      </c>
      <c r="I1606">
        <v>135.7200012207031</v>
      </c>
      <c r="L1606" t="s">
        <v>469</v>
      </c>
      <c r="M1606">
        <v>14.41413392411901</v>
      </c>
      <c r="N1606">
        <v>10.31307000157318</v>
      </c>
      <c r="O1606">
        <v>300.36</v>
      </c>
      <c r="P1606">
        <v>304.08</v>
      </c>
      <c r="Q1606">
        <v>169</v>
      </c>
      <c r="R1606" s="2" t="s">
        <v>467</v>
      </c>
      <c r="S1606">
        <v>300.36</v>
      </c>
      <c r="T1606" t="s">
        <v>468</v>
      </c>
    </row>
    <row r="1607" spans="1:20" x14ac:dyDescent="0.25">
      <c r="A1607">
        <v>246</v>
      </c>
      <c r="B1607">
        <v>513262</v>
      </c>
      <c r="C1607" t="s">
        <v>297</v>
      </c>
      <c r="D1607">
        <v>2023</v>
      </c>
      <c r="E1607">
        <v>293.95001220703119</v>
      </c>
      <c r="F1607">
        <v>12.38</v>
      </c>
      <c r="G1607" t="s">
        <v>465</v>
      </c>
      <c r="H1607">
        <v>298.89999389648438</v>
      </c>
      <c r="I1607">
        <v>126.1999969482422</v>
      </c>
      <c r="L1607" t="s">
        <v>469</v>
      </c>
      <c r="M1607">
        <v>24.143779797777409</v>
      </c>
      <c r="N1607">
        <v>10.193860819728769</v>
      </c>
      <c r="O1607">
        <v>300.36</v>
      </c>
      <c r="P1607">
        <v>304.08</v>
      </c>
      <c r="Q1607">
        <v>169</v>
      </c>
      <c r="R1607" s="2" t="s">
        <v>467</v>
      </c>
      <c r="S1607">
        <v>300.36</v>
      </c>
      <c r="T1607" t="s">
        <v>468</v>
      </c>
    </row>
    <row r="1608" spans="1:20" x14ac:dyDescent="0.25">
      <c r="A1608">
        <v>246</v>
      </c>
      <c r="B1608">
        <v>513262</v>
      </c>
      <c r="C1608" t="s">
        <v>297</v>
      </c>
      <c r="D1608">
        <v>2024</v>
      </c>
      <c r="E1608">
        <v>293.95001220703119</v>
      </c>
      <c r="F1608">
        <v>42.99</v>
      </c>
      <c r="G1608" t="s">
        <v>465</v>
      </c>
      <c r="H1608">
        <v>289.14999389648438</v>
      </c>
      <c r="I1608">
        <v>189</v>
      </c>
      <c r="L1608" t="s">
        <v>469</v>
      </c>
      <c r="M1608">
        <v>6.7259826447193376</v>
      </c>
      <c r="N1608">
        <v>4.3963712491277036</v>
      </c>
      <c r="O1608">
        <v>300.36</v>
      </c>
      <c r="P1608">
        <v>304.08</v>
      </c>
      <c r="Q1608">
        <v>169</v>
      </c>
      <c r="R1608" s="2" t="s">
        <v>467</v>
      </c>
      <c r="S1608">
        <v>300.36</v>
      </c>
      <c r="T1608" t="s">
        <v>468</v>
      </c>
    </row>
    <row r="1609" spans="1:20" x14ac:dyDescent="0.25">
      <c r="A1609">
        <v>246</v>
      </c>
      <c r="B1609">
        <v>513262</v>
      </c>
      <c r="C1609" t="s">
        <v>297</v>
      </c>
      <c r="D1609">
        <v>2025</v>
      </c>
      <c r="E1609">
        <v>293.95001220703119</v>
      </c>
      <c r="F1609">
        <v>12.44</v>
      </c>
      <c r="G1609" t="s">
        <v>465</v>
      </c>
      <c r="H1609">
        <v>279.60000610351563</v>
      </c>
      <c r="I1609">
        <v>167.5</v>
      </c>
      <c r="L1609" t="s">
        <v>469</v>
      </c>
      <c r="M1609">
        <v>22.475884735009291</v>
      </c>
      <c r="N1609">
        <v>13.46463022508039</v>
      </c>
      <c r="O1609">
        <v>300.36</v>
      </c>
      <c r="P1609">
        <v>304.08</v>
      </c>
      <c r="Q1609">
        <v>169</v>
      </c>
      <c r="R1609" s="2" t="s">
        <v>467</v>
      </c>
      <c r="S1609">
        <v>300.36</v>
      </c>
      <c r="T1609" t="s">
        <v>468</v>
      </c>
    </row>
    <row r="1610" spans="1:20" x14ac:dyDescent="0.25">
      <c r="A1610">
        <v>246</v>
      </c>
      <c r="B1610">
        <v>513262</v>
      </c>
      <c r="C1610" t="s">
        <v>297</v>
      </c>
      <c r="D1610">
        <v>2026</v>
      </c>
      <c r="E1610">
        <v>293.95001220703119</v>
      </c>
      <c r="F1610">
        <v>12.1</v>
      </c>
      <c r="G1610" t="s">
        <v>465</v>
      </c>
      <c r="H1610">
        <v>303.54998779296881</v>
      </c>
      <c r="I1610">
        <v>169</v>
      </c>
      <c r="L1610" t="s">
        <v>469</v>
      </c>
      <c r="M1610">
        <v>25.086775850658579</v>
      </c>
      <c r="N1610">
        <v>13.96694214876033</v>
      </c>
      <c r="O1610">
        <v>300.36</v>
      </c>
      <c r="P1610">
        <v>304.08</v>
      </c>
      <c r="Q1610">
        <v>169</v>
      </c>
      <c r="R1610" s="2" t="s">
        <v>467</v>
      </c>
      <c r="S1610">
        <v>300.36</v>
      </c>
      <c r="T1610" t="s">
        <v>468</v>
      </c>
    </row>
    <row r="1611" spans="1:20" x14ac:dyDescent="0.25">
      <c r="A1611">
        <v>247</v>
      </c>
      <c r="B1611">
        <v>513269</v>
      </c>
      <c r="C1611" t="s">
        <v>299</v>
      </c>
      <c r="D1611">
        <v>2015</v>
      </c>
      <c r="E1611">
        <v>525</v>
      </c>
      <c r="F1611">
        <v>8.82</v>
      </c>
      <c r="G1611" t="s">
        <v>465</v>
      </c>
      <c r="H1611">
        <v>128.3999938964844</v>
      </c>
      <c r="I1611">
        <v>44.400001525878913</v>
      </c>
      <c r="L1611" t="s">
        <v>469</v>
      </c>
      <c r="M1611">
        <v>14.55782243724313</v>
      </c>
      <c r="N1611">
        <v>5.0340137784443213</v>
      </c>
      <c r="O1611">
        <v>15.14</v>
      </c>
      <c r="P1611">
        <v>24</v>
      </c>
      <c r="Q1611">
        <v>9.65</v>
      </c>
      <c r="R1611" s="3" t="s">
        <v>470</v>
      </c>
      <c r="S1611">
        <v>15.14</v>
      </c>
      <c r="T1611" t="s">
        <v>468</v>
      </c>
    </row>
    <row r="1612" spans="1:20" x14ac:dyDescent="0.25">
      <c r="A1612">
        <v>247</v>
      </c>
      <c r="B1612">
        <v>513269</v>
      </c>
      <c r="C1612" t="s">
        <v>299</v>
      </c>
      <c r="D1612">
        <v>2016</v>
      </c>
      <c r="E1612">
        <v>525</v>
      </c>
      <c r="F1612">
        <v>15.14</v>
      </c>
      <c r="G1612" t="s">
        <v>465</v>
      </c>
      <c r="H1612">
        <v>98.400001525878906</v>
      </c>
      <c r="I1612">
        <v>42.099998474121087</v>
      </c>
      <c r="L1612" t="s">
        <v>469</v>
      </c>
      <c r="M1612">
        <v>6.4993395988030978</v>
      </c>
      <c r="N1612">
        <v>2.7807132413554219</v>
      </c>
      <c r="O1612">
        <v>15.14</v>
      </c>
      <c r="P1612">
        <v>24</v>
      </c>
      <c r="Q1612">
        <v>9.65</v>
      </c>
      <c r="R1612" s="3" t="s">
        <v>470</v>
      </c>
      <c r="S1612">
        <v>15.14</v>
      </c>
      <c r="T1612" t="s">
        <v>468</v>
      </c>
    </row>
    <row r="1613" spans="1:20" x14ac:dyDescent="0.25">
      <c r="A1613">
        <v>247</v>
      </c>
      <c r="B1613">
        <v>513269</v>
      </c>
      <c r="C1613" t="s">
        <v>299</v>
      </c>
      <c r="D1613">
        <v>2017</v>
      </c>
      <c r="E1613">
        <v>525</v>
      </c>
      <c r="F1613">
        <v>5.88</v>
      </c>
      <c r="G1613" t="s">
        <v>465</v>
      </c>
      <c r="H1613">
        <v>137.19999694824219</v>
      </c>
      <c r="I1613">
        <v>45.400001525878913</v>
      </c>
      <c r="L1613" t="s">
        <v>469</v>
      </c>
      <c r="M1613">
        <v>23.333332814326901</v>
      </c>
      <c r="N1613">
        <v>7.7210886948773663</v>
      </c>
      <c r="O1613">
        <v>15.14</v>
      </c>
      <c r="P1613">
        <v>24</v>
      </c>
      <c r="Q1613">
        <v>9.65</v>
      </c>
      <c r="R1613" s="3" t="s">
        <v>470</v>
      </c>
      <c r="S1613">
        <v>15.14</v>
      </c>
      <c r="T1613" t="s">
        <v>468</v>
      </c>
    </row>
    <row r="1614" spans="1:20" x14ac:dyDescent="0.25">
      <c r="A1614">
        <v>247</v>
      </c>
      <c r="B1614">
        <v>513269</v>
      </c>
      <c r="C1614" t="s">
        <v>299</v>
      </c>
      <c r="D1614">
        <v>2018</v>
      </c>
      <c r="E1614">
        <v>525</v>
      </c>
      <c r="F1614">
        <v>11.15</v>
      </c>
      <c r="G1614" t="s">
        <v>465</v>
      </c>
      <c r="H1614">
        <v>159.25</v>
      </c>
      <c r="I1614">
        <v>66.699996948242188</v>
      </c>
      <c r="L1614" t="s">
        <v>469</v>
      </c>
      <c r="M1614">
        <v>14.28251121076233</v>
      </c>
      <c r="N1614">
        <v>5.9820625065688056</v>
      </c>
      <c r="O1614">
        <v>15.14</v>
      </c>
      <c r="P1614">
        <v>24</v>
      </c>
      <c r="Q1614">
        <v>9.65</v>
      </c>
      <c r="R1614" s="3" t="s">
        <v>470</v>
      </c>
      <c r="S1614">
        <v>15.14</v>
      </c>
      <c r="T1614" t="s">
        <v>468</v>
      </c>
    </row>
    <row r="1615" spans="1:20" x14ac:dyDescent="0.25">
      <c r="A1615">
        <v>247</v>
      </c>
      <c r="B1615">
        <v>513269</v>
      </c>
      <c r="C1615" t="s">
        <v>299</v>
      </c>
      <c r="D1615">
        <v>2019</v>
      </c>
      <c r="E1615">
        <v>525</v>
      </c>
      <c r="F1615">
        <v>10.3</v>
      </c>
      <c r="G1615" t="s">
        <v>465</v>
      </c>
      <c r="H1615">
        <v>74.300003051757813</v>
      </c>
      <c r="I1615">
        <v>34.549999237060547</v>
      </c>
      <c r="L1615" t="s">
        <v>469</v>
      </c>
      <c r="M1615">
        <v>7.2135925292968741</v>
      </c>
      <c r="N1615">
        <v>3.3543688579670432</v>
      </c>
      <c r="O1615">
        <v>15.14</v>
      </c>
      <c r="P1615">
        <v>24</v>
      </c>
      <c r="Q1615">
        <v>9.65</v>
      </c>
      <c r="R1615" s="3" t="s">
        <v>470</v>
      </c>
      <c r="S1615">
        <v>15.14</v>
      </c>
      <c r="T1615" t="s">
        <v>468</v>
      </c>
    </row>
    <row r="1616" spans="1:20" x14ac:dyDescent="0.25">
      <c r="A1616">
        <v>247</v>
      </c>
      <c r="B1616">
        <v>513269</v>
      </c>
      <c r="C1616" t="s">
        <v>299</v>
      </c>
      <c r="D1616">
        <v>2020</v>
      </c>
      <c r="E1616">
        <v>525</v>
      </c>
      <c r="F1616">
        <v>9.7200000000000006</v>
      </c>
      <c r="G1616" t="s">
        <v>465</v>
      </c>
      <c r="H1616">
        <v>92.699996948242188</v>
      </c>
      <c r="I1616">
        <v>31</v>
      </c>
      <c r="L1616" t="s">
        <v>469</v>
      </c>
      <c r="M1616">
        <v>9.5370367230701838</v>
      </c>
      <c r="N1616">
        <v>3.189300411522634</v>
      </c>
      <c r="O1616">
        <v>15.14</v>
      </c>
      <c r="P1616">
        <v>24</v>
      </c>
      <c r="Q1616">
        <v>9.65</v>
      </c>
      <c r="R1616" s="3" t="s">
        <v>470</v>
      </c>
      <c r="S1616">
        <v>15.14</v>
      </c>
      <c r="T1616" t="s">
        <v>468</v>
      </c>
    </row>
    <row r="1617" spans="1:20" x14ac:dyDescent="0.25">
      <c r="A1617">
        <v>247</v>
      </c>
      <c r="B1617">
        <v>513269</v>
      </c>
      <c r="C1617" t="s">
        <v>299</v>
      </c>
      <c r="D1617">
        <v>2021</v>
      </c>
      <c r="E1617">
        <v>525</v>
      </c>
      <c r="F1617">
        <v>17.66</v>
      </c>
      <c r="G1617" t="s">
        <v>465</v>
      </c>
      <c r="H1617">
        <v>147.1499938964844</v>
      </c>
      <c r="I1617">
        <v>71.300003051757813</v>
      </c>
      <c r="L1617" t="s">
        <v>469</v>
      </c>
      <c r="M1617">
        <v>8.3323892353615179</v>
      </c>
      <c r="N1617">
        <v>4.0373727662377021</v>
      </c>
      <c r="O1617">
        <v>15.14</v>
      </c>
      <c r="P1617">
        <v>24</v>
      </c>
      <c r="Q1617">
        <v>9.65</v>
      </c>
      <c r="R1617" s="3" t="s">
        <v>470</v>
      </c>
      <c r="S1617">
        <v>15.14</v>
      </c>
      <c r="T1617" t="s">
        <v>468</v>
      </c>
    </row>
    <row r="1618" spans="1:20" x14ac:dyDescent="0.25">
      <c r="A1618">
        <v>247</v>
      </c>
      <c r="B1618">
        <v>513269</v>
      </c>
      <c r="C1618" t="s">
        <v>299</v>
      </c>
      <c r="D1618">
        <v>2022</v>
      </c>
      <c r="E1618">
        <v>525</v>
      </c>
      <c r="F1618">
        <v>17.16</v>
      </c>
      <c r="G1618" t="s">
        <v>465</v>
      </c>
      <c r="H1618">
        <v>112.84999847412109</v>
      </c>
      <c r="I1618">
        <v>69.550003051757813</v>
      </c>
      <c r="L1618" t="s">
        <v>469</v>
      </c>
      <c r="M1618">
        <v>6.576340237419644</v>
      </c>
      <c r="N1618">
        <v>4.0530304808716684</v>
      </c>
      <c r="O1618">
        <v>15.14</v>
      </c>
      <c r="P1618">
        <v>24</v>
      </c>
      <c r="Q1618">
        <v>9.65</v>
      </c>
      <c r="R1618" s="3" t="s">
        <v>470</v>
      </c>
      <c r="S1618">
        <v>15.14</v>
      </c>
      <c r="T1618" t="s">
        <v>468</v>
      </c>
    </row>
    <row r="1619" spans="1:20" x14ac:dyDescent="0.25">
      <c r="A1619">
        <v>247</v>
      </c>
      <c r="B1619">
        <v>513269</v>
      </c>
      <c r="C1619" t="s">
        <v>299</v>
      </c>
      <c r="D1619">
        <v>2023</v>
      </c>
      <c r="E1619">
        <v>525</v>
      </c>
      <c r="F1619">
        <v>11.15</v>
      </c>
      <c r="G1619" t="s">
        <v>465</v>
      </c>
      <c r="H1619">
        <v>289.14999389648438</v>
      </c>
      <c r="I1619">
        <v>77.199996948242188</v>
      </c>
      <c r="L1619" t="s">
        <v>469</v>
      </c>
      <c r="M1619">
        <v>25.932734878608461</v>
      </c>
      <c r="N1619">
        <v>6.9237665424432464</v>
      </c>
      <c r="O1619">
        <v>15.14</v>
      </c>
      <c r="P1619">
        <v>24</v>
      </c>
      <c r="Q1619">
        <v>9.65</v>
      </c>
      <c r="R1619" s="3" t="s">
        <v>470</v>
      </c>
      <c r="S1619">
        <v>15.14</v>
      </c>
      <c r="T1619" t="s">
        <v>468</v>
      </c>
    </row>
    <row r="1620" spans="1:20" x14ac:dyDescent="0.25">
      <c r="A1620">
        <v>247</v>
      </c>
      <c r="B1620">
        <v>513269</v>
      </c>
      <c r="C1620" t="s">
        <v>299</v>
      </c>
      <c r="D1620">
        <v>2024</v>
      </c>
      <c r="E1620">
        <v>525</v>
      </c>
      <c r="F1620">
        <v>16.239999999999998</v>
      </c>
      <c r="G1620" t="s">
        <v>465</v>
      </c>
      <c r="H1620">
        <v>513</v>
      </c>
      <c r="I1620">
        <v>269.64999389648438</v>
      </c>
      <c r="L1620" t="s">
        <v>469</v>
      </c>
      <c r="M1620">
        <v>31.588669950738922</v>
      </c>
      <c r="N1620">
        <v>16.604063663576621</v>
      </c>
      <c r="O1620">
        <v>15.14</v>
      </c>
      <c r="P1620">
        <v>24</v>
      </c>
      <c r="Q1620">
        <v>9.65</v>
      </c>
      <c r="R1620" s="3" t="s">
        <v>470</v>
      </c>
      <c r="S1620">
        <v>15.14</v>
      </c>
      <c r="T1620" t="s">
        <v>468</v>
      </c>
    </row>
    <row r="1621" spans="1:20" x14ac:dyDescent="0.25">
      <c r="A1621">
        <v>247</v>
      </c>
      <c r="B1621">
        <v>513269</v>
      </c>
      <c r="C1621" t="s">
        <v>299</v>
      </c>
      <c r="D1621">
        <v>2025</v>
      </c>
      <c r="E1621">
        <v>525</v>
      </c>
      <c r="F1621">
        <v>23.66</v>
      </c>
      <c r="G1621" t="s">
        <v>465</v>
      </c>
      <c r="H1621">
        <v>490.89999389648438</v>
      </c>
      <c r="I1621">
        <v>201.44999694824219</v>
      </c>
      <c r="L1621" t="s">
        <v>469</v>
      </c>
      <c r="M1621">
        <v>20.74809779782267</v>
      </c>
      <c r="N1621">
        <v>8.5143701161556287</v>
      </c>
      <c r="O1621">
        <v>15.14</v>
      </c>
      <c r="P1621">
        <v>24</v>
      </c>
      <c r="Q1621">
        <v>9.65</v>
      </c>
      <c r="R1621" s="3" t="s">
        <v>470</v>
      </c>
      <c r="S1621">
        <v>15.14</v>
      </c>
      <c r="T1621" t="s">
        <v>468</v>
      </c>
    </row>
    <row r="1622" spans="1:20" x14ac:dyDescent="0.25">
      <c r="A1622">
        <v>247</v>
      </c>
      <c r="B1622">
        <v>513269</v>
      </c>
      <c r="C1622" t="s">
        <v>299</v>
      </c>
      <c r="D1622">
        <v>2026</v>
      </c>
      <c r="E1622">
        <v>525</v>
      </c>
      <c r="F1622">
        <v>22.73</v>
      </c>
      <c r="G1622" t="s">
        <v>465</v>
      </c>
      <c r="H1622">
        <v>625.20001220703125</v>
      </c>
      <c r="I1622">
        <v>302.29998779296881</v>
      </c>
      <c r="L1622" t="s">
        <v>469</v>
      </c>
      <c r="M1622">
        <v>27.505499877124119</v>
      </c>
      <c r="N1622">
        <v>13.299603510469369</v>
      </c>
      <c r="O1622">
        <v>15.14</v>
      </c>
      <c r="P1622">
        <v>24</v>
      </c>
      <c r="Q1622">
        <v>9.65</v>
      </c>
      <c r="R1622" s="3" t="s">
        <v>470</v>
      </c>
      <c r="S1622">
        <v>15.14</v>
      </c>
      <c r="T1622" t="s">
        <v>468</v>
      </c>
    </row>
    <row r="1623" spans="1:20" x14ac:dyDescent="0.25">
      <c r="A1623">
        <v>248</v>
      </c>
      <c r="B1623">
        <v>513295</v>
      </c>
      <c r="C1623" t="s">
        <v>301</v>
      </c>
      <c r="D1623">
        <v>2015</v>
      </c>
      <c r="E1623">
        <v>106.5</v>
      </c>
      <c r="F1623">
        <v>0.49</v>
      </c>
      <c r="G1623" t="s">
        <v>465</v>
      </c>
      <c r="H1623">
        <v>211.19999694824219</v>
      </c>
      <c r="I1623">
        <v>103.2239990234375</v>
      </c>
      <c r="L1623" t="s">
        <v>484</v>
      </c>
      <c r="M1623">
        <v>431.02040193518809</v>
      </c>
      <c r="N1623">
        <v>210.66122249681121</v>
      </c>
      <c r="O1623">
        <v>7.68</v>
      </c>
      <c r="P1623">
        <v>72.23</v>
      </c>
      <c r="Q1623">
        <v>6.04</v>
      </c>
      <c r="R1623" s="3" t="s">
        <v>470</v>
      </c>
      <c r="S1623">
        <v>7.68</v>
      </c>
      <c r="T1623" t="s">
        <v>468</v>
      </c>
    </row>
    <row r="1624" spans="1:20" x14ac:dyDescent="0.25">
      <c r="A1624">
        <v>248</v>
      </c>
      <c r="B1624">
        <v>513295</v>
      </c>
      <c r="C1624" t="s">
        <v>301</v>
      </c>
      <c r="D1624">
        <v>2016</v>
      </c>
      <c r="E1624">
        <v>106.5</v>
      </c>
      <c r="F1624">
        <v>-19.010000000000002</v>
      </c>
      <c r="G1624" t="s">
        <v>465</v>
      </c>
      <c r="H1624">
        <v>174.76800537109381</v>
      </c>
      <c r="I1624">
        <v>60.719997406005859</v>
      </c>
      <c r="L1624" t="s">
        <v>471</v>
      </c>
      <c r="M1624">
        <v>-9.1934773998471222</v>
      </c>
      <c r="N1624">
        <v>-3.1941082275647479</v>
      </c>
      <c r="O1624">
        <v>7.68</v>
      </c>
      <c r="P1624">
        <v>72.23</v>
      </c>
      <c r="Q1624">
        <v>6.04</v>
      </c>
      <c r="R1624" s="3" t="s">
        <v>470</v>
      </c>
      <c r="S1624">
        <v>7.68</v>
      </c>
      <c r="T1624" t="s">
        <v>468</v>
      </c>
    </row>
    <row r="1625" spans="1:20" x14ac:dyDescent="0.25">
      <c r="A1625">
        <v>248</v>
      </c>
      <c r="B1625">
        <v>513295</v>
      </c>
      <c r="C1625" t="s">
        <v>301</v>
      </c>
      <c r="D1625">
        <v>2017</v>
      </c>
      <c r="E1625">
        <v>106.5</v>
      </c>
      <c r="F1625">
        <v>-14.85</v>
      </c>
      <c r="G1625" t="s">
        <v>465</v>
      </c>
      <c r="H1625">
        <v>88.704002380371094</v>
      </c>
      <c r="I1625">
        <v>36.959999084472663</v>
      </c>
      <c r="L1625" t="s">
        <v>471</v>
      </c>
      <c r="M1625">
        <v>-5.973333493627683</v>
      </c>
      <c r="N1625">
        <v>-2.4888888272372158</v>
      </c>
      <c r="O1625">
        <v>7.68</v>
      </c>
      <c r="P1625">
        <v>72.23</v>
      </c>
      <c r="Q1625">
        <v>6.04</v>
      </c>
      <c r="R1625" s="3" t="s">
        <v>470</v>
      </c>
      <c r="S1625">
        <v>7.68</v>
      </c>
      <c r="T1625" t="s">
        <v>468</v>
      </c>
    </row>
    <row r="1626" spans="1:20" x14ac:dyDescent="0.25">
      <c r="A1626">
        <v>248</v>
      </c>
      <c r="B1626">
        <v>513295</v>
      </c>
      <c r="C1626" t="s">
        <v>301</v>
      </c>
      <c r="D1626">
        <v>2018</v>
      </c>
      <c r="E1626">
        <v>106.5</v>
      </c>
      <c r="F1626">
        <v>-12.54</v>
      </c>
      <c r="G1626" t="s">
        <v>465</v>
      </c>
      <c r="H1626">
        <v>61.247997283935547</v>
      </c>
      <c r="I1626">
        <v>26.39999961853027</v>
      </c>
      <c r="L1626" t="s">
        <v>471</v>
      </c>
      <c r="M1626">
        <v>-4.8842103097237279</v>
      </c>
      <c r="N1626">
        <v>-2.1052631274745028</v>
      </c>
      <c r="O1626">
        <v>7.68</v>
      </c>
      <c r="P1626">
        <v>72.23</v>
      </c>
      <c r="Q1626">
        <v>6.04</v>
      </c>
      <c r="R1626" s="3" t="s">
        <v>470</v>
      </c>
      <c r="S1626">
        <v>7.68</v>
      </c>
      <c r="T1626" t="s">
        <v>468</v>
      </c>
    </row>
    <row r="1627" spans="1:20" x14ac:dyDescent="0.25">
      <c r="A1627">
        <v>248</v>
      </c>
      <c r="B1627">
        <v>513295</v>
      </c>
      <c r="C1627" t="s">
        <v>301</v>
      </c>
      <c r="D1627">
        <v>2019</v>
      </c>
      <c r="E1627">
        <v>106.5</v>
      </c>
      <c r="F1627">
        <v>-6.47</v>
      </c>
      <c r="G1627" t="s">
        <v>465</v>
      </c>
      <c r="H1627">
        <v>58.079998016357422</v>
      </c>
      <c r="I1627">
        <v>43.031997680664063</v>
      </c>
      <c r="L1627" t="s">
        <v>471</v>
      </c>
      <c r="M1627">
        <v>-8.9768157675977474</v>
      </c>
      <c r="N1627">
        <v>-6.6510042783097472</v>
      </c>
      <c r="O1627">
        <v>7.68</v>
      </c>
      <c r="P1627">
        <v>72.23</v>
      </c>
      <c r="Q1627">
        <v>6.04</v>
      </c>
      <c r="R1627" s="3" t="s">
        <v>470</v>
      </c>
      <c r="S1627">
        <v>7.68</v>
      </c>
      <c r="T1627" t="s">
        <v>468</v>
      </c>
    </row>
    <row r="1628" spans="1:20" x14ac:dyDescent="0.25">
      <c r="A1628">
        <v>248</v>
      </c>
      <c r="B1628">
        <v>513295</v>
      </c>
      <c r="C1628" t="s">
        <v>301</v>
      </c>
      <c r="D1628">
        <v>2020</v>
      </c>
      <c r="E1628">
        <v>106.5</v>
      </c>
      <c r="F1628">
        <v>-13.54</v>
      </c>
      <c r="G1628" t="s">
        <v>465</v>
      </c>
      <c r="H1628">
        <v>76.295997619628906</v>
      </c>
      <c r="I1628">
        <v>21.383998870849609</v>
      </c>
      <c r="L1628" t="s">
        <v>471</v>
      </c>
      <c r="M1628">
        <v>-5.6348594992340404</v>
      </c>
      <c r="N1628">
        <v>-1.5793204483640779</v>
      </c>
      <c r="O1628">
        <v>7.68</v>
      </c>
      <c r="P1628">
        <v>72.23</v>
      </c>
      <c r="Q1628">
        <v>6.04</v>
      </c>
      <c r="R1628" s="3" t="s">
        <v>470</v>
      </c>
      <c r="S1628">
        <v>7.68</v>
      </c>
      <c r="T1628" t="s">
        <v>468</v>
      </c>
    </row>
    <row r="1629" spans="1:20" x14ac:dyDescent="0.25">
      <c r="A1629">
        <v>248</v>
      </c>
      <c r="B1629">
        <v>513295</v>
      </c>
      <c r="C1629" t="s">
        <v>301</v>
      </c>
      <c r="D1629">
        <v>2021</v>
      </c>
      <c r="E1629">
        <v>106.5</v>
      </c>
      <c r="F1629">
        <v>-1.56</v>
      </c>
      <c r="G1629" t="s">
        <v>465</v>
      </c>
      <c r="H1629">
        <v>92.928001403808594</v>
      </c>
      <c r="I1629">
        <v>22.703998565673832</v>
      </c>
      <c r="L1629" t="s">
        <v>471</v>
      </c>
      <c r="M1629">
        <v>-59.569231669108071</v>
      </c>
      <c r="N1629">
        <v>-14.5538452344063</v>
      </c>
      <c r="O1629">
        <v>7.68</v>
      </c>
      <c r="P1629">
        <v>72.23</v>
      </c>
      <c r="Q1629">
        <v>6.04</v>
      </c>
      <c r="R1629" s="3" t="s">
        <v>470</v>
      </c>
      <c r="S1629">
        <v>7.68</v>
      </c>
      <c r="T1629" t="s">
        <v>468</v>
      </c>
    </row>
    <row r="1630" spans="1:20" x14ac:dyDescent="0.25">
      <c r="A1630">
        <v>248</v>
      </c>
      <c r="B1630">
        <v>513295</v>
      </c>
      <c r="C1630" t="s">
        <v>301</v>
      </c>
      <c r="D1630">
        <v>2022</v>
      </c>
      <c r="E1630">
        <v>106.5</v>
      </c>
      <c r="F1630">
        <v>-0.81</v>
      </c>
      <c r="G1630" t="s">
        <v>465</v>
      </c>
      <c r="H1630">
        <v>100.58399963378911</v>
      </c>
      <c r="I1630">
        <v>41.183998107910163</v>
      </c>
      <c r="L1630" t="s">
        <v>471</v>
      </c>
      <c r="M1630">
        <v>-124.1777773256656</v>
      </c>
      <c r="N1630">
        <v>-50.844442108531062</v>
      </c>
      <c r="O1630">
        <v>7.68</v>
      </c>
      <c r="P1630">
        <v>72.23</v>
      </c>
      <c r="Q1630">
        <v>6.04</v>
      </c>
      <c r="R1630" s="3" t="s">
        <v>470</v>
      </c>
      <c r="S1630">
        <v>7.68</v>
      </c>
      <c r="T1630" t="s">
        <v>468</v>
      </c>
    </row>
    <row r="1631" spans="1:20" x14ac:dyDescent="0.25">
      <c r="A1631">
        <v>248</v>
      </c>
      <c r="B1631">
        <v>513295</v>
      </c>
      <c r="C1631" t="s">
        <v>301</v>
      </c>
      <c r="D1631">
        <v>2023</v>
      </c>
      <c r="E1631">
        <v>106.5</v>
      </c>
      <c r="F1631">
        <v>-0.91</v>
      </c>
      <c r="G1631" t="s">
        <v>465</v>
      </c>
      <c r="H1631">
        <v>59.927997589111328</v>
      </c>
      <c r="I1631">
        <v>2.7000000476837158</v>
      </c>
      <c r="L1631" t="s">
        <v>471</v>
      </c>
      <c r="M1631">
        <v>-65.854942405616839</v>
      </c>
      <c r="N1631">
        <v>-2.9670330194326549</v>
      </c>
      <c r="O1631">
        <v>7.68</v>
      </c>
      <c r="P1631">
        <v>72.23</v>
      </c>
      <c r="Q1631">
        <v>6.04</v>
      </c>
      <c r="R1631" s="3" t="s">
        <v>470</v>
      </c>
      <c r="S1631">
        <v>7.68</v>
      </c>
      <c r="T1631" t="s">
        <v>468</v>
      </c>
    </row>
    <row r="1632" spans="1:20" x14ac:dyDescent="0.25">
      <c r="A1632">
        <v>248</v>
      </c>
      <c r="B1632">
        <v>513295</v>
      </c>
      <c r="C1632" t="s">
        <v>301</v>
      </c>
      <c r="D1632">
        <v>2024</v>
      </c>
      <c r="E1632">
        <v>106.5</v>
      </c>
      <c r="F1632">
        <v>1578.21</v>
      </c>
      <c r="G1632" t="s">
        <v>465</v>
      </c>
      <c r="H1632">
        <v>61.689998626708977</v>
      </c>
      <c r="I1632">
        <v>4.7600002288818359</v>
      </c>
      <c r="L1632" t="s">
        <v>469</v>
      </c>
      <c r="M1632">
        <v>3.9088586833633657E-2</v>
      </c>
      <c r="N1632">
        <v>3.0160753187990419E-3</v>
      </c>
      <c r="O1632">
        <v>7.68</v>
      </c>
      <c r="P1632">
        <v>72.23</v>
      </c>
      <c r="Q1632">
        <v>6.04</v>
      </c>
      <c r="R1632" s="3" t="s">
        <v>470</v>
      </c>
      <c r="S1632">
        <v>7.68</v>
      </c>
      <c r="T1632" t="s">
        <v>468</v>
      </c>
    </row>
    <row r="1633" spans="1:20" x14ac:dyDescent="0.25">
      <c r="A1633">
        <v>248</v>
      </c>
      <c r="B1633">
        <v>513295</v>
      </c>
      <c r="C1633" t="s">
        <v>301</v>
      </c>
      <c r="D1633">
        <v>2025</v>
      </c>
      <c r="E1633">
        <v>106.5</v>
      </c>
      <c r="G1633" t="s">
        <v>465</v>
      </c>
      <c r="H1633">
        <v>448.35000610351563</v>
      </c>
      <c r="I1633">
        <v>54.150001525878913</v>
      </c>
      <c r="L1633" t="s">
        <v>466</v>
      </c>
      <c r="O1633">
        <v>7.68</v>
      </c>
      <c r="P1633">
        <v>72.23</v>
      </c>
      <c r="Q1633">
        <v>6.04</v>
      </c>
      <c r="R1633" s="3" t="s">
        <v>470</v>
      </c>
      <c r="S1633">
        <v>7.68</v>
      </c>
      <c r="T1633" t="s">
        <v>468</v>
      </c>
    </row>
    <row r="1634" spans="1:20" x14ac:dyDescent="0.25">
      <c r="A1634">
        <v>248</v>
      </c>
      <c r="B1634">
        <v>513295</v>
      </c>
      <c r="C1634" t="s">
        <v>301</v>
      </c>
      <c r="D1634">
        <v>2026</v>
      </c>
      <c r="E1634">
        <v>106.5</v>
      </c>
      <c r="G1634" t="s">
        <v>465</v>
      </c>
      <c r="H1634">
        <v>395</v>
      </c>
      <c r="I1634">
        <v>99</v>
      </c>
      <c r="L1634" t="s">
        <v>466</v>
      </c>
      <c r="O1634">
        <v>7.68</v>
      </c>
      <c r="P1634">
        <v>72.23</v>
      </c>
      <c r="Q1634">
        <v>6.04</v>
      </c>
      <c r="R1634" s="3" t="s">
        <v>470</v>
      </c>
      <c r="S1634">
        <v>7.68</v>
      </c>
      <c r="T1634" t="s">
        <v>468</v>
      </c>
    </row>
    <row r="1635" spans="1:20" x14ac:dyDescent="0.25">
      <c r="A1635">
        <v>249</v>
      </c>
      <c r="B1635">
        <v>513307</v>
      </c>
      <c r="C1635" t="s">
        <v>303</v>
      </c>
      <c r="D1635">
        <v>2015</v>
      </c>
      <c r="E1635">
        <v>991.5</v>
      </c>
      <c r="F1635">
        <v>5.62</v>
      </c>
      <c r="G1635" t="s">
        <v>465</v>
      </c>
      <c r="H1635">
        <v>54.5</v>
      </c>
      <c r="I1635">
        <v>19.35000038146973</v>
      </c>
      <c r="L1635" t="s">
        <v>469</v>
      </c>
      <c r="M1635">
        <v>9.697508896797153</v>
      </c>
      <c r="N1635">
        <v>3.4430605660978171</v>
      </c>
      <c r="O1635">
        <v>64.19</v>
      </c>
      <c r="P1635">
        <v>124</v>
      </c>
      <c r="Q1635">
        <v>57.21</v>
      </c>
      <c r="R1635" s="3" t="s">
        <v>470</v>
      </c>
      <c r="S1635">
        <v>64.19</v>
      </c>
      <c r="T1635" t="s">
        <v>468</v>
      </c>
    </row>
    <row r="1636" spans="1:20" x14ac:dyDescent="0.25">
      <c r="A1636">
        <v>249</v>
      </c>
      <c r="B1636">
        <v>513307</v>
      </c>
      <c r="C1636" t="s">
        <v>303</v>
      </c>
      <c r="D1636">
        <v>2016</v>
      </c>
      <c r="E1636">
        <v>991.5</v>
      </c>
      <c r="F1636">
        <v>2.11</v>
      </c>
      <c r="G1636" t="s">
        <v>465</v>
      </c>
      <c r="H1636">
        <v>47.450000762939453</v>
      </c>
      <c r="I1636">
        <v>21</v>
      </c>
      <c r="L1636" t="s">
        <v>469</v>
      </c>
      <c r="M1636">
        <v>22.488152020350451</v>
      </c>
      <c r="N1636">
        <v>9.9526066350710902</v>
      </c>
      <c r="O1636">
        <v>64.19</v>
      </c>
      <c r="P1636">
        <v>124</v>
      </c>
      <c r="Q1636">
        <v>57.21</v>
      </c>
      <c r="R1636" s="3" t="s">
        <v>470</v>
      </c>
      <c r="S1636">
        <v>64.19</v>
      </c>
      <c r="T1636" t="s">
        <v>468</v>
      </c>
    </row>
    <row r="1637" spans="1:20" x14ac:dyDescent="0.25">
      <c r="A1637">
        <v>249</v>
      </c>
      <c r="B1637">
        <v>513307</v>
      </c>
      <c r="C1637" t="s">
        <v>303</v>
      </c>
      <c r="D1637">
        <v>2017</v>
      </c>
      <c r="E1637">
        <v>991.5</v>
      </c>
      <c r="F1637">
        <v>2.33</v>
      </c>
      <c r="G1637" t="s">
        <v>465</v>
      </c>
      <c r="H1637">
        <v>72.900001525878906</v>
      </c>
      <c r="I1637">
        <v>21</v>
      </c>
      <c r="L1637" t="s">
        <v>469</v>
      </c>
      <c r="M1637">
        <v>31.287554302952319</v>
      </c>
      <c r="N1637">
        <v>9.0128755364806867</v>
      </c>
      <c r="O1637">
        <v>64.19</v>
      </c>
      <c r="P1637">
        <v>124</v>
      </c>
      <c r="Q1637">
        <v>57.21</v>
      </c>
      <c r="R1637" s="3" t="s">
        <v>470</v>
      </c>
      <c r="S1637">
        <v>64.19</v>
      </c>
      <c r="T1637" t="s">
        <v>468</v>
      </c>
    </row>
    <row r="1638" spans="1:20" x14ac:dyDescent="0.25">
      <c r="A1638">
        <v>249</v>
      </c>
      <c r="B1638">
        <v>513307</v>
      </c>
      <c r="C1638" t="s">
        <v>303</v>
      </c>
      <c r="D1638">
        <v>2018</v>
      </c>
      <c r="E1638">
        <v>991.5</v>
      </c>
      <c r="F1638">
        <v>4.67</v>
      </c>
      <c r="G1638" t="s">
        <v>465</v>
      </c>
      <c r="H1638">
        <v>101.5</v>
      </c>
      <c r="I1638">
        <v>47</v>
      </c>
      <c r="L1638" t="s">
        <v>469</v>
      </c>
      <c r="M1638">
        <v>21.73447537473233</v>
      </c>
      <c r="N1638">
        <v>10.06423982869379</v>
      </c>
      <c r="O1638">
        <v>64.19</v>
      </c>
      <c r="P1638">
        <v>124</v>
      </c>
      <c r="Q1638">
        <v>57.21</v>
      </c>
      <c r="R1638" s="3" t="s">
        <v>470</v>
      </c>
      <c r="S1638">
        <v>64.19</v>
      </c>
      <c r="T1638" t="s">
        <v>468</v>
      </c>
    </row>
    <row r="1639" spans="1:20" x14ac:dyDescent="0.25">
      <c r="A1639">
        <v>249</v>
      </c>
      <c r="B1639">
        <v>513307</v>
      </c>
      <c r="C1639" t="s">
        <v>303</v>
      </c>
      <c r="D1639">
        <v>2019</v>
      </c>
      <c r="E1639">
        <v>991.5</v>
      </c>
      <c r="F1639">
        <v>4.8899999999999997</v>
      </c>
      <c r="G1639" t="s">
        <v>465</v>
      </c>
      <c r="H1639">
        <v>63.299999237060547</v>
      </c>
      <c r="I1639">
        <v>38.099998474121087</v>
      </c>
      <c r="L1639" t="s">
        <v>469</v>
      </c>
      <c r="M1639">
        <v>12.944785120053281</v>
      </c>
      <c r="N1639">
        <v>7.7914107309041079</v>
      </c>
      <c r="O1639">
        <v>64.19</v>
      </c>
      <c r="P1639">
        <v>124</v>
      </c>
      <c r="Q1639">
        <v>57.21</v>
      </c>
      <c r="R1639" s="3" t="s">
        <v>470</v>
      </c>
      <c r="S1639">
        <v>64.19</v>
      </c>
      <c r="T1639" t="s">
        <v>468</v>
      </c>
    </row>
    <row r="1640" spans="1:20" x14ac:dyDescent="0.25">
      <c r="A1640">
        <v>249</v>
      </c>
      <c r="B1640">
        <v>513307</v>
      </c>
      <c r="C1640" t="s">
        <v>303</v>
      </c>
      <c r="D1640">
        <v>2020</v>
      </c>
      <c r="E1640">
        <v>991.5</v>
      </c>
      <c r="F1640">
        <v>5.1100000000000003</v>
      </c>
      <c r="G1640" t="s">
        <v>465</v>
      </c>
      <c r="H1640">
        <v>66.400001525878906</v>
      </c>
      <c r="I1640">
        <v>40.099998474121087</v>
      </c>
      <c r="L1640" t="s">
        <v>469</v>
      </c>
      <c r="M1640">
        <v>12.994129457119159</v>
      </c>
      <c r="N1640">
        <v>7.8473578227242822</v>
      </c>
      <c r="O1640">
        <v>64.19</v>
      </c>
      <c r="P1640">
        <v>124</v>
      </c>
      <c r="Q1640">
        <v>57.21</v>
      </c>
      <c r="R1640" s="3" t="s">
        <v>470</v>
      </c>
      <c r="S1640">
        <v>64.19</v>
      </c>
      <c r="T1640" t="s">
        <v>468</v>
      </c>
    </row>
    <row r="1641" spans="1:20" x14ac:dyDescent="0.25">
      <c r="A1641">
        <v>249</v>
      </c>
      <c r="B1641">
        <v>513307</v>
      </c>
      <c r="C1641" t="s">
        <v>303</v>
      </c>
      <c r="D1641">
        <v>2021</v>
      </c>
      <c r="E1641">
        <v>991.5</v>
      </c>
      <c r="F1641">
        <v>4.22</v>
      </c>
      <c r="G1641" t="s">
        <v>465</v>
      </c>
      <c r="H1641">
        <v>133.80000305175781</v>
      </c>
      <c r="I1641">
        <v>37.599998474121087</v>
      </c>
      <c r="L1641" t="s">
        <v>469</v>
      </c>
      <c r="M1641">
        <v>31.70616186060612</v>
      </c>
      <c r="N1641">
        <v>8.9099522450523914</v>
      </c>
      <c r="O1641">
        <v>64.19</v>
      </c>
      <c r="P1641">
        <v>124</v>
      </c>
      <c r="Q1641">
        <v>57.21</v>
      </c>
      <c r="R1641" s="3" t="s">
        <v>470</v>
      </c>
      <c r="S1641">
        <v>64.19</v>
      </c>
      <c r="T1641" t="s">
        <v>468</v>
      </c>
    </row>
    <row r="1642" spans="1:20" x14ac:dyDescent="0.25">
      <c r="A1642">
        <v>249</v>
      </c>
      <c r="B1642">
        <v>513307</v>
      </c>
      <c r="C1642" t="s">
        <v>303</v>
      </c>
      <c r="D1642">
        <v>2022</v>
      </c>
      <c r="E1642">
        <v>991.5</v>
      </c>
      <c r="F1642">
        <v>10.220000000000001</v>
      </c>
      <c r="G1642" t="s">
        <v>465</v>
      </c>
      <c r="H1642">
        <v>785.4000244140625</v>
      </c>
      <c r="I1642">
        <v>53.200000762939453</v>
      </c>
      <c r="L1642" t="s">
        <v>469</v>
      </c>
      <c r="M1642">
        <v>76.849317457344668</v>
      </c>
      <c r="N1642">
        <v>5.2054795267064042</v>
      </c>
      <c r="O1642">
        <v>64.19</v>
      </c>
      <c r="P1642">
        <v>124</v>
      </c>
      <c r="Q1642">
        <v>57.21</v>
      </c>
      <c r="R1642" s="3" t="s">
        <v>470</v>
      </c>
      <c r="S1642">
        <v>64.19</v>
      </c>
      <c r="T1642" t="s">
        <v>468</v>
      </c>
    </row>
    <row r="1643" spans="1:20" x14ac:dyDescent="0.25">
      <c r="A1643">
        <v>249</v>
      </c>
      <c r="B1643">
        <v>513307</v>
      </c>
      <c r="C1643" t="s">
        <v>303</v>
      </c>
      <c r="D1643">
        <v>2023</v>
      </c>
      <c r="E1643">
        <v>991.5</v>
      </c>
      <c r="F1643">
        <v>1.89</v>
      </c>
      <c r="G1643" t="s">
        <v>465</v>
      </c>
      <c r="H1643">
        <v>545.5</v>
      </c>
      <c r="I1643">
        <v>121.6600036621094</v>
      </c>
      <c r="L1643" t="s">
        <v>469</v>
      </c>
      <c r="M1643">
        <v>288.62433862433858</v>
      </c>
      <c r="N1643">
        <v>64.370372307994401</v>
      </c>
      <c r="O1643">
        <v>64.19</v>
      </c>
      <c r="P1643">
        <v>124</v>
      </c>
      <c r="Q1643">
        <v>57.21</v>
      </c>
      <c r="R1643" s="3" t="s">
        <v>470</v>
      </c>
      <c r="S1643">
        <v>64.19</v>
      </c>
      <c r="T1643" t="s">
        <v>468</v>
      </c>
    </row>
    <row r="1644" spans="1:20" x14ac:dyDescent="0.25">
      <c r="A1644">
        <v>249</v>
      </c>
      <c r="B1644">
        <v>513307</v>
      </c>
      <c r="C1644" t="s">
        <v>303</v>
      </c>
      <c r="D1644">
        <v>2024</v>
      </c>
      <c r="E1644">
        <v>991.5</v>
      </c>
      <c r="F1644">
        <v>2.44</v>
      </c>
      <c r="G1644" t="s">
        <v>465</v>
      </c>
      <c r="H1644">
        <v>251.19999694824219</v>
      </c>
      <c r="I1644">
        <v>114.4199981689453</v>
      </c>
      <c r="L1644" t="s">
        <v>469</v>
      </c>
      <c r="M1644">
        <v>102.9508184214107</v>
      </c>
      <c r="N1644">
        <v>46.893441872518572</v>
      </c>
      <c r="O1644">
        <v>64.19</v>
      </c>
      <c r="P1644">
        <v>124</v>
      </c>
      <c r="Q1644">
        <v>57.21</v>
      </c>
      <c r="R1644" s="3" t="s">
        <v>470</v>
      </c>
      <c r="S1644">
        <v>64.19</v>
      </c>
      <c r="T1644" t="s">
        <v>468</v>
      </c>
    </row>
    <row r="1645" spans="1:20" x14ac:dyDescent="0.25">
      <c r="A1645">
        <v>249</v>
      </c>
      <c r="B1645">
        <v>513307</v>
      </c>
      <c r="C1645" t="s">
        <v>303</v>
      </c>
      <c r="D1645">
        <v>2025</v>
      </c>
      <c r="E1645">
        <v>991.5</v>
      </c>
      <c r="F1645">
        <v>2.67</v>
      </c>
      <c r="G1645" t="s">
        <v>465</v>
      </c>
      <c r="H1645">
        <v>1750.25</v>
      </c>
      <c r="I1645">
        <v>200.1000061035156</v>
      </c>
      <c r="L1645" t="s">
        <v>469</v>
      </c>
      <c r="M1645">
        <v>655.52434456928836</v>
      </c>
      <c r="N1645">
        <v>74.943822510680008</v>
      </c>
      <c r="O1645">
        <v>64.19</v>
      </c>
      <c r="P1645">
        <v>124</v>
      </c>
      <c r="Q1645">
        <v>57.21</v>
      </c>
      <c r="R1645" s="3" t="s">
        <v>470</v>
      </c>
      <c r="S1645">
        <v>64.19</v>
      </c>
      <c r="T1645" t="s">
        <v>468</v>
      </c>
    </row>
    <row r="1646" spans="1:20" x14ac:dyDescent="0.25">
      <c r="A1646">
        <v>249</v>
      </c>
      <c r="B1646">
        <v>513307</v>
      </c>
      <c r="C1646" t="s">
        <v>303</v>
      </c>
      <c r="D1646">
        <v>2026</v>
      </c>
      <c r="E1646">
        <v>991.5</v>
      </c>
      <c r="F1646">
        <v>-0.56999999999999995</v>
      </c>
      <c r="G1646" t="s">
        <v>465</v>
      </c>
      <c r="H1646">
        <v>2400</v>
      </c>
      <c r="I1646">
        <v>957.04998779296875</v>
      </c>
      <c r="L1646" t="s">
        <v>471</v>
      </c>
      <c r="M1646">
        <v>-4210.5263157894742</v>
      </c>
      <c r="N1646">
        <v>-1679.035066303454</v>
      </c>
      <c r="O1646">
        <v>64.19</v>
      </c>
      <c r="P1646">
        <v>124</v>
      </c>
      <c r="Q1646">
        <v>57.21</v>
      </c>
      <c r="R1646" s="3" t="s">
        <v>470</v>
      </c>
      <c r="S1646">
        <v>64.19</v>
      </c>
      <c r="T1646" t="s">
        <v>468</v>
      </c>
    </row>
    <row r="1647" spans="1:20" x14ac:dyDescent="0.25">
      <c r="A1647">
        <v>250</v>
      </c>
      <c r="B1647">
        <v>513335</v>
      </c>
      <c r="C1647" t="s">
        <v>305</v>
      </c>
      <c r="D1647">
        <v>2015</v>
      </c>
      <c r="E1647">
        <v>4.0999999046325684</v>
      </c>
      <c r="G1647" t="s">
        <v>465</v>
      </c>
      <c r="H1647">
        <v>374.35000610351563</v>
      </c>
      <c r="I1647">
        <v>34</v>
      </c>
      <c r="L1647" t="s">
        <v>466</v>
      </c>
      <c r="O1647">
        <f>IFERROR(VLOOKUP(B1647,BSE_500_LIVE!A:E,3,FALSE),"")</f>
        <v>0</v>
      </c>
      <c r="P1647">
        <f>IFERROR(VLOOKUP(B1647,BSE_500_LIVE!A:E,4,FALSE),"")</f>
        <v>0</v>
      </c>
      <c r="Q1647">
        <f>IFERROR(VLOOKUP(B1647,BSE_500_LIVE!A:E,5,FALSE),"")</f>
        <v>0</v>
      </c>
      <c r="R1647" t="str">
        <f t="shared" ref="R1647:R1657" si="24">IF(OR(E1647="",O1647=""),"PENDING_FETCH",IF(ABS(E1647-O1647)/E1647&gt;0.005,"MISMATCH_NEEDS_CORRECTION","VERIFIED_OK"))</f>
        <v>MISMATCH_NEEDS_CORRECTION</v>
      </c>
      <c r="S1647">
        <f t="shared" ref="S1647:S1657" si="25">IF(O1647&lt;&gt;"",O1647,E1647)</f>
        <v>0</v>
      </c>
      <c r="T1647">
        <f>IFERROR(VLOOKUP(B1647,BSE_500_LIVE!A:F,6,FALSE),"")</f>
        <v>0</v>
      </c>
    </row>
    <row r="1648" spans="1:20" x14ac:dyDescent="0.25">
      <c r="A1648">
        <v>250</v>
      </c>
      <c r="B1648">
        <v>513335</v>
      </c>
      <c r="C1648" t="s">
        <v>305</v>
      </c>
      <c r="D1648">
        <v>2016</v>
      </c>
      <c r="E1648">
        <v>4.0999999046325684</v>
      </c>
      <c r="G1648" t="s">
        <v>465</v>
      </c>
      <c r="H1648">
        <v>93.25</v>
      </c>
      <c r="I1648">
        <v>41</v>
      </c>
      <c r="L1648" t="s">
        <v>466</v>
      </c>
      <c r="O1648">
        <f>IFERROR(VLOOKUP(B1648,BSE_500_LIVE!A:E,3,FALSE),"")</f>
        <v>0</v>
      </c>
      <c r="P1648">
        <f>IFERROR(VLOOKUP(B1648,BSE_500_LIVE!A:E,4,FALSE),"")</f>
        <v>0</v>
      </c>
      <c r="Q1648">
        <f>IFERROR(VLOOKUP(B1648,BSE_500_LIVE!A:E,5,FALSE),"")</f>
        <v>0</v>
      </c>
      <c r="R1648" t="str">
        <f t="shared" si="24"/>
        <v>MISMATCH_NEEDS_CORRECTION</v>
      </c>
      <c r="S1648">
        <f t="shared" si="25"/>
        <v>0</v>
      </c>
      <c r="T1648">
        <f>IFERROR(VLOOKUP(B1648,BSE_500_LIVE!A:F,6,FALSE),"")</f>
        <v>0</v>
      </c>
    </row>
    <row r="1649" spans="1:20" x14ac:dyDescent="0.25">
      <c r="A1649">
        <v>250</v>
      </c>
      <c r="B1649">
        <v>513335</v>
      </c>
      <c r="C1649" t="s">
        <v>305</v>
      </c>
      <c r="D1649">
        <v>2017</v>
      </c>
      <c r="E1649">
        <v>4.0999999046325684</v>
      </c>
      <c r="G1649" t="s">
        <v>465</v>
      </c>
      <c r="H1649">
        <v>69</v>
      </c>
      <c r="I1649">
        <v>24.29999923706055</v>
      </c>
      <c r="L1649" t="s">
        <v>466</v>
      </c>
      <c r="O1649">
        <f>IFERROR(VLOOKUP(B1649,BSE_500_LIVE!A:E,3,FALSE),"")</f>
        <v>0</v>
      </c>
      <c r="P1649">
        <f>IFERROR(VLOOKUP(B1649,BSE_500_LIVE!A:E,4,FALSE),"")</f>
        <v>0</v>
      </c>
      <c r="Q1649">
        <f>IFERROR(VLOOKUP(B1649,BSE_500_LIVE!A:E,5,FALSE),"")</f>
        <v>0</v>
      </c>
      <c r="R1649" t="str">
        <f t="shared" si="24"/>
        <v>MISMATCH_NEEDS_CORRECTION</v>
      </c>
      <c r="S1649">
        <f t="shared" si="25"/>
        <v>0</v>
      </c>
      <c r="T1649">
        <f>IFERROR(VLOOKUP(B1649,BSE_500_LIVE!A:F,6,FALSE),"")</f>
        <v>0</v>
      </c>
    </row>
    <row r="1650" spans="1:20" x14ac:dyDescent="0.25">
      <c r="A1650">
        <v>250</v>
      </c>
      <c r="B1650">
        <v>513335</v>
      </c>
      <c r="C1650" t="s">
        <v>305</v>
      </c>
      <c r="D1650">
        <v>2018</v>
      </c>
      <c r="E1650">
        <v>4.0999999046325684</v>
      </c>
      <c r="G1650" t="s">
        <v>465</v>
      </c>
      <c r="H1650">
        <v>43.200000762939453</v>
      </c>
      <c r="I1650">
        <v>10.5</v>
      </c>
      <c r="L1650" t="s">
        <v>466</v>
      </c>
      <c r="O1650">
        <f>IFERROR(VLOOKUP(B1650,BSE_500_LIVE!A:E,3,FALSE),"")</f>
        <v>0</v>
      </c>
      <c r="P1650">
        <f>IFERROR(VLOOKUP(B1650,BSE_500_LIVE!A:E,4,FALSE),"")</f>
        <v>0</v>
      </c>
      <c r="Q1650">
        <f>IFERROR(VLOOKUP(B1650,BSE_500_LIVE!A:E,5,FALSE),"")</f>
        <v>0</v>
      </c>
      <c r="R1650" t="str">
        <f t="shared" si="24"/>
        <v>MISMATCH_NEEDS_CORRECTION</v>
      </c>
      <c r="S1650">
        <f t="shared" si="25"/>
        <v>0</v>
      </c>
      <c r="T1650">
        <f>IFERROR(VLOOKUP(B1650,BSE_500_LIVE!A:F,6,FALSE),"")</f>
        <v>0</v>
      </c>
    </row>
    <row r="1651" spans="1:20" x14ac:dyDescent="0.25">
      <c r="A1651">
        <v>250</v>
      </c>
      <c r="B1651">
        <v>513335</v>
      </c>
      <c r="C1651" t="s">
        <v>305</v>
      </c>
      <c r="D1651">
        <v>2019</v>
      </c>
      <c r="E1651">
        <v>4.0999999046325684</v>
      </c>
      <c r="G1651" t="s">
        <v>465</v>
      </c>
      <c r="H1651">
        <v>13</v>
      </c>
      <c r="I1651">
        <v>4.25</v>
      </c>
      <c r="L1651" t="s">
        <v>466</v>
      </c>
      <c r="O1651">
        <f>IFERROR(VLOOKUP(B1651,BSE_500_LIVE!A:E,3,FALSE),"")</f>
        <v>0</v>
      </c>
      <c r="P1651">
        <f>IFERROR(VLOOKUP(B1651,BSE_500_LIVE!A:E,4,FALSE),"")</f>
        <v>0</v>
      </c>
      <c r="Q1651">
        <f>IFERROR(VLOOKUP(B1651,BSE_500_LIVE!A:E,5,FALSE),"")</f>
        <v>0</v>
      </c>
      <c r="R1651" t="str">
        <f t="shared" si="24"/>
        <v>MISMATCH_NEEDS_CORRECTION</v>
      </c>
      <c r="S1651">
        <f t="shared" si="25"/>
        <v>0</v>
      </c>
      <c r="T1651">
        <f>IFERROR(VLOOKUP(B1651,BSE_500_LIVE!A:F,6,FALSE),"")</f>
        <v>0</v>
      </c>
    </row>
    <row r="1652" spans="1:20" x14ac:dyDescent="0.25">
      <c r="A1652">
        <v>250</v>
      </c>
      <c r="B1652">
        <v>513335</v>
      </c>
      <c r="C1652" t="s">
        <v>305</v>
      </c>
      <c r="D1652">
        <v>2020</v>
      </c>
      <c r="E1652">
        <v>4.0999999046325684</v>
      </c>
      <c r="G1652" t="s">
        <v>465</v>
      </c>
      <c r="H1652">
        <v>6.6700000762939453</v>
      </c>
      <c r="I1652">
        <v>3.559999942779541</v>
      </c>
      <c r="L1652" t="s">
        <v>466</v>
      </c>
      <c r="O1652">
        <f>IFERROR(VLOOKUP(B1652,BSE_500_LIVE!A:E,3,FALSE),"")</f>
        <v>0</v>
      </c>
      <c r="P1652">
        <f>IFERROR(VLOOKUP(B1652,BSE_500_LIVE!A:E,4,FALSE),"")</f>
        <v>0</v>
      </c>
      <c r="Q1652">
        <f>IFERROR(VLOOKUP(B1652,BSE_500_LIVE!A:E,5,FALSE),"")</f>
        <v>0</v>
      </c>
      <c r="R1652" t="str">
        <f t="shared" si="24"/>
        <v>MISMATCH_NEEDS_CORRECTION</v>
      </c>
      <c r="S1652">
        <f t="shared" si="25"/>
        <v>0</v>
      </c>
      <c r="T1652">
        <f>IFERROR(VLOOKUP(B1652,BSE_500_LIVE!A:F,6,FALSE),"")</f>
        <v>0</v>
      </c>
    </row>
    <row r="1653" spans="1:20" x14ac:dyDescent="0.25">
      <c r="A1653">
        <v>250</v>
      </c>
      <c r="B1653">
        <v>513335</v>
      </c>
      <c r="C1653" t="s">
        <v>305</v>
      </c>
      <c r="D1653">
        <v>2021</v>
      </c>
      <c r="E1653">
        <v>4.0999999046325684</v>
      </c>
      <c r="G1653" t="s">
        <v>465</v>
      </c>
      <c r="H1653">
        <v>8.6999998092651367</v>
      </c>
      <c r="I1653">
        <v>4.2699999809265137</v>
      </c>
      <c r="L1653" t="s">
        <v>466</v>
      </c>
      <c r="O1653">
        <f>IFERROR(VLOOKUP(B1653,BSE_500_LIVE!A:E,3,FALSE),"")</f>
        <v>0</v>
      </c>
      <c r="P1653">
        <f>IFERROR(VLOOKUP(B1653,BSE_500_LIVE!A:E,4,FALSE),"")</f>
        <v>0</v>
      </c>
      <c r="Q1653">
        <f>IFERROR(VLOOKUP(B1653,BSE_500_LIVE!A:E,5,FALSE),"")</f>
        <v>0</v>
      </c>
      <c r="R1653" t="str">
        <f t="shared" si="24"/>
        <v>MISMATCH_NEEDS_CORRECTION</v>
      </c>
      <c r="S1653">
        <f t="shared" si="25"/>
        <v>0</v>
      </c>
      <c r="T1653">
        <f>IFERROR(VLOOKUP(B1653,BSE_500_LIVE!A:F,6,FALSE),"")</f>
        <v>0</v>
      </c>
    </row>
    <row r="1654" spans="1:20" x14ac:dyDescent="0.25">
      <c r="A1654">
        <v>250</v>
      </c>
      <c r="B1654">
        <v>513335</v>
      </c>
      <c r="C1654" t="s">
        <v>305</v>
      </c>
      <c r="D1654">
        <v>2022</v>
      </c>
      <c r="E1654">
        <v>4.0999999046325684</v>
      </c>
      <c r="G1654" t="s">
        <v>465</v>
      </c>
      <c r="H1654">
        <v>9.1099996566772461</v>
      </c>
      <c r="I1654">
        <v>3.720000028610229</v>
      </c>
      <c r="L1654" t="s">
        <v>466</v>
      </c>
      <c r="O1654">
        <f>IFERROR(VLOOKUP(B1654,BSE_500_LIVE!A:E,3,FALSE),"")</f>
        <v>0</v>
      </c>
      <c r="P1654">
        <f>IFERROR(VLOOKUP(B1654,BSE_500_LIVE!A:E,4,FALSE),"")</f>
        <v>0</v>
      </c>
      <c r="Q1654">
        <f>IFERROR(VLOOKUP(B1654,BSE_500_LIVE!A:E,5,FALSE),"")</f>
        <v>0</v>
      </c>
      <c r="R1654" t="str">
        <f t="shared" si="24"/>
        <v>MISMATCH_NEEDS_CORRECTION</v>
      </c>
      <c r="S1654">
        <f t="shared" si="25"/>
        <v>0</v>
      </c>
      <c r="T1654">
        <f>IFERROR(VLOOKUP(B1654,BSE_500_LIVE!A:F,6,FALSE),"")</f>
        <v>0</v>
      </c>
    </row>
    <row r="1655" spans="1:20" x14ac:dyDescent="0.25">
      <c r="A1655">
        <v>250</v>
      </c>
      <c r="B1655">
        <v>513335</v>
      </c>
      <c r="C1655" t="s">
        <v>305</v>
      </c>
      <c r="D1655">
        <v>2023</v>
      </c>
      <c r="E1655">
        <v>4.0999999046325684</v>
      </c>
      <c r="G1655" t="s">
        <v>465</v>
      </c>
      <c r="H1655">
        <v>4.9000000953674316</v>
      </c>
      <c r="I1655">
        <v>2.369999885559082</v>
      </c>
      <c r="L1655" t="s">
        <v>466</v>
      </c>
      <c r="O1655">
        <f>IFERROR(VLOOKUP(B1655,BSE_500_LIVE!A:E,3,FALSE),"")</f>
        <v>0</v>
      </c>
      <c r="P1655">
        <f>IFERROR(VLOOKUP(B1655,BSE_500_LIVE!A:E,4,FALSE),"")</f>
        <v>0</v>
      </c>
      <c r="Q1655">
        <f>IFERROR(VLOOKUP(B1655,BSE_500_LIVE!A:E,5,FALSE),"")</f>
        <v>0</v>
      </c>
      <c r="R1655" t="str">
        <f t="shared" si="24"/>
        <v>MISMATCH_NEEDS_CORRECTION</v>
      </c>
      <c r="S1655">
        <f t="shared" si="25"/>
        <v>0</v>
      </c>
      <c r="T1655">
        <f>IFERROR(VLOOKUP(B1655,BSE_500_LIVE!A:F,6,FALSE),"")</f>
        <v>0</v>
      </c>
    </row>
    <row r="1656" spans="1:20" x14ac:dyDescent="0.25">
      <c r="A1656">
        <v>250</v>
      </c>
      <c r="B1656">
        <v>513335</v>
      </c>
      <c r="C1656" t="s">
        <v>305</v>
      </c>
      <c r="D1656">
        <v>2024</v>
      </c>
      <c r="E1656">
        <v>4.0999999046325684</v>
      </c>
      <c r="G1656" t="s">
        <v>465</v>
      </c>
      <c r="H1656">
        <v>5.3000001907348633</v>
      </c>
      <c r="I1656">
        <v>3.5199999809265141</v>
      </c>
      <c r="L1656" t="s">
        <v>466</v>
      </c>
      <c r="O1656">
        <f>IFERROR(VLOOKUP(B1656,BSE_500_LIVE!A:E,3,FALSE),"")</f>
        <v>0</v>
      </c>
      <c r="P1656">
        <f>IFERROR(VLOOKUP(B1656,BSE_500_LIVE!A:E,4,FALSE),"")</f>
        <v>0</v>
      </c>
      <c r="Q1656">
        <f>IFERROR(VLOOKUP(B1656,BSE_500_LIVE!A:E,5,FALSE),"")</f>
        <v>0</v>
      </c>
      <c r="R1656" t="str">
        <f t="shared" si="24"/>
        <v>MISMATCH_NEEDS_CORRECTION</v>
      </c>
      <c r="S1656">
        <f t="shared" si="25"/>
        <v>0</v>
      </c>
      <c r="T1656">
        <f>IFERROR(VLOOKUP(B1656,BSE_500_LIVE!A:F,6,FALSE),"")</f>
        <v>0</v>
      </c>
    </row>
    <row r="1657" spans="1:20" x14ac:dyDescent="0.25">
      <c r="A1657">
        <v>250</v>
      </c>
      <c r="B1657">
        <v>513335</v>
      </c>
      <c r="C1657" t="s">
        <v>305</v>
      </c>
      <c r="D1657">
        <v>2025</v>
      </c>
      <c r="E1657">
        <v>4.0999999046325684</v>
      </c>
      <c r="G1657" t="s">
        <v>465</v>
      </c>
      <c r="H1657">
        <v>4.0999999046325684</v>
      </c>
      <c r="I1657">
        <v>4.0999999046325684</v>
      </c>
      <c r="L1657" t="s">
        <v>466</v>
      </c>
      <c r="O1657">
        <f>IFERROR(VLOOKUP(B1657,BSE_500_LIVE!A:E,3,FALSE),"")</f>
        <v>0</v>
      </c>
      <c r="P1657">
        <f>IFERROR(VLOOKUP(B1657,BSE_500_LIVE!A:E,4,FALSE),"")</f>
        <v>0</v>
      </c>
      <c r="Q1657">
        <f>IFERROR(VLOOKUP(B1657,BSE_500_LIVE!A:E,5,FALSE),"")</f>
        <v>0</v>
      </c>
      <c r="R1657" t="str">
        <f t="shared" si="24"/>
        <v>MISMATCH_NEEDS_CORRECTION</v>
      </c>
      <c r="S1657">
        <f t="shared" si="25"/>
        <v>0</v>
      </c>
      <c r="T1657">
        <f>IFERROR(VLOOKUP(B1657,BSE_500_LIVE!A:F,6,FALSE),"")</f>
        <v>0</v>
      </c>
    </row>
    <row r="1658" spans="1:20" x14ac:dyDescent="0.25">
      <c r="A1658">
        <v>251</v>
      </c>
      <c r="B1658">
        <v>513353</v>
      </c>
      <c r="C1658" t="s">
        <v>307</v>
      </c>
      <c r="D1658">
        <v>2015</v>
      </c>
      <c r="E1658">
        <v>247.3999938964844</v>
      </c>
      <c r="F1658">
        <v>-27.47</v>
      </c>
      <c r="G1658" t="s">
        <v>465</v>
      </c>
      <c r="H1658">
        <v>102</v>
      </c>
      <c r="I1658">
        <v>57.049999237060547</v>
      </c>
      <c r="L1658" t="s">
        <v>471</v>
      </c>
      <c r="M1658">
        <v>-3.7131416090280309</v>
      </c>
      <c r="N1658">
        <v>-2.076811038844578</v>
      </c>
      <c r="O1658">
        <v>310.89999999999998</v>
      </c>
      <c r="P1658">
        <v>414.9</v>
      </c>
      <c r="Q1658">
        <v>239</v>
      </c>
      <c r="R1658" s="3" t="s">
        <v>470</v>
      </c>
      <c r="S1658">
        <v>310.89999999999998</v>
      </c>
      <c r="T1658" t="s">
        <v>468</v>
      </c>
    </row>
    <row r="1659" spans="1:20" x14ac:dyDescent="0.25">
      <c r="A1659">
        <v>251</v>
      </c>
      <c r="B1659">
        <v>513353</v>
      </c>
      <c r="C1659" t="s">
        <v>307</v>
      </c>
      <c r="D1659">
        <v>2016</v>
      </c>
      <c r="E1659">
        <v>247.3999938964844</v>
      </c>
      <c r="F1659">
        <v>-17.93</v>
      </c>
      <c r="G1659" t="s">
        <v>465</v>
      </c>
      <c r="H1659">
        <v>152</v>
      </c>
      <c r="I1659">
        <v>62.849998474121087</v>
      </c>
      <c r="L1659" t="s">
        <v>471</v>
      </c>
      <c r="M1659">
        <v>-8.4774121583937543</v>
      </c>
      <c r="N1659">
        <v>-3.5052982974969931</v>
      </c>
      <c r="O1659">
        <v>310.89999999999998</v>
      </c>
      <c r="P1659">
        <v>414.9</v>
      </c>
      <c r="Q1659">
        <v>239</v>
      </c>
      <c r="R1659" s="3" t="s">
        <v>470</v>
      </c>
      <c r="S1659">
        <v>310.89999999999998</v>
      </c>
      <c r="T1659" t="s">
        <v>468</v>
      </c>
    </row>
    <row r="1660" spans="1:20" x14ac:dyDescent="0.25">
      <c r="A1660">
        <v>251</v>
      </c>
      <c r="B1660">
        <v>513353</v>
      </c>
      <c r="C1660" t="s">
        <v>307</v>
      </c>
      <c r="D1660">
        <v>2017</v>
      </c>
      <c r="E1660">
        <v>247.3999938964844</v>
      </c>
      <c r="F1660">
        <v>-7.32</v>
      </c>
      <c r="G1660" t="s">
        <v>465</v>
      </c>
      <c r="H1660">
        <v>160</v>
      </c>
      <c r="I1660">
        <v>77</v>
      </c>
      <c r="L1660" t="s">
        <v>471</v>
      </c>
      <c r="M1660">
        <v>-21.857923497267759</v>
      </c>
      <c r="N1660">
        <v>-10.519125683060111</v>
      </c>
      <c r="O1660">
        <v>310.89999999999998</v>
      </c>
      <c r="P1660">
        <v>414.9</v>
      </c>
      <c r="Q1660">
        <v>239</v>
      </c>
      <c r="R1660" s="3" t="s">
        <v>470</v>
      </c>
      <c r="S1660">
        <v>310.89999999999998</v>
      </c>
      <c r="T1660" t="s">
        <v>468</v>
      </c>
    </row>
    <row r="1661" spans="1:20" x14ac:dyDescent="0.25">
      <c r="A1661">
        <v>251</v>
      </c>
      <c r="B1661">
        <v>513353</v>
      </c>
      <c r="C1661" t="s">
        <v>307</v>
      </c>
      <c r="D1661">
        <v>2018</v>
      </c>
      <c r="E1661">
        <v>247.3999938964844</v>
      </c>
      <c r="F1661">
        <v>1.71</v>
      </c>
      <c r="G1661" t="s">
        <v>465</v>
      </c>
      <c r="H1661">
        <v>225.8999938964844</v>
      </c>
      <c r="I1661">
        <v>100</v>
      </c>
      <c r="L1661" t="s">
        <v>469</v>
      </c>
      <c r="M1661">
        <v>132.10525958858739</v>
      </c>
      <c r="N1661">
        <v>58.479532163742689</v>
      </c>
      <c r="O1661">
        <v>310.89999999999998</v>
      </c>
      <c r="P1661">
        <v>414.9</v>
      </c>
      <c r="Q1661">
        <v>239</v>
      </c>
      <c r="R1661" s="3" t="s">
        <v>470</v>
      </c>
      <c r="S1661">
        <v>310.89999999999998</v>
      </c>
      <c r="T1661" t="s">
        <v>468</v>
      </c>
    </row>
    <row r="1662" spans="1:20" x14ac:dyDescent="0.25">
      <c r="A1662">
        <v>251</v>
      </c>
      <c r="B1662">
        <v>513353</v>
      </c>
      <c r="C1662" t="s">
        <v>307</v>
      </c>
      <c r="D1662">
        <v>2019</v>
      </c>
      <c r="E1662">
        <v>247.3999938964844</v>
      </c>
      <c r="F1662">
        <v>6.99</v>
      </c>
      <c r="G1662" t="s">
        <v>465</v>
      </c>
      <c r="H1662">
        <v>243.6000061035156</v>
      </c>
      <c r="I1662">
        <v>140.05000305175781</v>
      </c>
      <c r="L1662" t="s">
        <v>469</v>
      </c>
      <c r="M1662">
        <v>34.849786280903523</v>
      </c>
      <c r="N1662">
        <v>20.035765815702121</v>
      </c>
      <c r="O1662">
        <v>310.89999999999998</v>
      </c>
      <c r="P1662">
        <v>414.9</v>
      </c>
      <c r="Q1662">
        <v>239</v>
      </c>
      <c r="R1662" s="3" t="s">
        <v>470</v>
      </c>
      <c r="S1662">
        <v>310.89999999999998</v>
      </c>
      <c r="T1662" t="s">
        <v>468</v>
      </c>
    </row>
    <row r="1663" spans="1:20" x14ac:dyDescent="0.25">
      <c r="A1663">
        <v>251</v>
      </c>
      <c r="B1663">
        <v>513353</v>
      </c>
      <c r="C1663" t="s">
        <v>307</v>
      </c>
      <c r="D1663">
        <v>2020</v>
      </c>
      <c r="E1663">
        <v>247.3999938964844</v>
      </c>
      <c r="F1663">
        <v>7.65</v>
      </c>
      <c r="G1663" t="s">
        <v>465</v>
      </c>
      <c r="H1663">
        <v>164</v>
      </c>
      <c r="I1663">
        <v>77</v>
      </c>
      <c r="L1663" t="s">
        <v>469</v>
      </c>
      <c r="M1663">
        <v>21.437908496732021</v>
      </c>
      <c r="N1663">
        <v>10.065359477124179</v>
      </c>
      <c r="O1663">
        <v>310.89999999999998</v>
      </c>
      <c r="P1663">
        <v>414.9</v>
      </c>
      <c r="Q1663">
        <v>239</v>
      </c>
      <c r="R1663" s="3" t="s">
        <v>470</v>
      </c>
      <c r="S1663">
        <v>310.89999999999998</v>
      </c>
      <c r="T1663" t="s">
        <v>468</v>
      </c>
    </row>
    <row r="1664" spans="1:20" x14ac:dyDescent="0.25">
      <c r="A1664">
        <v>251</v>
      </c>
      <c r="B1664">
        <v>513353</v>
      </c>
      <c r="C1664" t="s">
        <v>307</v>
      </c>
      <c r="D1664">
        <v>2021</v>
      </c>
      <c r="E1664">
        <v>247.3999938964844</v>
      </c>
      <c r="F1664">
        <v>10.36</v>
      </c>
      <c r="G1664" t="s">
        <v>465</v>
      </c>
      <c r="H1664">
        <v>190</v>
      </c>
      <c r="I1664">
        <v>97</v>
      </c>
      <c r="L1664" t="s">
        <v>469</v>
      </c>
      <c r="M1664">
        <v>18.339768339768341</v>
      </c>
      <c r="N1664">
        <v>9.3629343629343627</v>
      </c>
      <c r="O1664">
        <v>310.89999999999998</v>
      </c>
      <c r="P1664">
        <v>414.9</v>
      </c>
      <c r="Q1664">
        <v>239</v>
      </c>
      <c r="R1664" s="3" t="s">
        <v>470</v>
      </c>
      <c r="S1664">
        <v>310.89999999999998</v>
      </c>
      <c r="T1664" t="s">
        <v>468</v>
      </c>
    </row>
    <row r="1665" spans="1:20" x14ac:dyDescent="0.25">
      <c r="A1665">
        <v>251</v>
      </c>
      <c r="B1665">
        <v>513353</v>
      </c>
      <c r="C1665" t="s">
        <v>307</v>
      </c>
      <c r="D1665">
        <v>2022</v>
      </c>
      <c r="E1665">
        <v>247.3999938964844</v>
      </c>
      <c r="F1665">
        <v>7.93</v>
      </c>
      <c r="G1665" t="s">
        <v>465</v>
      </c>
      <c r="H1665">
        <v>340</v>
      </c>
      <c r="I1665">
        <v>92.050003051757813</v>
      </c>
      <c r="L1665" t="s">
        <v>469</v>
      </c>
      <c r="M1665">
        <v>42.875157629255988</v>
      </c>
      <c r="N1665">
        <v>11.607818795934151</v>
      </c>
      <c r="O1665">
        <v>310.89999999999998</v>
      </c>
      <c r="P1665">
        <v>414.9</v>
      </c>
      <c r="Q1665">
        <v>239</v>
      </c>
      <c r="R1665" s="3" t="s">
        <v>470</v>
      </c>
      <c r="S1665">
        <v>310.89999999999998</v>
      </c>
      <c r="T1665" t="s">
        <v>468</v>
      </c>
    </row>
    <row r="1666" spans="1:20" x14ac:dyDescent="0.25">
      <c r="A1666">
        <v>251</v>
      </c>
      <c r="B1666">
        <v>513353</v>
      </c>
      <c r="C1666" t="s">
        <v>307</v>
      </c>
      <c r="D1666">
        <v>2023</v>
      </c>
      <c r="E1666">
        <v>247.3999938964844</v>
      </c>
      <c r="F1666">
        <v>72.069999999999993</v>
      </c>
      <c r="G1666" t="s">
        <v>465</v>
      </c>
      <c r="H1666">
        <v>405</v>
      </c>
      <c r="I1666">
        <v>215</v>
      </c>
      <c r="L1666" t="s">
        <v>469</v>
      </c>
      <c r="M1666">
        <v>5.6195365616761483</v>
      </c>
      <c r="N1666">
        <v>2.98321076730956</v>
      </c>
      <c r="O1666">
        <v>310.89999999999998</v>
      </c>
      <c r="P1666">
        <v>414.9</v>
      </c>
      <c r="Q1666">
        <v>239</v>
      </c>
      <c r="R1666" s="3" t="s">
        <v>470</v>
      </c>
      <c r="S1666">
        <v>310.89999999999998</v>
      </c>
      <c r="T1666" t="s">
        <v>468</v>
      </c>
    </row>
    <row r="1667" spans="1:20" x14ac:dyDescent="0.25">
      <c r="A1667">
        <v>251</v>
      </c>
      <c r="B1667">
        <v>513353</v>
      </c>
      <c r="C1667" t="s">
        <v>307</v>
      </c>
      <c r="D1667">
        <v>2024</v>
      </c>
      <c r="E1667">
        <v>247.3999938964844</v>
      </c>
      <c r="F1667">
        <v>10.97</v>
      </c>
      <c r="G1667" t="s">
        <v>465</v>
      </c>
      <c r="H1667">
        <v>414.89999389648438</v>
      </c>
      <c r="I1667">
        <v>239</v>
      </c>
      <c r="L1667" t="s">
        <v>469</v>
      </c>
      <c r="M1667">
        <v>37.821330346078803</v>
      </c>
      <c r="N1667">
        <v>21.786690975387419</v>
      </c>
      <c r="O1667">
        <v>310.89999999999998</v>
      </c>
      <c r="P1667">
        <v>414.9</v>
      </c>
      <c r="Q1667">
        <v>239</v>
      </c>
      <c r="R1667" s="3" t="s">
        <v>470</v>
      </c>
      <c r="S1667">
        <v>310.89999999999998</v>
      </c>
      <c r="T1667" t="s">
        <v>468</v>
      </c>
    </row>
    <row r="1668" spans="1:20" x14ac:dyDescent="0.25">
      <c r="A1668">
        <v>251</v>
      </c>
      <c r="B1668">
        <v>513353</v>
      </c>
      <c r="C1668" t="s">
        <v>307</v>
      </c>
      <c r="D1668">
        <v>2025</v>
      </c>
      <c r="E1668">
        <v>247.3999938964844</v>
      </c>
      <c r="F1668">
        <v>30.09</v>
      </c>
      <c r="G1668" t="s">
        <v>465</v>
      </c>
      <c r="H1668">
        <v>356</v>
      </c>
      <c r="I1668">
        <v>238</v>
      </c>
      <c r="L1668" t="s">
        <v>469</v>
      </c>
      <c r="M1668">
        <v>11.831173147224989</v>
      </c>
      <c r="N1668">
        <v>7.9096045197740112</v>
      </c>
      <c r="O1668">
        <v>310.89999999999998</v>
      </c>
      <c r="P1668">
        <v>414.9</v>
      </c>
      <c r="Q1668">
        <v>239</v>
      </c>
      <c r="R1668" s="3" t="s">
        <v>470</v>
      </c>
      <c r="S1668">
        <v>310.89999999999998</v>
      </c>
      <c r="T1668" t="s">
        <v>468</v>
      </c>
    </row>
    <row r="1669" spans="1:20" x14ac:dyDescent="0.25">
      <c r="A1669">
        <v>251</v>
      </c>
      <c r="B1669">
        <v>513353</v>
      </c>
      <c r="C1669" t="s">
        <v>307</v>
      </c>
      <c r="D1669">
        <v>2026</v>
      </c>
      <c r="E1669">
        <v>247.3999938964844</v>
      </c>
      <c r="F1669">
        <v>15.98</v>
      </c>
      <c r="G1669" t="s">
        <v>465</v>
      </c>
      <c r="H1669">
        <v>309</v>
      </c>
      <c r="I1669">
        <v>197.1000061035156</v>
      </c>
      <c r="L1669" t="s">
        <v>469</v>
      </c>
      <c r="M1669">
        <v>19.33667083854818</v>
      </c>
      <c r="N1669">
        <v>12.33416809158421</v>
      </c>
      <c r="O1669">
        <v>310.89999999999998</v>
      </c>
      <c r="P1669">
        <v>414.9</v>
      </c>
      <c r="Q1669">
        <v>239</v>
      </c>
      <c r="R1669" s="3" t="s">
        <v>470</v>
      </c>
      <c r="S1669">
        <v>310.89999999999998</v>
      </c>
      <c r="T1669" t="s">
        <v>468</v>
      </c>
    </row>
    <row r="1670" spans="1:20" x14ac:dyDescent="0.25">
      <c r="A1670">
        <v>252</v>
      </c>
      <c r="B1670">
        <v>513361</v>
      </c>
      <c r="C1670" t="s">
        <v>309</v>
      </c>
      <c r="D1670">
        <v>2015</v>
      </c>
      <c r="E1670">
        <v>21.739999771118161</v>
      </c>
      <c r="G1670" t="s">
        <v>465</v>
      </c>
      <c r="H1670">
        <v>4</v>
      </c>
      <c r="I1670">
        <v>1.9600000381469731</v>
      </c>
      <c r="L1670" t="s">
        <v>466</v>
      </c>
      <c r="O1670">
        <v>3.8</v>
      </c>
      <c r="P1670">
        <v>8.74</v>
      </c>
      <c r="Q1670">
        <v>2.61</v>
      </c>
      <c r="R1670" s="3" t="s">
        <v>470</v>
      </c>
      <c r="S1670">
        <v>3.8</v>
      </c>
      <c r="T1670" t="s">
        <v>468</v>
      </c>
    </row>
    <row r="1671" spans="1:20" x14ac:dyDescent="0.25">
      <c r="A1671">
        <v>252</v>
      </c>
      <c r="B1671">
        <v>513361</v>
      </c>
      <c r="C1671" t="s">
        <v>309</v>
      </c>
      <c r="D1671">
        <v>2016</v>
      </c>
      <c r="E1671">
        <v>21.739999771118161</v>
      </c>
      <c r="G1671" t="s">
        <v>465</v>
      </c>
      <c r="H1671">
        <v>4.8600001335144043</v>
      </c>
      <c r="I1671">
        <v>1.779999971389771</v>
      </c>
      <c r="L1671" t="s">
        <v>466</v>
      </c>
      <c r="O1671">
        <v>3.8</v>
      </c>
      <c r="P1671">
        <v>8.74</v>
      </c>
      <c r="Q1671">
        <v>2.61</v>
      </c>
      <c r="R1671" s="3" t="s">
        <v>470</v>
      </c>
      <c r="S1671">
        <v>3.8</v>
      </c>
      <c r="T1671" t="s">
        <v>468</v>
      </c>
    </row>
    <row r="1672" spans="1:20" x14ac:dyDescent="0.25">
      <c r="A1672">
        <v>252</v>
      </c>
      <c r="B1672">
        <v>513361</v>
      </c>
      <c r="C1672" t="s">
        <v>309</v>
      </c>
      <c r="D1672">
        <v>2017</v>
      </c>
      <c r="E1672">
        <v>21.739999771118161</v>
      </c>
      <c r="G1672" t="s">
        <v>465</v>
      </c>
      <c r="H1672">
        <v>5.6999998092651367</v>
      </c>
      <c r="I1672">
        <v>2.190000057220459</v>
      </c>
      <c r="L1672" t="s">
        <v>466</v>
      </c>
      <c r="O1672">
        <v>3.8</v>
      </c>
      <c r="P1672">
        <v>8.74</v>
      </c>
      <c r="Q1672">
        <v>2.61</v>
      </c>
      <c r="R1672" s="3" t="s">
        <v>470</v>
      </c>
      <c r="S1672">
        <v>3.8</v>
      </c>
      <c r="T1672" t="s">
        <v>468</v>
      </c>
    </row>
    <row r="1673" spans="1:20" x14ac:dyDescent="0.25">
      <c r="A1673">
        <v>252</v>
      </c>
      <c r="B1673">
        <v>513361</v>
      </c>
      <c r="C1673" t="s">
        <v>309</v>
      </c>
      <c r="D1673">
        <v>2018</v>
      </c>
      <c r="E1673">
        <v>21.739999771118161</v>
      </c>
      <c r="G1673" t="s">
        <v>465</v>
      </c>
      <c r="H1673">
        <v>4.6999998092651367</v>
      </c>
      <c r="I1673">
        <v>1.110000014305115</v>
      </c>
      <c r="L1673" t="s">
        <v>466</v>
      </c>
      <c r="O1673">
        <v>3.8</v>
      </c>
      <c r="P1673">
        <v>8.74</v>
      </c>
      <c r="Q1673">
        <v>2.61</v>
      </c>
      <c r="R1673" s="3" t="s">
        <v>470</v>
      </c>
      <c r="S1673">
        <v>3.8</v>
      </c>
      <c r="T1673" t="s">
        <v>468</v>
      </c>
    </row>
    <row r="1674" spans="1:20" x14ac:dyDescent="0.25">
      <c r="A1674">
        <v>252</v>
      </c>
      <c r="B1674">
        <v>513361</v>
      </c>
      <c r="C1674" t="s">
        <v>309</v>
      </c>
      <c r="D1674">
        <v>2019</v>
      </c>
      <c r="E1674">
        <v>21.739999771118161</v>
      </c>
      <c r="F1674">
        <v>-0.14000000000000001</v>
      </c>
      <c r="G1674" t="s">
        <v>465</v>
      </c>
      <c r="H1674">
        <v>1.440000057220459</v>
      </c>
      <c r="L1674" t="s">
        <v>471</v>
      </c>
      <c r="M1674">
        <v>-10.285714694431849</v>
      </c>
      <c r="O1674">
        <v>3.8</v>
      </c>
      <c r="P1674">
        <v>8.74</v>
      </c>
      <c r="Q1674">
        <v>2.61</v>
      </c>
      <c r="R1674" s="3" t="s">
        <v>470</v>
      </c>
      <c r="S1674">
        <v>3.8</v>
      </c>
      <c r="T1674" t="s">
        <v>468</v>
      </c>
    </row>
    <row r="1675" spans="1:20" x14ac:dyDescent="0.25">
      <c r="A1675">
        <v>252</v>
      </c>
      <c r="B1675">
        <v>513361</v>
      </c>
      <c r="C1675" t="s">
        <v>309</v>
      </c>
      <c r="D1675">
        <v>2020</v>
      </c>
      <c r="E1675">
        <v>21.739999771118161</v>
      </c>
      <c r="F1675">
        <v>-0.49</v>
      </c>
      <c r="G1675" t="s">
        <v>465</v>
      </c>
      <c r="L1675" t="s">
        <v>466</v>
      </c>
      <c r="O1675">
        <v>3.8</v>
      </c>
      <c r="P1675">
        <v>8.74</v>
      </c>
      <c r="Q1675">
        <v>2.61</v>
      </c>
      <c r="R1675" s="3" t="s">
        <v>470</v>
      </c>
      <c r="S1675">
        <v>3.8</v>
      </c>
      <c r="T1675" t="s">
        <v>468</v>
      </c>
    </row>
    <row r="1676" spans="1:20" x14ac:dyDescent="0.25">
      <c r="A1676">
        <v>252</v>
      </c>
      <c r="B1676">
        <v>513361</v>
      </c>
      <c r="C1676" t="s">
        <v>309</v>
      </c>
      <c r="D1676">
        <v>2021</v>
      </c>
      <c r="E1676">
        <v>21.739999771118161</v>
      </c>
      <c r="F1676">
        <v>-0.5</v>
      </c>
      <c r="G1676" t="s">
        <v>465</v>
      </c>
      <c r="H1676">
        <v>4.4699997901916504</v>
      </c>
      <c r="L1676" t="s">
        <v>471</v>
      </c>
      <c r="M1676">
        <v>-8.9399995803833008</v>
      </c>
      <c r="O1676">
        <v>3.8</v>
      </c>
      <c r="P1676">
        <v>8.74</v>
      </c>
      <c r="Q1676">
        <v>2.61</v>
      </c>
      <c r="R1676" s="3" t="s">
        <v>470</v>
      </c>
      <c r="S1676">
        <v>3.8</v>
      </c>
      <c r="T1676" t="s">
        <v>468</v>
      </c>
    </row>
    <row r="1677" spans="1:20" x14ac:dyDescent="0.25">
      <c r="A1677">
        <v>252</v>
      </c>
      <c r="B1677">
        <v>513361</v>
      </c>
      <c r="C1677" t="s">
        <v>309</v>
      </c>
      <c r="D1677">
        <v>2022</v>
      </c>
      <c r="E1677">
        <v>21.739999771118161</v>
      </c>
      <c r="F1677">
        <v>-1.27</v>
      </c>
      <c r="G1677" t="s">
        <v>465</v>
      </c>
      <c r="H1677">
        <v>6.880000114440918</v>
      </c>
      <c r="I1677">
        <v>1.919999957084656</v>
      </c>
      <c r="L1677" t="s">
        <v>471</v>
      </c>
      <c r="M1677">
        <v>-5.4173229247566281</v>
      </c>
      <c r="N1677">
        <v>-1.5118109898304379</v>
      </c>
      <c r="O1677">
        <v>3.8</v>
      </c>
      <c r="P1677">
        <v>8.74</v>
      </c>
      <c r="Q1677">
        <v>2.61</v>
      </c>
      <c r="R1677" s="3" t="s">
        <v>470</v>
      </c>
      <c r="S1677">
        <v>3.8</v>
      </c>
      <c r="T1677" t="s">
        <v>468</v>
      </c>
    </row>
    <row r="1678" spans="1:20" x14ac:dyDescent="0.25">
      <c r="A1678">
        <v>252</v>
      </c>
      <c r="B1678">
        <v>513361</v>
      </c>
      <c r="C1678" t="s">
        <v>309</v>
      </c>
      <c r="D1678">
        <v>2023</v>
      </c>
      <c r="E1678">
        <v>21.739999771118161</v>
      </c>
      <c r="F1678">
        <v>-0.9</v>
      </c>
      <c r="G1678" t="s">
        <v>465</v>
      </c>
      <c r="H1678">
        <v>5.2899999618530273</v>
      </c>
      <c r="I1678">
        <v>1.3500000238418579</v>
      </c>
      <c r="L1678" t="s">
        <v>471</v>
      </c>
      <c r="M1678">
        <v>-5.8777777353922529</v>
      </c>
      <c r="N1678">
        <v>-1.500000026490953</v>
      </c>
      <c r="O1678">
        <v>3.8</v>
      </c>
      <c r="P1678">
        <v>8.74</v>
      </c>
      <c r="Q1678">
        <v>2.61</v>
      </c>
      <c r="R1678" s="3" t="s">
        <v>470</v>
      </c>
      <c r="S1678">
        <v>3.8</v>
      </c>
      <c r="T1678" t="s">
        <v>468</v>
      </c>
    </row>
    <row r="1679" spans="1:20" x14ac:dyDescent="0.25">
      <c r="A1679">
        <v>252</v>
      </c>
      <c r="B1679">
        <v>513361</v>
      </c>
      <c r="C1679" t="s">
        <v>309</v>
      </c>
      <c r="D1679">
        <v>2024</v>
      </c>
      <c r="E1679">
        <v>21.739999771118161</v>
      </c>
      <c r="G1679" t="s">
        <v>465</v>
      </c>
      <c r="H1679">
        <v>8.7399997711181641</v>
      </c>
      <c r="I1679">
        <v>2.6099998950958252</v>
      </c>
      <c r="L1679" t="s">
        <v>466</v>
      </c>
      <c r="O1679">
        <v>3.8</v>
      </c>
      <c r="P1679">
        <v>8.74</v>
      </c>
      <c r="Q1679">
        <v>2.61</v>
      </c>
      <c r="R1679" s="3" t="s">
        <v>470</v>
      </c>
      <c r="S1679">
        <v>3.8</v>
      </c>
      <c r="T1679" t="s">
        <v>468</v>
      </c>
    </row>
    <row r="1680" spans="1:20" x14ac:dyDescent="0.25">
      <c r="A1680">
        <v>252</v>
      </c>
      <c r="B1680">
        <v>513361</v>
      </c>
      <c r="C1680" t="s">
        <v>309</v>
      </c>
      <c r="D1680">
        <v>2025</v>
      </c>
      <c r="E1680">
        <v>21.739999771118161</v>
      </c>
      <c r="G1680" t="s">
        <v>465</v>
      </c>
      <c r="H1680">
        <v>14.579999923706049</v>
      </c>
      <c r="I1680">
        <v>3.809999942779541</v>
      </c>
      <c r="L1680" t="s">
        <v>466</v>
      </c>
      <c r="O1680">
        <v>3.8</v>
      </c>
      <c r="P1680">
        <v>8.74</v>
      </c>
      <c r="Q1680">
        <v>2.61</v>
      </c>
      <c r="R1680" s="3" t="s">
        <v>470</v>
      </c>
      <c r="S1680">
        <v>3.8</v>
      </c>
      <c r="T1680" t="s">
        <v>468</v>
      </c>
    </row>
    <row r="1681" spans="1:20" x14ac:dyDescent="0.25">
      <c r="A1681">
        <v>252</v>
      </c>
      <c r="B1681">
        <v>513361</v>
      </c>
      <c r="C1681" t="s">
        <v>309</v>
      </c>
      <c r="D1681">
        <v>2026</v>
      </c>
      <c r="E1681">
        <v>21.739999771118161</v>
      </c>
      <c r="G1681" t="s">
        <v>465</v>
      </c>
      <c r="H1681">
        <v>25.639999389648441</v>
      </c>
      <c r="I1681">
        <v>11.30000019073486</v>
      </c>
      <c r="L1681" t="s">
        <v>466</v>
      </c>
      <c r="O1681">
        <v>3.8</v>
      </c>
      <c r="P1681">
        <v>8.74</v>
      </c>
      <c r="Q1681">
        <v>2.61</v>
      </c>
      <c r="R1681" s="3" t="s">
        <v>470</v>
      </c>
      <c r="S1681">
        <v>3.8</v>
      </c>
      <c r="T1681" t="s">
        <v>468</v>
      </c>
    </row>
    <row r="1682" spans="1:20" x14ac:dyDescent="0.25">
      <c r="A1682">
        <v>253</v>
      </c>
      <c r="B1682">
        <v>513397</v>
      </c>
      <c r="C1682" t="s">
        <v>311</v>
      </c>
      <c r="D1682">
        <v>2015</v>
      </c>
      <c r="E1682">
        <v>8.1000003814697266</v>
      </c>
      <c r="F1682">
        <v>4.6100000000000003</v>
      </c>
      <c r="G1682" t="s">
        <v>465</v>
      </c>
      <c r="H1682">
        <v>39.099998474121087</v>
      </c>
      <c r="I1682">
        <v>13.35000038146973</v>
      </c>
      <c r="L1682" t="s">
        <v>469</v>
      </c>
      <c r="M1682">
        <v>8.4815614911325561</v>
      </c>
      <c r="N1682">
        <v>2.895878607694085</v>
      </c>
      <c r="O1682">
        <v>10.23</v>
      </c>
      <c r="P1682">
        <v>20.99</v>
      </c>
      <c r="Q1682">
        <v>6.6</v>
      </c>
      <c r="R1682" s="3" t="s">
        <v>470</v>
      </c>
      <c r="S1682">
        <v>10.23</v>
      </c>
      <c r="T1682" t="s">
        <v>468</v>
      </c>
    </row>
    <row r="1683" spans="1:20" x14ac:dyDescent="0.25">
      <c r="A1683">
        <v>253</v>
      </c>
      <c r="B1683">
        <v>513397</v>
      </c>
      <c r="C1683" t="s">
        <v>311</v>
      </c>
      <c r="D1683">
        <v>2016</v>
      </c>
      <c r="E1683">
        <v>8.1000003814697266</v>
      </c>
      <c r="F1683">
        <v>2.75</v>
      </c>
      <c r="G1683" t="s">
        <v>465</v>
      </c>
      <c r="H1683">
        <v>48.099998474121087</v>
      </c>
      <c r="I1683">
        <v>24.85000038146973</v>
      </c>
      <c r="L1683" t="s">
        <v>469</v>
      </c>
      <c r="M1683">
        <v>17.490908536044032</v>
      </c>
      <c r="N1683">
        <v>9.0363637750799022</v>
      </c>
      <c r="O1683">
        <v>10.23</v>
      </c>
      <c r="P1683">
        <v>20.99</v>
      </c>
      <c r="Q1683">
        <v>6.6</v>
      </c>
      <c r="R1683" s="3" t="s">
        <v>470</v>
      </c>
      <c r="S1683">
        <v>10.23</v>
      </c>
      <c r="T1683" t="s">
        <v>468</v>
      </c>
    </row>
    <row r="1684" spans="1:20" x14ac:dyDescent="0.25">
      <c r="A1684">
        <v>253</v>
      </c>
      <c r="B1684">
        <v>513397</v>
      </c>
      <c r="C1684" t="s">
        <v>311</v>
      </c>
      <c r="D1684">
        <v>2017</v>
      </c>
      <c r="E1684">
        <v>8.1000003814697266</v>
      </c>
      <c r="F1684">
        <v>1.54</v>
      </c>
      <c r="G1684" t="s">
        <v>465</v>
      </c>
      <c r="H1684">
        <v>39.599998474121087</v>
      </c>
      <c r="I1684">
        <v>26.29999923706055</v>
      </c>
      <c r="L1684" t="s">
        <v>469</v>
      </c>
      <c r="M1684">
        <v>25.714284723455251</v>
      </c>
      <c r="N1684">
        <v>17.07792158250685</v>
      </c>
      <c r="O1684">
        <v>10.23</v>
      </c>
      <c r="P1684">
        <v>20.99</v>
      </c>
      <c r="Q1684">
        <v>6.6</v>
      </c>
      <c r="R1684" s="3" t="s">
        <v>470</v>
      </c>
      <c r="S1684">
        <v>10.23</v>
      </c>
      <c r="T1684" t="s">
        <v>468</v>
      </c>
    </row>
    <row r="1685" spans="1:20" x14ac:dyDescent="0.25">
      <c r="A1685">
        <v>253</v>
      </c>
      <c r="B1685">
        <v>513397</v>
      </c>
      <c r="C1685" t="s">
        <v>311</v>
      </c>
      <c r="D1685">
        <v>2018</v>
      </c>
      <c r="E1685">
        <v>8.1000003814697266</v>
      </c>
      <c r="F1685">
        <v>1.9</v>
      </c>
      <c r="G1685" t="s">
        <v>465</v>
      </c>
      <c r="H1685">
        <v>36.099998474121087</v>
      </c>
      <c r="I1685">
        <v>21.04999923706055</v>
      </c>
      <c r="L1685" t="s">
        <v>469</v>
      </c>
      <c r="M1685">
        <v>18.99999919690584</v>
      </c>
      <c r="N1685">
        <v>11.07894696687397</v>
      </c>
      <c r="O1685">
        <v>10.23</v>
      </c>
      <c r="P1685">
        <v>20.99</v>
      </c>
      <c r="Q1685">
        <v>6.6</v>
      </c>
      <c r="R1685" s="3" t="s">
        <v>470</v>
      </c>
      <c r="S1685">
        <v>10.23</v>
      </c>
      <c r="T1685" t="s">
        <v>468</v>
      </c>
    </row>
    <row r="1686" spans="1:20" x14ac:dyDescent="0.25">
      <c r="A1686">
        <v>253</v>
      </c>
      <c r="B1686">
        <v>513397</v>
      </c>
      <c r="C1686" t="s">
        <v>311</v>
      </c>
      <c r="D1686">
        <v>2019</v>
      </c>
      <c r="E1686">
        <v>8.1000003814697266</v>
      </c>
      <c r="F1686">
        <v>0.48</v>
      </c>
      <c r="G1686" t="s">
        <v>465</v>
      </c>
      <c r="H1686">
        <v>31.39999961853027</v>
      </c>
      <c r="I1686">
        <v>25.29999923706055</v>
      </c>
      <c r="L1686" t="s">
        <v>484</v>
      </c>
      <c r="M1686">
        <v>65.416665871938065</v>
      </c>
      <c r="N1686">
        <v>52.708331743876151</v>
      </c>
      <c r="O1686">
        <v>10.23</v>
      </c>
      <c r="P1686">
        <v>20.99</v>
      </c>
      <c r="Q1686">
        <v>6.6</v>
      </c>
      <c r="R1686" s="3" t="s">
        <v>470</v>
      </c>
      <c r="S1686">
        <v>10.23</v>
      </c>
      <c r="T1686" t="s">
        <v>468</v>
      </c>
    </row>
    <row r="1687" spans="1:20" x14ac:dyDescent="0.25">
      <c r="A1687">
        <v>253</v>
      </c>
      <c r="B1687">
        <v>513397</v>
      </c>
      <c r="C1687" t="s">
        <v>311</v>
      </c>
      <c r="D1687">
        <v>2020</v>
      </c>
      <c r="E1687">
        <v>8.1000003814697266</v>
      </c>
      <c r="F1687">
        <v>-34.79</v>
      </c>
      <c r="G1687" t="s">
        <v>465</v>
      </c>
      <c r="H1687">
        <v>25.29999923706055</v>
      </c>
      <c r="I1687">
        <v>5.8899998664855957</v>
      </c>
      <c r="L1687" t="s">
        <v>471</v>
      </c>
      <c r="M1687">
        <v>-0.72722044372120009</v>
      </c>
      <c r="N1687">
        <v>-0.1693015195885483</v>
      </c>
      <c r="O1687">
        <v>10.23</v>
      </c>
      <c r="P1687">
        <v>20.99</v>
      </c>
      <c r="Q1687">
        <v>6.6</v>
      </c>
      <c r="R1687" s="3" t="s">
        <v>470</v>
      </c>
      <c r="S1687">
        <v>10.23</v>
      </c>
      <c r="T1687" t="s">
        <v>468</v>
      </c>
    </row>
    <row r="1688" spans="1:20" x14ac:dyDescent="0.25">
      <c r="A1688">
        <v>253</v>
      </c>
      <c r="B1688">
        <v>513397</v>
      </c>
      <c r="C1688" t="s">
        <v>311</v>
      </c>
      <c r="D1688">
        <v>2021</v>
      </c>
      <c r="E1688">
        <v>8.1000003814697266</v>
      </c>
      <c r="F1688">
        <v>-42.53</v>
      </c>
      <c r="G1688" t="s">
        <v>465</v>
      </c>
      <c r="H1688">
        <v>11.19999980926514</v>
      </c>
      <c r="I1688">
        <v>6.5999999046325684</v>
      </c>
      <c r="L1688" t="s">
        <v>471</v>
      </c>
      <c r="M1688">
        <v>-0.26334351773489628</v>
      </c>
      <c r="N1688">
        <v>-0.15518457335134181</v>
      </c>
      <c r="O1688">
        <v>10.23</v>
      </c>
      <c r="P1688">
        <v>20.99</v>
      </c>
      <c r="Q1688">
        <v>6.6</v>
      </c>
      <c r="R1688" s="3" t="s">
        <v>470</v>
      </c>
      <c r="S1688">
        <v>10.23</v>
      </c>
      <c r="T1688" t="s">
        <v>468</v>
      </c>
    </row>
    <row r="1689" spans="1:20" x14ac:dyDescent="0.25">
      <c r="A1689">
        <v>253</v>
      </c>
      <c r="B1689">
        <v>513397</v>
      </c>
      <c r="C1689" t="s">
        <v>311</v>
      </c>
      <c r="D1689">
        <v>2022</v>
      </c>
      <c r="E1689">
        <v>8.1000003814697266</v>
      </c>
      <c r="F1689">
        <v>-18.670000000000002</v>
      </c>
      <c r="G1689" t="s">
        <v>465</v>
      </c>
      <c r="H1689">
        <v>10.14000034332275</v>
      </c>
      <c r="I1689">
        <v>5.0500001907348633</v>
      </c>
      <c r="L1689" t="s">
        <v>471</v>
      </c>
      <c r="M1689">
        <v>-0.54311731887106318</v>
      </c>
      <c r="N1689">
        <v>-0.27048742317808577</v>
      </c>
      <c r="O1689">
        <v>10.23</v>
      </c>
      <c r="P1689">
        <v>20.99</v>
      </c>
      <c r="Q1689">
        <v>6.6</v>
      </c>
      <c r="R1689" s="3" t="s">
        <v>470</v>
      </c>
      <c r="S1689">
        <v>10.23</v>
      </c>
      <c r="T1689" t="s">
        <v>468</v>
      </c>
    </row>
    <row r="1690" spans="1:20" x14ac:dyDescent="0.25">
      <c r="A1690">
        <v>253</v>
      </c>
      <c r="B1690">
        <v>513397</v>
      </c>
      <c r="C1690" t="s">
        <v>311</v>
      </c>
      <c r="D1690">
        <v>2023</v>
      </c>
      <c r="E1690">
        <v>8.1000003814697266</v>
      </c>
      <c r="F1690">
        <v>-20.34</v>
      </c>
      <c r="G1690" t="s">
        <v>465</v>
      </c>
      <c r="H1690">
        <v>9.1099996566772461</v>
      </c>
      <c r="I1690">
        <v>4.429999828338623</v>
      </c>
      <c r="L1690" t="s">
        <v>471</v>
      </c>
      <c r="M1690">
        <v>-0.44788592215719009</v>
      </c>
      <c r="N1690">
        <v>-0.21779743502156459</v>
      </c>
      <c r="O1690">
        <v>10.23</v>
      </c>
      <c r="P1690">
        <v>20.99</v>
      </c>
      <c r="Q1690">
        <v>6.6</v>
      </c>
      <c r="R1690" s="3" t="s">
        <v>470</v>
      </c>
      <c r="S1690">
        <v>10.23</v>
      </c>
      <c r="T1690" t="s">
        <v>468</v>
      </c>
    </row>
    <row r="1691" spans="1:20" x14ac:dyDescent="0.25">
      <c r="A1691">
        <v>253</v>
      </c>
      <c r="B1691">
        <v>513397</v>
      </c>
      <c r="C1691" t="s">
        <v>311</v>
      </c>
      <c r="D1691">
        <v>2024</v>
      </c>
      <c r="E1691">
        <v>8.1000003814697266</v>
      </c>
      <c r="F1691">
        <v>-3.62</v>
      </c>
      <c r="G1691" t="s">
        <v>465</v>
      </c>
      <c r="H1691">
        <v>20.989999771118161</v>
      </c>
      <c r="I1691">
        <v>6.5999999046325684</v>
      </c>
      <c r="L1691" t="s">
        <v>471</v>
      </c>
      <c r="M1691">
        <v>-5.7983424782094364</v>
      </c>
      <c r="N1691">
        <v>-1.823204393544908</v>
      </c>
      <c r="O1691">
        <v>10.23</v>
      </c>
      <c r="P1691">
        <v>20.99</v>
      </c>
      <c r="Q1691">
        <v>6.6</v>
      </c>
      <c r="R1691" s="3" t="s">
        <v>470</v>
      </c>
      <c r="S1691">
        <v>10.23</v>
      </c>
      <c r="T1691" t="s">
        <v>468</v>
      </c>
    </row>
    <row r="1692" spans="1:20" x14ac:dyDescent="0.25">
      <c r="A1692">
        <v>253</v>
      </c>
      <c r="B1692">
        <v>513397</v>
      </c>
      <c r="C1692" t="s">
        <v>311</v>
      </c>
      <c r="D1692">
        <v>2025</v>
      </c>
      <c r="E1692">
        <v>8.1000003814697266</v>
      </c>
      <c r="F1692">
        <v>-2.85</v>
      </c>
      <c r="G1692" t="s">
        <v>465</v>
      </c>
      <c r="H1692">
        <v>11.439999580383301</v>
      </c>
      <c r="I1692">
        <v>6.0199999809265137</v>
      </c>
      <c r="L1692" t="s">
        <v>471</v>
      </c>
      <c r="M1692">
        <v>-4.0140349404853684</v>
      </c>
      <c r="N1692">
        <v>-2.1122806950619339</v>
      </c>
      <c r="O1692">
        <v>10.23</v>
      </c>
      <c r="P1692">
        <v>20.99</v>
      </c>
      <c r="Q1692">
        <v>6.6</v>
      </c>
      <c r="R1692" s="3" t="s">
        <v>470</v>
      </c>
      <c r="S1692">
        <v>10.23</v>
      </c>
      <c r="T1692" t="s">
        <v>468</v>
      </c>
    </row>
    <row r="1693" spans="1:20" x14ac:dyDescent="0.25">
      <c r="A1693">
        <v>253</v>
      </c>
      <c r="B1693">
        <v>513397</v>
      </c>
      <c r="C1693" t="s">
        <v>311</v>
      </c>
      <c r="D1693">
        <v>2026</v>
      </c>
      <c r="E1693">
        <v>8.1000003814697266</v>
      </c>
      <c r="F1693">
        <v>-2.36</v>
      </c>
      <c r="G1693" t="s">
        <v>465</v>
      </c>
      <c r="H1693">
        <v>14.89999961853027</v>
      </c>
      <c r="I1693">
        <v>8</v>
      </c>
      <c r="L1693" t="s">
        <v>471</v>
      </c>
      <c r="M1693">
        <v>-6.3135591603941821</v>
      </c>
      <c r="N1693">
        <v>-3.389830508474577</v>
      </c>
      <c r="O1693">
        <v>10.23</v>
      </c>
      <c r="P1693">
        <v>20.99</v>
      </c>
      <c r="Q1693">
        <v>6.6</v>
      </c>
      <c r="R1693" s="3" t="s">
        <v>470</v>
      </c>
      <c r="S1693">
        <v>10.23</v>
      </c>
      <c r="T1693" t="s">
        <v>468</v>
      </c>
    </row>
    <row r="1694" spans="1:20" x14ac:dyDescent="0.25">
      <c r="A1694">
        <v>254</v>
      </c>
      <c r="B1694">
        <v>513401</v>
      </c>
      <c r="C1694" t="s">
        <v>313</v>
      </c>
      <c r="D1694">
        <v>2015</v>
      </c>
      <c r="E1694">
        <v>17.5</v>
      </c>
      <c r="F1694">
        <v>4.46</v>
      </c>
      <c r="G1694" t="s">
        <v>465</v>
      </c>
      <c r="H1694">
        <v>15.69999980926514</v>
      </c>
      <c r="I1694">
        <v>8.1999998092651367</v>
      </c>
      <c r="L1694" t="s">
        <v>469</v>
      </c>
      <c r="M1694">
        <v>3.5201793294316461</v>
      </c>
      <c r="N1694">
        <v>1.8385649796558601</v>
      </c>
      <c r="O1694">
        <v>52.59</v>
      </c>
      <c r="P1694">
        <v>62.65</v>
      </c>
      <c r="Q1694">
        <v>31.16</v>
      </c>
      <c r="R1694" s="3" t="s">
        <v>470</v>
      </c>
      <c r="S1694">
        <v>52.59</v>
      </c>
      <c r="T1694" t="s">
        <v>468</v>
      </c>
    </row>
    <row r="1695" spans="1:20" x14ac:dyDescent="0.25">
      <c r="A1695">
        <v>254</v>
      </c>
      <c r="B1695">
        <v>513401</v>
      </c>
      <c r="C1695" t="s">
        <v>313</v>
      </c>
      <c r="D1695">
        <v>2016</v>
      </c>
      <c r="E1695">
        <v>17.5</v>
      </c>
      <c r="F1695">
        <v>1.46</v>
      </c>
      <c r="G1695" t="s">
        <v>465</v>
      </c>
      <c r="H1695">
        <v>15.69999980926514</v>
      </c>
      <c r="I1695">
        <v>7.190000057220459</v>
      </c>
      <c r="L1695" t="s">
        <v>469</v>
      </c>
      <c r="M1695">
        <v>10.75342452689393</v>
      </c>
      <c r="N1695">
        <v>4.9246575734386706</v>
      </c>
      <c r="O1695">
        <v>52.59</v>
      </c>
      <c r="P1695">
        <v>62.65</v>
      </c>
      <c r="Q1695">
        <v>31.16</v>
      </c>
      <c r="R1695" s="3" t="s">
        <v>470</v>
      </c>
      <c r="S1695">
        <v>52.59</v>
      </c>
      <c r="T1695" t="s">
        <v>468</v>
      </c>
    </row>
    <row r="1696" spans="1:20" x14ac:dyDescent="0.25">
      <c r="A1696">
        <v>254</v>
      </c>
      <c r="B1696">
        <v>513401</v>
      </c>
      <c r="C1696" t="s">
        <v>313</v>
      </c>
      <c r="D1696">
        <v>2017</v>
      </c>
      <c r="E1696">
        <v>17.5</v>
      </c>
      <c r="F1696">
        <v>6.92</v>
      </c>
      <c r="G1696" t="s">
        <v>465</v>
      </c>
      <c r="H1696">
        <v>40</v>
      </c>
      <c r="I1696">
        <v>12.5</v>
      </c>
      <c r="L1696" t="s">
        <v>469</v>
      </c>
      <c r="M1696">
        <v>5.7803468208092488</v>
      </c>
      <c r="N1696">
        <v>1.8063583815028901</v>
      </c>
      <c r="O1696">
        <v>52.59</v>
      </c>
      <c r="P1696">
        <v>62.65</v>
      </c>
      <c r="Q1696">
        <v>31.16</v>
      </c>
      <c r="R1696" s="3" t="s">
        <v>470</v>
      </c>
      <c r="S1696">
        <v>52.59</v>
      </c>
      <c r="T1696" t="s">
        <v>468</v>
      </c>
    </row>
    <row r="1697" spans="1:20" x14ac:dyDescent="0.25">
      <c r="A1697">
        <v>254</v>
      </c>
      <c r="B1697">
        <v>513401</v>
      </c>
      <c r="C1697" t="s">
        <v>313</v>
      </c>
      <c r="D1697">
        <v>2018</v>
      </c>
      <c r="E1697">
        <v>17.5</v>
      </c>
      <c r="F1697">
        <v>4.42</v>
      </c>
      <c r="G1697" t="s">
        <v>465</v>
      </c>
      <c r="H1697">
        <v>39.5</v>
      </c>
      <c r="I1697">
        <v>21.79999923706055</v>
      </c>
      <c r="L1697" t="s">
        <v>469</v>
      </c>
      <c r="M1697">
        <v>8.9366515837104075</v>
      </c>
      <c r="N1697">
        <v>4.9321265242218439</v>
      </c>
      <c r="O1697">
        <v>52.59</v>
      </c>
      <c r="P1697">
        <v>62.65</v>
      </c>
      <c r="Q1697">
        <v>31.16</v>
      </c>
      <c r="R1697" s="3" t="s">
        <v>470</v>
      </c>
      <c r="S1697">
        <v>52.59</v>
      </c>
      <c r="T1697" t="s">
        <v>468</v>
      </c>
    </row>
    <row r="1698" spans="1:20" x14ac:dyDescent="0.25">
      <c r="A1698">
        <v>254</v>
      </c>
      <c r="B1698">
        <v>513401</v>
      </c>
      <c r="C1698" t="s">
        <v>313</v>
      </c>
      <c r="D1698">
        <v>2019</v>
      </c>
      <c r="E1698">
        <v>17.5</v>
      </c>
      <c r="F1698">
        <v>5.36</v>
      </c>
      <c r="G1698" t="s">
        <v>465</v>
      </c>
      <c r="H1698">
        <v>30.64999961853027</v>
      </c>
      <c r="I1698">
        <v>9.5</v>
      </c>
      <c r="L1698" t="s">
        <v>469</v>
      </c>
      <c r="M1698">
        <v>5.718283510919826</v>
      </c>
      <c r="N1698">
        <v>1.772388059701492</v>
      </c>
      <c r="O1698">
        <v>52.59</v>
      </c>
      <c r="P1698">
        <v>62.65</v>
      </c>
      <c r="Q1698">
        <v>31.16</v>
      </c>
      <c r="R1698" s="3" t="s">
        <v>470</v>
      </c>
      <c r="S1698">
        <v>52.59</v>
      </c>
      <c r="T1698" t="s">
        <v>468</v>
      </c>
    </row>
    <row r="1699" spans="1:20" x14ac:dyDescent="0.25">
      <c r="A1699">
        <v>254</v>
      </c>
      <c r="B1699">
        <v>513401</v>
      </c>
      <c r="C1699" t="s">
        <v>313</v>
      </c>
      <c r="D1699">
        <v>2020</v>
      </c>
      <c r="E1699">
        <v>17.5</v>
      </c>
      <c r="F1699">
        <v>-14.71</v>
      </c>
      <c r="G1699" t="s">
        <v>465</v>
      </c>
      <c r="H1699">
        <v>12.94999980926514</v>
      </c>
      <c r="I1699">
        <v>5.9899997711181641</v>
      </c>
      <c r="L1699" t="s">
        <v>471</v>
      </c>
      <c r="M1699">
        <v>-0.88035348805337454</v>
      </c>
      <c r="N1699">
        <v>-0.40720596676534082</v>
      </c>
      <c r="O1699">
        <v>52.59</v>
      </c>
      <c r="P1699">
        <v>62.65</v>
      </c>
      <c r="Q1699">
        <v>31.16</v>
      </c>
      <c r="R1699" s="3" t="s">
        <v>470</v>
      </c>
      <c r="S1699">
        <v>52.59</v>
      </c>
      <c r="T1699" t="s">
        <v>468</v>
      </c>
    </row>
    <row r="1700" spans="1:20" x14ac:dyDescent="0.25">
      <c r="A1700">
        <v>254</v>
      </c>
      <c r="B1700">
        <v>513401</v>
      </c>
      <c r="C1700" t="s">
        <v>313</v>
      </c>
      <c r="D1700">
        <v>2021</v>
      </c>
      <c r="E1700">
        <v>17.5</v>
      </c>
      <c r="F1700">
        <v>1.44</v>
      </c>
      <c r="G1700" t="s">
        <v>465</v>
      </c>
      <c r="H1700">
        <v>23.45000076293945</v>
      </c>
      <c r="I1700">
        <v>9.75</v>
      </c>
      <c r="L1700" t="s">
        <v>469</v>
      </c>
      <c r="M1700">
        <v>16.28472275204129</v>
      </c>
      <c r="N1700">
        <v>6.7708333333333339</v>
      </c>
      <c r="O1700">
        <v>52.59</v>
      </c>
      <c r="P1700">
        <v>62.65</v>
      </c>
      <c r="Q1700">
        <v>31.16</v>
      </c>
      <c r="R1700" s="3" t="s">
        <v>470</v>
      </c>
      <c r="S1700">
        <v>52.59</v>
      </c>
      <c r="T1700" t="s">
        <v>468</v>
      </c>
    </row>
    <row r="1701" spans="1:20" x14ac:dyDescent="0.25">
      <c r="A1701">
        <v>254</v>
      </c>
      <c r="B1701">
        <v>513401</v>
      </c>
      <c r="C1701" t="s">
        <v>313</v>
      </c>
      <c r="D1701">
        <v>2022</v>
      </c>
      <c r="E1701">
        <v>17.5</v>
      </c>
      <c r="F1701">
        <v>1.27</v>
      </c>
      <c r="G1701" t="s">
        <v>465</v>
      </c>
      <c r="H1701">
        <v>62.599998474121087</v>
      </c>
      <c r="I1701">
        <v>17.54999923706055</v>
      </c>
      <c r="L1701" t="s">
        <v>469</v>
      </c>
      <c r="M1701">
        <v>49.291337381197707</v>
      </c>
      <c r="N1701">
        <v>13.81889703705555</v>
      </c>
      <c r="O1701">
        <v>52.59</v>
      </c>
      <c r="P1701">
        <v>62.65</v>
      </c>
      <c r="Q1701">
        <v>31.16</v>
      </c>
      <c r="R1701" s="3" t="s">
        <v>470</v>
      </c>
      <c r="S1701">
        <v>52.59</v>
      </c>
      <c r="T1701" t="s">
        <v>468</v>
      </c>
    </row>
    <row r="1702" spans="1:20" x14ac:dyDescent="0.25">
      <c r="A1702">
        <v>254</v>
      </c>
      <c r="B1702">
        <v>513401</v>
      </c>
      <c r="C1702" t="s">
        <v>313</v>
      </c>
      <c r="D1702">
        <v>2023</v>
      </c>
      <c r="E1702">
        <v>17.5</v>
      </c>
      <c r="F1702">
        <v>3.77</v>
      </c>
      <c r="G1702" t="s">
        <v>465</v>
      </c>
      <c r="H1702">
        <v>45.900001525878913</v>
      </c>
      <c r="I1702">
        <v>26.370000839233398</v>
      </c>
      <c r="L1702" t="s">
        <v>469</v>
      </c>
      <c r="M1702">
        <v>12.175066717739769</v>
      </c>
      <c r="N1702">
        <v>6.9946951828205304</v>
      </c>
      <c r="O1702">
        <v>52.59</v>
      </c>
      <c r="P1702">
        <v>62.65</v>
      </c>
      <c r="Q1702">
        <v>31.16</v>
      </c>
      <c r="R1702" s="3" t="s">
        <v>470</v>
      </c>
      <c r="S1702">
        <v>52.59</v>
      </c>
      <c r="T1702" t="s">
        <v>468</v>
      </c>
    </row>
    <row r="1703" spans="1:20" x14ac:dyDescent="0.25">
      <c r="A1703">
        <v>254</v>
      </c>
      <c r="B1703">
        <v>513401</v>
      </c>
      <c r="C1703" t="s">
        <v>313</v>
      </c>
      <c r="D1703">
        <v>2024</v>
      </c>
      <c r="E1703">
        <v>17.5</v>
      </c>
      <c r="F1703">
        <v>1.85</v>
      </c>
      <c r="G1703" t="s">
        <v>465</v>
      </c>
      <c r="H1703">
        <v>62.650001525878913</v>
      </c>
      <c r="I1703">
        <v>29.10000038146973</v>
      </c>
      <c r="L1703" t="s">
        <v>469</v>
      </c>
      <c r="M1703">
        <v>33.864865689664278</v>
      </c>
      <c r="N1703">
        <v>15.72972993592958</v>
      </c>
      <c r="O1703">
        <v>52.59</v>
      </c>
      <c r="P1703">
        <v>62.65</v>
      </c>
      <c r="Q1703">
        <v>31.16</v>
      </c>
      <c r="R1703" s="3" t="s">
        <v>470</v>
      </c>
      <c r="S1703">
        <v>52.59</v>
      </c>
      <c r="T1703" t="s">
        <v>468</v>
      </c>
    </row>
    <row r="1704" spans="1:20" x14ac:dyDescent="0.25">
      <c r="A1704">
        <v>254</v>
      </c>
      <c r="B1704">
        <v>513401</v>
      </c>
      <c r="C1704" t="s">
        <v>313</v>
      </c>
      <c r="D1704">
        <v>2025</v>
      </c>
      <c r="E1704">
        <v>17.5</v>
      </c>
      <c r="F1704">
        <v>-58.62</v>
      </c>
      <c r="G1704" t="s">
        <v>465</v>
      </c>
      <c r="H1704">
        <v>50.909999847412109</v>
      </c>
      <c r="I1704">
        <v>18.079999923706051</v>
      </c>
      <c r="L1704" t="s">
        <v>471</v>
      </c>
      <c r="M1704">
        <v>-0.86847492063139053</v>
      </c>
      <c r="N1704">
        <v>-0.30842715666506398</v>
      </c>
      <c r="O1704">
        <v>52.59</v>
      </c>
      <c r="P1704">
        <v>62.65</v>
      </c>
      <c r="Q1704">
        <v>31.16</v>
      </c>
      <c r="R1704" s="3" t="s">
        <v>470</v>
      </c>
      <c r="S1704">
        <v>52.59</v>
      </c>
      <c r="T1704" t="s">
        <v>468</v>
      </c>
    </row>
    <row r="1705" spans="1:20" x14ac:dyDescent="0.25">
      <c r="A1705">
        <v>254</v>
      </c>
      <c r="B1705">
        <v>513401</v>
      </c>
      <c r="C1705" t="s">
        <v>313</v>
      </c>
      <c r="D1705">
        <v>2026</v>
      </c>
      <c r="E1705">
        <v>17.5</v>
      </c>
      <c r="F1705">
        <v>38.21</v>
      </c>
      <c r="G1705" t="s">
        <v>465</v>
      </c>
      <c r="H1705">
        <v>28.770000457763668</v>
      </c>
      <c r="I1705">
        <v>16.45999908447266</v>
      </c>
      <c r="L1705" t="s">
        <v>469</v>
      </c>
      <c r="M1705">
        <v>0.75294426741072151</v>
      </c>
      <c r="N1705">
        <v>0.43077725947324419</v>
      </c>
      <c r="O1705">
        <v>52.59</v>
      </c>
      <c r="P1705">
        <v>62.65</v>
      </c>
      <c r="Q1705">
        <v>31.16</v>
      </c>
      <c r="R1705" s="3" t="s">
        <v>470</v>
      </c>
      <c r="S1705">
        <v>52.59</v>
      </c>
      <c r="T1705" t="s">
        <v>468</v>
      </c>
    </row>
    <row r="1706" spans="1:20" x14ac:dyDescent="0.25">
      <c r="A1706">
        <v>255</v>
      </c>
      <c r="B1706">
        <v>513403</v>
      </c>
      <c r="C1706" t="s">
        <v>315</v>
      </c>
      <c r="D1706">
        <v>2015</v>
      </c>
      <c r="E1706">
        <v>14.11999988555908</v>
      </c>
      <c r="F1706">
        <v>0.66</v>
      </c>
      <c r="G1706" t="s">
        <v>465</v>
      </c>
      <c r="H1706">
        <v>6.619999885559082</v>
      </c>
      <c r="I1706">
        <v>2</v>
      </c>
      <c r="L1706" t="s">
        <v>469</v>
      </c>
      <c r="M1706">
        <v>10.030302856907699</v>
      </c>
      <c r="N1706">
        <v>3.0303030303030298</v>
      </c>
      <c r="O1706">
        <v>5.4</v>
      </c>
      <c r="P1706">
        <v>7.5</v>
      </c>
      <c r="Q1706">
        <v>4.75</v>
      </c>
      <c r="R1706" s="3" t="s">
        <v>470</v>
      </c>
      <c r="S1706">
        <v>5.4</v>
      </c>
      <c r="T1706" t="s">
        <v>468</v>
      </c>
    </row>
    <row r="1707" spans="1:20" x14ac:dyDescent="0.25">
      <c r="A1707">
        <v>255</v>
      </c>
      <c r="B1707">
        <v>513403</v>
      </c>
      <c r="C1707" t="s">
        <v>315</v>
      </c>
      <c r="D1707">
        <v>2016</v>
      </c>
      <c r="E1707">
        <v>14.11999988555908</v>
      </c>
      <c r="F1707">
        <v>-5.68</v>
      </c>
      <c r="G1707" t="s">
        <v>465</v>
      </c>
      <c r="H1707">
        <v>7.6999998092651367</v>
      </c>
      <c r="I1707">
        <v>2.190000057220459</v>
      </c>
      <c r="L1707" t="s">
        <v>471</v>
      </c>
      <c r="M1707">
        <v>-1.3556337692368201</v>
      </c>
      <c r="N1707">
        <v>-0.38556339035571457</v>
      </c>
      <c r="O1707">
        <v>5.4</v>
      </c>
      <c r="P1707">
        <v>7.5</v>
      </c>
      <c r="Q1707">
        <v>4.75</v>
      </c>
      <c r="R1707" s="3" t="s">
        <v>470</v>
      </c>
      <c r="S1707">
        <v>5.4</v>
      </c>
      <c r="T1707" t="s">
        <v>468</v>
      </c>
    </row>
    <row r="1708" spans="1:20" x14ac:dyDescent="0.25">
      <c r="A1708">
        <v>255</v>
      </c>
      <c r="B1708">
        <v>513403</v>
      </c>
      <c r="C1708" t="s">
        <v>315</v>
      </c>
      <c r="D1708">
        <v>2017</v>
      </c>
      <c r="E1708">
        <v>14.11999988555908</v>
      </c>
      <c r="F1708">
        <v>0.17</v>
      </c>
      <c r="G1708" t="s">
        <v>465</v>
      </c>
      <c r="H1708">
        <v>7.4899997711181641</v>
      </c>
      <c r="I1708">
        <v>1.809999942779541</v>
      </c>
      <c r="L1708" t="s">
        <v>484</v>
      </c>
      <c r="M1708">
        <v>44.058822183048022</v>
      </c>
      <c r="N1708">
        <v>10.64705848693848</v>
      </c>
      <c r="O1708">
        <v>5.4</v>
      </c>
      <c r="P1708">
        <v>7.5</v>
      </c>
      <c r="Q1708">
        <v>4.75</v>
      </c>
      <c r="R1708" s="3" t="s">
        <v>470</v>
      </c>
      <c r="S1708">
        <v>5.4</v>
      </c>
      <c r="T1708" t="s">
        <v>468</v>
      </c>
    </row>
    <row r="1709" spans="1:20" x14ac:dyDescent="0.25">
      <c r="A1709">
        <v>255</v>
      </c>
      <c r="B1709">
        <v>513403</v>
      </c>
      <c r="C1709" t="s">
        <v>315</v>
      </c>
      <c r="D1709">
        <v>2018</v>
      </c>
      <c r="E1709">
        <v>14.11999988555908</v>
      </c>
      <c r="F1709">
        <v>0.06</v>
      </c>
      <c r="G1709" t="s">
        <v>465</v>
      </c>
      <c r="H1709">
        <v>3.1800000667572021</v>
      </c>
      <c r="I1709">
        <v>1.25</v>
      </c>
      <c r="L1709" t="s">
        <v>484</v>
      </c>
      <c r="M1709">
        <v>53.000001112620041</v>
      </c>
      <c r="N1709">
        <v>20.833333333333339</v>
      </c>
      <c r="O1709">
        <v>5.4</v>
      </c>
      <c r="P1709">
        <v>7.5</v>
      </c>
      <c r="Q1709">
        <v>4.75</v>
      </c>
      <c r="R1709" s="3" t="s">
        <v>470</v>
      </c>
      <c r="S1709">
        <v>5.4</v>
      </c>
      <c r="T1709" t="s">
        <v>468</v>
      </c>
    </row>
    <row r="1710" spans="1:20" x14ac:dyDescent="0.25">
      <c r="A1710">
        <v>255</v>
      </c>
      <c r="B1710">
        <v>513403</v>
      </c>
      <c r="C1710" t="s">
        <v>315</v>
      </c>
      <c r="D1710">
        <v>2019</v>
      </c>
      <c r="E1710">
        <v>14.11999988555908</v>
      </c>
      <c r="F1710">
        <v>0.13</v>
      </c>
      <c r="G1710" t="s">
        <v>465</v>
      </c>
      <c r="H1710">
        <v>4.2899999618530273</v>
      </c>
      <c r="I1710">
        <v>1.25</v>
      </c>
      <c r="L1710" t="s">
        <v>484</v>
      </c>
      <c r="M1710">
        <v>32.999999706561738</v>
      </c>
      <c r="N1710">
        <v>9.615384615384615</v>
      </c>
      <c r="O1710">
        <v>5.4</v>
      </c>
      <c r="P1710">
        <v>7.5</v>
      </c>
      <c r="Q1710">
        <v>4.75</v>
      </c>
      <c r="R1710" s="3" t="s">
        <v>470</v>
      </c>
      <c r="S1710">
        <v>5.4</v>
      </c>
      <c r="T1710" t="s">
        <v>468</v>
      </c>
    </row>
    <row r="1711" spans="1:20" x14ac:dyDescent="0.25">
      <c r="A1711">
        <v>255</v>
      </c>
      <c r="B1711">
        <v>513403</v>
      </c>
      <c r="C1711" t="s">
        <v>315</v>
      </c>
      <c r="D1711">
        <v>2020</v>
      </c>
      <c r="E1711">
        <v>14.11999988555908</v>
      </c>
      <c r="F1711">
        <v>0.13</v>
      </c>
      <c r="G1711" t="s">
        <v>465</v>
      </c>
      <c r="H1711">
        <v>4.059999942779541</v>
      </c>
      <c r="I1711">
        <v>1.5399999618530269</v>
      </c>
      <c r="L1711" t="s">
        <v>484</v>
      </c>
      <c r="M1711">
        <v>31.230768790611851</v>
      </c>
      <c r="N1711">
        <v>11.84615355271559</v>
      </c>
      <c r="O1711">
        <v>5.4</v>
      </c>
      <c r="P1711">
        <v>7.5</v>
      </c>
      <c r="Q1711">
        <v>4.75</v>
      </c>
      <c r="R1711" s="3" t="s">
        <v>470</v>
      </c>
      <c r="S1711">
        <v>5.4</v>
      </c>
      <c r="T1711" t="s">
        <v>468</v>
      </c>
    </row>
    <row r="1712" spans="1:20" x14ac:dyDescent="0.25">
      <c r="A1712">
        <v>255</v>
      </c>
      <c r="B1712">
        <v>513403</v>
      </c>
      <c r="C1712" t="s">
        <v>315</v>
      </c>
      <c r="D1712">
        <v>2021</v>
      </c>
      <c r="E1712">
        <v>14.11999988555908</v>
      </c>
      <c r="F1712">
        <v>0.05</v>
      </c>
      <c r="G1712" t="s">
        <v>465</v>
      </c>
      <c r="H1712">
        <v>6.3000001907348633</v>
      </c>
      <c r="I1712">
        <v>3.1500000953674321</v>
      </c>
      <c r="L1712" t="s">
        <v>484</v>
      </c>
      <c r="M1712">
        <v>126.00000381469729</v>
      </c>
      <c r="N1712">
        <v>63.00000190734864</v>
      </c>
      <c r="O1712">
        <v>5.4</v>
      </c>
      <c r="P1712">
        <v>7.5</v>
      </c>
      <c r="Q1712">
        <v>4.75</v>
      </c>
      <c r="R1712" s="3" t="s">
        <v>470</v>
      </c>
      <c r="S1712">
        <v>5.4</v>
      </c>
      <c r="T1712" t="s">
        <v>468</v>
      </c>
    </row>
    <row r="1713" spans="1:20" x14ac:dyDescent="0.25">
      <c r="A1713">
        <v>255</v>
      </c>
      <c r="B1713">
        <v>513403</v>
      </c>
      <c r="C1713" t="s">
        <v>315</v>
      </c>
      <c r="D1713">
        <v>2022</v>
      </c>
      <c r="E1713">
        <v>14.11999988555908</v>
      </c>
      <c r="F1713">
        <v>1.85</v>
      </c>
      <c r="G1713" t="s">
        <v>465</v>
      </c>
      <c r="H1713">
        <v>14.89000034332275</v>
      </c>
      <c r="I1713">
        <v>3.0999999046325679</v>
      </c>
      <c r="L1713" t="s">
        <v>469</v>
      </c>
      <c r="M1713">
        <v>8.0486488342285138</v>
      </c>
      <c r="N1713">
        <v>1.675675624125712</v>
      </c>
      <c r="O1713">
        <v>5.4</v>
      </c>
      <c r="P1713">
        <v>7.5</v>
      </c>
      <c r="Q1713">
        <v>4.75</v>
      </c>
      <c r="R1713" s="3" t="s">
        <v>470</v>
      </c>
      <c r="S1713">
        <v>5.4</v>
      </c>
      <c r="T1713" t="s">
        <v>468</v>
      </c>
    </row>
    <row r="1714" spans="1:20" x14ac:dyDescent="0.25">
      <c r="A1714">
        <v>255</v>
      </c>
      <c r="B1714">
        <v>513403</v>
      </c>
      <c r="C1714" t="s">
        <v>315</v>
      </c>
      <c r="D1714">
        <v>2023</v>
      </c>
      <c r="E1714">
        <v>14.11999988555908</v>
      </c>
      <c r="F1714">
        <v>0.16</v>
      </c>
      <c r="G1714" t="s">
        <v>465</v>
      </c>
      <c r="H1714">
        <v>8.6000003814697266</v>
      </c>
      <c r="I1714">
        <v>4.5</v>
      </c>
      <c r="L1714" t="s">
        <v>484</v>
      </c>
      <c r="M1714">
        <v>53.750002384185791</v>
      </c>
      <c r="N1714">
        <v>28.125</v>
      </c>
      <c r="O1714">
        <v>5.4</v>
      </c>
      <c r="P1714">
        <v>7.5</v>
      </c>
      <c r="Q1714">
        <v>4.75</v>
      </c>
      <c r="R1714" s="3" t="s">
        <v>470</v>
      </c>
      <c r="S1714">
        <v>5.4</v>
      </c>
      <c r="T1714" t="s">
        <v>468</v>
      </c>
    </row>
    <row r="1715" spans="1:20" x14ac:dyDescent="0.25">
      <c r="A1715">
        <v>255</v>
      </c>
      <c r="B1715">
        <v>513403</v>
      </c>
      <c r="C1715" t="s">
        <v>315</v>
      </c>
      <c r="D1715">
        <v>2024</v>
      </c>
      <c r="E1715">
        <v>14.11999988555908</v>
      </c>
      <c r="F1715">
        <v>0.08</v>
      </c>
      <c r="G1715" t="s">
        <v>465</v>
      </c>
      <c r="H1715">
        <v>7.5</v>
      </c>
      <c r="I1715">
        <v>4.75</v>
      </c>
      <c r="L1715" t="s">
        <v>484</v>
      </c>
      <c r="M1715">
        <v>93.75</v>
      </c>
      <c r="N1715">
        <v>59.375</v>
      </c>
      <c r="O1715">
        <v>5.4</v>
      </c>
      <c r="P1715">
        <v>7.5</v>
      </c>
      <c r="Q1715">
        <v>4.75</v>
      </c>
      <c r="R1715" s="3" t="s">
        <v>470</v>
      </c>
      <c r="S1715">
        <v>5.4</v>
      </c>
      <c r="T1715" t="s">
        <v>468</v>
      </c>
    </row>
    <row r="1716" spans="1:20" x14ac:dyDescent="0.25">
      <c r="A1716">
        <v>255</v>
      </c>
      <c r="B1716">
        <v>513403</v>
      </c>
      <c r="C1716" t="s">
        <v>315</v>
      </c>
      <c r="D1716">
        <v>2025</v>
      </c>
      <c r="E1716">
        <v>14.11999988555908</v>
      </c>
      <c r="G1716" t="s">
        <v>465</v>
      </c>
      <c r="H1716">
        <v>11.069999694824221</v>
      </c>
      <c r="I1716">
        <v>4.25</v>
      </c>
      <c r="L1716" t="s">
        <v>466</v>
      </c>
      <c r="O1716">
        <v>5.4</v>
      </c>
      <c r="P1716">
        <v>7.5</v>
      </c>
      <c r="Q1716">
        <v>4.75</v>
      </c>
      <c r="R1716" s="3" t="s">
        <v>470</v>
      </c>
      <c r="S1716">
        <v>5.4</v>
      </c>
      <c r="T1716" t="s">
        <v>468</v>
      </c>
    </row>
    <row r="1717" spans="1:20" x14ac:dyDescent="0.25">
      <c r="A1717">
        <v>255</v>
      </c>
      <c r="B1717">
        <v>513403</v>
      </c>
      <c r="C1717" t="s">
        <v>315</v>
      </c>
      <c r="D1717">
        <v>2026</v>
      </c>
      <c r="E1717">
        <v>14.11999988555908</v>
      </c>
      <c r="F1717">
        <v>-3.85</v>
      </c>
      <c r="G1717" t="s">
        <v>465</v>
      </c>
      <c r="H1717">
        <v>14.11999988555908</v>
      </c>
      <c r="I1717">
        <v>11.069999694824221</v>
      </c>
      <c r="L1717" t="s">
        <v>471</v>
      </c>
      <c r="M1717">
        <v>-3.6675324378075529</v>
      </c>
      <c r="N1717">
        <v>-2.8753245960582392</v>
      </c>
      <c r="O1717">
        <v>5.4</v>
      </c>
      <c r="P1717">
        <v>7.5</v>
      </c>
      <c r="Q1717">
        <v>4.75</v>
      </c>
      <c r="R1717" s="3" t="s">
        <v>470</v>
      </c>
      <c r="S1717">
        <v>5.4</v>
      </c>
      <c r="T1717" t="s">
        <v>468</v>
      </c>
    </row>
    <row r="1718" spans="1:20" x14ac:dyDescent="0.25">
      <c r="A1718">
        <v>256</v>
      </c>
      <c r="B1718">
        <v>513430</v>
      </c>
      <c r="C1718" t="s">
        <v>317</v>
      </c>
      <c r="D1718">
        <v>2015</v>
      </c>
      <c r="E1718">
        <v>43.130001068115227</v>
      </c>
      <c r="G1718" t="s">
        <v>465</v>
      </c>
      <c r="H1718">
        <v>6.3000001907348633</v>
      </c>
      <c r="I1718">
        <v>3.059999942779541</v>
      </c>
      <c r="L1718" t="s">
        <v>466</v>
      </c>
      <c r="O1718">
        <v>35.36</v>
      </c>
      <c r="P1718">
        <v>50.9</v>
      </c>
      <c r="Q1718">
        <v>23.39</v>
      </c>
      <c r="R1718" s="3" t="s">
        <v>470</v>
      </c>
      <c r="S1718">
        <v>35.36</v>
      </c>
      <c r="T1718" t="s">
        <v>468</v>
      </c>
    </row>
    <row r="1719" spans="1:20" x14ac:dyDescent="0.25">
      <c r="A1719">
        <v>256</v>
      </c>
      <c r="B1719">
        <v>513430</v>
      </c>
      <c r="C1719" t="s">
        <v>317</v>
      </c>
      <c r="D1719">
        <v>2016</v>
      </c>
      <c r="E1719">
        <v>43.130001068115227</v>
      </c>
      <c r="G1719" t="s">
        <v>465</v>
      </c>
      <c r="H1719">
        <v>8.8900003433227539</v>
      </c>
      <c r="I1719">
        <v>3.0499999523162842</v>
      </c>
      <c r="L1719" t="s">
        <v>466</v>
      </c>
      <c r="O1719">
        <v>35.36</v>
      </c>
      <c r="P1719">
        <v>50.9</v>
      </c>
      <c r="Q1719">
        <v>23.39</v>
      </c>
      <c r="R1719" s="3" t="s">
        <v>470</v>
      </c>
      <c r="S1719">
        <v>35.36</v>
      </c>
      <c r="T1719" t="s">
        <v>468</v>
      </c>
    </row>
    <row r="1720" spans="1:20" x14ac:dyDescent="0.25">
      <c r="A1720">
        <v>256</v>
      </c>
      <c r="B1720">
        <v>513430</v>
      </c>
      <c r="C1720" t="s">
        <v>317</v>
      </c>
      <c r="D1720">
        <v>2017</v>
      </c>
      <c r="E1720">
        <v>43.130001068115227</v>
      </c>
      <c r="G1720" t="s">
        <v>465</v>
      </c>
      <c r="H1720">
        <v>8.5500001907348633</v>
      </c>
      <c r="I1720">
        <v>7.5999999046325684</v>
      </c>
      <c r="L1720" t="s">
        <v>466</v>
      </c>
      <c r="O1720">
        <v>35.36</v>
      </c>
      <c r="P1720">
        <v>50.9</v>
      </c>
      <c r="Q1720">
        <v>23.39</v>
      </c>
      <c r="R1720" s="3" t="s">
        <v>470</v>
      </c>
      <c r="S1720">
        <v>35.36</v>
      </c>
      <c r="T1720" t="s">
        <v>468</v>
      </c>
    </row>
    <row r="1721" spans="1:20" x14ac:dyDescent="0.25">
      <c r="A1721">
        <v>256</v>
      </c>
      <c r="B1721">
        <v>513430</v>
      </c>
      <c r="C1721" t="s">
        <v>317</v>
      </c>
      <c r="D1721">
        <v>2018</v>
      </c>
      <c r="E1721">
        <v>43.130001068115227</v>
      </c>
      <c r="G1721" t="s">
        <v>465</v>
      </c>
      <c r="H1721">
        <v>9.25</v>
      </c>
      <c r="I1721">
        <v>8.0799999237060547</v>
      </c>
      <c r="L1721" t="s">
        <v>466</v>
      </c>
      <c r="O1721">
        <v>35.36</v>
      </c>
      <c r="P1721">
        <v>50.9</v>
      </c>
      <c r="Q1721">
        <v>23.39</v>
      </c>
      <c r="R1721" s="3" t="s">
        <v>470</v>
      </c>
      <c r="S1721">
        <v>35.36</v>
      </c>
      <c r="T1721" t="s">
        <v>468</v>
      </c>
    </row>
    <row r="1722" spans="1:20" x14ac:dyDescent="0.25">
      <c r="A1722">
        <v>256</v>
      </c>
      <c r="B1722">
        <v>513430</v>
      </c>
      <c r="C1722" t="s">
        <v>317</v>
      </c>
      <c r="D1722">
        <v>2019</v>
      </c>
      <c r="E1722">
        <v>43.130001068115227</v>
      </c>
      <c r="G1722" t="s">
        <v>465</v>
      </c>
      <c r="H1722">
        <v>9.1999998092651367</v>
      </c>
      <c r="I1722">
        <v>7.75</v>
      </c>
      <c r="L1722" t="s">
        <v>466</v>
      </c>
      <c r="O1722">
        <v>35.36</v>
      </c>
      <c r="P1722">
        <v>50.9</v>
      </c>
      <c r="Q1722">
        <v>23.39</v>
      </c>
      <c r="R1722" s="3" t="s">
        <v>470</v>
      </c>
      <c r="S1722">
        <v>35.36</v>
      </c>
      <c r="T1722" t="s">
        <v>468</v>
      </c>
    </row>
    <row r="1723" spans="1:20" x14ac:dyDescent="0.25">
      <c r="A1723">
        <v>256</v>
      </c>
      <c r="B1723">
        <v>513430</v>
      </c>
      <c r="C1723" t="s">
        <v>317</v>
      </c>
      <c r="D1723">
        <v>2020</v>
      </c>
      <c r="E1723">
        <v>43.130001068115227</v>
      </c>
      <c r="G1723" t="s">
        <v>465</v>
      </c>
      <c r="H1723">
        <v>8</v>
      </c>
      <c r="I1723">
        <v>6.8600001335144043</v>
      </c>
      <c r="L1723" t="s">
        <v>466</v>
      </c>
      <c r="O1723">
        <v>35.36</v>
      </c>
      <c r="P1723">
        <v>50.9</v>
      </c>
      <c r="Q1723">
        <v>23.39</v>
      </c>
      <c r="R1723" s="3" t="s">
        <v>470</v>
      </c>
      <c r="S1723">
        <v>35.36</v>
      </c>
      <c r="T1723" t="s">
        <v>468</v>
      </c>
    </row>
    <row r="1724" spans="1:20" x14ac:dyDescent="0.25">
      <c r="A1724">
        <v>256</v>
      </c>
      <c r="B1724">
        <v>513430</v>
      </c>
      <c r="C1724" t="s">
        <v>317</v>
      </c>
      <c r="D1724">
        <v>2021</v>
      </c>
      <c r="E1724">
        <v>43.130001068115227</v>
      </c>
      <c r="F1724">
        <v>0.37</v>
      </c>
      <c r="G1724" t="s">
        <v>465</v>
      </c>
      <c r="H1724">
        <v>18.79000091552734</v>
      </c>
      <c r="I1724">
        <v>5.820000171661377</v>
      </c>
      <c r="L1724" t="s">
        <v>484</v>
      </c>
      <c r="M1724">
        <v>50.783786258181998</v>
      </c>
      <c r="N1724">
        <v>15.7297301936794</v>
      </c>
      <c r="O1724">
        <v>35.36</v>
      </c>
      <c r="P1724">
        <v>50.9</v>
      </c>
      <c r="Q1724">
        <v>23.39</v>
      </c>
      <c r="R1724" s="3" t="s">
        <v>470</v>
      </c>
      <c r="S1724">
        <v>35.36</v>
      </c>
      <c r="T1724" t="s">
        <v>468</v>
      </c>
    </row>
    <row r="1725" spans="1:20" x14ac:dyDescent="0.25">
      <c r="A1725">
        <v>256</v>
      </c>
      <c r="B1725">
        <v>513430</v>
      </c>
      <c r="C1725" t="s">
        <v>317</v>
      </c>
      <c r="D1725">
        <v>2022</v>
      </c>
      <c r="E1725">
        <v>43.130001068115227</v>
      </c>
      <c r="F1725">
        <v>0.52</v>
      </c>
      <c r="G1725" t="s">
        <v>465</v>
      </c>
      <c r="H1725">
        <v>111.5</v>
      </c>
      <c r="I1725">
        <v>19.70000076293945</v>
      </c>
      <c r="L1725" t="s">
        <v>469</v>
      </c>
      <c r="M1725">
        <v>214.42307692307691</v>
      </c>
      <c r="N1725">
        <v>37.884616851806634</v>
      </c>
      <c r="O1725">
        <v>35.36</v>
      </c>
      <c r="P1725">
        <v>50.9</v>
      </c>
      <c r="Q1725">
        <v>23.39</v>
      </c>
      <c r="R1725" s="3" t="s">
        <v>470</v>
      </c>
      <c r="S1725">
        <v>35.36</v>
      </c>
      <c r="T1725" t="s">
        <v>468</v>
      </c>
    </row>
    <row r="1726" spans="1:20" x14ac:dyDescent="0.25">
      <c r="A1726">
        <v>256</v>
      </c>
      <c r="B1726">
        <v>513430</v>
      </c>
      <c r="C1726" t="s">
        <v>317</v>
      </c>
      <c r="D1726">
        <v>2023</v>
      </c>
      <c r="E1726">
        <v>43.130001068115227</v>
      </c>
      <c r="G1726" t="s">
        <v>465</v>
      </c>
      <c r="H1726">
        <v>41</v>
      </c>
      <c r="I1726">
        <v>18.95999908447266</v>
      </c>
      <c r="L1726" t="s">
        <v>466</v>
      </c>
      <c r="O1726">
        <v>35.36</v>
      </c>
      <c r="P1726">
        <v>50.9</v>
      </c>
      <c r="Q1726">
        <v>23.39</v>
      </c>
      <c r="R1726" s="3" t="s">
        <v>470</v>
      </c>
      <c r="S1726">
        <v>35.36</v>
      </c>
      <c r="T1726" t="s">
        <v>468</v>
      </c>
    </row>
    <row r="1727" spans="1:20" x14ac:dyDescent="0.25">
      <c r="A1727">
        <v>256</v>
      </c>
      <c r="B1727">
        <v>513430</v>
      </c>
      <c r="C1727" t="s">
        <v>317</v>
      </c>
      <c r="D1727">
        <v>2024</v>
      </c>
      <c r="E1727">
        <v>43.130001068115227</v>
      </c>
      <c r="F1727">
        <v>-1.02</v>
      </c>
      <c r="G1727" t="s">
        <v>465</v>
      </c>
      <c r="H1727">
        <v>50.900001525878913</v>
      </c>
      <c r="I1727">
        <v>23.389999389648441</v>
      </c>
      <c r="L1727" t="s">
        <v>471</v>
      </c>
      <c r="M1727">
        <v>-49.901962280273438</v>
      </c>
      <c r="N1727">
        <v>-22.931371950635729</v>
      </c>
      <c r="O1727">
        <v>35.36</v>
      </c>
      <c r="P1727">
        <v>50.9</v>
      </c>
      <c r="Q1727">
        <v>23.39</v>
      </c>
      <c r="R1727" s="3" t="s">
        <v>470</v>
      </c>
      <c r="S1727">
        <v>35.36</v>
      </c>
      <c r="T1727" t="s">
        <v>468</v>
      </c>
    </row>
    <row r="1728" spans="1:20" x14ac:dyDescent="0.25">
      <c r="A1728">
        <v>256</v>
      </c>
      <c r="B1728">
        <v>513430</v>
      </c>
      <c r="C1728" t="s">
        <v>317</v>
      </c>
      <c r="D1728">
        <v>2025</v>
      </c>
      <c r="E1728">
        <v>43.130001068115227</v>
      </c>
      <c r="F1728">
        <v>0.39</v>
      </c>
      <c r="G1728" t="s">
        <v>465</v>
      </c>
      <c r="H1728">
        <v>44.700000762939453</v>
      </c>
      <c r="I1728">
        <v>18.70999908447266</v>
      </c>
      <c r="L1728" t="s">
        <v>484</v>
      </c>
      <c r="M1728">
        <v>114.6153865716396</v>
      </c>
      <c r="N1728">
        <v>47.974356626852973</v>
      </c>
      <c r="O1728">
        <v>35.36</v>
      </c>
      <c r="P1728">
        <v>50.9</v>
      </c>
      <c r="Q1728">
        <v>23.39</v>
      </c>
      <c r="R1728" s="3" t="s">
        <v>470</v>
      </c>
      <c r="S1728">
        <v>35.36</v>
      </c>
      <c r="T1728" t="s">
        <v>468</v>
      </c>
    </row>
    <row r="1729" spans="1:20" x14ac:dyDescent="0.25">
      <c r="A1729">
        <v>256</v>
      </c>
      <c r="B1729">
        <v>513430</v>
      </c>
      <c r="C1729" t="s">
        <v>317</v>
      </c>
      <c r="D1729">
        <v>2026</v>
      </c>
      <c r="E1729">
        <v>43.130001068115227</v>
      </c>
      <c r="F1729">
        <v>1.36</v>
      </c>
      <c r="G1729" t="s">
        <v>465</v>
      </c>
      <c r="H1729">
        <v>46.549999237060547</v>
      </c>
      <c r="I1729">
        <v>22.10000038146973</v>
      </c>
      <c r="L1729" t="s">
        <v>469</v>
      </c>
      <c r="M1729">
        <v>34.227940615485693</v>
      </c>
      <c r="N1729">
        <v>16.250000280492451</v>
      </c>
      <c r="O1729">
        <v>35.36</v>
      </c>
      <c r="P1729">
        <v>50.9</v>
      </c>
      <c r="Q1729">
        <v>23.39</v>
      </c>
      <c r="R1729" s="3" t="s">
        <v>470</v>
      </c>
      <c r="S1729">
        <v>35.36</v>
      </c>
      <c r="T1729" t="s">
        <v>468</v>
      </c>
    </row>
    <row r="1730" spans="1:20" x14ac:dyDescent="0.25">
      <c r="A1730">
        <v>257</v>
      </c>
      <c r="B1730">
        <v>513456</v>
      </c>
      <c r="C1730" t="s">
        <v>319</v>
      </c>
      <c r="D1730">
        <v>2015</v>
      </c>
      <c r="E1730">
        <v>51.25</v>
      </c>
      <c r="F1730">
        <v>0.1</v>
      </c>
      <c r="G1730" t="s">
        <v>465</v>
      </c>
      <c r="H1730">
        <v>11.10000038146973</v>
      </c>
      <c r="I1730">
        <v>4.1500000953674316</v>
      </c>
      <c r="L1730" t="s">
        <v>484</v>
      </c>
      <c r="M1730">
        <v>111.00000381469729</v>
      </c>
      <c r="N1730">
        <v>41.500000953674324</v>
      </c>
      <c r="O1730">
        <v>27.65</v>
      </c>
      <c r="P1730">
        <v>51</v>
      </c>
      <c r="Q1730">
        <v>25.64</v>
      </c>
      <c r="R1730" s="3" t="s">
        <v>470</v>
      </c>
      <c r="S1730">
        <v>27.65</v>
      </c>
      <c r="T1730" t="s">
        <v>468</v>
      </c>
    </row>
    <row r="1731" spans="1:20" x14ac:dyDescent="0.25">
      <c r="A1731">
        <v>257</v>
      </c>
      <c r="B1731">
        <v>513456</v>
      </c>
      <c r="C1731" t="s">
        <v>319</v>
      </c>
      <c r="D1731">
        <v>2016</v>
      </c>
      <c r="E1731">
        <v>51.25</v>
      </c>
      <c r="F1731">
        <v>1.67</v>
      </c>
      <c r="G1731" t="s">
        <v>465</v>
      </c>
      <c r="H1731">
        <v>8.9200000762939453</v>
      </c>
      <c r="I1731">
        <v>4.5100002288818359</v>
      </c>
      <c r="L1731" t="s">
        <v>469</v>
      </c>
      <c r="M1731">
        <v>5.3413174109544581</v>
      </c>
      <c r="N1731">
        <v>2.700598939450201</v>
      </c>
      <c r="O1731">
        <v>27.65</v>
      </c>
      <c r="P1731">
        <v>51</v>
      </c>
      <c r="Q1731">
        <v>25.64</v>
      </c>
      <c r="R1731" s="3" t="s">
        <v>470</v>
      </c>
      <c r="S1731">
        <v>27.65</v>
      </c>
      <c r="T1731" t="s">
        <v>468</v>
      </c>
    </row>
    <row r="1732" spans="1:20" x14ac:dyDescent="0.25">
      <c r="A1732">
        <v>257</v>
      </c>
      <c r="B1732">
        <v>513456</v>
      </c>
      <c r="C1732" t="s">
        <v>319</v>
      </c>
      <c r="D1732">
        <v>2017</v>
      </c>
      <c r="E1732">
        <v>51.25</v>
      </c>
      <c r="F1732">
        <v>0.17</v>
      </c>
      <c r="G1732" t="s">
        <v>465</v>
      </c>
      <c r="H1732">
        <v>12.840000152587891</v>
      </c>
      <c r="I1732">
        <v>4.7199997901916504</v>
      </c>
      <c r="L1732" t="s">
        <v>484</v>
      </c>
      <c r="M1732">
        <v>75.5294126622817</v>
      </c>
      <c r="N1732">
        <v>27.764704648186179</v>
      </c>
      <c r="O1732">
        <v>27.65</v>
      </c>
      <c r="P1732">
        <v>51</v>
      </c>
      <c r="Q1732">
        <v>25.64</v>
      </c>
      <c r="R1732" s="3" t="s">
        <v>470</v>
      </c>
      <c r="S1732">
        <v>27.65</v>
      </c>
      <c r="T1732" t="s">
        <v>468</v>
      </c>
    </row>
    <row r="1733" spans="1:20" x14ac:dyDescent="0.25">
      <c r="A1733">
        <v>257</v>
      </c>
      <c r="B1733">
        <v>513456</v>
      </c>
      <c r="C1733" t="s">
        <v>319</v>
      </c>
      <c r="D1733">
        <v>2018</v>
      </c>
      <c r="E1733">
        <v>51.25</v>
      </c>
      <c r="F1733">
        <v>0.56000000000000005</v>
      </c>
      <c r="G1733" t="s">
        <v>465</v>
      </c>
      <c r="H1733">
        <v>15.5</v>
      </c>
      <c r="I1733">
        <v>7.5100002288818359</v>
      </c>
      <c r="L1733" t="s">
        <v>469</v>
      </c>
      <c r="M1733">
        <v>27.678571428571431</v>
      </c>
      <c r="N1733">
        <v>13.410714694431849</v>
      </c>
      <c r="O1733">
        <v>27.65</v>
      </c>
      <c r="P1733">
        <v>51</v>
      </c>
      <c r="Q1733">
        <v>25.64</v>
      </c>
      <c r="R1733" s="3" t="s">
        <v>470</v>
      </c>
      <c r="S1733">
        <v>27.65</v>
      </c>
      <c r="T1733" t="s">
        <v>468</v>
      </c>
    </row>
    <row r="1734" spans="1:20" x14ac:dyDescent="0.25">
      <c r="A1734">
        <v>257</v>
      </c>
      <c r="B1734">
        <v>513456</v>
      </c>
      <c r="C1734" t="s">
        <v>319</v>
      </c>
      <c r="D1734">
        <v>2019</v>
      </c>
      <c r="E1734">
        <v>51.25</v>
      </c>
      <c r="F1734">
        <v>1.5</v>
      </c>
      <c r="G1734" t="s">
        <v>465</v>
      </c>
      <c r="H1734">
        <v>12.539999961853029</v>
      </c>
      <c r="I1734">
        <v>7</v>
      </c>
      <c r="L1734" t="s">
        <v>469</v>
      </c>
      <c r="M1734">
        <v>8.3599999745686855</v>
      </c>
      <c r="N1734">
        <v>4.666666666666667</v>
      </c>
      <c r="O1734">
        <v>27.65</v>
      </c>
      <c r="P1734">
        <v>51</v>
      </c>
      <c r="Q1734">
        <v>25.64</v>
      </c>
      <c r="R1734" s="3" t="s">
        <v>470</v>
      </c>
      <c r="S1734">
        <v>27.65</v>
      </c>
      <c r="T1734" t="s">
        <v>468</v>
      </c>
    </row>
    <row r="1735" spans="1:20" x14ac:dyDescent="0.25">
      <c r="A1735">
        <v>257</v>
      </c>
      <c r="B1735">
        <v>513456</v>
      </c>
      <c r="C1735" t="s">
        <v>319</v>
      </c>
      <c r="D1735">
        <v>2020</v>
      </c>
      <c r="E1735">
        <v>51.25</v>
      </c>
      <c r="F1735">
        <v>0.71</v>
      </c>
      <c r="G1735" t="s">
        <v>465</v>
      </c>
      <c r="H1735">
        <v>10.97000026702881</v>
      </c>
      <c r="I1735">
        <v>4.940000057220459</v>
      </c>
      <c r="L1735" t="s">
        <v>469</v>
      </c>
      <c r="M1735">
        <v>15.450704601449029</v>
      </c>
      <c r="N1735">
        <v>6.957746559465436</v>
      </c>
      <c r="O1735">
        <v>27.65</v>
      </c>
      <c r="P1735">
        <v>51</v>
      </c>
      <c r="Q1735">
        <v>25.64</v>
      </c>
      <c r="R1735" s="3" t="s">
        <v>470</v>
      </c>
      <c r="S1735">
        <v>27.65</v>
      </c>
      <c r="T1735" t="s">
        <v>468</v>
      </c>
    </row>
    <row r="1736" spans="1:20" x14ac:dyDescent="0.25">
      <c r="A1736">
        <v>257</v>
      </c>
      <c r="B1736">
        <v>513456</v>
      </c>
      <c r="C1736" t="s">
        <v>319</v>
      </c>
      <c r="D1736">
        <v>2021</v>
      </c>
      <c r="E1736">
        <v>51.25</v>
      </c>
      <c r="F1736">
        <v>2</v>
      </c>
      <c r="G1736" t="s">
        <v>465</v>
      </c>
      <c r="H1736">
        <v>37.099998474121087</v>
      </c>
      <c r="I1736">
        <v>8.1099996566772461</v>
      </c>
      <c r="L1736" t="s">
        <v>469</v>
      </c>
      <c r="M1736">
        <v>18.54999923706054</v>
      </c>
      <c r="N1736">
        <v>4.054999828338623</v>
      </c>
      <c r="O1736">
        <v>27.65</v>
      </c>
      <c r="P1736">
        <v>51</v>
      </c>
      <c r="Q1736">
        <v>25.64</v>
      </c>
      <c r="R1736" s="3" t="s">
        <v>470</v>
      </c>
      <c r="S1736">
        <v>27.65</v>
      </c>
      <c r="T1736" t="s">
        <v>468</v>
      </c>
    </row>
    <row r="1737" spans="1:20" x14ac:dyDescent="0.25">
      <c r="A1737">
        <v>257</v>
      </c>
      <c r="B1737">
        <v>513456</v>
      </c>
      <c r="C1737" t="s">
        <v>319</v>
      </c>
      <c r="D1737">
        <v>2022</v>
      </c>
      <c r="E1737">
        <v>51.25</v>
      </c>
      <c r="F1737">
        <v>9.26</v>
      </c>
      <c r="G1737" t="s">
        <v>465</v>
      </c>
      <c r="H1737">
        <v>45.349998474121087</v>
      </c>
      <c r="I1737">
        <v>24.89999961853027</v>
      </c>
      <c r="L1737" t="s">
        <v>469</v>
      </c>
      <c r="M1737">
        <v>4.8974080425616728</v>
      </c>
      <c r="N1737">
        <v>2.6889848400140681</v>
      </c>
      <c r="O1737">
        <v>27.65</v>
      </c>
      <c r="P1737">
        <v>51</v>
      </c>
      <c r="Q1737">
        <v>25.64</v>
      </c>
      <c r="R1737" s="3" t="s">
        <v>470</v>
      </c>
      <c r="S1737">
        <v>27.65</v>
      </c>
      <c r="T1737" t="s">
        <v>468</v>
      </c>
    </row>
    <row r="1738" spans="1:20" x14ac:dyDescent="0.25">
      <c r="A1738">
        <v>257</v>
      </c>
      <c r="B1738">
        <v>513456</v>
      </c>
      <c r="C1738" t="s">
        <v>319</v>
      </c>
      <c r="D1738">
        <v>2023</v>
      </c>
      <c r="E1738">
        <v>51.25</v>
      </c>
      <c r="F1738">
        <v>3.35</v>
      </c>
      <c r="G1738" t="s">
        <v>465</v>
      </c>
      <c r="H1738">
        <v>41.5</v>
      </c>
      <c r="I1738">
        <v>19.04999923706055</v>
      </c>
      <c r="L1738" t="s">
        <v>469</v>
      </c>
      <c r="M1738">
        <v>12.388059701492541</v>
      </c>
      <c r="N1738">
        <v>5.6865669364359848</v>
      </c>
      <c r="O1738">
        <v>27.65</v>
      </c>
      <c r="P1738">
        <v>51</v>
      </c>
      <c r="Q1738">
        <v>25.64</v>
      </c>
      <c r="R1738" s="3" t="s">
        <v>470</v>
      </c>
      <c r="S1738">
        <v>27.65</v>
      </c>
      <c r="T1738" t="s">
        <v>468</v>
      </c>
    </row>
    <row r="1739" spans="1:20" x14ac:dyDescent="0.25">
      <c r="A1739">
        <v>257</v>
      </c>
      <c r="B1739">
        <v>513456</v>
      </c>
      <c r="C1739" t="s">
        <v>319</v>
      </c>
      <c r="D1739">
        <v>2024</v>
      </c>
      <c r="E1739">
        <v>51.25</v>
      </c>
      <c r="F1739">
        <v>0.92</v>
      </c>
      <c r="G1739" t="s">
        <v>465</v>
      </c>
      <c r="H1739">
        <v>51</v>
      </c>
      <c r="I1739">
        <v>25.639999389648441</v>
      </c>
      <c r="L1739" t="s">
        <v>469</v>
      </c>
      <c r="M1739">
        <v>55.434782608695649</v>
      </c>
      <c r="N1739">
        <v>27.869564553965699</v>
      </c>
      <c r="O1739">
        <v>27.65</v>
      </c>
      <c r="P1739">
        <v>51</v>
      </c>
      <c r="Q1739">
        <v>25.64</v>
      </c>
      <c r="R1739" s="3" t="s">
        <v>470</v>
      </c>
      <c r="S1739">
        <v>27.65</v>
      </c>
      <c r="T1739" t="s">
        <v>468</v>
      </c>
    </row>
    <row r="1740" spans="1:20" x14ac:dyDescent="0.25">
      <c r="A1740">
        <v>257</v>
      </c>
      <c r="B1740">
        <v>513456</v>
      </c>
      <c r="C1740" t="s">
        <v>319</v>
      </c>
      <c r="D1740">
        <v>2025</v>
      </c>
      <c r="E1740">
        <v>51.25</v>
      </c>
      <c r="F1740">
        <v>2.93</v>
      </c>
      <c r="G1740" t="s">
        <v>465</v>
      </c>
      <c r="H1740">
        <v>66</v>
      </c>
      <c r="I1740">
        <v>24.25</v>
      </c>
      <c r="L1740" t="s">
        <v>469</v>
      </c>
      <c r="M1740">
        <v>22.525597269624569</v>
      </c>
      <c r="N1740">
        <v>8.2764505119453915</v>
      </c>
      <c r="O1740">
        <v>27.65</v>
      </c>
      <c r="P1740">
        <v>51</v>
      </c>
      <c r="Q1740">
        <v>25.64</v>
      </c>
      <c r="R1740" s="3" t="s">
        <v>470</v>
      </c>
      <c r="S1740">
        <v>27.65</v>
      </c>
      <c r="T1740" t="s">
        <v>468</v>
      </c>
    </row>
    <row r="1741" spans="1:20" x14ac:dyDescent="0.25">
      <c r="A1741">
        <v>257</v>
      </c>
      <c r="B1741">
        <v>513456</v>
      </c>
      <c r="C1741" t="s">
        <v>319</v>
      </c>
      <c r="D1741">
        <v>2026</v>
      </c>
      <c r="E1741">
        <v>51.25</v>
      </c>
      <c r="F1741">
        <v>1.8</v>
      </c>
      <c r="G1741" t="s">
        <v>465</v>
      </c>
      <c r="H1741">
        <v>66.949996948242188</v>
      </c>
      <c r="I1741">
        <v>40.150001525878913</v>
      </c>
      <c r="L1741" t="s">
        <v>469</v>
      </c>
      <c r="M1741">
        <v>37.194442749023438</v>
      </c>
      <c r="N1741">
        <v>22.30555640326606</v>
      </c>
      <c r="O1741">
        <v>27.65</v>
      </c>
      <c r="P1741">
        <v>51</v>
      </c>
      <c r="Q1741">
        <v>25.64</v>
      </c>
      <c r="R1741" s="3" t="s">
        <v>470</v>
      </c>
      <c r="S1741">
        <v>27.65</v>
      </c>
      <c r="T1741" t="s">
        <v>468</v>
      </c>
    </row>
    <row r="1742" spans="1:20" x14ac:dyDescent="0.25">
      <c r="A1742">
        <v>258</v>
      </c>
      <c r="B1742">
        <v>513472</v>
      </c>
      <c r="C1742" t="s">
        <v>321</v>
      </c>
      <c r="D1742">
        <v>2015</v>
      </c>
      <c r="E1742">
        <v>99.849998474121094</v>
      </c>
      <c r="F1742">
        <v>0.4</v>
      </c>
      <c r="G1742" t="s">
        <v>465</v>
      </c>
      <c r="H1742">
        <v>17.379999160766602</v>
      </c>
      <c r="I1742">
        <v>6.2199997901916504</v>
      </c>
      <c r="L1742" t="s">
        <v>484</v>
      </c>
      <c r="M1742">
        <v>43.449997901916497</v>
      </c>
      <c r="N1742">
        <v>15.54999947547913</v>
      </c>
      <c r="O1742">
        <v>214.2</v>
      </c>
      <c r="P1742">
        <v>354.9</v>
      </c>
      <c r="Q1742">
        <v>65.650000000000006</v>
      </c>
      <c r="R1742" s="3" t="s">
        <v>470</v>
      </c>
      <c r="S1742">
        <v>214.2</v>
      </c>
      <c r="T1742" t="s">
        <v>468</v>
      </c>
    </row>
    <row r="1743" spans="1:20" x14ac:dyDescent="0.25">
      <c r="A1743">
        <v>258</v>
      </c>
      <c r="B1743">
        <v>513472</v>
      </c>
      <c r="C1743" t="s">
        <v>321</v>
      </c>
      <c r="D1743">
        <v>2016</v>
      </c>
      <c r="E1743">
        <v>99.849998474121094</v>
      </c>
      <c r="F1743">
        <v>1.19</v>
      </c>
      <c r="G1743" t="s">
        <v>465</v>
      </c>
      <c r="H1743">
        <v>31</v>
      </c>
      <c r="I1743">
        <v>12.819999694824221</v>
      </c>
      <c r="L1743" t="s">
        <v>469</v>
      </c>
      <c r="M1743">
        <v>26.05042016806723</v>
      </c>
      <c r="N1743">
        <v>10.773108987247239</v>
      </c>
      <c r="O1743">
        <v>214.2</v>
      </c>
      <c r="P1743">
        <v>354.9</v>
      </c>
      <c r="Q1743">
        <v>65.650000000000006</v>
      </c>
      <c r="R1743" s="3" t="s">
        <v>470</v>
      </c>
      <c r="S1743">
        <v>214.2</v>
      </c>
      <c r="T1743" t="s">
        <v>468</v>
      </c>
    </row>
    <row r="1744" spans="1:20" x14ac:dyDescent="0.25">
      <c r="A1744">
        <v>258</v>
      </c>
      <c r="B1744">
        <v>513472</v>
      </c>
      <c r="C1744" t="s">
        <v>321</v>
      </c>
      <c r="D1744">
        <v>2017</v>
      </c>
      <c r="E1744">
        <v>99.849998474121094</v>
      </c>
      <c r="F1744">
        <v>0.75</v>
      </c>
      <c r="G1744" t="s">
        <v>465</v>
      </c>
      <c r="H1744">
        <v>32</v>
      </c>
      <c r="I1744">
        <v>18.39999961853027</v>
      </c>
      <c r="L1744" t="s">
        <v>469</v>
      </c>
      <c r="M1744">
        <v>42.666666666666657</v>
      </c>
      <c r="N1744">
        <v>24.533332824707031</v>
      </c>
      <c r="O1744">
        <v>214.2</v>
      </c>
      <c r="P1744">
        <v>354.9</v>
      </c>
      <c r="Q1744">
        <v>65.650000000000006</v>
      </c>
      <c r="R1744" s="3" t="s">
        <v>470</v>
      </c>
      <c r="S1744">
        <v>214.2</v>
      </c>
      <c r="T1744" t="s">
        <v>468</v>
      </c>
    </row>
    <row r="1745" spans="1:20" x14ac:dyDescent="0.25">
      <c r="A1745">
        <v>258</v>
      </c>
      <c r="B1745">
        <v>513472</v>
      </c>
      <c r="C1745" t="s">
        <v>321</v>
      </c>
      <c r="D1745">
        <v>2018</v>
      </c>
      <c r="E1745">
        <v>99.849998474121094</v>
      </c>
      <c r="F1745">
        <v>1.1200000000000001</v>
      </c>
      <c r="G1745" t="s">
        <v>465</v>
      </c>
      <c r="H1745">
        <v>35.319999694824219</v>
      </c>
      <c r="I1745">
        <v>15.409999847412109</v>
      </c>
      <c r="L1745" t="s">
        <v>469</v>
      </c>
      <c r="M1745">
        <v>31.535714013235911</v>
      </c>
      <c r="N1745">
        <v>13.758928435189381</v>
      </c>
      <c r="O1745">
        <v>214.2</v>
      </c>
      <c r="P1745">
        <v>354.9</v>
      </c>
      <c r="Q1745">
        <v>65.650000000000006</v>
      </c>
      <c r="R1745" s="3" t="s">
        <v>470</v>
      </c>
      <c r="S1745">
        <v>214.2</v>
      </c>
      <c r="T1745" t="s">
        <v>468</v>
      </c>
    </row>
    <row r="1746" spans="1:20" x14ac:dyDescent="0.25">
      <c r="A1746">
        <v>258</v>
      </c>
      <c r="B1746">
        <v>513472</v>
      </c>
      <c r="C1746" t="s">
        <v>321</v>
      </c>
      <c r="D1746">
        <v>2019</v>
      </c>
      <c r="E1746">
        <v>99.849998474121094</v>
      </c>
      <c r="F1746">
        <v>-5.15</v>
      </c>
      <c r="G1746" t="s">
        <v>465</v>
      </c>
      <c r="H1746">
        <v>20</v>
      </c>
      <c r="I1746">
        <v>4.8000001907348633</v>
      </c>
      <c r="L1746" t="s">
        <v>471</v>
      </c>
      <c r="M1746">
        <v>-3.883495145631068</v>
      </c>
      <c r="N1746">
        <v>-0.93203887198735202</v>
      </c>
      <c r="O1746">
        <v>214.2</v>
      </c>
      <c r="P1746">
        <v>354.9</v>
      </c>
      <c r="Q1746">
        <v>65.650000000000006</v>
      </c>
      <c r="R1746" s="3" t="s">
        <v>470</v>
      </c>
      <c r="S1746">
        <v>214.2</v>
      </c>
      <c r="T1746" t="s">
        <v>468</v>
      </c>
    </row>
    <row r="1747" spans="1:20" x14ac:dyDescent="0.25">
      <c r="A1747">
        <v>258</v>
      </c>
      <c r="B1747">
        <v>513472</v>
      </c>
      <c r="C1747" t="s">
        <v>321</v>
      </c>
      <c r="D1747">
        <v>2020</v>
      </c>
      <c r="E1747">
        <v>99.849998474121094</v>
      </c>
      <c r="F1747">
        <v>-9.3000000000000007</v>
      </c>
      <c r="G1747" t="s">
        <v>465</v>
      </c>
      <c r="H1747">
        <v>7.5900001525878906</v>
      </c>
      <c r="I1747">
        <v>2.9300000667572021</v>
      </c>
      <c r="L1747" t="s">
        <v>471</v>
      </c>
      <c r="M1747">
        <v>-0.81612904866536451</v>
      </c>
      <c r="N1747">
        <v>-0.31505377061905399</v>
      </c>
      <c r="O1747">
        <v>214.2</v>
      </c>
      <c r="P1747">
        <v>354.9</v>
      </c>
      <c r="Q1747">
        <v>65.650000000000006</v>
      </c>
      <c r="R1747" s="3" t="s">
        <v>470</v>
      </c>
      <c r="S1747">
        <v>214.2</v>
      </c>
      <c r="T1747" t="s">
        <v>468</v>
      </c>
    </row>
    <row r="1748" spans="1:20" x14ac:dyDescent="0.25">
      <c r="A1748">
        <v>258</v>
      </c>
      <c r="B1748">
        <v>513472</v>
      </c>
      <c r="C1748" t="s">
        <v>321</v>
      </c>
      <c r="D1748">
        <v>2021</v>
      </c>
      <c r="E1748">
        <v>99.849998474121094</v>
      </c>
      <c r="F1748">
        <v>0.33</v>
      </c>
      <c r="G1748" t="s">
        <v>465</v>
      </c>
      <c r="H1748">
        <v>14.939999580383301</v>
      </c>
      <c r="I1748">
        <v>2.7000000476837158</v>
      </c>
      <c r="L1748" t="s">
        <v>484</v>
      </c>
      <c r="M1748">
        <v>45.272726001161523</v>
      </c>
      <c r="N1748">
        <v>8.1818183263142892</v>
      </c>
      <c r="O1748">
        <v>214.2</v>
      </c>
      <c r="P1748">
        <v>354.9</v>
      </c>
      <c r="Q1748">
        <v>65.650000000000006</v>
      </c>
      <c r="R1748" s="3" t="s">
        <v>470</v>
      </c>
      <c r="S1748">
        <v>214.2</v>
      </c>
      <c r="T1748" t="s">
        <v>468</v>
      </c>
    </row>
    <row r="1749" spans="1:20" x14ac:dyDescent="0.25">
      <c r="A1749">
        <v>258</v>
      </c>
      <c r="B1749">
        <v>513472</v>
      </c>
      <c r="C1749" t="s">
        <v>321</v>
      </c>
      <c r="D1749">
        <v>2022</v>
      </c>
      <c r="E1749">
        <v>99.849998474121094</v>
      </c>
      <c r="F1749">
        <v>0.5</v>
      </c>
      <c r="G1749" t="s">
        <v>465</v>
      </c>
      <c r="H1749">
        <v>11.19999980926514</v>
      </c>
      <c r="I1749">
        <v>6.5199999809265137</v>
      </c>
      <c r="L1749" t="s">
        <v>469</v>
      </c>
      <c r="M1749">
        <v>22.399999618530281</v>
      </c>
      <c r="N1749">
        <v>13.039999961853029</v>
      </c>
      <c r="O1749">
        <v>214.2</v>
      </c>
      <c r="P1749">
        <v>354.9</v>
      </c>
      <c r="Q1749">
        <v>65.650000000000006</v>
      </c>
      <c r="R1749" s="3" t="s">
        <v>470</v>
      </c>
      <c r="S1749">
        <v>214.2</v>
      </c>
      <c r="T1749" t="s">
        <v>468</v>
      </c>
    </row>
    <row r="1750" spans="1:20" x14ac:dyDescent="0.25">
      <c r="A1750">
        <v>258</v>
      </c>
      <c r="B1750">
        <v>513472</v>
      </c>
      <c r="C1750" t="s">
        <v>321</v>
      </c>
      <c r="D1750">
        <v>2023</v>
      </c>
      <c r="E1750">
        <v>99.849998474121094</v>
      </c>
      <c r="F1750">
        <v>-5.53</v>
      </c>
      <c r="G1750" t="s">
        <v>465</v>
      </c>
      <c r="H1750">
        <v>14.840000152587891</v>
      </c>
      <c r="I1750">
        <v>7.2399997711181641</v>
      </c>
      <c r="L1750" t="s">
        <v>471</v>
      </c>
      <c r="M1750">
        <v>-2.6835443313902152</v>
      </c>
      <c r="N1750">
        <v>-1.3092223817573529</v>
      </c>
      <c r="O1750">
        <v>214.2</v>
      </c>
      <c r="P1750">
        <v>354.9</v>
      </c>
      <c r="Q1750">
        <v>65.650000000000006</v>
      </c>
      <c r="R1750" s="3" t="s">
        <v>470</v>
      </c>
      <c r="S1750">
        <v>214.2</v>
      </c>
      <c r="T1750" t="s">
        <v>468</v>
      </c>
    </row>
    <row r="1751" spans="1:20" x14ac:dyDescent="0.25">
      <c r="A1751">
        <v>258</v>
      </c>
      <c r="B1751">
        <v>513472</v>
      </c>
      <c r="C1751" t="s">
        <v>321</v>
      </c>
      <c r="D1751">
        <v>2024</v>
      </c>
      <c r="E1751">
        <v>99.849998474121094</v>
      </c>
      <c r="F1751">
        <v>0.78</v>
      </c>
      <c r="G1751" t="s">
        <v>465</v>
      </c>
      <c r="H1751">
        <v>70.980003356933594</v>
      </c>
      <c r="I1751">
        <v>12.11999988555908</v>
      </c>
      <c r="L1751" t="s">
        <v>469</v>
      </c>
      <c r="M1751">
        <v>91.000004303761017</v>
      </c>
      <c r="N1751">
        <v>15.538461391742411</v>
      </c>
      <c r="O1751">
        <v>214.2</v>
      </c>
      <c r="P1751">
        <v>354.9</v>
      </c>
      <c r="Q1751">
        <v>65.650000000000006</v>
      </c>
      <c r="R1751" s="3" t="s">
        <v>470</v>
      </c>
      <c r="S1751">
        <v>214.2</v>
      </c>
      <c r="T1751" t="s">
        <v>468</v>
      </c>
    </row>
    <row r="1752" spans="1:20" x14ac:dyDescent="0.25">
      <c r="A1752">
        <v>258</v>
      </c>
      <c r="B1752">
        <v>513472</v>
      </c>
      <c r="C1752" t="s">
        <v>321</v>
      </c>
      <c r="D1752">
        <v>2025</v>
      </c>
      <c r="E1752">
        <v>99.849998474121094</v>
      </c>
      <c r="F1752">
        <v>4.2</v>
      </c>
      <c r="G1752" t="s">
        <v>465</v>
      </c>
      <c r="H1752">
        <v>124.6999969482422</v>
      </c>
      <c r="I1752">
        <v>37.970001220703118</v>
      </c>
      <c r="L1752" t="s">
        <v>469</v>
      </c>
      <c r="M1752">
        <v>29.690475463867191</v>
      </c>
      <c r="N1752">
        <v>9.0404764811197893</v>
      </c>
      <c r="O1752">
        <v>214.2</v>
      </c>
      <c r="P1752">
        <v>354.9</v>
      </c>
      <c r="Q1752">
        <v>65.650000000000006</v>
      </c>
      <c r="R1752" s="3" t="s">
        <v>470</v>
      </c>
      <c r="S1752">
        <v>214.2</v>
      </c>
      <c r="T1752" t="s">
        <v>468</v>
      </c>
    </row>
    <row r="1753" spans="1:20" x14ac:dyDescent="0.25">
      <c r="A1753">
        <v>258</v>
      </c>
      <c r="B1753">
        <v>513472</v>
      </c>
      <c r="C1753" t="s">
        <v>321</v>
      </c>
      <c r="D1753">
        <v>2026</v>
      </c>
      <c r="E1753">
        <v>99.849998474121094</v>
      </c>
      <c r="F1753">
        <v>5.19</v>
      </c>
      <c r="G1753" t="s">
        <v>465</v>
      </c>
      <c r="H1753">
        <v>124.59999847412109</v>
      </c>
      <c r="I1753">
        <v>80.080001831054688</v>
      </c>
      <c r="L1753" t="s">
        <v>469</v>
      </c>
      <c r="M1753">
        <v>24.007706835090769</v>
      </c>
      <c r="N1753">
        <v>15.42967279981786</v>
      </c>
      <c r="O1753">
        <v>214.2</v>
      </c>
      <c r="P1753">
        <v>354.9</v>
      </c>
      <c r="Q1753">
        <v>65.650000000000006</v>
      </c>
      <c r="R1753" s="3" t="s">
        <v>470</v>
      </c>
      <c r="S1753">
        <v>214.2</v>
      </c>
      <c r="T1753" t="s">
        <v>468</v>
      </c>
    </row>
    <row r="1754" spans="1:20" x14ac:dyDescent="0.25">
      <c r="A1754">
        <v>259</v>
      </c>
      <c r="B1754">
        <v>513488</v>
      </c>
      <c r="C1754" t="s">
        <v>323</v>
      </c>
      <c r="D1754">
        <v>2015</v>
      </c>
      <c r="E1754">
        <v>28.729999542236332</v>
      </c>
      <c r="F1754">
        <v>2.02</v>
      </c>
      <c r="G1754" t="s">
        <v>465</v>
      </c>
      <c r="H1754">
        <v>15.97999954223633</v>
      </c>
      <c r="I1754">
        <v>8.5500001907348633</v>
      </c>
      <c r="L1754" t="s">
        <v>469</v>
      </c>
      <c r="M1754">
        <v>7.9108908624932326</v>
      </c>
      <c r="N1754">
        <v>4.2326733617499324</v>
      </c>
      <c r="O1754">
        <v>38.9</v>
      </c>
      <c r="P1754">
        <v>50.8</v>
      </c>
      <c r="Q1754">
        <v>34.200000000000003</v>
      </c>
      <c r="R1754" s="3" t="s">
        <v>470</v>
      </c>
      <c r="S1754">
        <v>38.9</v>
      </c>
      <c r="T1754" t="s">
        <v>468</v>
      </c>
    </row>
    <row r="1755" spans="1:20" x14ac:dyDescent="0.25">
      <c r="A1755">
        <v>259</v>
      </c>
      <c r="B1755">
        <v>513488</v>
      </c>
      <c r="C1755" t="s">
        <v>323</v>
      </c>
      <c r="D1755">
        <v>2016</v>
      </c>
      <c r="E1755">
        <v>28.729999542236332</v>
      </c>
      <c r="F1755">
        <v>2.99</v>
      </c>
      <c r="G1755" t="s">
        <v>465</v>
      </c>
      <c r="H1755">
        <v>17.520000457763668</v>
      </c>
      <c r="I1755">
        <v>10.5</v>
      </c>
      <c r="L1755" t="s">
        <v>469</v>
      </c>
      <c r="M1755">
        <v>5.8595319256734673</v>
      </c>
      <c r="N1755">
        <v>3.511705685618729</v>
      </c>
      <c r="O1755">
        <v>38.9</v>
      </c>
      <c r="P1755">
        <v>50.8</v>
      </c>
      <c r="Q1755">
        <v>34.200000000000003</v>
      </c>
      <c r="R1755" s="3" t="s">
        <v>470</v>
      </c>
      <c r="S1755">
        <v>38.9</v>
      </c>
      <c r="T1755" t="s">
        <v>468</v>
      </c>
    </row>
    <row r="1756" spans="1:20" x14ac:dyDescent="0.25">
      <c r="A1756">
        <v>259</v>
      </c>
      <c r="B1756">
        <v>513488</v>
      </c>
      <c r="C1756" t="s">
        <v>323</v>
      </c>
      <c r="D1756">
        <v>2017</v>
      </c>
      <c r="E1756">
        <v>28.729999542236332</v>
      </c>
      <c r="F1756">
        <v>1.6</v>
      </c>
      <c r="G1756" t="s">
        <v>465</v>
      </c>
      <c r="H1756">
        <v>24.479999542236332</v>
      </c>
      <c r="I1756">
        <v>13.10000038146973</v>
      </c>
      <c r="L1756" t="s">
        <v>469</v>
      </c>
      <c r="M1756">
        <v>15.29999971389771</v>
      </c>
      <c r="N1756">
        <v>8.1875002384185809</v>
      </c>
      <c r="O1756">
        <v>38.9</v>
      </c>
      <c r="P1756">
        <v>50.8</v>
      </c>
      <c r="Q1756">
        <v>34.200000000000003</v>
      </c>
      <c r="R1756" s="3" t="s">
        <v>470</v>
      </c>
      <c r="S1756">
        <v>38.9</v>
      </c>
      <c r="T1756" t="s">
        <v>468</v>
      </c>
    </row>
    <row r="1757" spans="1:20" x14ac:dyDescent="0.25">
      <c r="A1757">
        <v>259</v>
      </c>
      <c r="B1757">
        <v>513488</v>
      </c>
      <c r="C1757" t="s">
        <v>323</v>
      </c>
      <c r="D1757">
        <v>2018</v>
      </c>
      <c r="E1757">
        <v>28.729999542236332</v>
      </c>
      <c r="F1757">
        <v>2.08</v>
      </c>
      <c r="G1757" t="s">
        <v>465</v>
      </c>
      <c r="H1757">
        <v>23.39999961853027</v>
      </c>
      <c r="I1757">
        <v>10.60999965667725</v>
      </c>
      <c r="L1757" t="s">
        <v>469</v>
      </c>
      <c r="M1757">
        <v>11.24999981660109</v>
      </c>
      <c r="N1757">
        <v>5.1009613734025239</v>
      </c>
      <c r="O1757">
        <v>38.9</v>
      </c>
      <c r="P1757">
        <v>50.8</v>
      </c>
      <c r="Q1757">
        <v>34.200000000000003</v>
      </c>
      <c r="R1757" s="3" t="s">
        <v>470</v>
      </c>
      <c r="S1757">
        <v>38.9</v>
      </c>
      <c r="T1757" t="s">
        <v>468</v>
      </c>
    </row>
    <row r="1758" spans="1:20" x14ac:dyDescent="0.25">
      <c r="A1758">
        <v>259</v>
      </c>
      <c r="B1758">
        <v>513488</v>
      </c>
      <c r="C1758" t="s">
        <v>323</v>
      </c>
      <c r="D1758">
        <v>2019</v>
      </c>
      <c r="E1758">
        <v>28.729999542236332</v>
      </c>
      <c r="F1758">
        <v>1.39</v>
      </c>
      <c r="G1758" t="s">
        <v>465</v>
      </c>
      <c r="H1758">
        <v>16.010000228881839</v>
      </c>
      <c r="I1758">
        <v>9.7299995422363281</v>
      </c>
      <c r="L1758" t="s">
        <v>469</v>
      </c>
      <c r="M1758">
        <v>11.51798577617399</v>
      </c>
      <c r="N1758">
        <v>6.9999996706736178</v>
      </c>
      <c r="O1758">
        <v>38.9</v>
      </c>
      <c r="P1758">
        <v>50.8</v>
      </c>
      <c r="Q1758">
        <v>34.200000000000003</v>
      </c>
      <c r="R1758" s="3" t="s">
        <v>470</v>
      </c>
      <c r="S1758">
        <v>38.9</v>
      </c>
      <c r="T1758" t="s">
        <v>468</v>
      </c>
    </row>
    <row r="1759" spans="1:20" x14ac:dyDescent="0.25">
      <c r="A1759">
        <v>259</v>
      </c>
      <c r="B1759">
        <v>513488</v>
      </c>
      <c r="C1759" t="s">
        <v>323</v>
      </c>
      <c r="D1759">
        <v>2020</v>
      </c>
      <c r="E1759">
        <v>28.729999542236332</v>
      </c>
      <c r="F1759">
        <v>5.83</v>
      </c>
      <c r="G1759" t="s">
        <v>465</v>
      </c>
      <c r="H1759">
        <v>27.5</v>
      </c>
      <c r="I1759">
        <v>9.7399997711181641</v>
      </c>
      <c r="L1759" t="s">
        <v>469</v>
      </c>
      <c r="M1759">
        <v>4.716981132075472</v>
      </c>
      <c r="N1759">
        <v>1.6706689144285021</v>
      </c>
      <c r="O1759">
        <v>38.9</v>
      </c>
      <c r="P1759">
        <v>50.8</v>
      </c>
      <c r="Q1759">
        <v>34.200000000000003</v>
      </c>
      <c r="R1759" s="3" t="s">
        <v>470</v>
      </c>
      <c r="S1759">
        <v>38.9</v>
      </c>
      <c r="T1759" t="s">
        <v>468</v>
      </c>
    </row>
    <row r="1760" spans="1:20" x14ac:dyDescent="0.25">
      <c r="A1760">
        <v>259</v>
      </c>
      <c r="B1760">
        <v>513488</v>
      </c>
      <c r="C1760" t="s">
        <v>323</v>
      </c>
      <c r="D1760">
        <v>2021</v>
      </c>
      <c r="E1760">
        <v>28.729999542236332</v>
      </c>
      <c r="F1760">
        <v>2.63</v>
      </c>
      <c r="G1760" t="s">
        <v>465</v>
      </c>
      <c r="H1760">
        <v>35</v>
      </c>
      <c r="I1760">
        <v>19.04999923706055</v>
      </c>
      <c r="L1760" t="s">
        <v>469</v>
      </c>
      <c r="M1760">
        <v>13.30798479087453</v>
      </c>
      <c r="N1760">
        <v>7.2433457175135176</v>
      </c>
      <c r="O1760">
        <v>38.9</v>
      </c>
      <c r="P1760">
        <v>50.8</v>
      </c>
      <c r="Q1760">
        <v>34.200000000000003</v>
      </c>
      <c r="R1760" s="3" t="s">
        <v>470</v>
      </c>
      <c r="S1760">
        <v>38.9</v>
      </c>
      <c r="T1760" t="s">
        <v>468</v>
      </c>
    </row>
    <row r="1761" spans="1:20" x14ac:dyDescent="0.25">
      <c r="A1761">
        <v>259</v>
      </c>
      <c r="B1761">
        <v>513488</v>
      </c>
      <c r="C1761" t="s">
        <v>323</v>
      </c>
      <c r="D1761">
        <v>2022</v>
      </c>
      <c r="E1761">
        <v>28.729999542236332</v>
      </c>
      <c r="F1761">
        <v>0.82</v>
      </c>
      <c r="G1761" t="s">
        <v>465</v>
      </c>
      <c r="H1761">
        <v>34.900001525878913</v>
      </c>
      <c r="I1761">
        <v>18.10000038146973</v>
      </c>
      <c r="L1761" t="s">
        <v>469</v>
      </c>
      <c r="M1761">
        <v>42.560977470584042</v>
      </c>
      <c r="N1761">
        <v>22.073171196914309</v>
      </c>
      <c r="O1761">
        <v>38.9</v>
      </c>
      <c r="P1761">
        <v>50.8</v>
      </c>
      <c r="Q1761">
        <v>34.200000000000003</v>
      </c>
      <c r="R1761" s="3" t="s">
        <v>470</v>
      </c>
      <c r="S1761">
        <v>38.9</v>
      </c>
      <c r="T1761" t="s">
        <v>468</v>
      </c>
    </row>
    <row r="1762" spans="1:20" x14ac:dyDescent="0.25">
      <c r="A1762">
        <v>259</v>
      </c>
      <c r="B1762">
        <v>513488</v>
      </c>
      <c r="C1762" t="s">
        <v>323</v>
      </c>
      <c r="D1762">
        <v>2023</v>
      </c>
      <c r="E1762">
        <v>28.729999542236332</v>
      </c>
      <c r="F1762">
        <v>2.36</v>
      </c>
      <c r="G1762" t="s">
        <v>465</v>
      </c>
      <c r="H1762">
        <v>48.040000915527337</v>
      </c>
      <c r="I1762">
        <v>25.680000305175781</v>
      </c>
      <c r="L1762" t="s">
        <v>469</v>
      </c>
      <c r="M1762">
        <v>20.355932591325139</v>
      </c>
      <c r="N1762">
        <v>10.881356061515159</v>
      </c>
      <c r="O1762">
        <v>38.9</v>
      </c>
      <c r="P1762">
        <v>50.8</v>
      </c>
      <c r="Q1762">
        <v>34.200000000000003</v>
      </c>
      <c r="R1762" s="3" t="s">
        <v>470</v>
      </c>
      <c r="S1762">
        <v>38.9</v>
      </c>
      <c r="T1762" t="s">
        <v>468</v>
      </c>
    </row>
    <row r="1763" spans="1:20" x14ac:dyDescent="0.25">
      <c r="A1763">
        <v>259</v>
      </c>
      <c r="B1763">
        <v>513488</v>
      </c>
      <c r="C1763" t="s">
        <v>323</v>
      </c>
      <c r="D1763">
        <v>2024</v>
      </c>
      <c r="E1763">
        <v>28.729999542236332</v>
      </c>
      <c r="F1763">
        <v>-0.45</v>
      </c>
      <c r="G1763" t="s">
        <v>465</v>
      </c>
      <c r="H1763">
        <v>50.799999237060547</v>
      </c>
      <c r="I1763">
        <v>34.200000762939453</v>
      </c>
      <c r="L1763" t="s">
        <v>471</v>
      </c>
      <c r="M1763">
        <v>-112.88888719346789</v>
      </c>
      <c r="N1763">
        <v>-76.000001695421005</v>
      </c>
      <c r="O1763">
        <v>38.9</v>
      </c>
      <c r="P1763">
        <v>50.8</v>
      </c>
      <c r="Q1763">
        <v>34.200000000000003</v>
      </c>
      <c r="R1763" s="3" t="s">
        <v>470</v>
      </c>
      <c r="S1763">
        <v>38.9</v>
      </c>
      <c r="T1763" t="s">
        <v>468</v>
      </c>
    </row>
    <row r="1764" spans="1:20" x14ac:dyDescent="0.25">
      <c r="A1764">
        <v>259</v>
      </c>
      <c r="B1764">
        <v>513488</v>
      </c>
      <c r="C1764" t="s">
        <v>323</v>
      </c>
      <c r="D1764">
        <v>2025</v>
      </c>
      <c r="E1764">
        <v>28.729999542236332</v>
      </c>
      <c r="F1764">
        <v>-0.75</v>
      </c>
      <c r="G1764" t="s">
        <v>465</v>
      </c>
      <c r="H1764">
        <v>43</v>
      </c>
      <c r="I1764">
        <v>23.04999923706055</v>
      </c>
      <c r="L1764" t="s">
        <v>471</v>
      </c>
      <c r="M1764">
        <v>-57.333333333333343</v>
      </c>
      <c r="N1764">
        <v>-30.73333231608073</v>
      </c>
      <c r="O1764">
        <v>38.9</v>
      </c>
      <c r="P1764">
        <v>50.8</v>
      </c>
      <c r="Q1764">
        <v>34.200000000000003</v>
      </c>
      <c r="R1764" s="3" t="s">
        <v>470</v>
      </c>
      <c r="S1764">
        <v>38.9</v>
      </c>
      <c r="T1764" t="s">
        <v>468</v>
      </c>
    </row>
    <row r="1765" spans="1:20" x14ac:dyDescent="0.25">
      <c r="A1765">
        <v>259</v>
      </c>
      <c r="B1765">
        <v>513488</v>
      </c>
      <c r="C1765" t="s">
        <v>323</v>
      </c>
      <c r="D1765">
        <v>2026</v>
      </c>
      <c r="E1765">
        <v>28.729999542236332</v>
      </c>
      <c r="F1765">
        <v>-1.87</v>
      </c>
      <c r="G1765" t="s">
        <v>465</v>
      </c>
      <c r="H1765">
        <v>43.159999847412109</v>
      </c>
      <c r="I1765">
        <v>16.60000038146973</v>
      </c>
      <c r="L1765" t="s">
        <v>471</v>
      </c>
      <c r="M1765">
        <v>-23.08021382214551</v>
      </c>
      <c r="N1765">
        <v>-8.8770055515880912</v>
      </c>
      <c r="O1765">
        <v>38.9</v>
      </c>
      <c r="P1765">
        <v>50.8</v>
      </c>
      <c r="Q1765">
        <v>34.200000000000003</v>
      </c>
      <c r="R1765" s="3" t="s">
        <v>470</v>
      </c>
      <c r="S1765">
        <v>38.9</v>
      </c>
      <c r="T1765" t="s">
        <v>468</v>
      </c>
    </row>
    <row r="1766" spans="1:20" x14ac:dyDescent="0.25">
      <c r="A1766">
        <v>260</v>
      </c>
      <c r="B1766">
        <v>513513</v>
      </c>
      <c r="C1766" t="s">
        <v>325</v>
      </c>
      <c r="D1766">
        <v>2015</v>
      </c>
      <c r="E1766">
        <v>9.8999996185302734</v>
      </c>
      <c r="F1766">
        <v>0.6</v>
      </c>
      <c r="G1766" t="s">
        <v>465</v>
      </c>
      <c r="H1766">
        <v>4.6500000953674316</v>
      </c>
      <c r="I1766">
        <v>2.7100000381469731</v>
      </c>
      <c r="L1766" t="s">
        <v>469</v>
      </c>
      <c r="M1766">
        <v>7.7500001589457197</v>
      </c>
      <c r="N1766">
        <v>4.516666730244955</v>
      </c>
      <c r="O1766">
        <v>10</v>
      </c>
      <c r="P1766">
        <v>13</v>
      </c>
      <c r="Q1766">
        <v>9</v>
      </c>
      <c r="R1766" s="2" t="s">
        <v>467</v>
      </c>
      <c r="S1766">
        <v>10</v>
      </c>
      <c r="T1766" t="s">
        <v>468</v>
      </c>
    </row>
    <row r="1767" spans="1:20" x14ac:dyDescent="0.25">
      <c r="A1767">
        <v>260</v>
      </c>
      <c r="B1767">
        <v>513513</v>
      </c>
      <c r="C1767" t="s">
        <v>325</v>
      </c>
      <c r="D1767">
        <v>2016</v>
      </c>
      <c r="E1767">
        <v>9.8999996185302734</v>
      </c>
      <c r="F1767">
        <v>0.6</v>
      </c>
      <c r="G1767" t="s">
        <v>465</v>
      </c>
      <c r="H1767">
        <v>6.940000057220459</v>
      </c>
      <c r="I1767">
        <v>2.7000000476837158</v>
      </c>
      <c r="L1767" t="s">
        <v>469</v>
      </c>
      <c r="M1767">
        <v>11.566666762034099</v>
      </c>
      <c r="N1767">
        <v>4.5000000794728603</v>
      </c>
      <c r="O1767">
        <v>10</v>
      </c>
      <c r="P1767">
        <v>13</v>
      </c>
      <c r="Q1767">
        <v>9</v>
      </c>
      <c r="R1767" s="2" t="s">
        <v>467</v>
      </c>
      <c r="S1767">
        <v>10</v>
      </c>
      <c r="T1767" t="s">
        <v>468</v>
      </c>
    </row>
    <row r="1768" spans="1:20" x14ac:dyDescent="0.25">
      <c r="A1768">
        <v>260</v>
      </c>
      <c r="B1768">
        <v>513513</v>
      </c>
      <c r="C1768" t="s">
        <v>325</v>
      </c>
      <c r="D1768">
        <v>2017</v>
      </c>
      <c r="E1768">
        <v>9.8999996185302734</v>
      </c>
      <c r="F1768">
        <v>0.79</v>
      </c>
      <c r="G1768" t="s">
        <v>465</v>
      </c>
      <c r="H1768">
        <v>8.6800003051757813</v>
      </c>
      <c r="I1768">
        <v>4.3000001907348633</v>
      </c>
      <c r="L1768" t="s">
        <v>469</v>
      </c>
      <c r="M1768">
        <v>10.98734215845036</v>
      </c>
      <c r="N1768">
        <v>5.4430382161200797</v>
      </c>
      <c r="O1768">
        <v>10</v>
      </c>
      <c r="P1768">
        <v>13</v>
      </c>
      <c r="Q1768">
        <v>9</v>
      </c>
      <c r="R1768" s="2" t="s">
        <v>467</v>
      </c>
      <c r="S1768">
        <v>10</v>
      </c>
      <c r="T1768" t="s">
        <v>468</v>
      </c>
    </row>
    <row r="1769" spans="1:20" x14ac:dyDescent="0.25">
      <c r="A1769">
        <v>260</v>
      </c>
      <c r="B1769">
        <v>513513</v>
      </c>
      <c r="C1769" t="s">
        <v>325</v>
      </c>
      <c r="D1769">
        <v>2018</v>
      </c>
      <c r="E1769">
        <v>9.8999996185302734</v>
      </c>
      <c r="F1769">
        <v>0.9</v>
      </c>
      <c r="G1769" t="s">
        <v>465</v>
      </c>
      <c r="H1769">
        <v>8.3000001907348633</v>
      </c>
      <c r="I1769">
        <v>3.9200000762939449</v>
      </c>
      <c r="L1769" t="s">
        <v>469</v>
      </c>
      <c r="M1769">
        <v>9.2222224341498471</v>
      </c>
      <c r="N1769">
        <v>4.3555556403266049</v>
      </c>
      <c r="O1769">
        <v>10</v>
      </c>
      <c r="P1769">
        <v>13</v>
      </c>
      <c r="Q1769">
        <v>9</v>
      </c>
      <c r="R1769" s="2" t="s">
        <v>467</v>
      </c>
      <c r="S1769">
        <v>10</v>
      </c>
      <c r="T1769" t="s">
        <v>468</v>
      </c>
    </row>
    <row r="1770" spans="1:20" x14ac:dyDescent="0.25">
      <c r="A1770">
        <v>260</v>
      </c>
      <c r="B1770">
        <v>513513</v>
      </c>
      <c r="C1770" t="s">
        <v>325</v>
      </c>
      <c r="D1770">
        <v>2019</v>
      </c>
      <c r="E1770">
        <v>9.8999996185302734</v>
      </c>
      <c r="F1770">
        <v>0.82</v>
      </c>
      <c r="G1770" t="s">
        <v>465</v>
      </c>
      <c r="H1770">
        <v>7.75</v>
      </c>
      <c r="I1770">
        <v>2.630000114440918</v>
      </c>
      <c r="L1770" t="s">
        <v>469</v>
      </c>
      <c r="M1770">
        <v>9.4512195121951219</v>
      </c>
      <c r="N1770">
        <v>3.2073172127328271</v>
      </c>
      <c r="O1770">
        <v>10</v>
      </c>
      <c r="P1770">
        <v>13</v>
      </c>
      <c r="Q1770">
        <v>9</v>
      </c>
      <c r="R1770" s="2" t="s">
        <v>467</v>
      </c>
      <c r="S1770">
        <v>10</v>
      </c>
      <c r="T1770" t="s">
        <v>468</v>
      </c>
    </row>
    <row r="1771" spans="1:20" x14ac:dyDescent="0.25">
      <c r="A1771">
        <v>260</v>
      </c>
      <c r="B1771">
        <v>513513</v>
      </c>
      <c r="C1771" t="s">
        <v>325</v>
      </c>
      <c r="D1771">
        <v>2020</v>
      </c>
      <c r="E1771">
        <v>9.8999996185302734</v>
      </c>
      <c r="F1771">
        <v>0.47</v>
      </c>
      <c r="G1771" t="s">
        <v>465</v>
      </c>
      <c r="H1771">
        <v>8.3400001525878906</v>
      </c>
      <c r="I1771">
        <v>3.2699999809265141</v>
      </c>
      <c r="L1771" t="s">
        <v>484</v>
      </c>
      <c r="M1771">
        <v>17.74468117571892</v>
      </c>
      <c r="N1771">
        <v>6.9574467679287526</v>
      </c>
      <c r="O1771">
        <v>10</v>
      </c>
      <c r="P1771">
        <v>13</v>
      </c>
      <c r="Q1771">
        <v>9</v>
      </c>
      <c r="R1771" s="2" t="s">
        <v>467</v>
      </c>
      <c r="S1771">
        <v>10</v>
      </c>
      <c r="T1771" t="s">
        <v>468</v>
      </c>
    </row>
    <row r="1772" spans="1:20" x14ac:dyDescent="0.25">
      <c r="A1772">
        <v>260</v>
      </c>
      <c r="B1772">
        <v>513513</v>
      </c>
      <c r="C1772" t="s">
        <v>325</v>
      </c>
      <c r="D1772">
        <v>2021</v>
      </c>
      <c r="E1772">
        <v>9.8999996185302734</v>
      </c>
      <c r="F1772">
        <v>0.75</v>
      </c>
      <c r="G1772" t="s">
        <v>465</v>
      </c>
      <c r="H1772">
        <v>15.36999988555908</v>
      </c>
      <c r="I1772">
        <v>3.6500000953674321</v>
      </c>
      <c r="L1772" t="s">
        <v>469</v>
      </c>
      <c r="M1772">
        <v>20.493333180745442</v>
      </c>
      <c r="N1772">
        <v>4.8666667938232431</v>
      </c>
      <c r="O1772">
        <v>10</v>
      </c>
      <c r="P1772">
        <v>13</v>
      </c>
      <c r="Q1772">
        <v>9</v>
      </c>
      <c r="R1772" s="2" t="s">
        <v>467</v>
      </c>
      <c r="S1772">
        <v>10</v>
      </c>
      <c r="T1772" t="s">
        <v>468</v>
      </c>
    </row>
    <row r="1773" spans="1:20" x14ac:dyDescent="0.25">
      <c r="A1773">
        <v>260</v>
      </c>
      <c r="B1773">
        <v>513513</v>
      </c>
      <c r="C1773" t="s">
        <v>325</v>
      </c>
      <c r="D1773">
        <v>2022</v>
      </c>
      <c r="E1773">
        <v>9.8999996185302734</v>
      </c>
      <c r="F1773">
        <v>0.71</v>
      </c>
      <c r="G1773" t="s">
        <v>465</v>
      </c>
      <c r="H1773">
        <v>13.39999961853027</v>
      </c>
      <c r="I1773">
        <v>8.1599998474121094</v>
      </c>
      <c r="L1773" t="s">
        <v>469</v>
      </c>
      <c r="M1773">
        <v>18.873238899338411</v>
      </c>
      <c r="N1773">
        <v>11.492957531566351</v>
      </c>
      <c r="O1773">
        <v>10</v>
      </c>
      <c r="P1773">
        <v>13</v>
      </c>
      <c r="Q1773">
        <v>9</v>
      </c>
      <c r="R1773" s="2" t="s">
        <v>467</v>
      </c>
      <c r="S1773">
        <v>10</v>
      </c>
      <c r="T1773" t="s">
        <v>468</v>
      </c>
    </row>
    <row r="1774" spans="1:20" x14ac:dyDescent="0.25">
      <c r="A1774">
        <v>260</v>
      </c>
      <c r="B1774">
        <v>513513</v>
      </c>
      <c r="C1774" t="s">
        <v>325</v>
      </c>
      <c r="D1774">
        <v>2023</v>
      </c>
      <c r="E1774">
        <v>9.8999996185302734</v>
      </c>
      <c r="F1774">
        <v>0.56000000000000005</v>
      </c>
      <c r="G1774" t="s">
        <v>465</v>
      </c>
      <c r="H1774">
        <v>10.97999954223633</v>
      </c>
      <c r="I1774">
        <v>7.5100002288818359</v>
      </c>
      <c r="L1774" t="s">
        <v>469</v>
      </c>
      <c r="M1774">
        <v>19.607142039707728</v>
      </c>
      <c r="N1774">
        <v>13.410714694431849</v>
      </c>
      <c r="O1774">
        <v>10</v>
      </c>
      <c r="P1774">
        <v>13</v>
      </c>
      <c r="Q1774">
        <v>9</v>
      </c>
      <c r="R1774" s="2" t="s">
        <v>467</v>
      </c>
      <c r="S1774">
        <v>10</v>
      </c>
      <c r="T1774" t="s">
        <v>468</v>
      </c>
    </row>
    <row r="1775" spans="1:20" x14ac:dyDescent="0.25">
      <c r="A1775">
        <v>260</v>
      </c>
      <c r="B1775">
        <v>513513</v>
      </c>
      <c r="C1775" t="s">
        <v>325</v>
      </c>
      <c r="D1775">
        <v>2024</v>
      </c>
      <c r="E1775">
        <v>9.8999996185302734</v>
      </c>
      <c r="F1775">
        <v>-4.32</v>
      </c>
      <c r="G1775" t="s">
        <v>465</v>
      </c>
      <c r="H1775">
        <v>13</v>
      </c>
      <c r="I1775">
        <v>9</v>
      </c>
      <c r="L1775" t="s">
        <v>471</v>
      </c>
      <c r="M1775">
        <v>-3.0092592592592591</v>
      </c>
      <c r="N1775">
        <v>-2.083333333333333</v>
      </c>
      <c r="O1775">
        <v>10</v>
      </c>
      <c r="P1775">
        <v>13</v>
      </c>
      <c r="Q1775">
        <v>9</v>
      </c>
      <c r="R1775" s="2" t="s">
        <v>467</v>
      </c>
      <c r="S1775">
        <v>10</v>
      </c>
      <c r="T1775" t="s">
        <v>468</v>
      </c>
    </row>
    <row r="1776" spans="1:20" x14ac:dyDescent="0.25">
      <c r="A1776">
        <v>260</v>
      </c>
      <c r="B1776">
        <v>513513</v>
      </c>
      <c r="C1776" t="s">
        <v>325</v>
      </c>
      <c r="D1776">
        <v>2025</v>
      </c>
      <c r="E1776">
        <v>9.8999996185302734</v>
      </c>
      <c r="F1776">
        <v>-1.46</v>
      </c>
      <c r="G1776" t="s">
        <v>465</v>
      </c>
      <c r="H1776">
        <v>11.86999988555908</v>
      </c>
      <c r="I1776">
        <v>8.2600002288818359</v>
      </c>
      <c r="L1776" t="s">
        <v>471</v>
      </c>
      <c r="M1776">
        <v>-8.1301369079171781</v>
      </c>
      <c r="N1776">
        <v>-5.6575344033437238</v>
      </c>
      <c r="O1776">
        <v>10</v>
      </c>
      <c r="P1776">
        <v>13</v>
      </c>
      <c r="Q1776">
        <v>9</v>
      </c>
      <c r="R1776" s="2" t="s">
        <v>467</v>
      </c>
      <c r="S1776">
        <v>10</v>
      </c>
      <c r="T1776" t="s">
        <v>468</v>
      </c>
    </row>
    <row r="1777" spans="1:20" x14ac:dyDescent="0.25">
      <c r="A1777">
        <v>260</v>
      </c>
      <c r="B1777">
        <v>513513</v>
      </c>
      <c r="C1777" t="s">
        <v>325</v>
      </c>
      <c r="D1777">
        <v>2026</v>
      </c>
      <c r="E1777">
        <v>9.8999996185302734</v>
      </c>
      <c r="F1777">
        <v>-16.04</v>
      </c>
      <c r="G1777" t="s">
        <v>465</v>
      </c>
      <c r="H1777">
        <v>11.960000038146971</v>
      </c>
      <c r="I1777">
        <v>8.0100002288818359</v>
      </c>
      <c r="L1777" t="s">
        <v>471</v>
      </c>
      <c r="M1777">
        <v>-0.74563591260267903</v>
      </c>
      <c r="N1777">
        <v>-0.49937657287293252</v>
      </c>
      <c r="O1777">
        <v>10</v>
      </c>
      <c r="P1777">
        <v>13</v>
      </c>
      <c r="Q1777">
        <v>9</v>
      </c>
      <c r="R1777" s="2" t="s">
        <v>467</v>
      </c>
      <c r="S1777">
        <v>10</v>
      </c>
      <c r="T1777" t="s">
        <v>468</v>
      </c>
    </row>
    <row r="1778" spans="1:20" x14ac:dyDescent="0.25">
      <c r="A1778">
        <v>261</v>
      </c>
      <c r="B1778">
        <v>513528</v>
      </c>
      <c r="C1778" t="s">
        <v>327</v>
      </c>
      <c r="D1778">
        <v>2015</v>
      </c>
      <c r="E1778">
        <v>59.610000610351563</v>
      </c>
      <c r="F1778">
        <v>0.28999999999999998</v>
      </c>
      <c r="G1778" t="s">
        <v>465</v>
      </c>
      <c r="H1778">
        <v>3.7000000476837158</v>
      </c>
      <c r="I1778">
        <v>1.879999995231628</v>
      </c>
      <c r="L1778" t="s">
        <v>484</v>
      </c>
      <c r="M1778">
        <v>12.75862085408178</v>
      </c>
      <c r="N1778">
        <v>6.4827586042469934</v>
      </c>
      <c r="O1778">
        <v>4.24</v>
      </c>
      <c r="P1778">
        <v>6</v>
      </c>
      <c r="Q1778">
        <v>2.65</v>
      </c>
      <c r="R1778" s="3" t="s">
        <v>470</v>
      </c>
      <c r="S1778">
        <v>4.24</v>
      </c>
      <c r="T1778" t="s">
        <v>468</v>
      </c>
    </row>
    <row r="1779" spans="1:20" x14ac:dyDescent="0.25">
      <c r="A1779">
        <v>261</v>
      </c>
      <c r="B1779">
        <v>513528</v>
      </c>
      <c r="C1779" t="s">
        <v>327</v>
      </c>
      <c r="D1779">
        <v>2016</v>
      </c>
      <c r="E1779">
        <v>59.610000610351563</v>
      </c>
      <c r="F1779">
        <v>0.28000000000000003</v>
      </c>
      <c r="G1779" t="s">
        <v>465</v>
      </c>
      <c r="H1779">
        <v>3.0999999046325679</v>
      </c>
      <c r="I1779">
        <v>1.7100000381469731</v>
      </c>
      <c r="L1779" t="s">
        <v>484</v>
      </c>
      <c r="M1779">
        <v>11.0714282308306</v>
      </c>
      <c r="N1779">
        <v>6.1071429933820456</v>
      </c>
      <c r="O1779">
        <v>4.24</v>
      </c>
      <c r="P1779">
        <v>6</v>
      </c>
      <c r="Q1779">
        <v>2.65</v>
      </c>
      <c r="R1779" s="3" t="s">
        <v>470</v>
      </c>
      <c r="S1779">
        <v>4.24</v>
      </c>
      <c r="T1779" t="s">
        <v>468</v>
      </c>
    </row>
    <row r="1780" spans="1:20" x14ac:dyDescent="0.25">
      <c r="A1780">
        <v>261</v>
      </c>
      <c r="B1780">
        <v>513528</v>
      </c>
      <c r="C1780" t="s">
        <v>327</v>
      </c>
      <c r="D1780">
        <v>2017</v>
      </c>
      <c r="E1780">
        <v>59.610000610351563</v>
      </c>
      <c r="G1780" t="s">
        <v>465</v>
      </c>
      <c r="H1780">
        <v>3.75</v>
      </c>
      <c r="I1780">
        <v>1.5199999809265139</v>
      </c>
      <c r="L1780" t="s">
        <v>466</v>
      </c>
      <c r="O1780">
        <v>4.24</v>
      </c>
      <c r="P1780">
        <v>6</v>
      </c>
      <c r="Q1780">
        <v>2.65</v>
      </c>
      <c r="R1780" s="3" t="s">
        <v>470</v>
      </c>
      <c r="S1780">
        <v>4.24</v>
      </c>
      <c r="T1780" t="s">
        <v>468</v>
      </c>
    </row>
    <row r="1781" spans="1:20" x14ac:dyDescent="0.25">
      <c r="A1781">
        <v>261</v>
      </c>
      <c r="B1781">
        <v>513528</v>
      </c>
      <c r="C1781" t="s">
        <v>327</v>
      </c>
      <c r="D1781">
        <v>2018</v>
      </c>
      <c r="E1781">
        <v>59.610000610351563</v>
      </c>
      <c r="F1781">
        <v>0.47</v>
      </c>
      <c r="G1781" t="s">
        <v>465</v>
      </c>
      <c r="H1781">
        <v>4.6700000762939453</v>
      </c>
      <c r="I1781">
        <v>1.700000047683716</v>
      </c>
      <c r="L1781" t="s">
        <v>484</v>
      </c>
      <c r="M1781">
        <v>9.9361703750935018</v>
      </c>
      <c r="N1781">
        <v>3.6170213780504601</v>
      </c>
      <c r="O1781">
        <v>4.24</v>
      </c>
      <c r="P1781">
        <v>6</v>
      </c>
      <c r="Q1781">
        <v>2.65</v>
      </c>
      <c r="R1781" s="3" t="s">
        <v>470</v>
      </c>
      <c r="S1781">
        <v>4.24</v>
      </c>
      <c r="T1781" t="s">
        <v>468</v>
      </c>
    </row>
    <row r="1782" spans="1:20" x14ac:dyDescent="0.25">
      <c r="A1782">
        <v>261</v>
      </c>
      <c r="B1782">
        <v>513528</v>
      </c>
      <c r="C1782" t="s">
        <v>327</v>
      </c>
      <c r="D1782">
        <v>2019</v>
      </c>
      <c r="E1782">
        <v>59.610000610351563</v>
      </c>
      <c r="F1782">
        <v>-0.35</v>
      </c>
      <c r="G1782" t="s">
        <v>465</v>
      </c>
      <c r="H1782">
        <v>1.970000028610229</v>
      </c>
      <c r="L1782" t="s">
        <v>471</v>
      </c>
      <c r="M1782">
        <v>-5.6285715103149414</v>
      </c>
      <c r="O1782">
        <v>4.24</v>
      </c>
      <c r="P1782">
        <v>6</v>
      </c>
      <c r="Q1782">
        <v>2.65</v>
      </c>
      <c r="R1782" s="3" t="s">
        <v>470</v>
      </c>
      <c r="S1782">
        <v>4.24</v>
      </c>
      <c r="T1782" t="s">
        <v>468</v>
      </c>
    </row>
    <row r="1783" spans="1:20" x14ac:dyDescent="0.25">
      <c r="A1783">
        <v>261</v>
      </c>
      <c r="B1783">
        <v>513528</v>
      </c>
      <c r="C1783" t="s">
        <v>327</v>
      </c>
      <c r="D1783">
        <v>2020</v>
      </c>
      <c r="E1783">
        <v>59.610000610351563</v>
      </c>
      <c r="F1783">
        <v>-0.49</v>
      </c>
      <c r="G1783" t="s">
        <v>465</v>
      </c>
      <c r="H1783">
        <v>1.8500000238418579</v>
      </c>
      <c r="L1783" t="s">
        <v>471</v>
      </c>
      <c r="M1783">
        <v>-3.775510252738485</v>
      </c>
      <c r="O1783">
        <v>4.24</v>
      </c>
      <c r="P1783">
        <v>6</v>
      </c>
      <c r="Q1783">
        <v>2.65</v>
      </c>
      <c r="R1783" s="3" t="s">
        <v>470</v>
      </c>
      <c r="S1783">
        <v>4.24</v>
      </c>
      <c r="T1783" t="s">
        <v>468</v>
      </c>
    </row>
    <row r="1784" spans="1:20" x14ac:dyDescent="0.25">
      <c r="A1784">
        <v>261</v>
      </c>
      <c r="B1784">
        <v>513528</v>
      </c>
      <c r="C1784" t="s">
        <v>327</v>
      </c>
      <c r="D1784">
        <v>2021</v>
      </c>
      <c r="E1784">
        <v>59.610000610351563</v>
      </c>
      <c r="F1784">
        <v>-1.19</v>
      </c>
      <c r="G1784" t="s">
        <v>465</v>
      </c>
      <c r="H1784">
        <v>3.720000028610229</v>
      </c>
      <c r="I1784">
        <v>1.200000047683716</v>
      </c>
      <c r="L1784" t="s">
        <v>471</v>
      </c>
      <c r="M1784">
        <v>-3.1260504442102768</v>
      </c>
      <c r="N1784">
        <v>-1.008403401414887</v>
      </c>
      <c r="O1784">
        <v>4.24</v>
      </c>
      <c r="P1784">
        <v>6</v>
      </c>
      <c r="Q1784">
        <v>2.65</v>
      </c>
      <c r="R1784" s="3" t="s">
        <v>470</v>
      </c>
      <c r="S1784">
        <v>4.24</v>
      </c>
      <c r="T1784" t="s">
        <v>468</v>
      </c>
    </row>
    <row r="1785" spans="1:20" x14ac:dyDescent="0.25">
      <c r="A1785">
        <v>261</v>
      </c>
      <c r="B1785">
        <v>513528</v>
      </c>
      <c r="C1785" t="s">
        <v>327</v>
      </c>
      <c r="D1785">
        <v>2022</v>
      </c>
      <c r="E1785">
        <v>59.610000610351563</v>
      </c>
      <c r="F1785">
        <v>-0.89</v>
      </c>
      <c r="G1785" t="s">
        <v>465</v>
      </c>
      <c r="H1785">
        <v>5.4899997711181641</v>
      </c>
      <c r="I1785">
        <v>2.1700000762939449</v>
      </c>
      <c r="L1785" t="s">
        <v>471</v>
      </c>
      <c r="M1785">
        <v>-6.1685390686720947</v>
      </c>
      <c r="N1785">
        <v>-2.4382023329145448</v>
      </c>
      <c r="O1785">
        <v>4.24</v>
      </c>
      <c r="P1785">
        <v>6</v>
      </c>
      <c r="Q1785">
        <v>2.65</v>
      </c>
      <c r="R1785" s="3" t="s">
        <v>470</v>
      </c>
      <c r="S1785">
        <v>4.24</v>
      </c>
      <c r="T1785" t="s">
        <v>468</v>
      </c>
    </row>
    <row r="1786" spans="1:20" x14ac:dyDescent="0.25">
      <c r="A1786">
        <v>261</v>
      </c>
      <c r="B1786">
        <v>513528</v>
      </c>
      <c r="C1786" t="s">
        <v>327</v>
      </c>
      <c r="D1786">
        <v>2023</v>
      </c>
      <c r="E1786">
        <v>59.610000610351563</v>
      </c>
      <c r="F1786">
        <v>-0.3</v>
      </c>
      <c r="G1786" t="s">
        <v>465</v>
      </c>
      <c r="H1786">
        <v>4.6599998474121094</v>
      </c>
      <c r="I1786">
        <v>2.3900001049041748</v>
      </c>
      <c r="L1786" t="s">
        <v>471</v>
      </c>
      <c r="M1786">
        <v>-15.533332824707029</v>
      </c>
      <c r="N1786">
        <v>-7.9666670163472499</v>
      </c>
      <c r="O1786">
        <v>4.24</v>
      </c>
      <c r="P1786">
        <v>6</v>
      </c>
      <c r="Q1786">
        <v>2.65</v>
      </c>
      <c r="R1786" s="3" t="s">
        <v>470</v>
      </c>
      <c r="S1786">
        <v>4.24</v>
      </c>
      <c r="T1786" t="s">
        <v>468</v>
      </c>
    </row>
    <row r="1787" spans="1:20" x14ac:dyDescent="0.25">
      <c r="A1787">
        <v>261</v>
      </c>
      <c r="B1787">
        <v>513528</v>
      </c>
      <c r="C1787" t="s">
        <v>327</v>
      </c>
      <c r="D1787">
        <v>2024</v>
      </c>
      <c r="E1787">
        <v>59.610000610351563</v>
      </c>
      <c r="F1787">
        <v>-2.37</v>
      </c>
      <c r="G1787" t="s">
        <v>465</v>
      </c>
      <c r="H1787">
        <v>6</v>
      </c>
      <c r="I1787">
        <v>2.6500000953674321</v>
      </c>
      <c r="L1787" t="s">
        <v>471</v>
      </c>
      <c r="M1787">
        <v>-2.5316455696202529</v>
      </c>
      <c r="N1787">
        <v>-1.1181435001550351</v>
      </c>
      <c r="O1787">
        <v>4.24</v>
      </c>
      <c r="P1787">
        <v>6</v>
      </c>
      <c r="Q1787">
        <v>2.65</v>
      </c>
      <c r="R1787" s="3" t="s">
        <v>470</v>
      </c>
      <c r="S1787">
        <v>4.24</v>
      </c>
      <c r="T1787" t="s">
        <v>468</v>
      </c>
    </row>
    <row r="1788" spans="1:20" x14ac:dyDescent="0.25">
      <c r="A1788">
        <v>261</v>
      </c>
      <c r="B1788">
        <v>513528</v>
      </c>
      <c r="C1788" t="s">
        <v>327</v>
      </c>
      <c r="D1788">
        <v>2025</v>
      </c>
      <c r="E1788">
        <v>59.610000610351563</v>
      </c>
      <c r="F1788">
        <v>2.64</v>
      </c>
      <c r="G1788" t="s">
        <v>465</v>
      </c>
      <c r="H1788">
        <v>14.989999771118161</v>
      </c>
      <c r="I1788">
        <v>2.4900000095367432</v>
      </c>
      <c r="L1788" t="s">
        <v>469</v>
      </c>
      <c r="M1788">
        <v>5.6780302163326359</v>
      </c>
      <c r="N1788">
        <v>0.94318182179422083</v>
      </c>
      <c r="O1788">
        <v>4.24</v>
      </c>
      <c r="P1788">
        <v>6</v>
      </c>
      <c r="Q1788">
        <v>2.65</v>
      </c>
      <c r="R1788" s="3" t="s">
        <v>470</v>
      </c>
      <c r="S1788">
        <v>4.24</v>
      </c>
      <c r="T1788" t="s">
        <v>468</v>
      </c>
    </row>
    <row r="1789" spans="1:20" x14ac:dyDescent="0.25">
      <c r="A1789">
        <v>261</v>
      </c>
      <c r="B1789">
        <v>513528</v>
      </c>
      <c r="C1789" t="s">
        <v>327</v>
      </c>
      <c r="D1789">
        <v>2026</v>
      </c>
      <c r="E1789">
        <v>59.610000610351563</v>
      </c>
      <c r="F1789">
        <v>-0.15</v>
      </c>
      <c r="G1789" t="s">
        <v>465</v>
      </c>
      <c r="H1789">
        <v>80.199996948242188</v>
      </c>
      <c r="I1789">
        <v>11.670000076293951</v>
      </c>
      <c r="L1789" t="s">
        <v>471</v>
      </c>
      <c r="M1789">
        <v>-534.66664632161462</v>
      </c>
      <c r="N1789">
        <v>-77.80000050862634</v>
      </c>
      <c r="O1789">
        <v>4.24</v>
      </c>
      <c r="P1789">
        <v>6</v>
      </c>
      <c r="Q1789">
        <v>2.65</v>
      </c>
      <c r="R1789" s="3" t="s">
        <v>470</v>
      </c>
      <c r="S1789">
        <v>4.24</v>
      </c>
      <c r="T1789" t="s">
        <v>468</v>
      </c>
    </row>
    <row r="1790" spans="1:20" x14ac:dyDescent="0.25">
      <c r="A1790">
        <v>262</v>
      </c>
      <c r="B1790">
        <v>513540</v>
      </c>
      <c r="C1790" t="s">
        <v>329</v>
      </c>
      <c r="D1790">
        <v>2017</v>
      </c>
      <c r="E1790">
        <v>25.510000228881839</v>
      </c>
      <c r="F1790">
        <v>2.2999999999999998</v>
      </c>
      <c r="G1790" t="s">
        <v>465</v>
      </c>
      <c r="H1790">
        <v>45.400001525878913</v>
      </c>
      <c r="I1790">
        <v>24.20000076293945</v>
      </c>
      <c r="L1790" t="s">
        <v>469</v>
      </c>
      <c r="M1790">
        <v>19.73913109820823</v>
      </c>
      <c r="N1790">
        <v>10.52173946214759</v>
      </c>
      <c r="O1790">
        <v>15.91</v>
      </c>
      <c r="P1790">
        <v>23.1</v>
      </c>
      <c r="Q1790">
        <v>11.3</v>
      </c>
      <c r="R1790" s="3" t="s">
        <v>470</v>
      </c>
      <c r="S1790">
        <v>15.91</v>
      </c>
      <c r="T1790" t="s">
        <v>468</v>
      </c>
    </row>
    <row r="1791" spans="1:20" x14ac:dyDescent="0.25">
      <c r="A1791">
        <v>262</v>
      </c>
      <c r="B1791">
        <v>513540</v>
      </c>
      <c r="C1791" t="s">
        <v>329</v>
      </c>
      <c r="D1791">
        <v>2018</v>
      </c>
      <c r="E1791">
        <v>25.510000228881839</v>
      </c>
      <c r="F1791">
        <v>1.37</v>
      </c>
      <c r="G1791" t="s">
        <v>465</v>
      </c>
      <c r="H1791">
        <v>39.049999237060547</v>
      </c>
      <c r="I1791">
        <v>28</v>
      </c>
      <c r="L1791" t="s">
        <v>469</v>
      </c>
      <c r="M1791">
        <v>28.503649078146381</v>
      </c>
      <c r="N1791">
        <v>20.43795620437956</v>
      </c>
      <c r="O1791">
        <v>15.91</v>
      </c>
      <c r="P1791">
        <v>23.1</v>
      </c>
      <c r="Q1791">
        <v>11.3</v>
      </c>
      <c r="R1791" s="3" t="s">
        <v>470</v>
      </c>
      <c r="S1791">
        <v>15.91</v>
      </c>
      <c r="T1791" t="s">
        <v>468</v>
      </c>
    </row>
    <row r="1792" spans="1:20" x14ac:dyDescent="0.25">
      <c r="A1792">
        <v>262</v>
      </c>
      <c r="B1792">
        <v>513540</v>
      </c>
      <c r="C1792" t="s">
        <v>329</v>
      </c>
      <c r="D1792">
        <v>2019</v>
      </c>
      <c r="E1792">
        <v>25.510000228881839</v>
      </c>
      <c r="F1792">
        <v>0.18</v>
      </c>
      <c r="G1792" t="s">
        <v>465</v>
      </c>
      <c r="H1792">
        <v>31</v>
      </c>
      <c r="I1792">
        <v>26.60000038146973</v>
      </c>
      <c r="L1792" t="s">
        <v>484</v>
      </c>
      <c r="M1792">
        <v>172.2222222222222</v>
      </c>
      <c r="N1792">
        <v>147.7777798970541</v>
      </c>
      <c r="O1792">
        <v>15.91</v>
      </c>
      <c r="P1792">
        <v>23.1</v>
      </c>
      <c r="Q1792">
        <v>11.3</v>
      </c>
      <c r="R1792" s="3" t="s">
        <v>470</v>
      </c>
      <c r="S1792">
        <v>15.91</v>
      </c>
      <c r="T1792" t="s">
        <v>468</v>
      </c>
    </row>
    <row r="1793" spans="1:20" x14ac:dyDescent="0.25">
      <c r="A1793">
        <v>262</v>
      </c>
      <c r="B1793">
        <v>513540</v>
      </c>
      <c r="C1793" t="s">
        <v>329</v>
      </c>
      <c r="D1793">
        <v>2020</v>
      </c>
      <c r="E1793">
        <v>25.510000228881839</v>
      </c>
      <c r="F1793">
        <v>-4.8</v>
      </c>
      <c r="G1793" t="s">
        <v>465</v>
      </c>
      <c r="H1793">
        <v>26.60000038146973</v>
      </c>
      <c r="I1793">
        <v>24.04999923706055</v>
      </c>
      <c r="L1793" t="s">
        <v>471</v>
      </c>
      <c r="M1793">
        <v>-5.5416667461395273</v>
      </c>
      <c r="N1793">
        <v>-5.0104165077209482</v>
      </c>
      <c r="O1793">
        <v>15.91</v>
      </c>
      <c r="P1793">
        <v>23.1</v>
      </c>
      <c r="Q1793">
        <v>11.3</v>
      </c>
      <c r="R1793" s="3" t="s">
        <v>470</v>
      </c>
      <c r="S1793">
        <v>15.91</v>
      </c>
      <c r="T1793" t="s">
        <v>468</v>
      </c>
    </row>
    <row r="1794" spans="1:20" x14ac:dyDescent="0.25">
      <c r="A1794">
        <v>262</v>
      </c>
      <c r="B1794">
        <v>513540</v>
      </c>
      <c r="C1794" t="s">
        <v>329</v>
      </c>
      <c r="D1794">
        <v>2021</v>
      </c>
      <c r="E1794">
        <v>25.510000228881839</v>
      </c>
      <c r="F1794">
        <v>-1.33</v>
      </c>
      <c r="G1794" t="s">
        <v>465</v>
      </c>
      <c r="H1794">
        <v>24.04999923706055</v>
      </c>
      <c r="I1794">
        <v>8.6099996566772461</v>
      </c>
      <c r="L1794" t="s">
        <v>471</v>
      </c>
      <c r="M1794">
        <v>-18.082706193278611</v>
      </c>
      <c r="N1794">
        <v>-6.4736839523889067</v>
      </c>
      <c r="O1794">
        <v>15.91</v>
      </c>
      <c r="P1794">
        <v>23.1</v>
      </c>
      <c r="Q1794">
        <v>11.3</v>
      </c>
      <c r="R1794" s="3" t="s">
        <v>470</v>
      </c>
      <c r="S1794">
        <v>15.91</v>
      </c>
      <c r="T1794" t="s">
        <v>468</v>
      </c>
    </row>
    <row r="1795" spans="1:20" x14ac:dyDescent="0.25">
      <c r="A1795">
        <v>262</v>
      </c>
      <c r="B1795">
        <v>513540</v>
      </c>
      <c r="C1795" t="s">
        <v>329</v>
      </c>
      <c r="D1795">
        <v>2022</v>
      </c>
      <c r="E1795">
        <v>25.510000228881839</v>
      </c>
      <c r="F1795">
        <v>1.01</v>
      </c>
      <c r="G1795" t="s">
        <v>465</v>
      </c>
      <c r="H1795">
        <v>13.569999694824221</v>
      </c>
      <c r="I1795">
        <v>7.25</v>
      </c>
      <c r="L1795" t="s">
        <v>469</v>
      </c>
      <c r="M1795">
        <v>13.4356432622022</v>
      </c>
      <c r="N1795">
        <v>7.1782178217821784</v>
      </c>
      <c r="O1795">
        <v>15.91</v>
      </c>
      <c r="P1795">
        <v>23.1</v>
      </c>
      <c r="Q1795">
        <v>11.3</v>
      </c>
      <c r="R1795" s="3" t="s">
        <v>470</v>
      </c>
      <c r="S1795">
        <v>15.91</v>
      </c>
      <c r="T1795" t="s">
        <v>468</v>
      </c>
    </row>
    <row r="1796" spans="1:20" x14ac:dyDescent="0.25">
      <c r="A1796">
        <v>262</v>
      </c>
      <c r="B1796">
        <v>513540</v>
      </c>
      <c r="C1796" t="s">
        <v>329</v>
      </c>
      <c r="D1796">
        <v>2023</v>
      </c>
      <c r="E1796">
        <v>25.510000228881839</v>
      </c>
      <c r="F1796">
        <v>1.1100000000000001</v>
      </c>
      <c r="G1796" t="s">
        <v>465</v>
      </c>
      <c r="H1796">
        <v>25.409999847412109</v>
      </c>
      <c r="I1796">
        <v>9.0500001907348633</v>
      </c>
      <c r="L1796" t="s">
        <v>469</v>
      </c>
      <c r="M1796">
        <v>22.89189175442532</v>
      </c>
      <c r="N1796">
        <v>8.1531533249863628</v>
      </c>
      <c r="O1796">
        <v>15.91</v>
      </c>
      <c r="P1796">
        <v>23.1</v>
      </c>
      <c r="Q1796">
        <v>11.3</v>
      </c>
      <c r="R1796" s="3" t="s">
        <v>470</v>
      </c>
      <c r="S1796">
        <v>15.91</v>
      </c>
      <c r="T1796" t="s">
        <v>468</v>
      </c>
    </row>
    <row r="1797" spans="1:20" x14ac:dyDescent="0.25">
      <c r="A1797">
        <v>262</v>
      </c>
      <c r="B1797">
        <v>513540</v>
      </c>
      <c r="C1797" t="s">
        <v>329</v>
      </c>
      <c r="D1797">
        <v>2024</v>
      </c>
      <c r="E1797">
        <v>25.510000228881839</v>
      </c>
      <c r="F1797">
        <v>0.55000000000000004</v>
      </c>
      <c r="G1797" t="s">
        <v>465</v>
      </c>
      <c r="H1797">
        <v>23.10000038146973</v>
      </c>
      <c r="I1797">
        <v>11.30000019073486</v>
      </c>
      <c r="L1797" t="s">
        <v>469</v>
      </c>
      <c r="M1797">
        <v>42.000000693581327</v>
      </c>
      <c r="N1797">
        <v>20.5454548922452</v>
      </c>
      <c r="O1797">
        <v>15.91</v>
      </c>
      <c r="P1797">
        <v>23.1</v>
      </c>
      <c r="Q1797">
        <v>11.3</v>
      </c>
      <c r="R1797" s="3" t="s">
        <v>470</v>
      </c>
      <c r="S1797">
        <v>15.91</v>
      </c>
      <c r="T1797" t="s">
        <v>468</v>
      </c>
    </row>
    <row r="1798" spans="1:20" x14ac:dyDescent="0.25">
      <c r="A1798">
        <v>262</v>
      </c>
      <c r="B1798">
        <v>513540</v>
      </c>
      <c r="C1798" t="s">
        <v>329</v>
      </c>
      <c r="D1798">
        <v>2025</v>
      </c>
      <c r="E1798">
        <v>25.510000228881839</v>
      </c>
      <c r="F1798">
        <v>0.2</v>
      </c>
      <c r="G1798" t="s">
        <v>465</v>
      </c>
      <c r="H1798">
        <v>45.709999084472663</v>
      </c>
      <c r="I1798">
        <v>12.310000419616699</v>
      </c>
      <c r="L1798" t="s">
        <v>484</v>
      </c>
      <c r="M1798">
        <v>228.54999542236331</v>
      </c>
      <c r="N1798">
        <v>61.550002098083503</v>
      </c>
      <c r="O1798">
        <v>15.91</v>
      </c>
      <c r="P1798">
        <v>23.1</v>
      </c>
      <c r="Q1798">
        <v>11.3</v>
      </c>
      <c r="R1798" s="3" t="s">
        <v>470</v>
      </c>
      <c r="S1798">
        <v>15.91</v>
      </c>
      <c r="T1798" t="s">
        <v>468</v>
      </c>
    </row>
    <row r="1799" spans="1:20" x14ac:dyDescent="0.25">
      <c r="A1799">
        <v>262</v>
      </c>
      <c r="B1799">
        <v>513540</v>
      </c>
      <c r="C1799" t="s">
        <v>329</v>
      </c>
      <c r="D1799">
        <v>2026</v>
      </c>
      <c r="E1799">
        <v>25.510000228881839</v>
      </c>
      <c r="F1799">
        <v>0.12</v>
      </c>
      <c r="G1799" t="s">
        <v>465</v>
      </c>
      <c r="H1799">
        <v>41.360000610351563</v>
      </c>
      <c r="I1799">
        <v>17.809999465942379</v>
      </c>
      <c r="L1799" t="s">
        <v>484</v>
      </c>
      <c r="M1799">
        <v>344.66667175292969</v>
      </c>
      <c r="N1799">
        <v>148.4166622161865</v>
      </c>
      <c r="O1799">
        <v>15.91</v>
      </c>
      <c r="P1799">
        <v>23.1</v>
      </c>
      <c r="Q1799">
        <v>11.3</v>
      </c>
      <c r="R1799" s="3" t="s">
        <v>470</v>
      </c>
      <c r="S1799">
        <v>15.91</v>
      </c>
      <c r="T1799" t="s">
        <v>468</v>
      </c>
    </row>
    <row r="1800" spans="1:20" x14ac:dyDescent="0.25">
      <c r="A1800">
        <v>263</v>
      </c>
      <c r="B1800">
        <v>513548</v>
      </c>
      <c r="C1800" t="s">
        <v>331</v>
      </c>
      <c r="D1800">
        <v>2015</v>
      </c>
      <c r="E1800">
        <v>180.8999938964844</v>
      </c>
      <c r="F1800">
        <v>1.56</v>
      </c>
      <c r="G1800" t="s">
        <v>465</v>
      </c>
      <c r="H1800">
        <v>21.10000038146973</v>
      </c>
      <c r="I1800">
        <v>12</v>
      </c>
      <c r="L1800" t="s">
        <v>469</v>
      </c>
      <c r="M1800">
        <v>13.525641270172899</v>
      </c>
      <c r="N1800">
        <v>7.6923076923076916</v>
      </c>
      <c r="O1800">
        <v>463.65</v>
      </c>
      <c r="P1800">
        <v>752.2</v>
      </c>
      <c r="Q1800">
        <v>242.3</v>
      </c>
      <c r="R1800" s="3" t="s">
        <v>470</v>
      </c>
      <c r="S1800">
        <v>463.65</v>
      </c>
      <c r="T1800" t="s">
        <v>468</v>
      </c>
    </row>
    <row r="1801" spans="1:20" x14ac:dyDescent="0.25">
      <c r="A1801">
        <v>263</v>
      </c>
      <c r="B1801">
        <v>513548</v>
      </c>
      <c r="C1801" t="s">
        <v>331</v>
      </c>
      <c r="D1801">
        <v>2016</v>
      </c>
      <c r="E1801">
        <v>180.8999938964844</v>
      </c>
      <c r="F1801">
        <v>2.5</v>
      </c>
      <c r="G1801" t="s">
        <v>465</v>
      </c>
      <c r="H1801">
        <v>12.60000038146973</v>
      </c>
      <c r="I1801">
        <v>11.159999847412109</v>
      </c>
      <c r="L1801" t="s">
        <v>469</v>
      </c>
      <c r="M1801">
        <v>5.0400001525878917</v>
      </c>
      <c r="N1801">
        <v>4.4639999389648439</v>
      </c>
      <c r="O1801">
        <v>463.65</v>
      </c>
      <c r="P1801">
        <v>752.2</v>
      </c>
      <c r="Q1801">
        <v>242.3</v>
      </c>
      <c r="R1801" s="3" t="s">
        <v>470</v>
      </c>
      <c r="S1801">
        <v>463.65</v>
      </c>
      <c r="T1801" t="s">
        <v>468</v>
      </c>
    </row>
    <row r="1802" spans="1:20" x14ac:dyDescent="0.25">
      <c r="A1802">
        <v>263</v>
      </c>
      <c r="B1802">
        <v>513548</v>
      </c>
      <c r="C1802" t="s">
        <v>331</v>
      </c>
      <c r="D1802">
        <v>2017</v>
      </c>
      <c r="E1802">
        <v>180.8999938964844</v>
      </c>
      <c r="F1802">
        <v>4.08</v>
      </c>
      <c r="G1802" t="s">
        <v>465</v>
      </c>
      <c r="H1802">
        <v>63.599998474121087</v>
      </c>
      <c r="I1802">
        <v>11.159999847412109</v>
      </c>
      <c r="L1802" t="s">
        <v>469</v>
      </c>
      <c r="M1802">
        <v>15.58823492012772</v>
      </c>
      <c r="N1802">
        <v>2.7352940802480661</v>
      </c>
      <c r="O1802">
        <v>463.65</v>
      </c>
      <c r="P1802">
        <v>752.2</v>
      </c>
      <c r="Q1802">
        <v>242.3</v>
      </c>
      <c r="R1802" s="3" t="s">
        <v>470</v>
      </c>
      <c r="S1802">
        <v>463.65</v>
      </c>
      <c r="T1802" t="s">
        <v>468</v>
      </c>
    </row>
    <row r="1803" spans="1:20" x14ac:dyDescent="0.25">
      <c r="A1803">
        <v>263</v>
      </c>
      <c r="B1803">
        <v>513548</v>
      </c>
      <c r="C1803" t="s">
        <v>331</v>
      </c>
      <c r="D1803">
        <v>2018</v>
      </c>
      <c r="E1803">
        <v>180.8999938964844</v>
      </c>
      <c r="F1803">
        <v>8.1</v>
      </c>
      <c r="G1803" t="s">
        <v>465</v>
      </c>
      <c r="H1803">
        <v>98.5</v>
      </c>
      <c r="I1803">
        <v>52.349998474121087</v>
      </c>
      <c r="L1803" t="s">
        <v>469</v>
      </c>
      <c r="M1803">
        <v>12.16049382716049</v>
      </c>
      <c r="N1803">
        <v>6.4629627745828504</v>
      </c>
      <c r="O1803">
        <v>463.65</v>
      </c>
      <c r="P1803">
        <v>752.2</v>
      </c>
      <c r="Q1803">
        <v>242.3</v>
      </c>
      <c r="R1803" s="3" t="s">
        <v>470</v>
      </c>
      <c r="S1803">
        <v>463.65</v>
      </c>
      <c r="T1803" t="s">
        <v>468</v>
      </c>
    </row>
    <row r="1804" spans="1:20" x14ac:dyDescent="0.25">
      <c r="A1804">
        <v>263</v>
      </c>
      <c r="B1804">
        <v>513548</v>
      </c>
      <c r="C1804" t="s">
        <v>331</v>
      </c>
      <c r="D1804">
        <v>2019</v>
      </c>
      <c r="E1804">
        <v>180.8999938964844</v>
      </c>
      <c r="F1804">
        <v>13.34</v>
      </c>
      <c r="G1804" t="s">
        <v>465</v>
      </c>
      <c r="H1804">
        <v>72</v>
      </c>
      <c r="I1804">
        <v>44.25</v>
      </c>
      <c r="L1804" t="s">
        <v>469</v>
      </c>
      <c r="M1804">
        <v>5.3973013493253372</v>
      </c>
      <c r="N1804">
        <v>3.3170914542728638</v>
      </c>
      <c r="O1804">
        <v>463.65</v>
      </c>
      <c r="P1804">
        <v>752.2</v>
      </c>
      <c r="Q1804">
        <v>242.3</v>
      </c>
      <c r="R1804" s="3" t="s">
        <v>470</v>
      </c>
      <c r="S1804">
        <v>463.65</v>
      </c>
      <c r="T1804" t="s">
        <v>468</v>
      </c>
    </row>
    <row r="1805" spans="1:20" x14ac:dyDescent="0.25">
      <c r="A1805">
        <v>263</v>
      </c>
      <c r="B1805">
        <v>513548</v>
      </c>
      <c r="C1805" t="s">
        <v>331</v>
      </c>
      <c r="D1805">
        <v>2020</v>
      </c>
      <c r="E1805">
        <v>180.8999938964844</v>
      </c>
      <c r="F1805">
        <v>7.07</v>
      </c>
      <c r="G1805" t="s">
        <v>465</v>
      </c>
      <c r="H1805">
        <v>46.099998474121087</v>
      </c>
      <c r="I1805">
        <v>23.75</v>
      </c>
      <c r="L1805" t="s">
        <v>469</v>
      </c>
      <c r="M1805">
        <v>6.5205089779520629</v>
      </c>
      <c r="N1805">
        <v>3.359264497878359</v>
      </c>
      <c r="O1805">
        <v>463.65</v>
      </c>
      <c r="P1805">
        <v>752.2</v>
      </c>
      <c r="Q1805">
        <v>242.3</v>
      </c>
      <c r="R1805" s="3" t="s">
        <v>470</v>
      </c>
      <c r="S1805">
        <v>463.65</v>
      </c>
      <c r="T1805" t="s">
        <v>468</v>
      </c>
    </row>
    <row r="1806" spans="1:20" x14ac:dyDescent="0.25">
      <c r="A1806">
        <v>263</v>
      </c>
      <c r="B1806">
        <v>513548</v>
      </c>
      <c r="C1806" t="s">
        <v>331</v>
      </c>
      <c r="D1806">
        <v>2021</v>
      </c>
      <c r="E1806">
        <v>180.8999938964844</v>
      </c>
      <c r="F1806">
        <v>6.8</v>
      </c>
      <c r="G1806" t="s">
        <v>465</v>
      </c>
      <c r="H1806">
        <v>92.650001525878906</v>
      </c>
      <c r="I1806">
        <v>45.5</v>
      </c>
      <c r="L1806" t="s">
        <v>469</v>
      </c>
      <c r="M1806">
        <v>13.625000224393959</v>
      </c>
      <c r="N1806">
        <v>6.6911764705882364</v>
      </c>
      <c r="O1806">
        <v>463.65</v>
      </c>
      <c r="P1806">
        <v>752.2</v>
      </c>
      <c r="Q1806">
        <v>242.3</v>
      </c>
      <c r="R1806" s="3" t="s">
        <v>470</v>
      </c>
      <c r="S1806">
        <v>463.65</v>
      </c>
      <c r="T1806" t="s">
        <v>468</v>
      </c>
    </row>
    <row r="1807" spans="1:20" x14ac:dyDescent="0.25">
      <c r="A1807">
        <v>263</v>
      </c>
      <c r="B1807">
        <v>513548</v>
      </c>
      <c r="C1807" t="s">
        <v>331</v>
      </c>
      <c r="D1807">
        <v>2022</v>
      </c>
      <c r="E1807">
        <v>180.8999938964844</v>
      </c>
      <c r="F1807">
        <v>5.95</v>
      </c>
      <c r="G1807" t="s">
        <v>465</v>
      </c>
      <c r="H1807">
        <v>78</v>
      </c>
      <c r="I1807">
        <v>59.950000762939453</v>
      </c>
      <c r="L1807" t="s">
        <v>469</v>
      </c>
      <c r="M1807">
        <v>13.109243697478989</v>
      </c>
      <c r="N1807">
        <v>10.075630380325959</v>
      </c>
      <c r="O1807">
        <v>463.65</v>
      </c>
      <c r="P1807">
        <v>752.2</v>
      </c>
      <c r="Q1807">
        <v>242.3</v>
      </c>
      <c r="R1807" s="3" t="s">
        <v>470</v>
      </c>
      <c r="S1807">
        <v>463.65</v>
      </c>
      <c r="T1807" t="s">
        <v>468</v>
      </c>
    </row>
    <row r="1808" spans="1:20" x14ac:dyDescent="0.25">
      <c r="A1808">
        <v>263</v>
      </c>
      <c r="B1808">
        <v>513548</v>
      </c>
      <c r="C1808" t="s">
        <v>331</v>
      </c>
      <c r="D1808">
        <v>2023</v>
      </c>
      <c r="E1808">
        <v>180.8999938964844</v>
      </c>
      <c r="F1808">
        <v>7.86</v>
      </c>
      <c r="G1808" t="s">
        <v>465</v>
      </c>
      <c r="H1808">
        <v>296.89999389648438</v>
      </c>
      <c r="I1808">
        <v>55.950000762939453</v>
      </c>
      <c r="L1808" t="s">
        <v>469</v>
      </c>
      <c r="M1808">
        <v>37.773536119145597</v>
      </c>
      <c r="N1808">
        <v>7.118320707753111</v>
      </c>
      <c r="O1808">
        <v>463.65</v>
      </c>
      <c r="P1808">
        <v>752.2</v>
      </c>
      <c r="Q1808">
        <v>242.3</v>
      </c>
      <c r="R1808" s="3" t="s">
        <v>470</v>
      </c>
      <c r="S1808">
        <v>463.65</v>
      </c>
      <c r="T1808" t="s">
        <v>468</v>
      </c>
    </row>
    <row r="1809" spans="1:20" x14ac:dyDescent="0.25">
      <c r="A1809">
        <v>263</v>
      </c>
      <c r="B1809">
        <v>513548</v>
      </c>
      <c r="C1809" t="s">
        <v>331</v>
      </c>
      <c r="D1809">
        <v>2024</v>
      </c>
      <c r="E1809">
        <v>180.8999938964844</v>
      </c>
      <c r="F1809">
        <v>27.52</v>
      </c>
      <c r="G1809" t="s">
        <v>465</v>
      </c>
      <c r="H1809">
        <v>752.20001220703125</v>
      </c>
      <c r="I1809">
        <v>242.30000305175781</v>
      </c>
      <c r="L1809" t="s">
        <v>469</v>
      </c>
      <c r="M1809">
        <v>27.332849280778749</v>
      </c>
      <c r="N1809">
        <v>8.8045059248458504</v>
      </c>
      <c r="O1809">
        <v>463.65</v>
      </c>
      <c r="P1809">
        <v>752.2</v>
      </c>
      <c r="Q1809">
        <v>242.3</v>
      </c>
      <c r="R1809" s="3" t="s">
        <v>470</v>
      </c>
      <c r="S1809">
        <v>463.65</v>
      </c>
      <c r="T1809" t="s">
        <v>468</v>
      </c>
    </row>
    <row r="1810" spans="1:20" x14ac:dyDescent="0.25">
      <c r="A1810">
        <v>263</v>
      </c>
      <c r="B1810">
        <v>513548</v>
      </c>
      <c r="C1810" t="s">
        <v>331</v>
      </c>
      <c r="D1810">
        <v>2025</v>
      </c>
      <c r="E1810">
        <v>180.8999938964844</v>
      </c>
      <c r="F1810">
        <v>14.95</v>
      </c>
      <c r="G1810" t="s">
        <v>465</v>
      </c>
      <c r="H1810">
        <v>382.89999389648438</v>
      </c>
      <c r="I1810">
        <v>165.75</v>
      </c>
      <c r="L1810" t="s">
        <v>469</v>
      </c>
      <c r="M1810">
        <v>25.612039725517349</v>
      </c>
      <c r="N1810">
        <v>11.086956521739131</v>
      </c>
      <c r="O1810">
        <v>463.65</v>
      </c>
      <c r="P1810">
        <v>752.2</v>
      </c>
      <c r="Q1810">
        <v>242.3</v>
      </c>
      <c r="R1810" s="3" t="s">
        <v>470</v>
      </c>
      <c r="S1810">
        <v>463.65</v>
      </c>
      <c r="T1810" t="s">
        <v>468</v>
      </c>
    </row>
    <row r="1811" spans="1:20" x14ac:dyDescent="0.25">
      <c r="A1811">
        <v>263</v>
      </c>
      <c r="B1811">
        <v>513548</v>
      </c>
      <c r="C1811" t="s">
        <v>331</v>
      </c>
      <c r="D1811">
        <v>2026</v>
      </c>
      <c r="E1811">
        <v>180.8999938964844</v>
      </c>
      <c r="F1811">
        <v>12.21</v>
      </c>
      <c r="G1811" t="s">
        <v>465</v>
      </c>
      <c r="H1811">
        <v>210</v>
      </c>
      <c r="I1811">
        <v>125</v>
      </c>
      <c r="L1811" t="s">
        <v>469</v>
      </c>
      <c r="M1811">
        <v>17.199017199017199</v>
      </c>
      <c r="N1811">
        <v>10.237510237510239</v>
      </c>
      <c r="O1811">
        <v>463.65</v>
      </c>
      <c r="P1811">
        <v>752.2</v>
      </c>
      <c r="Q1811">
        <v>242.3</v>
      </c>
      <c r="R1811" s="3" t="s">
        <v>470</v>
      </c>
      <c r="S1811">
        <v>463.65</v>
      </c>
      <c r="T1811" t="s">
        <v>468</v>
      </c>
    </row>
    <row r="1812" spans="1:20" x14ac:dyDescent="0.25">
      <c r="A1812">
        <v>264</v>
      </c>
      <c r="B1812">
        <v>513599</v>
      </c>
      <c r="C1812" t="s">
        <v>333</v>
      </c>
      <c r="D1812">
        <v>2015</v>
      </c>
      <c r="E1812">
        <v>482.64999389648438</v>
      </c>
      <c r="G1812" t="s">
        <v>465</v>
      </c>
      <c r="H1812">
        <v>81.5</v>
      </c>
      <c r="I1812">
        <v>45</v>
      </c>
      <c r="L1812" t="s">
        <v>466</v>
      </c>
      <c r="O1812">
        <v>484.05</v>
      </c>
      <c r="P1812">
        <v>759.2</v>
      </c>
      <c r="Q1812">
        <v>226.25</v>
      </c>
      <c r="R1812" s="2" t="s">
        <v>467</v>
      </c>
      <c r="S1812">
        <v>484.05</v>
      </c>
      <c r="T1812" t="s">
        <v>468</v>
      </c>
    </row>
    <row r="1813" spans="1:20" x14ac:dyDescent="0.25">
      <c r="A1813">
        <v>264</v>
      </c>
      <c r="B1813">
        <v>513599</v>
      </c>
      <c r="C1813" t="s">
        <v>333</v>
      </c>
      <c r="D1813">
        <v>2016</v>
      </c>
      <c r="E1813">
        <v>482.64999389648438</v>
      </c>
      <c r="G1813" t="s">
        <v>465</v>
      </c>
      <c r="H1813">
        <v>73.599998474121094</v>
      </c>
      <c r="I1813">
        <v>42.299999237060547</v>
      </c>
      <c r="L1813" t="s">
        <v>466</v>
      </c>
      <c r="O1813">
        <v>484.05</v>
      </c>
      <c r="P1813">
        <v>759.2</v>
      </c>
      <c r="Q1813">
        <v>226.25</v>
      </c>
      <c r="R1813" s="2" t="s">
        <v>467</v>
      </c>
      <c r="S1813">
        <v>484.05</v>
      </c>
      <c r="T1813" t="s">
        <v>468</v>
      </c>
    </row>
    <row r="1814" spans="1:20" x14ac:dyDescent="0.25">
      <c r="A1814">
        <v>264</v>
      </c>
      <c r="B1814">
        <v>513599</v>
      </c>
      <c r="C1814" t="s">
        <v>333</v>
      </c>
      <c r="D1814">
        <v>2017</v>
      </c>
      <c r="E1814">
        <v>482.64999389648438</v>
      </c>
      <c r="G1814" t="s">
        <v>465</v>
      </c>
      <c r="H1814">
        <v>110.5500030517578</v>
      </c>
      <c r="I1814">
        <v>55.450000762939453</v>
      </c>
      <c r="L1814" t="s">
        <v>466</v>
      </c>
      <c r="O1814">
        <v>484.05</v>
      </c>
      <c r="P1814">
        <v>759.2</v>
      </c>
      <c r="Q1814">
        <v>226.25</v>
      </c>
      <c r="R1814" s="2" t="s">
        <v>467</v>
      </c>
      <c r="S1814">
        <v>484.05</v>
      </c>
      <c r="T1814" t="s">
        <v>468</v>
      </c>
    </row>
    <row r="1815" spans="1:20" x14ac:dyDescent="0.25">
      <c r="A1815">
        <v>264</v>
      </c>
      <c r="B1815">
        <v>513599</v>
      </c>
      <c r="C1815" t="s">
        <v>333</v>
      </c>
      <c r="D1815">
        <v>2018</v>
      </c>
      <c r="E1815">
        <v>482.64999389648438</v>
      </c>
      <c r="G1815" t="s">
        <v>465</v>
      </c>
      <c r="H1815">
        <v>102.6999969482422</v>
      </c>
      <c r="I1815">
        <v>44.900001525878913</v>
      </c>
      <c r="L1815" t="s">
        <v>466</v>
      </c>
      <c r="O1815">
        <v>484.05</v>
      </c>
      <c r="P1815">
        <v>759.2</v>
      </c>
      <c r="Q1815">
        <v>226.25</v>
      </c>
      <c r="R1815" s="2" t="s">
        <v>467</v>
      </c>
      <c r="S1815">
        <v>484.05</v>
      </c>
      <c r="T1815" t="s">
        <v>468</v>
      </c>
    </row>
    <row r="1816" spans="1:20" x14ac:dyDescent="0.25">
      <c r="A1816">
        <v>264</v>
      </c>
      <c r="B1816">
        <v>513599</v>
      </c>
      <c r="C1816" t="s">
        <v>333</v>
      </c>
      <c r="D1816">
        <v>2019</v>
      </c>
      <c r="E1816">
        <v>482.64999389648438</v>
      </c>
      <c r="F1816">
        <v>1.57</v>
      </c>
      <c r="G1816" t="s">
        <v>465</v>
      </c>
      <c r="H1816">
        <v>52.700000762939453</v>
      </c>
      <c r="I1816">
        <v>27.89999961853027</v>
      </c>
      <c r="L1816" t="s">
        <v>469</v>
      </c>
      <c r="M1816">
        <v>33.566879466840412</v>
      </c>
      <c r="N1816">
        <v>17.770700393968319</v>
      </c>
      <c r="O1816">
        <v>484.05</v>
      </c>
      <c r="P1816">
        <v>759.2</v>
      </c>
      <c r="Q1816">
        <v>226.25</v>
      </c>
      <c r="R1816" s="2" t="s">
        <v>467</v>
      </c>
      <c r="S1816">
        <v>484.05</v>
      </c>
      <c r="T1816" t="s">
        <v>468</v>
      </c>
    </row>
    <row r="1817" spans="1:20" x14ac:dyDescent="0.25">
      <c r="A1817">
        <v>264</v>
      </c>
      <c r="B1817">
        <v>513599</v>
      </c>
      <c r="C1817" t="s">
        <v>333</v>
      </c>
      <c r="D1817">
        <v>2020</v>
      </c>
      <c r="E1817">
        <v>482.64999389648438</v>
      </c>
      <c r="F1817">
        <v>-6.16</v>
      </c>
      <c r="G1817" t="s">
        <v>465</v>
      </c>
      <c r="H1817">
        <v>67.300003051757813</v>
      </c>
      <c r="I1817">
        <v>18.29999923706055</v>
      </c>
      <c r="L1817" t="s">
        <v>471</v>
      </c>
      <c r="M1817">
        <v>-10.9253251707399</v>
      </c>
      <c r="N1817">
        <v>-2.9707790969254142</v>
      </c>
      <c r="O1817">
        <v>484.05</v>
      </c>
      <c r="P1817">
        <v>759.2</v>
      </c>
      <c r="Q1817">
        <v>226.25</v>
      </c>
      <c r="R1817" s="2" t="s">
        <v>467</v>
      </c>
      <c r="S1817">
        <v>484.05</v>
      </c>
      <c r="T1817" t="s">
        <v>468</v>
      </c>
    </row>
    <row r="1818" spans="1:20" x14ac:dyDescent="0.25">
      <c r="A1818">
        <v>264</v>
      </c>
      <c r="B1818">
        <v>513599</v>
      </c>
      <c r="C1818" t="s">
        <v>333</v>
      </c>
      <c r="D1818">
        <v>2021</v>
      </c>
      <c r="E1818">
        <v>482.64999389648438</v>
      </c>
      <c r="F1818">
        <v>1.19</v>
      </c>
      <c r="G1818" t="s">
        <v>465</v>
      </c>
      <c r="H1818">
        <v>196.8999938964844</v>
      </c>
      <c r="I1818">
        <v>53.599998474121087</v>
      </c>
      <c r="L1818" t="s">
        <v>469</v>
      </c>
      <c r="M1818">
        <v>165.4621797449449</v>
      </c>
      <c r="N1818">
        <v>45.042015524471502</v>
      </c>
      <c r="O1818">
        <v>484.05</v>
      </c>
      <c r="P1818">
        <v>759.2</v>
      </c>
      <c r="Q1818">
        <v>226.25</v>
      </c>
      <c r="R1818" s="2" t="s">
        <v>467</v>
      </c>
      <c r="S1818">
        <v>484.05</v>
      </c>
      <c r="T1818" t="s">
        <v>468</v>
      </c>
    </row>
    <row r="1819" spans="1:20" x14ac:dyDescent="0.25">
      <c r="A1819">
        <v>264</v>
      </c>
      <c r="B1819">
        <v>513599</v>
      </c>
      <c r="C1819" t="s">
        <v>333</v>
      </c>
      <c r="D1819">
        <v>2022</v>
      </c>
      <c r="E1819">
        <v>482.64999389648438</v>
      </c>
      <c r="F1819">
        <v>3.87</v>
      </c>
      <c r="G1819" t="s">
        <v>465</v>
      </c>
      <c r="H1819">
        <v>146.3500061035156</v>
      </c>
      <c r="I1819">
        <v>82.650001525878906</v>
      </c>
      <c r="L1819" t="s">
        <v>469</v>
      </c>
      <c r="M1819">
        <v>37.81653904483607</v>
      </c>
      <c r="N1819">
        <v>21.356589541570781</v>
      </c>
      <c r="O1819">
        <v>484.05</v>
      </c>
      <c r="P1819">
        <v>759.2</v>
      </c>
      <c r="Q1819">
        <v>226.25</v>
      </c>
      <c r="R1819" s="2" t="s">
        <v>467</v>
      </c>
      <c r="S1819">
        <v>484.05</v>
      </c>
      <c r="T1819" t="s">
        <v>468</v>
      </c>
    </row>
    <row r="1820" spans="1:20" x14ac:dyDescent="0.25">
      <c r="A1820">
        <v>264</v>
      </c>
      <c r="B1820">
        <v>513599</v>
      </c>
      <c r="C1820" t="s">
        <v>333</v>
      </c>
      <c r="D1820">
        <v>2023</v>
      </c>
      <c r="E1820">
        <v>482.64999389648438</v>
      </c>
      <c r="F1820">
        <v>3.06</v>
      </c>
      <c r="G1820" t="s">
        <v>465</v>
      </c>
      <c r="H1820">
        <v>277.89999389648438</v>
      </c>
      <c r="I1820">
        <v>94</v>
      </c>
      <c r="L1820" t="s">
        <v>469</v>
      </c>
      <c r="M1820">
        <v>90.81699146943933</v>
      </c>
      <c r="N1820">
        <v>30.718954248366011</v>
      </c>
      <c r="O1820">
        <v>484.05</v>
      </c>
      <c r="P1820">
        <v>759.2</v>
      </c>
      <c r="Q1820">
        <v>226.25</v>
      </c>
      <c r="R1820" s="2" t="s">
        <v>467</v>
      </c>
      <c r="S1820">
        <v>484.05</v>
      </c>
      <c r="T1820" t="s">
        <v>468</v>
      </c>
    </row>
    <row r="1821" spans="1:20" x14ac:dyDescent="0.25">
      <c r="A1821">
        <v>264</v>
      </c>
      <c r="B1821">
        <v>513599</v>
      </c>
      <c r="C1821" t="s">
        <v>333</v>
      </c>
      <c r="D1821">
        <v>2024</v>
      </c>
      <c r="E1821">
        <v>482.64999389648438</v>
      </c>
      <c r="F1821">
        <v>3.05</v>
      </c>
      <c r="G1821" t="s">
        <v>465</v>
      </c>
      <c r="H1821">
        <v>415.60000610351563</v>
      </c>
      <c r="I1821">
        <v>231.1000061035156</v>
      </c>
      <c r="L1821" t="s">
        <v>469</v>
      </c>
      <c r="M1821">
        <v>136.2622970831199</v>
      </c>
      <c r="N1821">
        <v>75.770493804431354</v>
      </c>
      <c r="O1821">
        <v>484.05</v>
      </c>
      <c r="P1821">
        <v>759.2</v>
      </c>
      <c r="Q1821">
        <v>226.25</v>
      </c>
      <c r="R1821" s="2" t="s">
        <v>467</v>
      </c>
      <c r="S1821">
        <v>484.05</v>
      </c>
      <c r="T1821" t="s">
        <v>468</v>
      </c>
    </row>
    <row r="1822" spans="1:20" x14ac:dyDescent="0.25">
      <c r="A1822">
        <v>264</v>
      </c>
      <c r="B1822">
        <v>513599</v>
      </c>
      <c r="C1822" t="s">
        <v>333</v>
      </c>
      <c r="D1822">
        <v>2025</v>
      </c>
      <c r="E1822">
        <v>482.64999389648438</v>
      </c>
      <c r="F1822">
        <v>4.8099999999999996</v>
      </c>
      <c r="G1822" t="s">
        <v>465</v>
      </c>
      <c r="H1822">
        <v>545.95001220703125</v>
      </c>
      <c r="I1822">
        <v>183.8999938964844</v>
      </c>
      <c r="L1822" t="s">
        <v>469</v>
      </c>
      <c r="M1822">
        <v>113.5031210409629</v>
      </c>
      <c r="N1822">
        <v>38.232846963926072</v>
      </c>
      <c r="O1822">
        <v>484.05</v>
      </c>
      <c r="P1822">
        <v>759.2</v>
      </c>
      <c r="Q1822">
        <v>226.25</v>
      </c>
      <c r="R1822" s="2" t="s">
        <v>467</v>
      </c>
      <c r="S1822">
        <v>484.05</v>
      </c>
      <c r="T1822" t="s">
        <v>468</v>
      </c>
    </row>
    <row r="1823" spans="1:20" x14ac:dyDescent="0.25">
      <c r="A1823">
        <v>264</v>
      </c>
      <c r="B1823">
        <v>513599</v>
      </c>
      <c r="C1823" t="s">
        <v>333</v>
      </c>
      <c r="D1823">
        <v>2026</v>
      </c>
      <c r="E1823">
        <v>482.64999389648438</v>
      </c>
      <c r="F1823">
        <v>9.5</v>
      </c>
      <c r="G1823" t="s">
        <v>465</v>
      </c>
      <c r="H1823">
        <v>759.20001220703125</v>
      </c>
      <c r="I1823">
        <v>446.60000610351563</v>
      </c>
      <c r="L1823" t="s">
        <v>469</v>
      </c>
      <c r="M1823">
        <v>79.91579075863487</v>
      </c>
      <c r="N1823">
        <v>47.010526958264798</v>
      </c>
      <c r="O1823">
        <v>484.05</v>
      </c>
      <c r="P1823">
        <v>759.2</v>
      </c>
      <c r="Q1823">
        <v>226.25</v>
      </c>
      <c r="R1823" s="2" t="s">
        <v>467</v>
      </c>
      <c r="S1823">
        <v>484.05</v>
      </c>
      <c r="T1823" t="s">
        <v>468</v>
      </c>
    </row>
    <row r="1824" spans="1:20" x14ac:dyDescent="0.25">
      <c r="A1824">
        <v>265</v>
      </c>
      <c r="B1824">
        <v>514010</v>
      </c>
      <c r="C1824" t="s">
        <v>335</v>
      </c>
      <c r="D1824">
        <v>2015</v>
      </c>
      <c r="E1824">
        <v>17.889999389648441</v>
      </c>
      <c r="F1824">
        <v>-0.14000000000000001</v>
      </c>
      <c r="G1824" t="s">
        <v>465</v>
      </c>
      <c r="H1824">
        <v>63</v>
      </c>
      <c r="I1824">
        <v>5.7100000381469727</v>
      </c>
      <c r="L1824" t="s">
        <v>471</v>
      </c>
      <c r="M1824">
        <v>-449.99999999999989</v>
      </c>
      <c r="N1824">
        <v>-40.785714558192659</v>
      </c>
      <c r="O1824">
        <v>69.599999999999994</v>
      </c>
      <c r="P1824">
        <v>82.64</v>
      </c>
      <c r="Q1824">
        <v>36.659999999999997</v>
      </c>
      <c r="R1824" s="3" t="s">
        <v>470</v>
      </c>
      <c r="S1824">
        <v>69.599999999999994</v>
      </c>
      <c r="T1824" t="s">
        <v>468</v>
      </c>
    </row>
    <row r="1825" spans="1:20" x14ac:dyDescent="0.25">
      <c r="A1825">
        <v>265</v>
      </c>
      <c r="B1825">
        <v>514010</v>
      </c>
      <c r="C1825" t="s">
        <v>335</v>
      </c>
      <c r="D1825">
        <v>2016</v>
      </c>
      <c r="E1825">
        <v>17.889999389648441</v>
      </c>
      <c r="F1825">
        <v>0.02</v>
      </c>
      <c r="G1825" t="s">
        <v>465</v>
      </c>
      <c r="H1825">
        <v>72.900001525878906</v>
      </c>
      <c r="I1825">
        <v>10.94999980926514</v>
      </c>
      <c r="L1825" t="s">
        <v>484</v>
      </c>
      <c r="M1825">
        <v>3645.0000762939449</v>
      </c>
      <c r="N1825">
        <v>547.49999046325695</v>
      </c>
      <c r="O1825">
        <v>69.599999999999994</v>
      </c>
      <c r="P1825">
        <v>82.64</v>
      </c>
      <c r="Q1825">
        <v>36.659999999999997</v>
      </c>
      <c r="R1825" s="3" t="s">
        <v>470</v>
      </c>
      <c r="S1825">
        <v>69.599999999999994</v>
      </c>
      <c r="T1825" t="s">
        <v>468</v>
      </c>
    </row>
    <row r="1826" spans="1:20" x14ac:dyDescent="0.25">
      <c r="A1826">
        <v>265</v>
      </c>
      <c r="B1826">
        <v>514010</v>
      </c>
      <c r="C1826" t="s">
        <v>335</v>
      </c>
      <c r="D1826">
        <v>2017</v>
      </c>
      <c r="E1826">
        <v>17.889999389648441</v>
      </c>
      <c r="F1826">
        <v>-0.19</v>
      </c>
      <c r="G1826" t="s">
        <v>465</v>
      </c>
      <c r="H1826">
        <v>13</v>
      </c>
      <c r="I1826">
        <v>4.619999885559082</v>
      </c>
      <c r="L1826" t="s">
        <v>471</v>
      </c>
      <c r="M1826">
        <v>-68.421052631578945</v>
      </c>
      <c r="N1826">
        <v>-24.315788871363591</v>
      </c>
      <c r="O1826">
        <v>69.599999999999994</v>
      </c>
      <c r="P1826">
        <v>82.64</v>
      </c>
      <c r="Q1826">
        <v>36.659999999999997</v>
      </c>
      <c r="R1826" s="3" t="s">
        <v>470</v>
      </c>
      <c r="S1826">
        <v>69.599999999999994</v>
      </c>
      <c r="T1826" t="s">
        <v>468</v>
      </c>
    </row>
    <row r="1827" spans="1:20" x14ac:dyDescent="0.25">
      <c r="A1827">
        <v>265</v>
      </c>
      <c r="B1827">
        <v>514010</v>
      </c>
      <c r="C1827" t="s">
        <v>335</v>
      </c>
      <c r="D1827">
        <v>2018</v>
      </c>
      <c r="E1827">
        <v>17.889999389648441</v>
      </c>
      <c r="F1827">
        <v>-0.08</v>
      </c>
      <c r="G1827" t="s">
        <v>465</v>
      </c>
      <c r="H1827">
        <v>9.3999996185302734</v>
      </c>
      <c r="I1827">
        <v>2.470000028610229</v>
      </c>
      <c r="L1827" t="s">
        <v>471</v>
      </c>
      <c r="M1827">
        <v>-117.4999952316284</v>
      </c>
      <c r="N1827">
        <v>-30.875000357627862</v>
      </c>
      <c r="O1827">
        <v>69.599999999999994</v>
      </c>
      <c r="P1827">
        <v>82.64</v>
      </c>
      <c r="Q1827">
        <v>36.659999999999997</v>
      </c>
      <c r="R1827" s="3" t="s">
        <v>470</v>
      </c>
      <c r="S1827">
        <v>69.599999999999994</v>
      </c>
      <c r="T1827" t="s">
        <v>468</v>
      </c>
    </row>
    <row r="1828" spans="1:20" x14ac:dyDescent="0.25">
      <c r="A1828">
        <v>265</v>
      </c>
      <c r="B1828">
        <v>514010</v>
      </c>
      <c r="C1828" t="s">
        <v>335</v>
      </c>
      <c r="D1828">
        <v>2019</v>
      </c>
      <c r="E1828">
        <v>17.889999389648441</v>
      </c>
      <c r="F1828">
        <v>0.05</v>
      </c>
      <c r="G1828" t="s">
        <v>465</v>
      </c>
      <c r="H1828">
        <v>3</v>
      </c>
      <c r="L1828" t="s">
        <v>484</v>
      </c>
      <c r="M1828">
        <v>60</v>
      </c>
      <c r="O1828">
        <v>69.599999999999994</v>
      </c>
      <c r="P1828">
        <v>82.64</v>
      </c>
      <c r="Q1828">
        <v>36.659999999999997</v>
      </c>
      <c r="R1828" s="3" t="s">
        <v>470</v>
      </c>
      <c r="S1828">
        <v>69.599999999999994</v>
      </c>
      <c r="T1828" t="s">
        <v>468</v>
      </c>
    </row>
    <row r="1829" spans="1:20" x14ac:dyDescent="0.25">
      <c r="A1829">
        <v>265</v>
      </c>
      <c r="B1829">
        <v>514010</v>
      </c>
      <c r="C1829" t="s">
        <v>335</v>
      </c>
      <c r="D1829">
        <v>2020</v>
      </c>
      <c r="E1829">
        <v>17.889999389648441</v>
      </c>
      <c r="F1829">
        <v>-0.27</v>
      </c>
      <c r="G1829" t="s">
        <v>465</v>
      </c>
      <c r="H1829">
        <v>1.929999947547913</v>
      </c>
      <c r="L1829" t="s">
        <v>471</v>
      </c>
      <c r="M1829">
        <v>-7.1481479538811588</v>
      </c>
      <c r="O1829">
        <v>69.599999999999994</v>
      </c>
      <c r="P1829">
        <v>82.64</v>
      </c>
      <c r="Q1829">
        <v>36.659999999999997</v>
      </c>
      <c r="R1829" s="3" t="s">
        <v>470</v>
      </c>
      <c r="S1829">
        <v>69.599999999999994</v>
      </c>
      <c r="T1829" t="s">
        <v>468</v>
      </c>
    </row>
    <row r="1830" spans="1:20" x14ac:dyDescent="0.25">
      <c r="A1830">
        <v>265</v>
      </c>
      <c r="B1830">
        <v>514010</v>
      </c>
      <c r="C1830" t="s">
        <v>335</v>
      </c>
      <c r="D1830">
        <v>2021</v>
      </c>
      <c r="E1830">
        <v>17.889999389648441</v>
      </c>
      <c r="F1830">
        <v>-0.57999999999999996</v>
      </c>
      <c r="G1830" t="s">
        <v>465</v>
      </c>
      <c r="H1830">
        <v>6.7199997901916504</v>
      </c>
      <c r="I1830">
        <v>1.2699999809265139</v>
      </c>
      <c r="L1830" t="s">
        <v>471</v>
      </c>
      <c r="M1830">
        <v>-11.58620653481319</v>
      </c>
      <c r="N1830">
        <v>-2.189655139528472</v>
      </c>
      <c r="O1830">
        <v>69.599999999999994</v>
      </c>
      <c r="P1830">
        <v>82.64</v>
      </c>
      <c r="Q1830">
        <v>36.659999999999997</v>
      </c>
      <c r="R1830" s="3" t="s">
        <v>470</v>
      </c>
      <c r="S1830">
        <v>69.599999999999994</v>
      </c>
      <c r="T1830" t="s">
        <v>468</v>
      </c>
    </row>
    <row r="1831" spans="1:20" x14ac:dyDescent="0.25">
      <c r="A1831">
        <v>265</v>
      </c>
      <c r="B1831">
        <v>514010</v>
      </c>
      <c r="C1831" t="s">
        <v>335</v>
      </c>
      <c r="D1831">
        <v>2022</v>
      </c>
      <c r="E1831">
        <v>17.889999389648441</v>
      </c>
      <c r="F1831">
        <v>-0.8</v>
      </c>
      <c r="G1831" t="s">
        <v>465</v>
      </c>
      <c r="H1831">
        <v>10.36999988555908</v>
      </c>
      <c r="I1831">
        <v>4.119999885559082</v>
      </c>
      <c r="L1831" t="s">
        <v>471</v>
      </c>
      <c r="M1831">
        <v>-12.962499856948851</v>
      </c>
      <c r="N1831">
        <v>-5.1499998569488534</v>
      </c>
      <c r="O1831">
        <v>69.599999999999994</v>
      </c>
      <c r="P1831">
        <v>82.64</v>
      </c>
      <c r="Q1831">
        <v>36.659999999999997</v>
      </c>
      <c r="R1831" s="3" t="s">
        <v>470</v>
      </c>
      <c r="S1831">
        <v>69.599999999999994</v>
      </c>
      <c r="T1831" t="s">
        <v>468</v>
      </c>
    </row>
    <row r="1832" spans="1:20" x14ac:dyDescent="0.25">
      <c r="A1832">
        <v>265</v>
      </c>
      <c r="B1832">
        <v>514010</v>
      </c>
      <c r="C1832" t="s">
        <v>335</v>
      </c>
      <c r="D1832">
        <v>2023</v>
      </c>
      <c r="E1832">
        <v>17.889999389648441</v>
      </c>
      <c r="F1832">
        <v>0.34</v>
      </c>
      <c r="G1832" t="s">
        <v>465</v>
      </c>
      <c r="H1832">
        <v>32.790000915527337</v>
      </c>
      <c r="I1832">
        <v>3.7400000095367432</v>
      </c>
      <c r="L1832" t="s">
        <v>484</v>
      </c>
      <c r="M1832">
        <v>96.441179163315695</v>
      </c>
      <c r="N1832">
        <v>11.000000028049239</v>
      </c>
      <c r="O1832">
        <v>69.599999999999994</v>
      </c>
      <c r="P1832">
        <v>82.64</v>
      </c>
      <c r="Q1832">
        <v>36.659999999999997</v>
      </c>
      <c r="R1832" s="3" t="s">
        <v>470</v>
      </c>
      <c r="S1832">
        <v>69.599999999999994</v>
      </c>
      <c r="T1832" t="s">
        <v>468</v>
      </c>
    </row>
    <row r="1833" spans="1:20" x14ac:dyDescent="0.25">
      <c r="A1833">
        <v>265</v>
      </c>
      <c r="B1833">
        <v>514010</v>
      </c>
      <c r="C1833" t="s">
        <v>335</v>
      </c>
      <c r="D1833">
        <v>2024</v>
      </c>
      <c r="E1833">
        <v>17.889999389648441</v>
      </c>
      <c r="F1833">
        <v>-7.0000000000000007E-2</v>
      </c>
      <c r="G1833" t="s">
        <v>465</v>
      </c>
      <c r="H1833">
        <v>82.639999389648438</v>
      </c>
      <c r="I1833">
        <v>31.60000038146973</v>
      </c>
      <c r="L1833" t="s">
        <v>471</v>
      </c>
      <c r="M1833">
        <v>-1180.57141985212</v>
      </c>
      <c r="N1833">
        <v>-451.42857687813898</v>
      </c>
      <c r="O1833">
        <v>69.599999999999994</v>
      </c>
      <c r="P1833">
        <v>82.64</v>
      </c>
      <c r="Q1833">
        <v>36.659999999999997</v>
      </c>
      <c r="R1833" s="3" t="s">
        <v>470</v>
      </c>
      <c r="S1833">
        <v>69.599999999999994</v>
      </c>
      <c r="T1833" t="s">
        <v>468</v>
      </c>
    </row>
    <row r="1834" spans="1:20" x14ac:dyDescent="0.25">
      <c r="A1834">
        <v>265</v>
      </c>
      <c r="B1834">
        <v>514010</v>
      </c>
      <c r="C1834" t="s">
        <v>335</v>
      </c>
      <c r="D1834">
        <v>2025</v>
      </c>
      <c r="E1834">
        <v>17.889999389648441</v>
      </c>
      <c r="F1834">
        <v>-0.28999999999999998</v>
      </c>
      <c r="G1834" t="s">
        <v>465</v>
      </c>
      <c r="H1834">
        <v>75.879997253417969</v>
      </c>
      <c r="I1834">
        <v>23.25</v>
      </c>
      <c r="L1834" t="s">
        <v>471</v>
      </c>
      <c r="M1834">
        <v>-261.6551629428206</v>
      </c>
      <c r="N1834">
        <v>-80.172413793103459</v>
      </c>
      <c r="O1834">
        <v>69.599999999999994</v>
      </c>
      <c r="P1834">
        <v>82.64</v>
      </c>
      <c r="Q1834">
        <v>36.659999999999997</v>
      </c>
      <c r="R1834" s="3" t="s">
        <v>470</v>
      </c>
      <c r="S1834">
        <v>69.599999999999994</v>
      </c>
      <c r="T1834" t="s">
        <v>468</v>
      </c>
    </row>
    <row r="1835" spans="1:20" x14ac:dyDescent="0.25">
      <c r="A1835">
        <v>265</v>
      </c>
      <c r="B1835">
        <v>514010</v>
      </c>
      <c r="C1835" t="s">
        <v>335</v>
      </c>
      <c r="D1835">
        <v>2026</v>
      </c>
      <c r="E1835">
        <v>17.889999389648441</v>
      </c>
      <c r="F1835">
        <v>-0.34</v>
      </c>
      <c r="G1835" t="s">
        <v>465</v>
      </c>
      <c r="H1835">
        <v>27.64999961853027</v>
      </c>
      <c r="I1835">
        <v>13.960000038146971</v>
      </c>
      <c r="L1835" t="s">
        <v>471</v>
      </c>
      <c r="M1835">
        <v>-81.323528289794908</v>
      </c>
      <c r="N1835">
        <v>-41.058823641608733</v>
      </c>
      <c r="O1835">
        <v>69.599999999999994</v>
      </c>
      <c r="P1835">
        <v>82.64</v>
      </c>
      <c r="Q1835">
        <v>36.659999999999997</v>
      </c>
      <c r="R1835" s="3" t="s">
        <v>470</v>
      </c>
      <c r="S1835">
        <v>69.599999999999994</v>
      </c>
      <c r="T1835" t="s">
        <v>468</v>
      </c>
    </row>
    <row r="1836" spans="1:20" x14ac:dyDescent="0.25">
      <c r="A1836">
        <v>266</v>
      </c>
      <c r="B1836">
        <v>514028</v>
      </c>
      <c r="C1836" t="s">
        <v>337</v>
      </c>
      <c r="D1836">
        <v>2015</v>
      </c>
      <c r="E1836">
        <v>25.89999961853027</v>
      </c>
      <c r="F1836">
        <v>-0.11</v>
      </c>
      <c r="G1836" t="s">
        <v>465</v>
      </c>
      <c r="H1836">
        <v>12.489999771118161</v>
      </c>
      <c r="I1836">
        <v>8.8000001907348633</v>
      </c>
      <c r="L1836" t="s">
        <v>471</v>
      </c>
      <c r="M1836">
        <v>-113.54545246471061</v>
      </c>
      <c r="N1836">
        <v>-80.000001733953297</v>
      </c>
      <c r="O1836">
        <v>29.11</v>
      </c>
      <c r="P1836">
        <v>71</v>
      </c>
      <c r="Q1836">
        <v>22.31</v>
      </c>
      <c r="R1836" s="3" t="s">
        <v>470</v>
      </c>
      <c r="S1836">
        <v>29.11</v>
      </c>
      <c r="T1836" t="s">
        <v>468</v>
      </c>
    </row>
    <row r="1837" spans="1:20" x14ac:dyDescent="0.25">
      <c r="A1837">
        <v>266</v>
      </c>
      <c r="B1837">
        <v>514028</v>
      </c>
      <c r="C1837" t="s">
        <v>337</v>
      </c>
      <c r="D1837">
        <v>2016</v>
      </c>
      <c r="E1837">
        <v>25.89999961853027</v>
      </c>
      <c r="F1837">
        <v>-0.12</v>
      </c>
      <c r="G1837" t="s">
        <v>465</v>
      </c>
      <c r="H1837">
        <v>13</v>
      </c>
      <c r="I1837">
        <v>8.3100004196166992</v>
      </c>
      <c r="L1837" t="s">
        <v>471</v>
      </c>
      <c r="M1837">
        <v>-108.3333333333333</v>
      </c>
      <c r="N1837">
        <v>-69.250003496805832</v>
      </c>
      <c r="O1837">
        <v>29.11</v>
      </c>
      <c r="P1837">
        <v>71</v>
      </c>
      <c r="Q1837">
        <v>22.31</v>
      </c>
      <c r="R1837" s="3" t="s">
        <v>470</v>
      </c>
      <c r="S1837">
        <v>29.11</v>
      </c>
      <c r="T1837" t="s">
        <v>468</v>
      </c>
    </row>
    <row r="1838" spans="1:20" x14ac:dyDescent="0.25">
      <c r="A1838">
        <v>266</v>
      </c>
      <c r="B1838">
        <v>514028</v>
      </c>
      <c r="C1838" t="s">
        <v>337</v>
      </c>
      <c r="D1838">
        <v>2017</v>
      </c>
      <c r="E1838">
        <v>25.89999961853027</v>
      </c>
      <c r="F1838">
        <v>0.06</v>
      </c>
      <c r="G1838" t="s">
        <v>465</v>
      </c>
      <c r="H1838">
        <v>20.5</v>
      </c>
      <c r="I1838">
        <v>9.9799995422363281</v>
      </c>
      <c r="L1838" t="s">
        <v>484</v>
      </c>
      <c r="M1838">
        <v>341.66666666666669</v>
      </c>
      <c r="N1838">
        <v>166.33332570393881</v>
      </c>
      <c r="O1838">
        <v>29.11</v>
      </c>
      <c r="P1838">
        <v>71</v>
      </c>
      <c r="Q1838">
        <v>22.31</v>
      </c>
      <c r="R1838" s="3" t="s">
        <v>470</v>
      </c>
      <c r="S1838">
        <v>29.11</v>
      </c>
      <c r="T1838" t="s">
        <v>468</v>
      </c>
    </row>
    <row r="1839" spans="1:20" x14ac:dyDescent="0.25">
      <c r="A1839">
        <v>266</v>
      </c>
      <c r="B1839">
        <v>514028</v>
      </c>
      <c r="C1839" t="s">
        <v>337</v>
      </c>
      <c r="D1839">
        <v>2018</v>
      </c>
      <c r="E1839">
        <v>25.89999961853027</v>
      </c>
      <c r="F1839">
        <v>0.14000000000000001</v>
      </c>
      <c r="G1839" t="s">
        <v>465</v>
      </c>
      <c r="H1839">
        <v>19.5</v>
      </c>
      <c r="I1839">
        <v>9.5</v>
      </c>
      <c r="L1839" t="s">
        <v>484</v>
      </c>
      <c r="M1839">
        <v>139.28571428571431</v>
      </c>
      <c r="N1839">
        <v>67.857142857142847</v>
      </c>
      <c r="O1839">
        <v>29.11</v>
      </c>
      <c r="P1839">
        <v>71</v>
      </c>
      <c r="Q1839">
        <v>22.31</v>
      </c>
      <c r="R1839" s="3" t="s">
        <v>470</v>
      </c>
      <c r="S1839">
        <v>29.11</v>
      </c>
      <c r="T1839" t="s">
        <v>468</v>
      </c>
    </row>
    <row r="1840" spans="1:20" x14ac:dyDescent="0.25">
      <c r="A1840">
        <v>266</v>
      </c>
      <c r="B1840">
        <v>514028</v>
      </c>
      <c r="C1840" t="s">
        <v>337</v>
      </c>
      <c r="D1840">
        <v>2019</v>
      </c>
      <c r="E1840">
        <v>25.89999961853027</v>
      </c>
      <c r="F1840">
        <v>-0.51</v>
      </c>
      <c r="G1840" t="s">
        <v>465</v>
      </c>
      <c r="H1840">
        <v>14.329999923706049</v>
      </c>
      <c r="I1840">
        <v>4.7300000190734863</v>
      </c>
      <c r="L1840" t="s">
        <v>471</v>
      </c>
      <c r="M1840">
        <v>-28.098039066090291</v>
      </c>
      <c r="N1840">
        <v>-9.2745098413205618</v>
      </c>
      <c r="O1840">
        <v>29.11</v>
      </c>
      <c r="P1840">
        <v>71</v>
      </c>
      <c r="Q1840">
        <v>22.31</v>
      </c>
      <c r="R1840" s="3" t="s">
        <v>470</v>
      </c>
      <c r="S1840">
        <v>29.11</v>
      </c>
      <c r="T1840" t="s">
        <v>468</v>
      </c>
    </row>
    <row r="1841" spans="1:20" x14ac:dyDescent="0.25">
      <c r="A1841">
        <v>266</v>
      </c>
      <c r="B1841">
        <v>514028</v>
      </c>
      <c r="C1841" t="s">
        <v>337</v>
      </c>
      <c r="D1841">
        <v>2020</v>
      </c>
      <c r="E1841">
        <v>25.89999961853027</v>
      </c>
      <c r="F1841">
        <v>-0.46</v>
      </c>
      <c r="G1841" t="s">
        <v>465</v>
      </c>
      <c r="H1841">
        <v>4.7300000190734863</v>
      </c>
      <c r="I1841">
        <v>3.9500000476837158</v>
      </c>
      <c r="L1841" t="s">
        <v>471</v>
      </c>
      <c r="M1841">
        <v>-10.28260873711627</v>
      </c>
      <c r="N1841">
        <v>-8.586956625399381</v>
      </c>
      <c r="O1841">
        <v>29.11</v>
      </c>
      <c r="P1841">
        <v>71</v>
      </c>
      <c r="Q1841">
        <v>22.31</v>
      </c>
      <c r="R1841" s="3" t="s">
        <v>470</v>
      </c>
      <c r="S1841">
        <v>29.11</v>
      </c>
      <c r="T1841" t="s">
        <v>468</v>
      </c>
    </row>
    <row r="1842" spans="1:20" x14ac:dyDescent="0.25">
      <c r="A1842">
        <v>266</v>
      </c>
      <c r="B1842">
        <v>514028</v>
      </c>
      <c r="C1842" t="s">
        <v>337</v>
      </c>
      <c r="D1842">
        <v>2021</v>
      </c>
      <c r="E1842">
        <v>25.89999961853027</v>
      </c>
      <c r="F1842">
        <v>-0.15</v>
      </c>
      <c r="G1842" t="s">
        <v>465</v>
      </c>
      <c r="H1842">
        <v>38.799999237060547</v>
      </c>
      <c r="I1842">
        <v>3.619999885559082</v>
      </c>
      <c r="L1842" t="s">
        <v>471</v>
      </c>
      <c r="M1842">
        <v>-258.66666158040368</v>
      </c>
      <c r="N1842">
        <v>-24.133332570393879</v>
      </c>
      <c r="O1842">
        <v>29.11</v>
      </c>
      <c r="P1842">
        <v>71</v>
      </c>
      <c r="Q1842">
        <v>22.31</v>
      </c>
      <c r="R1842" s="3" t="s">
        <v>470</v>
      </c>
      <c r="S1842">
        <v>29.11</v>
      </c>
      <c r="T1842" t="s">
        <v>468</v>
      </c>
    </row>
    <row r="1843" spans="1:20" x14ac:dyDescent="0.25">
      <c r="A1843">
        <v>266</v>
      </c>
      <c r="B1843">
        <v>514028</v>
      </c>
      <c r="C1843" t="s">
        <v>337</v>
      </c>
      <c r="D1843">
        <v>2022</v>
      </c>
      <c r="E1843">
        <v>25.89999961853027</v>
      </c>
      <c r="F1843">
        <v>-0.63</v>
      </c>
      <c r="G1843" t="s">
        <v>465</v>
      </c>
      <c r="H1843">
        <v>35.400001525878913</v>
      </c>
      <c r="I1843">
        <v>15.94999980926514</v>
      </c>
      <c r="L1843" t="s">
        <v>471</v>
      </c>
      <c r="M1843">
        <v>-56.190478612506212</v>
      </c>
      <c r="N1843">
        <v>-25.317460014706569</v>
      </c>
      <c r="O1843">
        <v>29.11</v>
      </c>
      <c r="P1843">
        <v>71</v>
      </c>
      <c r="Q1843">
        <v>22.31</v>
      </c>
      <c r="R1843" s="3" t="s">
        <v>470</v>
      </c>
      <c r="S1843">
        <v>29.11</v>
      </c>
      <c r="T1843" t="s">
        <v>468</v>
      </c>
    </row>
    <row r="1844" spans="1:20" x14ac:dyDescent="0.25">
      <c r="A1844">
        <v>266</v>
      </c>
      <c r="B1844">
        <v>514028</v>
      </c>
      <c r="C1844" t="s">
        <v>337</v>
      </c>
      <c r="D1844">
        <v>2023</v>
      </c>
      <c r="E1844">
        <v>25.89999961853027</v>
      </c>
      <c r="F1844">
        <v>0.22</v>
      </c>
      <c r="G1844" t="s">
        <v>465</v>
      </c>
      <c r="H1844">
        <v>33</v>
      </c>
      <c r="I1844">
        <v>21.989999771118161</v>
      </c>
      <c r="L1844" t="s">
        <v>484</v>
      </c>
      <c r="M1844">
        <v>150</v>
      </c>
      <c r="N1844">
        <v>99.954544414173455</v>
      </c>
      <c r="O1844">
        <v>29.11</v>
      </c>
      <c r="P1844">
        <v>71</v>
      </c>
      <c r="Q1844">
        <v>22.31</v>
      </c>
      <c r="R1844" s="3" t="s">
        <v>470</v>
      </c>
      <c r="S1844">
        <v>29.11</v>
      </c>
      <c r="T1844" t="s">
        <v>468</v>
      </c>
    </row>
    <row r="1845" spans="1:20" x14ac:dyDescent="0.25">
      <c r="A1845">
        <v>266</v>
      </c>
      <c r="B1845">
        <v>514028</v>
      </c>
      <c r="C1845" t="s">
        <v>337</v>
      </c>
      <c r="D1845">
        <v>2024</v>
      </c>
      <c r="E1845">
        <v>25.89999961853027</v>
      </c>
      <c r="F1845">
        <v>0.23</v>
      </c>
      <c r="G1845" t="s">
        <v>465</v>
      </c>
      <c r="H1845">
        <v>69.180000305175781</v>
      </c>
      <c r="I1845">
        <v>22.309999465942379</v>
      </c>
      <c r="L1845" t="s">
        <v>484</v>
      </c>
      <c r="M1845">
        <v>300.78261002250338</v>
      </c>
      <c r="N1845">
        <v>96.999997678010345</v>
      </c>
      <c r="O1845">
        <v>29.11</v>
      </c>
      <c r="P1845">
        <v>71</v>
      </c>
      <c r="Q1845">
        <v>22.31</v>
      </c>
      <c r="R1845" s="3" t="s">
        <v>470</v>
      </c>
      <c r="S1845">
        <v>29.11</v>
      </c>
      <c r="T1845" t="s">
        <v>468</v>
      </c>
    </row>
    <row r="1846" spans="1:20" x14ac:dyDescent="0.25">
      <c r="A1846">
        <v>266</v>
      </c>
      <c r="B1846">
        <v>514028</v>
      </c>
      <c r="C1846" t="s">
        <v>337</v>
      </c>
      <c r="D1846">
        <v>2025</v>
      </c>
      <c r="E1846">
        <v>25.89999961853027</v>
      </c>
      <c r="F1846">
        <v>0.33</v>
      </c>
      <c r="G1846" t="s">
        <v>465</v>
      </c>
      <c r="H1846">
        <v>71</v>
      </c>
      <c r="I1846">
        <v>31.25</v>
      </c>
      <c r="L1846" t="s">
        <v>484</v>
      </c>
      <c r="M1846">
        <v>215.1515151515151</v>
      </c>
      <c r="N1846">
        <v>94.696969696969688</v>
      </c>
      <c r="O1846">
        <v>29.11</v>
      </c>
      <c r="P1846">
        <v>71</v>
      </c>
      <c r="Q1846">
        <v>22.31</v>
      </c>
      <c r="R1846" s="3" t="s">
        <v>470</v>
      </c>
      <c r="S1846">
        <v>29.11</v>
      </c>
      <c r="T1846" t="s">
        <v>468</v>
      </c>
    </row>
    <row r="1847" spans="1:20" x14ac:dyDescent="0.25">
      <c r="A1847">
        <v>266</v>
      </c>
      <c r="B1847">
        <v>514028</v>
      </c>
      <c r="C1847" t="s">
        <v>337</v>
      </c>
      <c r="D1847">
        <v>2026</v>
      </c>
      <c r="E1847">
        <v>25.89999961853027</v>
      </c>
      <c r="F1847">
        <v>0.39</v>
      </c>
      <c r="G1847" t="s">
        <v>465</v>
      </c>
      <c r="H1847">
        <v>49.799999237060547</v>
      </c>
      <c r="I1847">
        <v>22.010000228881839</v>
      </c>
      <c r="L1847" t="s">
        <v>484</v>
      </c>
      <c r="M1847">
        <v>127.6923057360527</v>
      </c>
      <c r="N1847">
        <v>56.435898022773948</v>
      </c>
      <c r="O1847">
        <v>29.11</v>
      </c>
      <c r="P1847">
        <v>71</v>
      </c>
      <c r="Q1847">
        <v>22.31</v>
      </c>
      <c r="R1847" s="3" t="s">
        <v>470</v>
      </c>
      <c r="S1847">
        <v>29.11</v>
      </c>
      <c r="T1847" t="s">
        <v>468</v>
      </c>
    </row>
    <row r="1848" spans="1:20" x14ac:dyDescent="0.25">
      <c r="A1848">
        <v>268</v>
      </c>
      <c r="B1848">
        <v>514060</v>
      </c>
      <c r="C1848" t="s">
        <v>339</v>
      </c>
      <c r="D1848">
        <v>2015</v>
      </c>
      <c r="E1848">
        <v>3.0499999523162842</v>
      </c>
      <c r="F1848">
        <v>0.47</v>
      </c>
      <c r="G1848" t="s">
        <v>465</v>
      </c>
      <c r="H1848">
        <v>4.5500001907348633</v>
      </c>
      <c r="I1848">
        <v>4.5500001907348633</v>
      </c>
      <c r="L1848" t="s">
        <v>484</v>
      </c>
      <c r="M1848">
        <v>9.6808514696486458</v>
      </c>
      <c r="N1848">
        <v>9.6808514696486458</v>
      </c>
      <c r="O1848">
        <v>17.670000000000002</v>
      </c>
      <c r="P1848">
        <v>141.85</v>
      </c>
      <c r="Q1848">
        <v>9.1</v>
      </c>
      <c r="R1848" s="3" t="s">
        <v>470</v>
      </c>
      <c r="S1848">
        <v>17.670000000000002</v>
      </c>
      <c r="T1848" t="s">
        <v>468</v>
      </c>
    </row>
    <row r="1849" spans="1:20" x14ac:dyDescent="0.25">
      <c r="A1849">
        <v>268</v>
      </c>
      <c r="B1849">
        <v>514060</v>
      </c>
      <c r="C1849" t="s">
        <v>339</v>
      </c>
      <c r="D1849">
        <v>2016</v>
      </c>
      <c r="E1849">
        <v>3.0499999523162842</v>
      </c>
      <c r="F1849">
        <v>-0.01</v>
      </c>
      <c r="G1849" t="s">
        <v>465</v>
      </c>
      <c r="H1849">
        <v>12.5</v>
      </c>
      <c r="I1849">
        <v>4.5500001907348633</v>
      </c>
      <c r="L1849" t="s">
        <v>471</v>
      </c>
      <c r="M1849">
        <v>-1250</v>
      </c>
      <c r="N1849">
        <v>-455.00001907348633</v>
      </c>
      <c r="O1849">
        <v>17.670000000000002</v>
      </c>
      <c r="P1849">
        <v>141.85</v>
      </c>
      <c r="Q1849">
        <v>9.1</v>
      </c>
      <c r="R1849" s="3" t="s">
        <v>470</v>
      </c>
      <c r="S1849">
        <v>17.670000000000002</v>
      </c>
      <c r="T1849" t="s">
        <v>468</v>
      </c>
    </row>
    <row r="1850" spans="1:20" x14ac:dyDescent="0.25">
      <c r="A1850">
        <v>268</v>
      </c>
      <c r="B1850">
        <v>514060</v>
      </c>
      <c r="C1850" t="s">
        <v>339</v>
      </c>
      <c r="D1850">
        <v>2017</v>
      </c>
      <c r="E1850">
        <v>3.0499999523162842</v>
      </c>
      <c r="F1850">
        <v>-0.01</v>
      </c>
      <c r="G1850" t="s">
        <v>465</v>
      </c>
      <c r="H1850">
        <v>12.5</v>
      </c>
      <c r="I1850">
        <v>11.88000011444092</v>
      </c>
      <c r="L1850" t="s">
        <v>471</v>
      </c>
      <c r="M1850">
        <v>-1250</v>
      </c>
      <c r="N1850">
        <v>-1188.000011444092</v>
      </c>
      <c r="O1850">
        <v>17.670000000000002</v>
      </c>
      <c r="P1850">
        <v>141.85</v>
      </c>
      <c r="Q1850">
        <v>9.1</v>
      </c>
      <c r="R1850" s="3" t="s">
        <v>470</v>
      </c>
      <c r="S1850">
        <v>17.670000000000002</v>
      </c>
      <c r="T1850" t="s">
        <v>468</v>
      </c>
    </row>
    <row r="1851" spans="1:20" x14ac:dyDescent="0.25">
      <c r="A1851">
        <v>268</v>
      </c>
      <c r="B1851">
        <v>514060</v>
      </c>
      <c r="C1851" t="s">
        <v>339</v>
      </c>
      <c r="D1851">
        <v>2018</v>
      </c>
      <c r="E1851">
        <v>3.0499999523162842</v>
      </c>
      <c r="F1851">
        <v>-0.01</v>
      </c>
      <c r="G1851" t="s">
        <v>465</v>
      </c>
      <c r="H1851">
        <v>11.88000011444092</v>
      </c>
      <c r="I1851">
        <v>11.289999961853029</v>
      </c>
      <c r="L1851" t="s">
        <v>471</v>
      </c>
      <c r="M1851">
        <v>-1188.000011444092</v>
      </c>
      <c r="N1851">
        <v>-1128.999996185303</v>
      </c>
      <c r="O1851">
        <v>17.670000000000002</v>
      </c>
      <c r="P1851">
        <v>141.85</v>
      </c>
      <c r="Q1851">
        <v>9.1</v>
      </c>
      <c r="R1851" s="3" t="s">
        <v>470</v>
      </c>
      <c r="S1851">
        <v>17.670000000000002</v>
      </c>
      <c r="T1851" t="s">
        <v>468</v>
      </c>
    </row>
    <row r="1852" spans="1:20" x14ac:dyDescent="0.25">
      <c r="A1852">
        <v>268</v>
      </c>
      <c r="B1852">
        <v>514060</v>
      </c>
      <c r="C1852" t="s">
        <v>339</v>
      </c>
      <c r="D1852">
        <v>2019</v>
      </c>
      <c r="E1852">
        <v>3.0499999523162842</v>
      </c>
      <c r="F1852">
        <v>-0.01</v>
      </c>
      <c r="G1852" t="s">
        <v>465</v>
      </c>
      <c r="H1852">
        <v>13.710000038146971</v>
      </c>
      <c r="I1852">
        <v>11.289999961853029</v>
      </c>
      <c r="L1852" t="s">
        <v>471</v>
      </c>
      <c r="M1852">
        <v>-1371.000003814697</v>
      </c>
      <c r="N1852">
        <v>-1128.999996185303</v>
      </c>
      <c r="O1852">
        <v>17.670000000000002</v>
      </c>
      <c r="P1852">
        <v>141.85</v>
      </c>
      <c r="Q1852">
        <v>9.1</v>
      </c>
      <c r="R1852" s="3" t="s">
        <v>470</v>
      </c>
      <c r="S1852">
        <v>17.670000000000002</v>
      </c>
      <c r="T1852" t="s">
        <v>468</v>
      </c>
    </row>
    <row r="1853" spans="1:20" x14ac:dyDescent="0.25">
      <c r="A1853">
        <v>268</v>
      </c>
      <c r="B1853">
        <v>514060</v>
      </c>
      <c r="C1853" t="s">
        <v>339</v>
      </c>
      <c r="D1853">
        <v>2020</v>
      </c>
      <c r="E1853">
        <v>3.0499999523162842</v>
      </c>
      <c r="F1853">
        <v>-0.02</v>
      </c>
      <c r="G1853" t="s">
        <v>465</v>
      </c>
      <c r="H1853">
        <v>13.710000038146971</v>
      </c>
      <c r="I1853">
        <v>13.710000038146971</v>
      </c>
      <c r="L1853" t="s">
        <v>471</v>
      </c>
      <c r="M1853">
        <v>-685.50000190734852</v>
      </c>
      <c r="N1853">
        <v>-685.50000190734852</v>
      </c>
      <c r="O1853">
        <v>17.670000000000002</v>
      </c>
      <c r="P1853">
        <v>141.85</v>
      </c>
      <c r="Q1853">
        <v>9.1</v>
      </c>
      <c r="R1853" s="3" t="s">
        <v>470</v>
      </c>
      <c r="S1853">
        <v>17.670000000000002</v>
      </c>
      <c r="T1853" t="s">
        <v>468</v>
      </c>
    </row>
    <row r="1854" spans="1:20" x14ac:dyDescent="0.25">
      <c r="A1854">
        <v>268</v>
      </c>
      <c r="B1854">
        <v>514060</v>
      </c>
      <c r="C1854" t="s">
        <v>339</v>
      </c>
      <c r="D1854">
        <v>2021</v>
      </c>
      <c r="E1854">
        <v>3.0499999523162842</v>
      </c>
      <c r="F1854">
        <v>-0.02</v>
      </c>
      <c r="G1854" t="s">
        <v>465</v>
      </c>
      <c r="H1854">
        <v>13.710000038146971</v>
      </c>
      <c r="I1854">
        <v>13.710000038146971</v>
      </c>
      <c r="L1854" t="s">
        <v>471</v>
      </c>
      <c r="M1854">
        <v>-685.50000190734852</v>
      </c>
      <c r="N1854">
        <v>-685.50000190734852</v>
      </c>
      <c r="O1854">
        <v>17.670000000000002</v>
      </c>
      <c r="P1854">
        <v>141.85</v>
      </c>
      <c r="Q1854">
        <v>9.1</v>
      </c>
      <c r="R1854" s="3" t="s">
        <v>470</v>
      </c>
      <c r="S1854">
        <v>17.670000000000002</v>
      </c>
      <c r="T1854" t="s">
        <v>468</v>
      </c>
    </row>
    <row r="1855" spans="1:20" x14ac:dyDescent="0.25">
      <c r="A1855">
        <v>268</v>
      </c>
      <c r="B1855">
        <v>514060</v>
      </c>
      <c r="C1855" t="s">
        <v>339</v>
      </c>
      <c r="D1855">
        <v>2022</v>
      </c>
      <c r="E1855">
        <v>3.0499999523162842</v>
      </c>
      <c r="F1855">
        <v>-0.02</v>
      </c>
      <c r="G1855" t="s">
        <v>465</v>
      </c>
      <c r="H1855">
        <v>13.710000038146971</v>
      </c>
      <c r="I1855">
        <v>13.710000038146971</v>
      </c>
      <c r="L1855" t="s">
        <v>471</v>
      </c>
      <c r="M1855">
        <v>-685.50000190734852</v>
      </c>
      <c r="N1855">
        <v>-685.50000190734852</v>
      </c>
      <c r="O1855">
        <v>17.670000000000002</v>
      </c>
      <c r="P1855">
        <v>141.85</v>
      </c>
      <c r="Q1855">
        <v>9.1</v>
      </c>
      <c r="R1855" s="3" t="s">
        <v>470</v>
      </c>
      <c r="S1855">
        <v>17.670000000000002</v>
      </c>
      <c r="T1855" t="s">
        <v>468</v>
      </c>
    </row>
    <row r="1856" spans="1:20" x14ac:dyDescent="0.25">
      <c r="A1856">
        <v>268</v>
      </c>
      <c r="B1856">
        <v>514060</v>
      </c>
      <c r="C1856" t="s">
        <v>339</v>
      </c>
      <c r="D1856">
        <v>2023</v>
      </c>
      <c r="E1856">
        <v>3.0499999523162842</v>
      </c>
      <c r="F1856">
        <v>-0.03</v>
      </c>
      <c r="G1856" t="s">
        <v>465</v>
      </c>
      <c r="H1856">
        <v>54.200000762939453</v>
      </c>
      <c r="I1856">
        <v>13.710000038146971</v>
      </c>
      <c r="L1856" t="s">
        <v>471</v>
      </c>
      <c r="M1856">
        <v>-1806.6666920979819</v>
      </c>
      <c r="N1856">
        <v>-457.00000127156568</v>
      </c>
      <c r="O1856">
        <v>17.670000000000002</v>
      </c>
      <c r="P1856">
        <v>141.85</v>
      </c>
      <c r="Q1856">
        <v>9.1</v>
      </c>
      <c r="R1856" s="3" t="s">
        <v>470</v>
      </c>
      <c r="S1856">
        <v>17.670000000000002</v>
      </c>
      <c r="T1856" t="s">
        <v>468</v>
      </c>
    </row>
    <row r="1857" spans="1:20" x14ac:dyDescent="0.25">
      <c r="A1857">
        <v>268</v>
      </c>
      <c r="B1857">
        <v>514060</v>
      </c>
      <c r="C1857" t="s">
        <v>339</v>
      </c>
      <c r="D1857">
        <v>2024</v>
      </c>
      <c r="E1857">
        <v>3.0499999523162842</v>
      </c>
      <c r="F1857">
        <v>0.33</v>
      </c>
      <c r="G1857" t="s">
        <v>465</v>
      </c>
      <c r="H1857">
        <v>141.8500061035156</v>
      </c>
      <c r="I1857">
        <v>9.3599996566772461</v>
      </c>
      <c r="L1857" t="s">
        <v>484</v>
      </c>
      <c r="M1857">
        <v>429.84850334398658</v>
      </c>
      <c r="N1857">
        <v>28.363635323264379</v>
      </c>
      <c r="O1857">
        <v>17.670000000000002</v>
      </c>
      <c r="P1857">
        <v>141.85</v>
      </c>
      <c r="Q1857">
        <v>9.1</v>
      </c>
      <c r="R1857" s="3" t="s">
        <v>470</v>
      </c>
      <c r="S1857">
        <v>17.670000000000002</v>
      </c>
      <c r="T1857" t="s">
        <v>468</v>
      </c>
    </row>
    <row r="1858" spans="1:20" x14ac:dyDescent="0.25">
      <c r="A1858">
        <v>268</v>
      </c>
      <c r="B1858">
        <v>514060</v>
      </c>
      <c r="C1858" t="s">
        <v>339</v>
      </c>
      <c r="D1858">
        <v>2025</v>
      </c>
      <c r="E1858">
        <v>3.0499999523162842</v>
      </c>
      <c r="F1858">
        <v>0.27</v>
      </c>
      <c r="G1858" t="s">
        <v>465</v>
      </c>
      <c r="H1858">
        <v>12.180000305175779</v>
      </c>
      <c r="I1858">
        <v>5.559999942779541</v>
      </c>
      <c r="L1858" t="s">
        <v>484</v>
      </c>
      <c r="M1858">
        <v>45.111112241391773</v>
      </c>
      <c r="N1858">
        <v>20.592592380664961</v>
      </c>
      <c r="O1858">
        <v>17.670000000000002</v>
      </c>
      <c r="P1858">
        <v>141.85</v>
      </c>
      <c r="Q1858">
        <v>9.1</v>
      </c>
      <c r="R1858" s="3" t="s">
        <v>470</v>
      </c>
      <c r="S1858">
        <v>17.670000000000002</v>
      </c>
      <c r="T1858" t="s">
        <v>468</v>
      </c>
    </row>
    <row r="1859" spans="1:20" x14ac:dyDescent="0.25">
      <c r="A1859">
        <v>268</v>
      </c>
      <c r="B1859">
        <v>514060</v>
      </c>
      <c r="C1859" t="s">
        <v>339</v>
      </c>
      <c r="D1859">
        <v>2026</v>
      </c>
      <c r="E1859">
        <v>3.0499999523162842</v>
      </c>
      <c r="F1859">
        <v>-0.95</v>
      </c>
      <c r="G1859" t="s">
        <v>465</v>
      </c>
      <c r="H1859">
        <v>6.6500000953674316</v>
      </c>
      <c r="I1859">
        <v>3</v>
      </c>
      <c r="L1859" t="s">
        <v>471</v>
      </c>
      <c r="M1859">
        <v>-7.0000001003867709</v>
      </c>
      <c r="N1859">
        <v>-3.1578947368421049</v>
      </c>
      <c r="O1859">
        <v>17.670000000000002</v>
      </c>
      <c r="P1859">
        <v>141.85</v>
      </c>
      <c r="Q1859">
        <v>9.1</v>
      </c>
      <c r="R1859" s="3" t="s">
        <v>470</v>
      </c>
      <c r="S1859">
        <v>17.670000000000002</v>
      </c>
      <c r="T1859" t="s">
        <v>468</v>
      </c>
    </row>
    <row r="1860" spans="1:20" x14ac:dyDescent="0.25">
      <c r="A1860">
        <v>270</v>
      </c>
      <c r="B1860">
        <v>514118</v>
      </c>
      <c r="C1860" t="s">
        <v>341</v>
      </c>
      <c r="D1860">
        <v>2026</v>
      </c>
      <c r="E1860">
        <v>0.2099999934434891</v>
      </c>
      <c r="G1860" t="s">
        <v>465</v>
      </c>
      <c r="L1860" t="s">
        <v>466</v>
      </c>
      <c r="O1860">
        <v>0.21</v>
      </c>
      <c r="P1860">
        <v>0.21</v>
      </c>
      <c r="Q1860">
        <v>0.21</v>
      </c>
      <c r="R1860" s="2" t="s">
        <v>467</v>
      </c>
      <c r="S1860">
        <v>0.21</v>
      </c>
      <c r="T1860" t="s">
        <v>468</v>
      </c>
    </row>
    <row r="1861" spans="1:20" x14ac:dyDescent="0.25">
      <c r="A1861">
        <v>271</v>
      </c>
      <c r="B1861">
        <v>514128</v>
      </c>
      <c r="C1861" t="s">
        <v>343</v>
      </c>
      <c r="D1861">
        <v>2015</v>
      </c>
      <c r="E1861">
        <v>44.5</v>
      </c>
      <c r="F1861">
        <v>0.53</v>
      </c>
      <c r="G1861" t="s">
        <v>465</v>
      </c>
      <c r="H1861">
        <v>20</v>
      </c>
      <c r="I1861">
        <v>11.55000019073486</v>
      </c>
      <c r="L1861" t="s">
        <v>469</v>
      </c>
      <c r="M1861">
        <v>37.735849056603769</v>
      </c>
      <c r="N1861">
        <v>21.792453190065771</v>
      </c>
      <c r="O1861">
        <v>22.78</v>
      </c>
      <c r="P1861">
        <v>56</v>
      </c>
      <c r="Q1861">
        <v>15.76</v>
      </c>
      <c r="R1861" s="3" t="s">
        <v>470</v>
      </c>
      <c r="S1861">
        <v>22.78</v>
      </c>
      <c r="T1861" t="s">
        <v>468</v>
      </c>
    </row>
    <row r="1862" spans="1:20" x14ac:dyDescent="0.25">
      <c r="A1862">
        <v>271</v>
      </c>
      <c r="B1862">
        <v>514128</v>
      </c>
      <c r="C1862" t="s">
        <v>343</v>
      </c>
      <c r="D1862">
        <v>2016</v>
      </c>
      <c r="E1862">
        <v>44.5</v>
      </c>
      <c r="F1862">
        <v>-5.65</v>
      </c>
      <c r="G1862" t="s">
        <v>465</v>
      </c>
      <c r="H1862">
        <v>21</v>
      </c>
      <c r="I1862">
        <v>12.64999961853027</v>
      </c>
      <c r="L1862" t="s">
        <v>471</v>
      </c>
      <c r="M1862">
        <v>-3.716814159292035</v>
      </c>
      <c r="N1862">
        <v>-2.238937985580578</v>
      </c>
      <c r="O1862">
        <v>22.78</v>
      </c>
      <c r="P1862">
        <v>56</v>
      </c>
      <c r="Q1862">
        <v>15.76</v>
      </c>
      <c r="R1862" s="3" t="s">
        <v>470</v>
      </c>
      <c r="S1862">
        <v>22.78</v>
      </c>
      <c r="T1862" t="s">
        <v>468</v>
      </c>
    </row>
    <row r="1863" spans="1:20" x14ac:dyDescent="0.25">
      <c r="A1863">
        <v>271</v>
      </c>
      <c r="B1863">
        <v>514128</v>
      </c>
      <c r="C1863" t="s">
        <v>343</v>
      </c>
      <c r="D1863">
        <v>2017</v>
      </c>
      <c r="E1863">
        <v>44.5</v>
      </c>
      <c r="F1863">
        <v>-11.42</v>
      </c>
      <c r="G1863" t="s">
        <v>465</v>
      </c>
      <c r="H1863">
        <v>23.04999923706055</v>
      </c>
      <c r="I1863">
        <v>12.61999988555908</v>
      </c>
      <c r="L1863" t="s">
        <v>471</v>
      </c>
      <c r="M1863">
        <v>-2.0183887247863881</v>
      </c>
      <c r="N1863">
        <v>-1.105078799085734</v>
      </c>
      <c r="O1863">
        <v>22.78</v>
      </c>
      <c r="P1863">
        <v>56</v>
      </c>
      <c r="Q1863">
        <v>15.76</v>
      </c>
      <c r="R1863" s="3" t="s">
        <v>470</v>
      </c>
      <c r="S1863">
        <v>22.78</v>
      </c>
      <c r="T1863" t="s">
        <v>468</v>
      </c>
    </row>
    <row r="1864" spans="1:20" x14ac:dyDescent="0.25">
      <c r="A1864">
        <v>271</v>
      </c>
      <c r="B1864">
        <v>514128</v>
      </c>
      <c r="C1864" t="s">
        <v>343</v>
      </c>
      <c r="D1864">
        <v>2018</v>
      </c>
      <c r="E1864">
        <v>44.5</v>
      </c>
      <c r="F1864">
        <v>-14.33</v>
      </c>
      <c r="G1864" t="s">
        <v>465</v>
      </c>
      <c r="H1864">
        <v>25.64999961853027</v>
      </c>
      <c r="I1864">
        <v>10.39999961853027</v>
      </c>
      <c r="L1864" t="s">
        <v>471</v>
      </c>
      <c r="M1864">
        <v>-1.7899511248102069</v>
      </c>
      <c r="N1864">
        <v>-0.72575014783881853</v>
      </c>
      <c r="O1864">
        <v>22.78</v>
      </c>
      <c r="P1864">
        <v>56</v>
      </c>
      <c r="Q1864">
        <v>15.76</v>
      </c>
      <c r="R1864" s="3" t="s">
        <v>470</v>
      </c>
      <c r="S1864">
        <v>22.78</v>
      </c>
      <c r="T1864" t="s">
        <v>468</v>
      </c>
    </row>
    <row r="1865" spans="1:20" x14ac:dyDescent="0.25">
      <c r="A1865">
        <v>271</v>
      </c>
      <c r="B1865">
        <v>514128</v>
      </c>
      <c r="C1865" t="s">
        <v>343</v>
      </c>
      <c r="D1865">
        <v>2019</v>
      </c>
      <c r="E1865">
        <v>44.5</v>
      </c>
      <c r="F1865">
        <v>-10.62</v>
      </c>
      <c r="G1865" t="s">
        <v>465</v>
      </c>
      <c r="H1865">
        <v>21.89999961853027</v>
      </c>
      <c r="I1865">
        <v>8.3400001525878906</v>
      </c>
      <c r="L1865" t="s">
        <v>471</v>
      </c>
      <c r="M1865">
        <v>-2.06214685673543</v>
      </c>
      <c r="N1865">
        <v>-0.78531074883125151</v>
      </c>
      <c r="O1865">
        <v>22.78</v>
      </c>
      <c r="P1865">
        <v>56</v>
      </c>
      <c r="Q1865">
        <v>15.76</v>
      </c>
      <c r="R1865" s="3" t="s">
        <v>470</v>
      </c>
      <c r="S1865">
        <v>22.78</v>
      </c>
      <c r="T1865" t="s">
        <v>468</v>
      </c>
    </row>
    <row r="1866" spans="1:20" x14ac:dyDescent="0.25">
      <c r="A1866">
        <v>271</v>
      </c>
      <c r="B1866">
        <v>514128</v>
      </c>
      <c r="C1866" t="s">
        <v>343</v>
      </c>
      <c r="D1866">
        <v>2020</v>
      </c>
      <c r="E1866">
        <v>44.5</v>
      </c>
      <c r="F1866">
        <v>-41.46</v>
      </c>
      <c r="G1866" t="s">
        <v>465</v>
      </c>
      <c r="H1866">
        <v>20.79999923706055</v>
      </c>
      <c r="I1866">
        <v>6.690000057220459</v>
      </c>
      <c r="L1866" t="s">
        <v>471</v>
      </c>
      <c r="M1866">
        <v>-0.50168835593489025</v>
      </c>
      <c r="N1866">
        <v>-0.1613603487028572</v>
      </c>
      <c r="O1866">
        <v>22.78</v>
      </c>
      <c r="P1866">
        <v>56</v>
      </c>
      <c r="Q1866">
        <v>15.76</v>
      </c>
      <c r="R1866" s="3" t="s">
        <v>470</v>
      </c>
      <c r="S1866">
        <v>22.78</v>
      </c>
      <c r="T1866" t="s">
        <v>468</v>
      </c>
    </row>
    <row r="1867" spans="1:20" x14ac:dyDescent="0.25">
      <c r="A1867">
        <v>271</v>
      </c>
      <c r="B1867">
        <v>514128</v>
      </c>
      <c r="C1867" t="s">
        <v>343</v>
      </c>
      <c r="D1867">
        <v>2021</v>
      </c>
      <c r="E1867">
        <v>44.5</v>
      </c>
      <c r="F1867">
        <v>-18.04</v>
      </c>
      <c r="G1867" t="s">
        <v>465</v>
      </c>
      <c r="H1867">
        <v>17.85000038146973</v>
      </c>
      <c r="I1867">
        <v>5.929999828338623</v>
      </c>
      <c r="L1867" t="s">
        <v>471</v>
      </c>
      <c r="M1867">
        <v>-0.98946787036971906</v>
      </c>
      <c r="N1867">
        <v>-0.328713959442274</v>
      </c>
      <c r="O1867">
        <v>22.78</v>
      </c>
      <c r="P1867">
        <v>56</v>
      </c>
      <c r="Q1867">
        <v>15.76</v>
      </c>
      <c r="R1867" s="3" t="s">
        <v>470</v>
      </c>
      <c r="S1867">
        <v>22.78</v>
      </c>
      <c r="T1867" t="s">
        <v>468</v>
      </c>
    </row>
    <row r="1868" spans="1:20" x14ac:dyDescent="0.25">
      <c r="A1868">
        <v>271</v>
      </c>
      <c r="B1868">
        <v>514128</v>
      </c>
      <c r="C1868" t="s">
        <v>343</v>
      </c>
      <c r="D1868">
        <v>2022</v>
      </c>
      <c r="E1868">
        <v>44.5</v>
      </c>
      <c r="F1868">
        <v>-4.41</v>
      </c>
      <c r="G1868" t="s">
        <v>465</v>
      </c>
      <c r="H1868">
        <v>17.04000091552734</v>
      </c>
      <c r="I1868">
        <v>10.25</v>
      </c>
      <c r="L1868" t="s">
        <v>471</v>
      </c>
      <c r="M1868">
        <v>-3.8639457858338639</v>
      </c>
      <c r="N1868">
        <v>-2.3242630385487528</v>
      </c>
      <c r="O1868">
        <v>22.78</v>
      </c>
      <c r="P1868">
        <v>56</v>
      </c>
      <c r="Q1868">
        <v>15.76</v>
      </c>
      <c r="R1868" s="3" t="s">
        <v>470</v>
      </c>
      <c r="S1868">
        <v>22.78</v>
      </c>
      <c r="T1868" t="s">
        <v>468</v>
      </c>
    </row>
    <row r="1869" spans="1:20" x14ac:dyDescent="0.25">
      <c r="A1869">
        <v>271</v>
      </c>
      <c r="B1869">
        <v>514128</v>
      </c>
      <c r="C1869" t="s">
        <v>343</v>
      </c>
      <c r="D1869">
        <v>2023</v>
      </c>
      <c r="E1869">
        <v>44.5</v>
      </c>
      <c r="F1869">
        <v>-18.940000000000001</v>
      </c>
      <c r="G1869" t="s">
        <v>465</v>
      </c>
      <c r="H1869">
        <v>17.04999923706055</v>
      </c>
      <c r="I1869">
        <v>10.489999771118161</v>
      </c>
      <c r="L1869" t="s">
        <v>471</v>
      </c>
      <c r="M1869">
        <v>-0.90021115295990228</v>
      </c>
      <c r="N1869">
        <v>-0.55385426457857234</v>
      </c>
      <c r="O1869">
        <v>22.78</v>
      </c>
      <c r="P1869">
        <v>56</v>
      </c>
      <c r="Q1869">
        <v>15.76</v>
      </c>
      <c r="R1869" s="3" t="s">
        <v>470</v>
      </c>
      <c r="S1869">
        <v>22.78</v>
      </c>
      <c r="T1869" t="s">
        <v>468</v>
      </c>
    </row>
    <row r="1870" spans="1:20" x14ac:dyDescent="0.25">
      <c r="A1870">
        <v>271</v>
      </c>
      <c r="B1870">
        <v>514128</v>
      </c>
      <c r="C1870" t="s">
        <v>343</v>
      </c>
      <c r="D1870">
        <v>2024</v>
      </c>
      <c r="E1870">
        <v>44.5</v>
      </c>
      <c r="F1870">
        <v>0.26</v>
      </c>
      <c r="G1870" t="s">
        <v>465</v>
      </c>
      <c r="H1870">
        <v>56</v>
      </c>
      <c r="I1870">
        <v>13.52999973297119</v>
      </c>
      <c r="L1870" t="s">
        <v>484</v>
      </c>
      <c r="M1870">
        <v>215.38461538461539</v>
      </c>
      <c r="N1870">
        <v>52.038460511427651</v>
      </c>
      <c r="O1870">
        <v>22.78</v>
      </c>
      <c r="P1870">
        <v>56</v>
      </c>
      <c r="Q1870">
        <v>15.76</v>
      </c>
      <c r="R1870" s="3" t="s">
        <v>470</v>
      </c>
      <c r="S1870">
        <v>22.78</v>
      </c>
      <c r="T1870" t="s">
        <v>468</v>
      </c>
    </row>
    <row r="1871" spans="1:20" x14ac:dyDescent="0.25">
      <c r="A1871">
        <v>271</v>
      </c>
      <c r="B1871">
        <v>514128</v>
      </c>
      <c r="C1871" t="s">
        <v>343</v>
      </c>
      <c r="D1871">
        <v>2025</v>
      </c>
      <c r="E1871">
        <v>44.5</v>
      </c>
      <c r="F1871">
        <v>-5.87</v>
      </c>
      <c r="G1871" t="s">
        <v>465</v>
      </c>
      <c r="H1871">
        <v>45.799999237060547</v>
      </c>
      <c r="I1871">
        <v>25</v>
      </c>
      <c r="L1871" t="s">
        <v>471</v>
      </c>
      <c r="M1871">
        <v>-7.8023848785452374</v>
      </c>
      <c r="N1871">
        <v>-4.2589437819420786</v>
      </c>
      <c r="O1871">
        <v>22.78</v>
      </c>
      <c r="P1871">
        <v>56</v>
      </c>
      <c r="Q1871">
        <v>15.76</v>
      </c>
      <c r="R1871" s="3" t="s">
        <v>470</v>
      </c>
      <c r="S1871">
        <v>22.78</v>
      </c>
      <c r="T1871" t="s">
        <v>468</v>
      </c>
    </row>
    <row r="1872" spans="1:20" x14ac:dyDescent="0.25">
      <c r="A1872">
        <v>271</v>
      </c>
      <c r="B1872">
        <v>514128</v>
      </c>
      <c r="C1872" t="s">
        <v>343</v>
      </c>
      <c r="D1872">
        <v>2026</v>
      </c>
      <c r="E1872">
        <v>44.5</v>
      </c>
      <c r="G1872" t="s">
        <v>465</v>
      </c>
      <c r="H1872">
        <v>50.349998474121087</v>
      </c>
      <c r="I1872">
        <v>33.900001525878913</v>
      </c>
      <c r="L1872" t="s">
        <v>466</v>
      </c>
      <c r="O1872">
        <v>22.78</v>
      </c>
      <c r="P1872">
        <v>56</v>
      </c>
      <c r="Q1872">
        <v>15.76</v>
      </c>
      <c r="R1872" s="3" t="s">
        <v>470</v>
      </c>
      <c r="S1872">
        <v>22.78</v>
      </c>
      <c r="T1872" t="s">
        <v>468</v>
      </c>
    </row>
    <row r="1873" spans="1:20" x14ac:dyDescent="0.25">
      <c r="A1873">
        <v>273</v>
      </c>
      <c r="B1873">
        <v>514167</v>
      </c>
      <c r="C1873" t="s">
        <v>345</v>
      </c>
      <c r="D1873">
        <v>2015</v>
      </c>
      <c r="E1873">
        <v>1214.949951171875</v>
      </c>
      <c r="G1873" t="s">
        <v>465</v>
      </c>
      <c r="H1873">
        <v>183.80000305175781</v>
      </c>
      <c r="I1873">
        <v>109</v>
      </c>
      <c r="L1873" t="s">
        <v>466</v>
      </c>
      <c r="O1873">
        <v>730.05</v>
      </c>
      <c r="P1873">
        <v>823.85</v>
      </c>
      <c r="Q1873">
        <v>565.79999999999995</v>
      </c>
      <c r="R1873" s="3" t="s">
        <v>470</v>
      </c>
      <c r="S1873">
        <v>730.05</v>
      </c>
      <c r="T1873" t="s">
        <v>468</v>
      </c>
    </row>
    <row r="1874" spans="1:20" x14ac:dyDescent="0.25">
      <c r="A1874">
        <v>273</v>
      </c>
      <c r="B1874">
        <v>514167</v>
      </c>
      <c r="C1874" t="s">
        <v>345</v>
      </c>
      <c r="D1874">
        <v>2016</v>
      </c>
      <c r="E1874">
        <v>1214.949951171875</v>
      </c>
      <c r="G1874" t="s">
        <v>465</v>
      </c>
      <c r="H1874">
        <v>239.8500061035156</v>
      </c>
      <c r="I1874">
        <v>112.09999847412109</v>
      </c>
      <c r="L1874" t="s">
        <v>466</v>
      </c>
      <c r="O1874">
        <v>730.05</v>
      </c>
      <c r="P1874">
        <v>823.85</v>
      </c>
      <c r="Q1874">
        <v>565.79999999999995</v>
      </c>
      <c r="R1874" s="3" t="s">
        <v>470</v>
      </c>
      <c r="S1874">
        <v>730.05</v>
      </c>
      <c r="T1874" t="s">
        <v>468</v>
      </c>
    </row>
    <row r="1875" spans="1:20" x14ac:dyDescent="0.25">
      <c r="A1875">
        <v>273</v>
      </c>
      <c r="B1875">
        <v>514167</v>
      </c>
      <c r="C1875" t="s">
        <v>345</v>
      </c>
      <c r="D1875">
        <v>2017</v>
      </c>
      <c r="E1875">
        <v>1214.949951171875</v>
      </c>
      <c r="G1875" t="s">
        <v>465</v>
      </c>
      <c r="H1875">
        <v>429</v>
      </c>
      <c r="I1875">
        <v>168</v>
      </c>
      <c r="L1875" t="s">
        <v>466</v>
      </c>
      <c r="O1875">
        <v>730.05</v>
      </c>
      <c r="P1875">
        <v>823.85</v>
      </c>
      <c r="Q1875">
        <v>565.79999999999995</v>
      </c>
      <c r="R1875" s="3" t="s">
        <v>470</v>
      </c>
      <c r="S1875">
        <v>730.05</v>
      </c>
      <c r="T1875" t="s">
        <v>468</v>
      </c>
    </row>
    <row r="1876" spans="1:20" x14ac:dyDescent="0.25">
      <c r="A1876">
        <v>273</v>
      </c>
      <c r="B1876">
        <v>514167</v>
      </c>
      <c r="C1876" t="s">
        <v>345</v>
      </c>
      <c r="D1876">
        <v>2018</v>
      </c>
      <c r="E1876">
        <v>1214.949951171875</v>
      </c>
      <c r="G1876" t="s">
        <v>465</v>
      </c>
      <c r="H1876">
        <v>480</v>
      </c>
      <c r="I1876">
        <v>242</v>
      </c>
      <c r="L1876" t="s">
        <v>466</v>
      </c>
      <c r="O1876">
        <v>730.05</v>
      </c>
      <c r="P1876">
        <v>823.85</v>
      </c>
      <c r="Q1876">
        <v>565.79999999999995</v>
      </c>
      <c r="R1876" s="3" t="s">
        <v>470</v>
      </c>
      <c r="S1876">
        <v>730.05</v>
      </c>
      <c r="T1876" t="s">
        <v>468</v>
      </c>
    </row>
    <row r="1877" spans="1:20" x14ac:dyDescent="0.25">
      <c r="A1877">
        <v>273</v>
      </c>
      <c r="B1877">
        <v>514167</v>
      </c>
      <c r="C1877" t="s">
        <v>345</v>
      </c>
      <c r="D1877">
        <v>2019</v>
      </c>
      <c r="E1877">
        <v>1214.949951171875</v>
      </c>
      <c r="G1877" t="s">
        <v>465</v>
      </c>
      <c r="H1877">
        <v>374.75</v>
      </c>
      <c r="I1877">
        <v>229</v>
      </c>
      <c r="L1877" t="s">
        <v>466</v>
      </c>
      <c r="O1877">
        <v>730.05</v>
      </c>
      <c r="P1877">
        <v>823.85</v>
      </c>
      <c r="Q1877">
        <v>565.79999999999995</v>
      </c>
      <c r="R1877" s="3" t="s">
        <v>470</v>
      </c>
      <c r="S1877">
        <v>730.05</v>
      </c>
      <c r="T1877" t="s">
        <v>468</v>
      </c>
    </row>
    <row r="1878" spans="1:20" x14ac:dyDescent="0.25">
      <c r="A1878">
        <v>273</v>
      </c>
      <c r="B1878">
        <v>514167</v>
      </c>
      <c r="C1878" t="s">
        <v>345</v>
      </c>
      <c r="D1878">
        <v>2020</v>
      </c>
      <c r="E1878">
        <v>1214.949951171875</v>
      </c>
      <c r="F1878">
        <v>29.17</v>
      </c>
      <c r="G1878" t="s">
        <v>465</v>
      </c>
      <c r="H1878">
        <v>403.29998779296881</v>
      </c>
      <c r="I1878">
        <v>138.25</v>
      </c>
      <c r="L1878" t="s">
        <v>469</v>
      </c>
      <c r="M1878">
        <v>13.825848055981099</v>
      </c>
      <c r="N1878">
        <v>4.7394583476174148</v>
      </c>
      <c r="O1878">
        <v>730.05</v>
      </c>
      <c r="P1878">
        <v>823.85</v>
      </c>
      <c r="Q1878">
        <v>565.79999999999995</v>
      </c>
      <c r="R1878" s="3" t="s">
        <v>470</v>
      </c>
      <c r="S1878">
        <v>730.05</v>
      </c>
      <c r="T1878" t="s">
        <v>468</v>
      </c>
    </row>
    <row r="1879" spans="1:20" x14ac:dyDescent="0.25">
      <c r="A1879">
        <v>273</v>
      </c>
      <c r="B1879">
        <v>514167</v>
      </c>
      <c r="C1879" t="s">
        <v>345</v>
      </c>
      <c r="D1879">
        <v>2021</v>
      </c>
      <c r="E1879">
        <v>1214.949951171875</v>
      </c>
      <c r="F1879">
        <v>19.940000000000001</v>
      </c>
      <c r="G1879" t="s">
        <v>465</v>
      </c>
      <c r="H1879">
        <v>687.70001220703125</v>
      </c>
      <c r="I1879">
        <v>426.20001220703119</v>
      </c>
      <c r="L1879" t="s">
        <v>469</v>
      </c>
      <c r="M1879">
        <v>34.48846600837669</v>
      </c>
      <c r="N1879">
        <v>21.374122979289432</v>
      </c>
      <c r="O1879">
        <v>730.05</v>
      </c>
      <c r="P1879">
        <v>823.85</v>
      </c>
      <c r="Q1879">
        <v>565.79999999999995</v>
      </c>
      <c r="R1879" s="3" t="s">
        <v>470</v>
      </c>
      <c r="S1879">
        <v>730.05</v>
      </c>
      <c r="T1879" t="s">
        <v>468</v>
      </c>
    </row>
    <row r="1880" spans="1:20" x14ac:dyDescent="0.25">
      <c r="A1880">
        <v>273</v>
      </c>
      <c r="B1880">
        <v>514167</v>
      </c>
      <c r="C1880" t="s">
        <v>345</v>
      </c>
      <c r="D1880">
        <v>2022</v>
      </c>
      <c r="E1880">
        <v>1214.949951171875</v>
      </c>
      <c r="F1880">
        <v>28.39</v>
      </c>
      <c r="G1880" t="s">
        <v>465</v>
      </c>
      <c r="H1880">
        <v>985.04998779296875</v>
      </c>
      <c r="I1880">
        <v>517.6500244140625</v>
      </c>
      <c r="L1880" t="s">
        <v>469</v>
      </c>
      <c r="M1880">
        <v>34.697076005388119</v>
      </c>
      <c r="N1880">
        <v>18.233533794084629</v>
      </c>
      <c r="O1880">
        <v>730.05</v>
      </c>
      <c r="P1880">
        <v>823.85</v>
      </c>
      <c r="Q1880">
        <v>565.79999999999995</v>
      </c>
      <c r="R1880" s="3" t="s">
        <v>470</v>
      </c>
      <c r="S1880">
        <v>730.05</v>
      </c>
      <c r="T1880" t="s">
        <v>468</v>
      </c>
    </row>
    <row r="1881" spans="1:20" x14ac:dyDescent="0.25">
      <c r="A1881">
        <v>273</v>
      </c>
      <c r="B1881">
        <v>514167</v>
      </c>
      <c r="C1881" t="s">
        <v>345</v>
      </c>
      <c r="D1881">
        <v>2023</v>
      </c>
      <c r="E1881">
        <v>1214.949951171875</v>
      </c>
      <c r="F1881">
        <v>31.82</v>
      </c>
      <c r="G1881" t="s">
        <v>465</v>
      </c>
      <c r="H1881">
        <v>1158.949951171875</v>
      </c>
      <c r="I1881">
        <v>796.04998779296875</v>
      </c>
      <c r="L1881" t="s">
        <v>469</v>
      </c>
      <c r="M1881">
        <v>36.422060061969667</v>
      </c>
      <c r="N1881">
        <v>25.017284342959421</v>
      </c>
      <c r="O1881">
        <v>730.05</v>
      </c>
      <c r="P1881">
        <v>823.85</v>
      </c>
      <c r="Q1881">
        <v>565.79999999999995</v>
      </c>
      <c r="R1881" s="3" t="s">
        <v>470</v>
      </c>
      <c r="S1881">
        <v>730.05</v>
      </c>
      <c r="T1881" t="s">
        <v>468</v>
      </c>
    </row>
    <row r="1882" spans="1:20" x14ac:dyDescent="0.25">
      <c r="A1882">
        <v>273</v>
      </c>
      <c r="B1882">
        <v>514167</v>
      </c>
      <c r="C1882" t="s">
        <v>345</v>
      </c>
      <c r="D1882">
        <v>2024</v>
      </c>
      <c r="E1882">
        <v>1214.949951171875</v>
      </c>
      <c r="F1882">
        <v>16.010000000000002</v>
      </c>
      <c r="G1882" t="s">
        <v>465</v>
      </c>
      <c r="H1882">
        <v>2480</v>
      </c>
      <c r="I1882">
        <v>900.79998779296875</v>
      </c>
      <c r="L1882" t="s">
        <v>469</v>
      </c>
      <c r="M1882">
        <v>154.90318550905681</v>
      </c>
      <c r="N1882">
        <v>56.264833715988047</v>
      </c>
      <c r="O1882">
        <v>730.05</v>
      </c>
      <c r="P1882">
        <v>823.85</v>
      </c>
      <c r="Q1882">
        <v>565.79999999999995</v>
      </c>
      <c r="R1882" s="3" t="s">
        <v>470</v>
      </c>
      <c r="S1882">
        <v>730.05</v>
      </c>
      <c r="T1882" t="s">
        <v>468</v>
      </c>
    </row>
    <row r="1883" spans="1:20" x14ac:dyDescent="0.25">
      <c r="A1883">
        <v>273</v>
      </c>
      <c r="B1883">
        <v>514167</v>
      </c>
      <c r="C1883" t="s">
        <v>345</v>
      </c>
      <c r="D1883">
        <v>2025</v>
      </c>
      <c r="E1883">
        <v>1214.949951171875</v>
      </c>
      <c r="F1883">
        <v>40.51</v>
      </c>
      <c r="G1883" t="s">
        <v>465</v>
      </c>
      <c r="H1883">
        <v>2050</v>
      </c>
      <c r="I1883">
        <v>830</v>
      </c>
      <c r="L1883" t="s">
        <v>469</v>
      </c>
      <c r="M1883">
        <v>50.604788941002226</v>
      </c>
      <c r="N1883">
        <v>20.48876820538139</v>
      </c>
      <c r="O1883">
        <v>730.05</v>
      </c>
      <c r="P1883">
        <v>823.85</v>
      </c>
      <c r="Q1883">
        <v>565.79999999999995</v>
      </c>
      <c r="R1883" s="3" t="s">
        <v>470</v>
      </c>
      <c r="S1883">
        <v>730.05</v>
      </c>
      <c r="T1883" t="s">
        <v>468</v>
      </c>
    </row>
    <row r="1884" spans="1:20" x14ac:dyDescent="0.25">
      <c r="A1884">
        <v>273</v>
      </c>
      <c r="B1884">
        <v>514167</v>
      </c>
      <c r="C1884" t="s">
        <v>345</v>
      </c>
      <c r="D1884">
        <v>2026</v>
      </c>
      <c r="E1884">
        <v>1214.949951171875</v>
      </c>
      <c r="F1884">
        <v>14.26</v>
      </c>
      <c r="G1884" t="s">
        <v>465</v>
      </c>
      <c r="H1884">
        <v>1270.5</v>
      </c>
      <c r="I1884">
        <v>653.25</v>
      </c>
      <c r="L1884" t="s">
        <v>469</v>
      </c>
      <c r="M1884">
        <v>89.095371669004209</v>
      </c>
      <c r="N1884">
        <v>45.809957924263678</v>
      </c>
      <c r="O1884">
        <v>730.05</v>
      </c>
      <c r="P1884">
        <v>823.85</v>
      </c>
      <c r="Q1884">
        <v>565.79999999999995</v>
      </c>
      <c r="R1884" s="3" t="s">
        <v>470</v>
      </c>
      <c r="S1884">
        <v>730.05</v>
      </c>
      <c r="T1884" t="s">
        <v>468</v>
      </c>
    </row>
    <row r="1885" spans="1:20" x14ac:dyDescent="0.25">
      <c r="A1885">
        <v>274</v>
      </c>
      <c r="B1885">
        <v>514175</v>
      </c>
      <c r="C1885" t="s">
        <v>347</v>
      </c>
      <c r="D1885">
        <v>2015</v>
      </c>
      <c r="E1885">
        <v>6.1500000953674316</v>
      </c>
      <c r="F1885">
        <v>-1.54</v>
      </c>
      <c r="G1885" t="s">
        <v>465</v>
      </c>
      <c r="H1885">
        <v>6.8000001907348633</v>
      </c>
      <c r="I1885">
        <v>3.4000000953674321</v>
      </c>
      <c r="L1885" t="s">
        <v>471</v>
      </c>
      <c r="M1885">
        <v>-4.4155845394382229</v>
      </c>
      <c r="N1885">
        <v>-2.2077922697191119</v>
      </c>
      <c r="O1885">
        <v>5.98</v>
      </c>
      <c r="P1885">
        <v>10.6</v>
      </c>
      <c r="Q1885">
        <v>5.0999999999999996</v>
      </c>
      <c r="R1885" s="2" t="s">
        <v>467</v>
      </c>
      <c r="S1885">
        <v>5.98</v>
      </c>
      <c r="T1885" t="s">
        <v>468</v>
      </c>
    </row>
    <row r="1886" spans="1:20" x14ac:dyDescent="0.25">
      <c r="A1886">
        <v>274</v>
      </c>
      <c r="B1886">
        <v>514175</v>
      </c>
      <c r="C1886" t="s">
        <v>347</v>
      </c>
      <c r="D1886">
        <v>2016</v>
      </c>
      <c r="E1886">
        <v>6.1500000953674316</v>
      </c>
      <c r="F1886">
        <v>-0.52</v>
      </c>
      <c r="G1886" t="s">
        <v>465</v>
      </c>
      <c r="H1886">
        <v>9.6649999618530273</v>
      </c>
      <c r="I1886">
        <v>3.309999942779541</v>
      </c>
      <c r="L1886" t="s">
        <v>471</v>
      </c>
      <c r="M1886">
        <v>-18.586538388178901</v>
      </c>
      <c r="N1886">
        <v>-6.3653845053452711</v>
      </c>
      <c r="O1886">
        <v>5.98</v>
      </c>
      <c r="P1886">
        <v>10.6</v>
      </c>
      <c r="Q1886">
        <v>5.0999999999999996</v>
      </c>
      <c r="R1886" s="2" t="s">
        <v>467</v>
      </c>
      <c r="S1886">
        <v>5.98</v>
      </c>
      <c r="T1886" t="s">
        <v>468</v>
      </c>
    </row>
    <row r="1887" spans="1:20" x14ac:dyDescent="0.25">
      <c r="A1887">
        <v>274</v>
      </c>
      <c r="B1887">
        <v>514175</v>
      </c>
      <c r="C1887" t="s">
        <v>347</v>
      </c>
      <c r="D1887">
        <v>2017</v>
      </c>
      <c r="E1887">
        <v>6.1500000953674316</v>
      </c>
      <c r="F1887">
        <v>-1.1499999999999999</v>
      </c>
      <c r="G1887" t="s">
        <v>465</v>
      </c>
      <c r="H1887">
        <v>8.6800003051757813</v>
      </c>
      <c r="I1887">
        <v>3.005000114440918</v>
      </c>
      <c r="L1887" t="s">
        <v>471</v>
      </c>
      <c r="M1887">
        <v>-7.5478263523267666</v>
      </c>
      <c r="N1887">
        <v>-2.613043577774711</v>
      </c>
      <c r="O1887">
        <v>5.98</v>
      </c>
      <c r="P1887">
        <v>10.6</v>
      </c>
      <c r="Q1887">
        <v>5.0999999999999996</v>
      </c>
      <c r="R1887" s="2" t="s">
        <v>467</v>
      </c>
      <c r="S1887">
        <v>5.98</v>
      </c>
      <c r="T1887" t="s">
        <v>468</v>
      </c>
    </row>
    <row r="1888" spans="1:20" x14ac:dyDescent="0.25">
      <c r="A1888">
        <v>274</v>
      </c>
      <c r="B1888">
        <v>514175</v>
      </c>
      <c r="C1888" t="s">
        <v>347</v>
      </c>
      <c r="D1888">
        <v>2018</v>
      </c>
      <c r="E1888">
        <v>6.1500000953674316</v>
      </c>
      <c r="F1888">
        <v>-5.9</v>
      </c>
      <c r="G1888" t="s">
        <v>465</v>
      </c>
      <c r="H1888">
        <v>4.190000057220459</v>
      </c>
      <c r="L1888" t="s">
        <v>471</v>
      </c>
      <c r="M1888">
        <v>-0.71016950122380651</v>
      </c>
      <c r="O1888">
        <v>5.98</v>
      </c>
      <c r="P1888">
        <v>10.6</v>
      </c>
      <c r="Q1888">
        <v>5.0999999999999996</v>
      </c>
      <c r="R1888" s="2" t="s">
        <v>467</v>
      </c>
      <c r="S1888">
        <v>5.98</v>
      </c>
      <c r="T1888" t="s">
        <v>468</v>
      </c>
    </row>
    <row r="1889" spans="1:20" x14ac:dyDescent="0.25">
      <c r="A1889">
        <v>274</v>
      </c>
      <c r="B1889">
        <v>514175</v>
      </c>
      <c r="C1889" t="s">
        <v>347</v>
      </c>
      <c r="D1889">
        <v>2019</v>
      </c>
      <c r="E1889">
        <v>6.1500000953674316</v>
      </c>
      <c r="F1889">
        <v>-2.54</v>
      </c>
      <c r="G1889" t="s">
        <v>465</v>
      </c>
      <c r="H1889">
        <v>1.2489999532699581</v>
      </c>
      <c r="L1889" t="s">
        <v>471</v>
      </c>
      <c r="M1889">
        <v>-0.49173226506691259</v>
      </c>
      <c r="O1889">
        <v>5.98</v>
      </c>
      <c r="P1889">
        <v>10.6</v>
      </c>
      <c r="Q1889">
        <v>5.0999999999999996</v>
      </c>
      <c r="R1889" s="2" t="s">
        <v>467</v>
      </c>
      <c r="S1889">
        <v>5.98</v>
      </c>
      <c r="T1889" t="s">
        <v>468</v>
      </c>
    </row>
    <row r="1890" spans="1:20" x14ac:dyDescent="0.25">
      <c r="A1890">
        <v>274</v>
      </c>
      <c r="B1890">
        <v>514175</v>
      </c>
      <c r="C1890" t="s">
        <v>347</v>
      </c>
      <c r="D1890">
        <v>2020</v>
      </c>
      <c r="E1890">
        <v>6.1500000953674316</v>
      </c>
      <c r="F1890">
        <v>3.5</v>
      </c>
      <c r="G1890" t="s">
        <v>465</v>
      </c>
      <c r="H1890">
        <v>1.6499999761581421</v>
      </c>
      <c r="L1890" t="s">
        <v>469</v>
      </c>
      <c r="M1890">
        <v>0.47142856461661198</v>
      </c>
      <c r="O1890">
        <v>5.98</v>
      </c>
      <c r="P1890">
        <v>10.6</v>
      </c>
      <c r="Q1890">
        <v>5.0999999999999996</v>
      </c>
      <c r="R1890" s="2" t="s">
        <v>467</v>
      </c>
      <c r="S1890">
        <v>5.98</v>
      </c>
      <c r="T1890" t="s">
        <v>468</v>
      </c>
    </row>
    <row r="1891" spans="1:20" x14ac:dyDescent="0.25">
      <c r="A1891">
        <v>274</v>
      </c>
      <c r="B1891">
        <v>514175</v>
      </c>
      <c r="C1891" t="s">
        <v>347</v>
      </c>
      <c r="D1891">
        <v>2021</v>
      </c>
      <c r="E1891">
        <v>6.1500000953674316</v>
      </c>
      <c r="F1891">
        <v>-1.95</v>
      </c>
      <c r="G1891" t="s">
        <v>465</v>
      </c>
      <c r="H1891">
        <v>3.6749999523162842</v>
      </c>
      <c r="I1891">
        <v>1.220000028610229</v>
      </c>
      <c r="L1891" t="s">
        <v>471</v>
      </c>
      <c r="M1891">
        <v>-1.8846153601621971</v>
      </c>
      <c r="N1891">
        <v>-0.62564104031293799</v>
      </c>
      <c r="O1891">
        <v>5.98</v>
      </c>
      <c r="P1891">
        <v>10.6</v>
      </c>
      <c r="Q1891">
        <v>5.0999999999999996</v>
      </c>
      <c r="R1891" s="2" t="s">
        <v>467</v>
      </c>
      <c r="S1891">
        <v>5.98</v>
      </c>
      <c r="T1891" t="s">
        <v>468</v>
      </c>
    </row>
    <row r="1892" spans="1:20" x14ac:dyDescent="0.25">
      <c r="A1892">
        <v>274</v>
      </c>
      <c r="B1892">
        <v>514175</v>
      </c>
      <c r="C1892" t="s">
        <v>347</v>
      </c>
      <c r="D1892">
        <v>2022</v>
      </c>
      <c r="E1892">
        <v>6.1500000953674316</v>
      </c>
      <c r="F1892">
        <v>-0.53</v>
      </c>
      <c r="G1892" t="s">
        <v>465</v>
      </c>
      <c r="H1892">
        <v>3.4000000953674321</v>
      </c>
      <c r="I1892">
        <v>1.700000047683716</v>
      </c>
      <c r="L1892" t="s">
        <v>471</v>
      </c>
      <c r="M1892">
        <v>-6.4150945195611921</v>
      </c>
      <c r="N1892">
        <v>-3.2075472597805961</v>
      </c>
      <c r="O1892">
        <v>5.98</v>
      </c>
      <c r="P1892">
        <v>10.6</v>
      </c>
      <c r="Q1892">
        <v>5.0999999999999996</v>
      </c>
      <c r="R1892" s="2" t="s">
        <v>467</v>
      </c>
      <c r="S1892">
        <v>5.98</v>
      </c>
      <c r="T1892" t="s">
        <v>468</v>
      </c>
    </row>
    <row r="1893" spans="1:20" x14ac:dyDescent="0.25">
      <c r="A1893">
        <v>274</v>
      </c>
      <c r="B1893">
        <v>514175</v>
      </c>
      <c r="C1893" t="s">
        <v>347</v>
      </c>
      <c r="D1893">
        <v>2023</v>
      </c>
      <c r="E1893">
        <v>6.1500000953674316</v>
      </c>
      <c r="G1893" t="s">
        <v>465</v>
      </c>
      <c r="H1893">
        <v>7.4000000953674316</v>
      </c>
      <c r="I1893">
        <v>1.7899999618530269</v>
      </c>
      <c r="L1893" t="s">
        <v>466</v>
      </c>
      <c r="O1893">
        <v>5.98</v>
      </c>
      <c r="P1893">
        <v>10.6</v>
      </c>
      <c r="Q1893">
        <v>5.0999999999999996</v>
      </c>
      <c r="R1893" s="2" t="s">
        <v>467</v>
      </c>
      <c r="S1893">
        <v>5.98</v>
      </c>
      <c r="T1893" t="s">
        <v>468</v>
      </c>
    </row>
    <row r="1894" spans="1:20" x14ac:dyDescent="0.25">
      <c r="A1894">
        <v>274</v>
      </c>
      <c r="B1894">
        <v>514175</v>
      </c>
      <c r="C1894" t="s">
        <v>347</v>
      </c>
      <c r="D1894">
        <v>2024</v>
      </c>
      <c r="E1894">
        <v>6.1500000953674316</v>
      </c>
      <c r="G1894" t="s">
        <v>465</v>
      </c>
      <c r="H1894">
        <v>14.329999923706049</v>
      </c>
      <c r="I1894">
        <v>5.625999927520752</v>
      </c>
      <c r="L1894" t="s">
        <v>466</v>
      </c>
      <c r="O1894">
        <v>5.98</v>
      </c>
      <c r="P1894">
        <v>10.6</v>
      </c>
      <c r="Q1894">
        <v>5.0999999999999996</v>
      </c>
      <c r="R1894" s="2" t="s">
        <v>467</v>
      </c>
      <c r="S1894">
        <v>5.98</v>
      </c>
      <c r="T1894" t="s">
        <v>468</v>
      </c>
    </row>
    <row r="1895" spans="1:20" x14ac:dyDescent="0.25">
      <c r="A1895">
        <v>274</v>
      </c>
      <c r="B1895">
        <v>514175</v>
      </c>
      <c r="C1895" t="s">
        <v>347</v>
      </c>
      <c r="D1895">
        <v>2025</v>
      </c>
      <c r="E1895">
        <v>6.1500000953674316</v>
      </c>
      <c r="G1895" t="s">
        <v>465</v>
      </c>
      <c r="H1895">
        <v>15.289999961853029</v>
      </c>
      <c r="I1895">
        <v>5.5100002288818359</v>
      </c>
      <c r="L1895" t="s">
        <v>466</v>
      </c>
      <c r="O1895">
        <v>5.98</v>
      </c>
      <c r="P1895">
        <v>10.6</v>
      </c>
      <c r="Q1895">
        <v>5.0999999999999996</v>
      </c>
      <c r="R1895" s="2" t="s">
        <v>467</v>
      </c>
      <c r="S1895">
        <v>5.98</v>
      </c>
      <c r="T1895" t="s">
        <v>468</v>
      </c>
    </row>
    <row r="1896" spans="1:20" x14ac:dyDescent="0.25">
      <c r="A1896">
        <v>274</v>
      </c>
      <c r="B1896">
        <v>514175</v>
      </c>
      <c r="C1896" t="s">
        <v>347</v>
      </c>
      <c r="D1896">
        <v>2026</v>
      </c>
      <c r="E1896">
        <v>6.1500000953674316</v>
      </c>
      <c r="G1896" t="s">
        <v>465</v>
      </c>
      <c r="H1896">
        <v>9.0600004196166992</v>
      </c>
      <c r="I1896">
        <v>5.0199999809265137</v>
      </c>
      <c r="L1896" t="s">
        <v>466</v>
      </c>
      <c r="O1896">
        <v>5.98</v>
      </c>
      <c r="P1896">
        <v>10.6</v>
      </c>
      <c r="Q1896">
        <v>5.0999999999999996</v>
      </c>
      <c r="R1896" s="2" t="s">
        <v>467</v>
      </c>
      <c r="S1896">
        <v>5.98</v>
      </c>
      <c r="T1896" t="s">
        <v>468</v>
      </c>
    </row>
    <row r="1897" spans="1:20" x14ac:dyDescent="0.25">
      <c r="A1897">
        <v>275</v>
      </c>
      <c r="B1897">
        <v>514183</v>
      </c>
      <c r="C1897" t="s">
        <v>349</v>
      </c>
      <c r="D1897">
        <v>2015</v>
      </c>
      <c r="E1897">
        <v>100.8000030517578</v>
      </c>
      <c r="F1897">
        <v>0.1</v>
      </c>
      <c r="G1897" t="s">
        <v>465</v>
      </c>
      <c r="H1897">
        <v>33.200000762939453</v>
      </c>
      <c r="I1897">
        <v>12.5</v>
      </c>
      <c r="L1897" t="s">
        <v>484</v>
      </c>
      <c r="M1897">
        <v>332.00000762939447</v>
      </c>
      <c r="N1897">
        <v>125</v>
      </c>
      <c r="O1897">
        <v>131.65</v>
      </c>
      <c r="P1897">
        <v>162</v>
      </c>
      <c r="Q1897">
        <v>118</v>
      </c>
      <c r="R1897" s="3" t="s">
        <v>470</v>
      </c>
      <c r="S1897">
        <v>131.65</v>
      </c>
      <c r="T1897" t="s">
        <v>468</v>
      </c>
    </row>
    <row r="1898" spans="1:20" x14ac:dyDescent="0.25">
      <c r="A1898">
        <v>275</v>
      </c>
      <c r="B1898">
        <v>514183</v>
      </c>
      <c r="C1898" t="s">
        <v>349</v>
      </c>
      <c r="D1898">
        <v>2016</v>
      </c>
      <c r="E1898">
        <v>100.8000030517578</v>
      </c>
      <c r="F1898">
        <v>0.32</v>
      </c>
      <c r="G1898" t="s">
        <v>465</v>
      </c>
      <c r="H1898">
        <v>29.79999923706055</v>
      </c>
      <c r="I1898">
        <v>14.39999961853027</v>
      </c>
      <c r="L1898" t="s">
        <v>484</v>
      </c>
      <c r="M1898">
        <v>93.124997615814223</v>
      </c>
      <c r="N1898">
        <v>44.99999880790709</v>
      </c>
      <c r="O1898">
        <v>131.65</v>
      </c>
      <c r="P1898">
        <v>162</v>
      </c>
      <c r="Q1898">
        <v>118</v>
      </c>
      <c r="R1898" s="3" t="s">
        <v>470</v>
      </c>
      <c r="S1898">
        <v>131.65</v>
      </c>
      <c r="T1898" t="s">
        <v>468</v>
      </c>
    </row>
    <row r="1899" spans="1:20" x14ac:dyDescent="0.25">
      <c r="A1899">
        <v>275</v>
      </c>
      <c r="B1899">
        <v>514183</v>
      </c>
      <c r="C1899" t="s">
        <v>349</v>
      </c>
      <c r="D1899">
        <v>2017</v>
      </c>
      <c r="E1899">
        <v>100.8000030517578</v>
      </c>
      <c r="F1899">
        <v>0.98</v>
      </c>
      <c r="G1899" t="s">
        <v>465</v>
      </c>
      <c r="H1899">
        <v>46.549999237060547</v>
      </c>
      <c r="I1899">
        <v>21</v>
      </c>
      <c r="L1899" t="s">
        <v>469</v>
      </c>
      <c r="M1899">
        <v>47.499999221490363</v>
      </c>
      <c r="N1899">
        <v>21.428571428571431</v>
      </c>
      <c r="O1899">
        <v>131.65</v>
      </c>
      <c r="P1899">
        <v>162</v>
      </c>
      <c r="Q1899">
        <v>118</v>
      </c>
      <c r="R1899" s="3" t="s">
        <v>470</v>
      </c>
      <c r="S1899">
        <v>131.65</v>
      </c>
      <c r="T1899" t="s">
        <v>468</v>
      </c>
    </row>
    <row r="1900" spans="1:20" x14ac:dyDescent="0.25">
      <c r="A1900">
        <v>275</v>
      </c>
      <c r="B1900">
        <v>514183</v>
      </c>
      <c r="C1900" t="s">
        <v>349</v>
      </c>
      <c r="D1900">
        <v>2018</v>
      </c>
      <c r="E1900">
        <v>100.8000030517578</v>
      </c>
      <c r="F1900">
        <v>2.2999999999999998</v>
      </c>
      <c r="G1900" t="s">
        <v>465</v>
      </c>
      <c r="H1900">
        <v>61.5</v>
      </c>
      <c r="I1900">
        <v>37</v>
      </c>
      <c r="L1900" t="s">
        <v>469</v>
      </c>
      <c r="M1900">
        <v>26.739130434782609</v>
      </c>
      <c r="N1900">
        <v>16.086956521739129</v>
      </c>
      <c r="O1900">
        <v>131.65</v>
      </c>
      <c r="P1900">
        <v>162</v>
      </c>
      <c r="Q1900">
        <v>118</v>
      </c>
      <c r="R1900" s="3" t="s">
        <v>470</v>
      </c>
      <c r="S1900">
        <v>131.65</v>
      </c>
      <c r="T1900" t="s">
        <v>468</v>
      </c>
    </row>
    <row r="1901" spans="1:20" x14ac:dyDescent="0.25">
      <c r="A1901">
        <v>275</v>
      </c>
      <c r="B1901">
        <v>514183</v>
      </c>
      <c r="C1901" t="s">
        <v>349</v>
      </c>
      <c r="D1901">
        <v>2019</v>
      </c>
      <c r="E1901">
        <v>100.8000030517578</v>
      </c>
      <c r="F1901">
        <v>2.72</v>
      </c>
      <c r="G1901" t="s">
        <v>465</v>
      </c>
      <c r="H1901">
        <v>118.5</v>
      </c>
      <c r="I1901">
        <v>37.200000762939453</v>
      </c>
      <c r="L1901" t="s">
        <v>469</v>
      </c>
      <c r="M1901">
        <v>43.566176470588232</v>
      </c>
      <c r="N1901">
        <v>13.676470868727741</v>
      </c>
      <c r="O1901">
        <v>131.65</v>
      </c>
      <c r="P1901">
        <v>162</v>
      </c>
      <c r="Q1901">
        <v>118</v>
      </c>
      <c r="R1901" s="3" t="s">
        <v>470</v>
      </c>
      <c r="S1901">
        <v>131.65</v>
      </c>
      <c r="T1901" t="s">
        <v>468</v>
      </c>
    </row>
    <row r="1902" spans="1:20" x14ac:dyDescent="0.25">
      <c r="A1902">
        <v>275</v>
      </c>
      <c r="B1902">
        <v>514183</v>
      </c>
      <c r="C1902" t="s">
        <v>349</v>
      </c>
      <c r="D1902">
        <v>2020</v>
      </c>
      <c r="E1902">
        <v>100.8000030517578</v>
      </c>
      <c r="F1902">
        <v>4.05</v>
      </c>
      <c r="G1902" t="s">
        <v>465</v>
      </c>
      <c r="H1902">
        <v>163</v>
      </c>
      <c r="I1902">
        <v>60.5</v>
      </c>
      <c r="L1902" t="s">
        <v>469</v>
      </c>
      <c r="M1902">
        <v>40.246913580246918</v>
      </c>
      <c r="N1902">
        <v>14.93827160493827</v>
      </c>
      <c r="O1902">
        <v>131.65</v>
      </c>
      <c r="P1902">
        <v>162</v>
      </c>
      <c r="Q1902">
        <v>118</v>
      </c>
      <c r="R1902" s="3" t="s">
        <v>470</v>
      </c>
      <c r="S1902">
        <v>131.65</v>
      </c>
      <c r="T1902" t="s">
        <v>468</v>
      </c>
    </row>
    <row r="1903" spans="1:20" x14ac:dyDescent="0.25">
      <c r="A1903">
        <v>275</v>
      </c>
      <c r="B1903">
        <v>514183</v>
      </c>
      <c r="C1903" t="s">
        <v>349</v>
      </c>
      <c r="D1903">
        <v>2021</v>
      </c>
      <c r="E1903">
        <v>100.8000030517578</v>
      </c>
      <c r="F1903">
        <v>5.38</v>
      </c>
      <c r="G1903" t="s">
        <v>465</v>
      </c>
      <c r="H1903">
        <v>239</v>
      </c>
      <c r="I1903">
        <v>124.25</v>
      </c>
      <c r="L1903" t="s">
        <v>469</v>
      </c>
      <c r="M1903">
        <v>44.423791821561338</v>
      </c>
      <c r="N1903">
        <v>23.094795539033459</v>
      </c>
      <c r="O1903">
        <v>131.65</v>
      </c>
      <c r="P1903">
        <v>162</v>
      </c>
      <c r="Q1903">
        <v>118</v>
      </c>
      <c r="R1903" s="3" t="s">
        <v>470</v>
      </c>
      <c r="S1903">
        <v>131.65</v>
      </c>
      <c r="T1903" t="s">
        <v>468</v>
      </c>
    </row>
    <row r="1904" spans="1:20" x14ac:dyDescent="0.25">
      <c r="A1904">
        <v>275</v>
      </c>
      <c r="B1904">
        <v>514183</v>
      </c>
      <c r="C1904" t="s">
        <v>349</v>
      </c>
      <c r="D1904">
        <v>2022</v>
      </c>
      <c r="E1904">
        <v>100.8000030517578</v>
      </c>
      <c r="F1904">
        <v>6.25</v>
      </c>
      <c r="G1904" t="s">
        <v>465</v>
      </c>
      <c r="H1904">
        <v>235</v>
      </c>
      <c r="I1904">
        <v>155</v>
      </c>
      <c r="L1904" t="s">
        <v>469</v>
      </c>
      <c r="M1904">
        <v>37.6</v>
      </c>
      <c r="N1904">
        <v>24.8</v>
      </c>
      <c r="O1904">
        <v>131.65</v>
      </c>
      <c r="P1904">
        <v>162</v>
      </c>
      <c r="Q1904">
        <v>118</v>
      </c>
      <c r="R1904" s="3" t="s">
        <v>470</v>
      </c>
      <c r="S1904">
        <v>131.65</v>
      </c>
      <c r="T1904" t="s">
        <v>468</v>
      </c>
    </row>
    <row r="1905" spans="1:20" x14ac:dyDescent="0.25">
      <c r="A1905">
        <v>275</v>
      </c>
      <c r="B1905">
        <v>514183</v>
      </c>
      <c r="C1905" t="s">
        <v>349</v>
      </c>
      <c r="D1905">
        <v>2023</v>
      </c>
      <c r="E1905">
        <v>100.8000030517578</v>
      </c>
      <c r="F1905">
        <v>1.55</v>
      </c>
      <c r="G1905" t="s">
        <v>465</v>
      </c>
      <c r="H1905">
        <v>173.19999694824219</v>
      </c>
      <c r="I1905">
        <v>94.949996948242188</v>
      </c>
      <c r="L1905" t="s">
        <v>469</v>
      </c>
      <c r="M1905">
        <v>111.741933514995</v>
      </c>
      <c r="N1905">
        <v>61.258062547253033</v>
      </c>
      <c r="O1905">
        <v>131.65</v>
      </c>
      <c r="P1905">
        <v>162</v>
      </c>
      <c r="Q1905">
        <v>118</v>
      </c>
      <c r="R1905" s="3" t="s">
        <v>470</v>
      </c>
      <c r="S1905">
        <v>131.65</v>
      </c>
      <c r="T1905" t="s">
        <v>468</v>
      </c>
    </row>
    <row r="1906" spans="1:20" x14ac:dyDescent="0.25">
      <c r="A1906">
        <v>275</v>
      </c>
      <c r="B1906">
        <v>514183</v>
      </c>
      <c r="C1906" t="s">
        <v>349</v>
      </c>
      <c r="D1906">
        <v>2024</v>
      </c>
      <c r="E1906">
        <v>100.8000030517578</v>
      </c>
      <c r="F1906">
        <v>4.16</v>
      </c>
      <c r="G1906" t="s">
        <v>465</v>
      </c>
      <c r="H1906">
        <v>162</v>
      </c>
      <c r="I1906">
        <v>118</v>
      </c>
      <c r="L1906" t="s">
        <v>469</v>
      </c>
      <c r="M1906">
        <v>38.942307692307693</v>
      </c>
      <c r="N1906">
        <v>28.36538461538461</v>
      </c>
      <c r="O1906">
        <v>131.65</v>
      </c>
      <c r="P1906">
        <v>162</v>
      </c>
      <c r="Q1906">
        <v>118</v>
      </c>
      <c r="R1906" s="3" t="s">
        <v>470</v>
      </c>
      <c r="S1906">
        <v>131.65</v>
      </c>
      <c r="T1906" t="s">
        <v>468</v>
      </c>
    </row>
    <row r="1907" spans="1:20" x14ac:dyDescent="0.25">
      <c r="A1907">
        <v>275</v>
      </c>
      <c r="B1907">
        <v>514183</v>
      </c>
      <c r="C1907" t="s">
        <v>349</v>
      </c>
      <c r="D1907">
        <v>2025</v>
      </c>
      <c r="E1907">
        <v>100.8000030517578</v>
      </c>
      <c r="F1907">
        <v>4.1100000000000003</v>
      </c>
      <c r="G1907" t="s">
        <v>465</v>
      </c>
      <c r="H1907">
        <v>137.94999694824219</v>
      </c>
      <c r="I1907">
        <v>87</v>
      </c>
      <c r="L1907" t="s">
        <v>469</v>
      </c>
      <c r="M1907">
        <v>33.564476143124622</v>
      </c>
      <c r="N1907">
        <v>21.167883211678831</v>
      </c>
      <c r="O1907">
        <v>131.65</v>
      </c>
      <c r="P1907">
        <v>162</v>
      </c>
      <c r="Q1907">
        <v>118</v>
      </c>
      <c r="R1907" s="3" t="s">
        <v>470</v>
      </c>
      <c r="S1907">
        <v>131.65</v>
      </c>
      <c r="T1907" t="s">
        <v>468</v>
      </c>
    </row>
    <row r="1908" spans="1:20" x14ac:dyDescent="0.25">
      <c r="A1908">
        <v>275</v>
      </c>
      <c r="B1908">
        <v>514183</v>
      </c>
      <c r="C1908" t="s">
        <v>349</v>
      </c>
      <c r="D1908">
        <v>2026</v>
      </c>
      <c r="E1908">
        <v>100.8000030517578</v>
      </c>
      <c r="F1908">
        <v>4.4000000000000004</v>
      </c>
      <c r="G1908" t="s">
        <v>465</v>
      </c>
      <c r="H1908">
        <v>130</v>
      </c>
      <c r="I1908">
        <v>61</v>
      </c>
      <c r="L1908" t="s">
        <v>469</v>
      </c>
      <c r="M1908">
        <v>29.54545454545454</v>
      </c>
      <c r="N1908">
        <v>13.86363636363636</v>
      </c>
      <c r="O1908">
        <v>131.65</v>
      </c>
      <c r="P1908">
        <v>162</v>
      </c>
      <c r="Q1908">
        <v>118</v>
      </c>
      <c r="R1908" s="3" t="s">
        <v>470</v>
      </c>
      <c r="S1908">
        <v>131.65</v>
      </c>
      <c r="T1908" t="s">
        <v>468</v>
      </c>
    </row>
    <row r="1909" spans="1:20" x14ac:dyDescent="0.25">
      <c r="A1909">
        <v>277</v>
      </c>
      <c r="B1909">
        <v>514215</v>
      </c>
      <c r="C1909" t="s">
        <v>351</v>
      </c>
      <c r="D1909">
        <v>2015</v>
      </c>
      <c r="E1909">
        <v>140.94999694824219</v>
      </c>
      <c r="G1909" t="s">
        <v>465</v>
      </c>
      <c r="H1909">
        <v>234.19999694824219</v>
      </c>
      <c r="L1909" t="s">
        <v>466</v>
      </c>
      <c r="O1909">
        <v>140.94999999999999</v>
      </c>
      <c r="P1909">
        <v>140.94999999999999</v>
      </c>
      <c r="Q1909">
        <v>140.94999999999999</v>
      </c>
      <c r="R1909" s="2" t="s">
        <v>467</v>
      </c>
      <c r="S1909">
        <v>140.94999999999999</v>
      </c>
      <c r="T1909" t="s">
        <v>468</v>
      </c>
    </row>
    <row r="1910" spans="1:20" x14ac:dyDescent="0.25">
      <c r="A1910">
        <v>277</v>
      </c>
      <c r="B1910">
        <v>514215</v>
      </c>
      <c r="C1910" t="s">
        <v>351</v>
      </c>
      <c r="D1910">
        <v>2016</v>
      </c>
      <c r="E1910">
        <v>140.94999694824219</v>
      </c>
      <c r="G1910" t="s">
        <v>465</v>
      </c>
      <c r="H1910">
        <v>182.5</v>
      </c>
      <c r="I1910">
        <v>72</v>
      </c>
      <c r="L1910" t="s">
        <v>466</v>
      </c>
      <c r="O1910">
        <v>140.94999999999999</v>
      </c>
      <c r="P1910">
        <v>140.94999999999999</v>
      </c>
      <c r="Q1910">
        <v>140.94999999999999</v>
      </c>
      <c r="R1910" s="2" t="s">
        <v>467</v>
      </c>
      <c r="S1910">
        <v>140.94999999999999</v>
      </c>
      <c r="T1910" t="s">
        <v>468</v>
      </c>
    </row>
    <row r="1911" spans="1:20" x14ac:dyDescent="0.25">
      <c r="A1911">
        <v>277</v>
      </c>
      <c r="B1911">
        <v>514215</v>
      </c>
      <c r="C1911" t="s">
        <v>351</v>
      </c>
      <c r="D1911">
        <v>2017</v>
      </c>
      <c r="E1911">
        <v>140.94999694824219</v>
      </c>
      <c r="G1911" t="s">
        <v>465</v>
      </c>
      <c r="H1911">
        <v>374.79998779296881</v>
      </c>
      <c r="I1911">
        <v>72.099998474121094</v>
      </c>
      <c r="L1911" t="s">
        <v>466</v>
      </c>
      <c r="O1911">
        <v>140.94999999999999</v>
      </c>
      <c r="P1911">
        <v>140.94999999999999</v>
      </c>
      <c r="Q1911">
        <v>140.94999999999999</v>
      </c>
      <c r="R1911" s="2" t="s">
        <v>467</v>
      </c>
      <c r="S1911">
        <v>140.94999999999999</v>
      </c>
      <c r="T1911" t="s">
        <v>468</v>
      </c>
    </row>
    <row r="1912" spans="1:20" x14ac:dyDescent="0.25">
      <c r="A1912">
        <v>277</v>
      </c>
      <c r="B1912">
        <v>514215</v>
      </c>
      <c r="C1912" t="s">
        <v>351</v>
      </c>
      <c r="D1912">
        <v>2018</v>
      </c>
      <c r="E1912">
        <v>140.94999694824219</v>
      </c>
      <c r="G1912" t="s">
        <v>465</v>
      </c>
      <c r="H1912">
        <v>318</v>
      </c>
      <c r="I1912">
        <v>126</v>
      </c>
      <c r="L1912" t="s">
        <v>466</v>
      </c>
      <c r="O1912">
        <v>140.94999999999999</v>
      </c>
      <c r="P1912">
        <v>140.94999999999999</v>
      </c>
      <c r="Q1912">
        <v>140.94999999999999</v>
      </c>
      <c r="R1912" s="2" t="s">
        <v>467</v>
      </c>
      <c r="S1912">
        <v>140.94999999999999</v>
      </c>
      <c r="T1912" t="s">
        <v>468</v>
      </c>
    </row>
    <row r="1913" spans="1:20" x14ac:dyDescent="0.25">
      <c r="A1913">
        <v>277</v>
      </c>
      <c r="B1913">
        <v>514215</v>
      </c>
      <c r="C1913" t="s">
        <v>351</v>
      </c>
      <c r="D1913">
        <v>2019</v>
      </c>
      <c r="E1913">
        <v>140.94999694824219</v>
      </c>
      <c r="G1913" t="s">
        <v>465</v>
      </c>
      <c r="H1913">
        <v>175</v>
      </c>
      <c r="I1913">
        <v>72.400001525878906</v>
      </c>
      <c r="L1913" t="s">
        <v>466</v>
      </c>
      <c r="O1913">
        <v>140.94999999999999</v>
      </c>
      <c r="P1913">
        <v>140.94999999999999</v>
      </c>
      <c r="Q1913">
        <v>140.94999999999999</v>
      </c>
      <c r="R1913" s="2" t="s">
        <v>467</v>
      </c>
      <c r="S1913">
        <v>140.94999999999999</v>
      </c>
      <c r="T1913" t="s">
        <v>468</v>
      </c>
    </row>
    <row r="1914" spans="1:20" x14ac:dyDescent="0.25">
      <c r="A1914">
        <v>277</v>
      </c>
      <c r="B1914">
        <v>514215</v>
      </c>
      <c r="C1914" t="s">
        <v>351</v>
      </c>
      <c r="D1914">
        <v>2020</v>
      </c>
      <c r="E1914">
        <v>140.94999694824219</v>
      </c>
      <c r="G1914" t="s">
        <v>465</v>
      </c>
      <c r="H1914">
        <v>151</v>
      </c>
      <c r="I1914">
        <v>47.5</v>
      </c>
      <c r="L1914" t="s">
        <v>466</v>
      </c>
      <c r="O1914">
        <v>140.94999999999999</v>
      </c>
      <c r="P1914">
        <v>140.94999999999999</v>
      </c>
      <c r="Q1914">
        <v>140.94999999999999</v>
      </c>
      <c r="R1914" s="2" t="s">
        <v>467</v>
      </c>
      <c r="S1914">
        <v>140.94999999999999</v>
      </c>
      <c r="T1914" t="s">
        <v>468</v>
      </c>
    </row>
    <row r="1915" spans="1:20" x14ac:dyDescent="0.25">
      <c r="A1915">
        <v>277</v>
      </c>
      <c r="B1915">
        <v>514215</v>
      </c>
      <c r="C1915" t="s">
        <v>351</v>
      </c>
      <c r="D1915">
        <v>2021</v>
      </c>
      <c r="E1915">
        <v>140.94999694824219</v>
      </c>
      <c r="G1915" t="s">
        <v>465</v>
      </c>
      <c r="H1915">
        <v>320</v>
      </c>
      <c r="I1915">
        <v>73</v>
      </c>
      <c r="L1915" t="s">
        <v>466</v>
      </c>
      <c r="O1915">
        <v>140.94999999999999</v>
      </c>
      <c r="P1915">
        <v>140.94999999999999</v>
      </c>
      <c r="Q1915">
        <v>140.94999999999999</v>
      </c>
      <c r="R1915" s="2" t="s">
        <v>467</v>
      </c>
      <c r="S1915">
        <v>140.94999999999999</v>
      </c>
      <c r="T1915" t="s">
        <v>468</v>
      </c>
    </row>
    <row r="1916" spans="1:20" x14ac:dyDescent="0.25">
      <c r="A1916">
        <v>277</v>
      </c>
      <c r="B1916">
        <v>514215</v>
      </c>
      <c r="C1916" t="s">
        <v>351</v>
      </c>
      <c r="D1916">
        <v>2022</v>
      </c>
      <c r="E1916">
        <v>140.94999694824219</v>
      </c>
      <c r="G1916" t="s">
        <v>465</v>
      </c>
      <c r="H1916">
        <v>453.79998779296881</v>
      </c>
      <c r="I1916">
        <v>174</v>
      </c>
      <c r="L1916" t="s">
        <v>466</v>
      </c>
      <c r="O1916">
        <v>140.94999999999999</v>
      </c>
      <c r="P1916">
        <v>140.94999999999999</v>
      </c>
      <c r="Q1916">
        <v>140.94999999999999</v>
      </c>
      <c r="R1916" s="2" t="s">
        <v>467</v>
      </c>
      <c r="S1916">
        <v>140.94999999999999</v>
      </c>
      <c r="T1916" t="s">
        <v>468</v>
      </c>
    </row>
    <row r="1917" spans="1:20" x14ac:dyDescent="0.25">
      <c r="A1917">
        <v>277</v>
      </c>
      <c r="B1917">
        <v>514215</v>
      </c>
      <c r="C1917" t="s">
        <v>351</v>
      </c>
      <c r="D1917">
        <v>2023</v>
      </c>
      <c r="E1917">
        <v>140.94999694824219</v>
      </c>
      <c r="G1917" t="s">
        <v>465</v>
      </c>
      <c r="H1917">
        <v>349.75</v>
      </c>
      <c r="I1917">
        <v>203</v>
      </c>
      <c r="L1917" t="s">
        <v>466</v>
      </c>
      <c r="O1917">
        <v>140.94999999999999</v>
      </c>
      <c r="P1917">
        <v>140.94999999999999</v>
      </c>
      <c r="Q1917">
        <v>140.94999999999999</v>
      </c>
      <c r="R1917" s="2" t="s">
        <v>467</v>
      </c>
      <c r="S1917">
        <v>140.94999999999999</v>
      </c>
      <c r="T1917" t="s">
        <v>468</v>
      </c>
    </row>
    <row r="1918" spans="1:20" x14ac:dyDescent="0.25">
      <c r="A1918">
        <v>277</v>
      </c>
      <c r="B1918">
        <v>514215</v>
      </c>
      <c r="C1918" t="s">
        <v>351</v>
      </c>
      <c r="D1918">
        <v>2024</v>
      </c>
      <c r="E1918">
        <v>140.94999694824219</v>
      </c>
      <c r="G1918" t="s">
        <v>465</v>
      </c>
      <c r="H1918">
        <v>205.69999694824219</v>
      </c>
      <c r="I1918">
        <v>135.05000305175781</v>
      </c>
      <c r="L1918" t="s">
        <v>466</v>
      </c>
      <c r="O1918">
        <v>140.94999999999999</v>
      </c>
      <c r="P1918">
        <v>140.94999999999999</v>
      </c>
      <c r="Q1918">
        <v>140.94999999999999</v>
      </c>
      <c r="R1918" s="2" t="s">
        <v>467</v>
      </c>
      <c r="S1918">
        <v>140.94999999999999</v>
      </c>
      <c r="T1918" t="s">
        <v>468</v>
      </c>
    </row>
    <row r="1919" spans="1:20" x14ac:dyDescent="0.25">
      <c r="A1919">
        <v>277</v>
      </c>
      <c r="B1919">
        <v>514215</v>
      </c>
      <c r="C1919" t="s">
        <v>351</v>
      </c>
      <c r="D1919">
        <v>2025</v>
      </c>
      <c r="E1919">
        <v>140.94999694824219</v>
      </c>
      <c r="G1919" t="s">
        <v>465</v>
      </c>
      <c r="H1919">
        <v>140.94999694824219</v>
      </c>
      <c r="I1919">
        <v>140.94999694824219</v>
      </c>
      <c r="L1919" t="s">
        <v>466</v>
      </c>
      <c r="O1919">
        <v>140.94999999999999</v>
      </c>
      <c r="P1919">
        <v>140.94999999999999</v>
      </c>
      <c r="Q1919">
        <v>140.94999999999999</v>
      </c>
      <c r="R1919" s="2" t="s">
        <v>467</v>
      </c>
      <c r="S1919">
        <v>140.94999999999999</v>
      </c>
      <c r="T1919" t="s">
        <v>468</v>
      </c>
    </row>
    <row r="1920" spans="1:20" x14ac:dyDescent="0.25">
      <c r="A1920">
        <v>277</v>
      </c>
      <c r="B1920">
        <v>514215</v>
      </c>
      <c r="C1920" t="s">
        <v>351</v>
      </c>
      <c r="D1920">
        <v>2026</v>
      </c>
      <c r="E1920">
        <v>140.94999694824219</v>
      </c>
      <c r="G1920" t="s">
        <v>465</v>
      </c>
      <c r="H1920">
        <v>140.94999694824219</v>
      </c>
      <c r="I1920">
        <v>140.94999694824219</v>
      </c>
      <c r="L1920" t="s">
        <v>466</v>
      </c>
      <c r="O1920">
        <v>140.94999999999999</v>
      </c>
      <c r="P1920">
        <v>140.94999999999999</v>
      </c>
      <c r="Q1920">
        <v>140.94999999999999</v>
      </c>
      <c r="R1920" s="2" t="s">
        <v>467</v>
      </c>
      <c r="S1920">
        <v>140.94999999999999</v>
      </c>
      <c r="T1920" t="s">
        <v>468</v>
      </c>
    </row>
    <row r="1921" spans="1:20" x14ac:dyDescent="0.25">
      <c r="A1921">
        <v>278</v>
      </c>
      <c r="B1921">
        <v>514238</v>
      </c>
      <c r="C1921" t="s">
        <v>353</v>
      </c>
      <c r="D1921">
        <v>2015</v>
      </c>
      <c r="E1921">
        <v>1108.75</v>
      </c>
      <c r="G1921" t="s">
        <v>465</v>
      </c>
      <c r="H1921">
        <v>15.6960916519165</v>
      </c>
      <c r="I1921">
        <v>14.224583625793461</v>
      </c>
      <c r="L1921" t="s">
        <v>466</v>
      </c>
      <c r="O1921">
        <v>2103.35</v>
      </c>
      <c r="P1921">
        <v>2800</v>
      </c>
      <c r="Q1921">
        <v>1025</v>
      </c>
      <c r="R1921" s="3" t="s">
        <v>470</v>
      </c>
      <c r="S1921">
        <v>2103.35</v>
      </c>
      <c r="T1921" t="s">
        <v>468</v>
      </c>
    </row>
    <row r="1922" spans="1:20" x14ac:dyDescent="0.25">
      <c r="A1922">
        <v>278</v>
      </c>
      <c r="B1922">
        <v>514238</v>
      </c>
      <c r="C1922" t="s">
        <v>353</v>
      </c>
      <c r="D1922">
        <v>2016</v>
      </c>
      <c r="E1922">
        <v>1108.75</v>
      </c>
      <c r="G1922" t="s">
        <v>465</v>
      </c>
      <c r="H1922">
        <v>14.71508693695068</v>
      </c>
      <c r="I1922">
        <v>14.224583625793461</v>
      </c>
      <c r="L1922" t="s">
        <v>466</v>
      </c>
      <c r="O1922">
        <v>2103.35</v>
      </c>
      <c r="P1922">
        <v>2800</v>
      </c>
      <c r="Q1922">
        <v>1025</v>
      </c>
      <c r="R1922" s="3" t="s">
        <v>470</v>
      </c>
      <c r="S1922">
        <v>2103.35</v>
      </c>
      <c r="T1922" t="s">
        <v>468</v>
      </c>
    </row>
    <row r="1923" spans="1:20" x14ac:dyDescent="0.25">
      <c r="A1923">
        <v>278</v>
      </c>
      <c r="B1923">
        <v>514238</v>
      </c>
      <c r="C1923" t="s">
        <v>353</v>
      </c>
      <c r="D1923">
        <v>2017</v>
      </c>
      <c r="E1923">
        <v>1108.75</v>
      </c>
      <c r="G1923" t="s">
        <v>465</v>
      </c>
      <c r="H1923">
        <v>20.65017127990723</v>
      </c>
      <c r="I1923">
        <v>13.36129856109619</v>
      </c>
      <c r="L1923" t="s">
        <v>466</v>
      </c>
      <c r="O1923">
        <v>2103.35</v>
      </c>
      <c r="P1923">
        <v>2800</v>
      </c>
      <c r="Q1923">
        <v>1025</v>
      </c>
      <c r="R1923" s="3" t="s">
        <v>470</v>
      </c>
      <c r="S1923">
        <v>2103.35</v>
      </c>
      <c r="T1923" t="s">
        <v>468</v>
      </c>
    </row>
    <row r="1924" spans="1:20" x14ac:dyDescent="0.25">
      <c r="A1924">
        <v>278</v>
      </c>
      <c r="B1924">
        <v>514238</v>
      </c>
      <c r="C1924" t="s">
        <v>353</v>
      </c>
      <c r="D1924">
        <v>2018</v>
      </c>
      <c r="E1924">
        <v>1108.75</v>
      </c>
      <c r="G1924" t="s">
        <v>465</v>
      </c>
      <c r="H1924">
        <v>20.159669876098629</v>
      </c>
      <c r="I1924">
        <v>16.677097320556641</v>
      </c>
      <c r="L1924" t="s">
        <v>466</v>
      </c>
      <c r="O1924">
        <v>2103.35</v>
      </c>
      <c r="P1924">
        <v>2800</v>
      </c>
      <c r="Q1924">
        <v>1025</v>
      </c>
      <c r="R1924" s="3" t="s">
        <v>470</v>
      </c>
      <c r="S1924">
        <v>2103.35</v>
      </c>
      <c r="T1924" t="s">
        <v>468</v>
      </c>
    </row>
    <row r="1925" spans="1:20" x14ac:dyDescent="0.25">
      <c r="A1925">
        <v>278</v>
      </c>
      <c r="B1925">
        <v>514238</v>
      </c>
      <c r="C1925" t="s">
        <v>353</v>
      </c>
      <c r="D1925">
        <v>2019</v>
      </c>
      <c r="E1925">
        <v>1108.75</v>
      </c>
      <c r="G1925" t="s">
        <v>465</v>
      </c>
      <c r="H1925">
        <v>20.159669876098629</v>
      </c>
      <c r="I1925">
        <v>19.227712631225589</v>
      </c>
      <c r="L1925" t="s">
        <v>466</v>
      </c>
      <c r="O1925">
        <v>2103.35</v>
      </c>
      <c r="P1925">
        <v>2800</v>
      </c>
      <c r="Q1925">
        <v>1025</v>
      </c>
      <c r="R1925" s="3" t="s">
        <v>470</v>
      </c>
      <c r="S1925">
        <v>2103.35</v>
      </c>
      <c r="T1925" t="s">
        <v>468</v>
      </c>
    </row>
    <row r="1926" spans="1:20" x14ac:dyDescent="0.25">
      <c r="A1926">
        <v>278</v>
      </c>
      <c r="B1926">
        <v>514238</v>
      </c>
      <c r="C1926" t="s">
        <v>353</v>
      </c>
      <c r="D1926">
        <v>2020</v>
      </c>
      <c r="E1926">
        <v>1108.75</v>
      </c>
      <c r="G1926" t="s">
        <v>465</v>
      </c>
      <c r="H1926">
        <v>21.582126617431641</v>
      </c>
      <c r="I1926">
        <v>18.63911056518555</v>
      </c>
      <c r="L1926" t="s">
        <v>466</v>
      </c>
      <c r="O1926">
        <v>2103.35</v>
      </c>
      <c r="P1926">
        <v>2800</v>
      </c>
      <c r="Q1926">
        <v>1025</v>
      </c>
      <c r="R1926" s="3" t="s">
        <v>470</v>
      </c>
      <c r="S1926">
        <v>2103.35</v>
      </c>
      <c r="T1926" t="s">
        <v>468</v>
      </c>
    </row>
    <row r="1927" spans="1:20" x14ac:dyDescent="0.25">
      <c r="A1927">
        <v>278</v>
      </c>
      <c r="B1927">
        <v>514238</v>
      </c>
      <c r="C1927" t="s">
        <v>353</v>
      </c>
      <c r="D1927">
        <v>2021</v>
      </c>
      <c r="E1927">
        <v>1108.75</v>
      </c>
      <c r="G1927" t="s">
        <v>465</v>
      </c>
      <c r="H1927">
        <v>347.17794799804688</v>
      </c>
      <c r="I1927">
        <v>19.620115280151371</v>
      </c>
      <c r="L1927" t="s">
        <v>466</v>
      </c>
      <c r="O1927">
        <v>2103.35</v>
      </c>
      <c r="P1927">
        <v>2800</v>
      </c>
      <c r="Q1927">
        <v>1025</v>
      </c>
      <c r="R1927" s="3" t="s">
        <v>470</v>
      </c>
      <c r="S1927">
        <v>2103.35</v>
      </c>
      <c r="T1927" t="s">
        <v>468</v>
      </c>
    </row>
    <row r="1928" spans="1:20" x14ac:dyDescent="0.25">
      <c r="A1928">
        <v>278</v>
      </c>
      <c r="B1928">
        <v>514238</v>
      </c>
      <c r="C1928" t="s">
        <v>353</v>
      </c>
      <c r="D1928">
        <v>2022</v>
      </c>
      <c r="E1928">
        <v>1108.75</v>
      </c>
      <c r="G1928" t="s">
        <v>465</v>
      </c>
      <c r="H1928">
        <v>1235.086303710938</v>
      </c>
      <c r="I1928">
        <v>328.14645385742188</v>
      </c>
      <c r="L1928" t="s">
        <v>466</v>
      </c>
      <c r="O1928">
        <v>2103.35</v>
      </c>
      <c r="P1928">
        <v>2800</v>
      </c>
      <c r="Q1928">
        <v>1025</v>
      </c>
      <c r="R1928" s="3" t="s">
        <v>470</v>
      </c>
      <c r="S1928">
        <v>2103.35</v>
      </c>
      <c r="T1928" t="s">
        <v>468</v>
      </c>
    </row>
    <row r="1929" spans="1:20" x14ac:dyDescent="0.25">
      <c r="A1929">
        <v>278</v>
      </c>
      <c r="B1929">
        <v>514238</v>
      </c>
      <c r="C1929" t="s">
        <v>353</v>
      </c>
      <c r="D1929">
        <v>2023</v>
      </c>
      <c r="E1929">
        <v>1108.75</v>
      </c>
      <c r="F1929">
        <v>43.08</v>
      </c>
      <c r="G1929" t="s">
        <v>465</v>
      </c>
      <c r="H1929">
        <v>1726.570190429688</v>
      </c>
      <c r="I1929">
        <v>914.885986328125</v>
      </c>
      <c r="L1929" t="s">
        <v>469</v>
      </c>
      <c r="M1929">
        <v>40.078230975619498</v>
      </c>
      <c r="N1929">
        <v>21.236907760634281</v>
      </c>
      <c r="O1929">
        <v>2103.35</v>
      </c>
      <c r="P1929">
        <v>2800</v>
      </c>
      <c r="Q1929">
        <v>1025</v>
      </c>
      <c r="R1929" s="3" t="s">
        <v>470</v>
      </c>
      <c r="S1929">
        <v>2103.35</v>
      </c>
      <c r="T1929" t="s">
        <v>468</v>
      </c>
    </row>
    <row r="1930" spans="1:20" x14ac:dyDescent="0.25">
      <c r="A1930">
        <v>278</v>
      </c>
      <c r="B1930">
        <v>514238</v>
      </c>
      <c r="C1930" t="s">
        <v>353</v>
      </c>
      <c r="D1930">
        <v>2024</v>
      </c>
      <c r="E1930">
        <v>1108.75</v>
      </c>
      <c r="F1930">
        <v>55.08</v>
      </c>
      <c r="G1930" t="s">
        <v>465</v>
      </c>
      <c r="H1930">
        <v>2800</v>
      </c>
      <c r="I1930">
        <v>1021.299987792969</v>
      </c>
      <c r="L1930" t="s">
        <v>469</v>
      </c>
      <c r="M1930">
        <v>50.835148874364563</v>
      </c>
      <c r="N1930">
        <v>18.542120330300818</v>
      </c>
      <c r="O1930">
        <v>2103.35</v>
      </c>
      <c r="P1930">
        <v>2800</v>
      </c>
      <c r="Q1930">
        <v>1025</v>
      </c>
      <c r="R1930" s="3" t="s">
        <v>470</v>
      </c>
      <c r="S1930">
        <v>2103.35</v>
      </c>
      <c r="T1930" t="s">
        <v>468</v>
      </c>
    </row>
    <row r="1931" spans="1:20" x14ac:dyDescent="0.25">
      <c r="A1931">
        <v>278</v>
      </c>
      <c r="B1931">
        <v>514238</v>
      </c>
      <c r="C1931" t="s">
        <v>353</v>
      </c>
      <c r="D1931">
        <v>2025</v>
      </c>
      <c r="E1931">
        <v>1108.75</v>
      </c>
      <c r="F1931">
        <v>24.69</v>
      </c>
      <c r="G1931" t="s">
        <v>465</v>
      </c>
      <c r="H1931">
        <v>1900</v>
      </c>
      <c r="I1931">
        <v>1000</v>
      </c>
      <c r="L1931" t="s">
        <v>469</v>
      </c>
      <c r="M1931">
        <v>76.954232482786551</v>
      </c>
      <c r="N1931">
        <v>40.502227622519243</v>
      </c>
      <c r="O1931">
        <v>2103.35</v>
      </c>
      <c r="P1931">
        <v>2800</v>
      </c>
      <c r="Q1931">
        <v>1025</v>
      </c>
      <c r="R1931" s="3" t="s">
        <v>470</v>
      </c>
      <c r="S1931">
        <v>2103.35</v>
      </c>
      <c r="T1931" t="s">
        <v>468</v>
      </c>
    </row>
    <row r="1932" spans="1:20" x14ac:dyDescent="0.25">
      <c r="A1932">
        <v>278</v>
      </c>
      <c r="B1932">
        <v>514238</v>
      </c>
      <c r="C1932" t="s">
        <v>353</v>
      </c>
      <c r="D1932">
        <v>2026</v>
      </c>
      <c r="E1932">
        <v>1108.75</v>
      </c>
      <c r="F1932">
        <v>27.61</v>
      </c>
      <c r="G1932" t="s">
        <v>465</v>
      </c>
      <c r="H1932">
        <v>1320</v>
      </c>
      <c r="I1932">
        <v>732</v>
      </c>
      <c r="L1932" t="s">
        <v>469</v>
      </c>
      <c r="M1932">
        <v>47.808764940239037</v>
      </c>
      <c r="N1932">
        <v>26.512133285041649</v>
      </c>
      <c r="O1932">
        <v>2103.35</v>
      </c>
      <c r="P1932">
        <v>2800</v>
      </c>
      <c r="Q1932">
        <v>1025</v>
      </c>
      <c r="R1932" s="3" t="s">
        <v>470</v>
      </c>
      <c r="S1932">
        <v>2103.35</v>
      </c>
      <c r="T1932" t="s">
        <v>468</v>
      </c>
    </row>
    <row r="1933" spans="1:20" x14ac:dyDescent="0.25">
      <c r="A1933">
        <v>279</v>
      </c>
      <c r="B1933">
        <v>514274</v>
      </c>
      <c r="C1933" t="s">
        <v>355</v>
      </c>
      <c r="D1933">
        <v>2015</v>
      </c>
      <c r="E1933">
        <v>62.150001525878913</v>
      </c>
      <c r="F1933">
        <v>0.04</v>
      </c>
      <c r="G1933" t="s">
        <v>465</v>
      </c>
      <c r="H1933">
        <v>40</v>
      </c>
      <c r="I1933">
        <v>18.52499961853027</v>
      </c>
      <c r="L1933" t="s">
        <v>484</v>
      </c>
      <c r="M1933">
        <v>1000</v>
      </c>
      <c r="N1933">
        <v>463.12499046325672</v>
      </c>
      <c r="O1933">
        <f>IFERROR(VLOOKUP(B1933,BSE_500_LIVE!A:E,3,FALSE),"")</f>
        <v>0</v>
      </c>
      <c r="P1933">
        <f>IFERROR(VLOOKUP(B1933,BSE_500_LIVE!A:E,4,FALSE),"")</f>
        <v>0</v>
      </c>
      <c r="Q1933">
        <f>IFERROR(VLOOKUP(B1933,BSE_500_LIVE!A:E,5,FALSE),"")</f>
        <v>0</v>
      </c>
      <c r="R1933" t="str">
        <f t="shared" ref="R1933:R1956" si="26">IF(OR(E1933="",O1933=""),"PENDING_FETCH",IF(ABS(E1933-O1933)/E1933&gt;0.005,"MISMATCH_NEEDS_CORRECTION","VERIFIED_OK"))</f>
        <v>MISMATCH_NEEDS_CORRECTION</v>
      </c>
      <c r="S1933">
        <f t="shared" ref="S1933:S1956" si="27">IF(O1933&lt;&gt;"",O1933,E1933)</f>
        <v>0</v>
      </c>
      <c r="T1933">
        <f>IFERROR(VLOOKUP(B1933,BSE_500_LIVE!A:F,6,FALSE),"")</f>
        <v>0</v>
      </c>
    </row>
    <row r="1934" spans="1:20" x14ac:dyDescent="0.25">
      <c r="A1934">
        <v>279</v>
      </c>
      <c r="B1934">
        <v>514274</v>
      </c>
      <c r="C1934" t="s">
        <v>355</v>
      </c>
      <c r="D1934">
        <v>2016</v>
      </c>
      <c r="E1934">
        <v>62.150001525878913</v>
      </c>
      <c r="F1934">
        <v>1.5</v>
      </c>
      <c r="G1934" t="s">
        <v>465</v>
      </c>
      <c r="H1934">
        <v>55.450000762939453</v>
      </c>
      <c r="I1934">
        <v>23.5</v>
      </c>
      <c r="L1934" t="s">
        <v>469</v>
      </c>
      <c r="M1934">
        <v>36.966667175292969</v>
      </c>
      <c r="N1934">
        <v>15.66666666666667</v>
      </c>
      <c r="O1934">
        <f>IFERROR(VLOOKUP(B1934,BSE_500_LIVE!A:E,3,FALSE),"")</f>
        <v>0</v>
      </c>
      <c r="P1934">
        <f>IFERROR(VLOOKUP(B1934,BSE_500_LIVE!A:E,4,FALSE),"")</f>
        <v>0</v>
      </c>
      <c r="Q1934">
        <f>IFERROR(VLOOKUP(B1934,BSE_500_LIVE!A:E,5,FALSE),"")</f>
        <v>0</v>
      </c>
      <c r="R1934" t="str">
        <f t="shared" si="26"/>
        <v>MISMATCH_NEEDS_CORRECTION</v>
      </c>
      <c r="S1934">
        <f t="shared" si="27"/>
        <v>0</v>
      </c>
      <c r="T1934">
        <f>IFERROR(VLOOKUP(B1934,BSE_500_LIVE!A:F,6,FALSE),"")</f>
        <v>0</v>
      </c>
    </row>
    <row r="1935" spans="1:20" x14ac:dyDescent="0.25">
      <c r="A1935">
        <v>279</v>
      </c>
      <c r="B1935">
        <v>514274</v>
      </c>
      <c r="C1935" t="s">
        <v>355</v>
      </c>
      <c r="D1935">
        <v>2017</v>
      </c>
      <c r="E1935">
        <v>62.150001525878913</v>
      </c>
      <c r="F1935">
        <v>0.38</v>
      </c>
      <c r="G1935" t="s">
        <v>465</v>
      </c>
      <c r="H1935">
        <v>48</v>
      </c>
      <c r="I1935">
        <v>13.27499961853027</v>
      </c>
      <c r="L1935" t="s">
        <v>484</v>
      </c>
      <c r="M1935">
        <v>126.31578947368421</v>
      </c>
      <c r="N1935">
        <v>34.934209522448079</v>
      </c>
      <c r="O1935">
        <f>IFERROR(VLOOKUP(B1935,BSE_500_LIVE!A:E,3,FALSE),"")</f>
        <v>0</v>
      </c>
      <c r="P1935">
        <f>IFERROR(VLOOKUP(B1935,BSE_500_LIVE!A:E,4,FALSE),"")</f>
        <v>0</v>
      </c>
      <c r="Q1935">
        <f>IFERROR(VLOOKUP(B1935,BSE_500_LIVE!A:E,5,FALSE),"")</f>
        <v>0</v>
      </c>
      <c r="R1935" t="str">
        <f t="shared" si="26"/>
        <v>MISMATCH_NEEDS_CORRECTION</v>
      </c>
      <c r="S1935">
        <f t="shared" si="27"/>
        <v>0</v>
      </c>
      <c r="T1935">
        <f>IFERROR(VLOOKUP(B1935,BSE_500_LIVE!A:F,6,FALSE),"")</f>
        <v>0</v>
      </c>
    </row>
    <row r="1936" spans="1:20" x14ac:dyDescent="0.25">
      <c r="A1936">
        <v>279</v>
      </c>
      <c r="B1936">
        <v>514274</v>
      </c>
      <c r="C1936" t="s">
        <v>355</v>
      </c>
      <c r="D1936">
        <v>2018</v>
      </c>
      <c r="E1936">
        <v>62.150001525878913</v>
      </c>
      <c r="F1936">
        <v>1.2</v>
      </c>
      <c r="G1936" t="s">
        <v>465</v>
      </c>
      <c r="H1936">
        <v>29</v>
      </c>
      <c r="I1936">
        <v>11.07499980926514</v>
      </c>
      <c r="L1936" t="s">
        <v>469</v>
      </c>
      <c r="M1936">
        <v>24.166666666666671</v>
      </c>
      <c r="N1936">
        <v>9.2291665077209508</v>
      </c>
      <c r="O1936">
        <f>IFERROR(VLOOKUP(B1936,BSE_500_LIVE!A:E,3,FALSE),"")</f>
        <v>0</v>
      </c>
      <c r="P1936">
        <f>IFERROR(VLOOKUP(B1936,BSE_500_LIVE!A:E,4,FALSE),"")</f>
        <v>0</v>
      </c>
      <c r="Q1936">
        <f>IFERROR(VLOOKUP(B1936,BSE_500_LIVE!A:E,5,FALSE),"")</f>
        <v>0</v>
      </c>
      <c r="R1936" t="str">
        <f t="shared" si="26"/>
        <v>MISMATCH_NEEDS_CORRECTION</v>
      </c>
      <c r="S1936">
        <f t="shared" si="27"/>
        <v>0</v>
      </c>
      <c r="T1936">
        <f>IFERROR(VLOOKUP(B1936,BSE_500_LIVE!A:F,6,FALSE),"")</f>
        <v>0</v>
      </c>
    </row>
    <row r="1937" spans="1:20" x14ac:dyDescent="0.25">
      <c r="A1937">
        <v>279</v>
      </c>
      <c r="B1937">
        <v>514274</v>
      </c>
      <c r="C1937" t="s">
        <v>355</v>
      </c>
      <c r="D1937">
        <v>2019</v>
      </c>
      <c r="E1937">
        <v>62.150001525878913</v>
      </c>
      <c r="F1937">
        <v>0.23</v>
      </c>
      <c r="G1937" t="s">
        <v>465</v>
      </c>
      <c r="H1937">
        <v>17.04999923706055</v>
      </c>
      <c r="I1937">
        <v>5.4600000381469727</v>
      </c>
      <c r="L1937" t="s">
        <v>484</v>
      </c>
      <c r="M1937">
        <v>74.130431465480655</v>
      </c>
      <c r="N1937">
        <v>23.739130600639012</v>
      </c>
      <c r="O1937">
        <f>IFERROR(VLOOKUP(B1937,BSE_500_LIVE!A:E,3,FALSE),"")</f>
        <v>0</v>
      </c>
      <c r="P1937">
        <f>IFERROR(VLOOKUP(B1937,BSE_500_LIVE!A:E,4,FALSE),"")</f>
        <v>0</v>
      </c>
      <c r="Q1937">
        <f>IFERROR(VLOOKUP(B1937,BSE_500_LIVE!A:E,5,FALSE),"")</f>
        <v>0</v>
      </c>
      <c r="R1937" t="str">
        <f t="shared" si="26"/>
        <v>MISMATCH_NEEDS_CORRECTION</v>
      </c>
      <c r="S1937">
        <f t="shared" si="27"/>
        <v>0</v>
      </c>
      <c r="T1937">
        <f>IFERROR(VLOOKUP(B1937,BSE_500_LIVE!A:F,6,FALSE),"")</f>
        <v>0</v>
      </c>
    </row>
    <row r="1938" spans="1:20" x14ac:dyDescent="0.25">
      <c r="A1938">
        <v>279</v>
      </c>
      <c r="B1938">
        <v>514274</v>
      </c>
      <c r="C1938" t="s">
        <v>355</v>
      </c>
      <c r="D1938">
        <v>2020</v>
      </c>
      <c r="E1938">
        <v>62.150001525878913</v>
      </c>
      <c r="F1938">
        <v>-8.94</v>
      </c>
      <c r="G1938" t="s">
        <v>465</v>
      </c>
      <c r="H1938">
        <v>11.47500038146973</v>
      </c>
      <c r="I1938">
        <v>3.1500000953674321</v>
      </c>
      <c r="L1938" t="s">
        <v>471</v>
      </c>
      <c r="M1938">
        <v>-1.283557089649858</v>
      </c>
      <c r="N1938">
        <v>-0.35234900395608859</v>
      </c>
      <c r="O1938">
        <f>IFERROR(VLOOKUP(B1938,BSE_500_LIVE!A:E,3,FALSE),"")</f>
        <v>0</v>
      </c>
      <c r="P1938">
        <f>IFERROR(VLOOKUP(B1938,BSE_500_LIVE!A:E,4,FALSE),"")</f>
        <v>0</v>
      </c>
      <c r="Q1938">
        <f>IFERROR(VLOOKUP(B1938,BSE_500_LIVE!A:E,5,FALSE),"")</f>
        <v>0</v>
      </c>
      <c r="R1938" t="str">
        <f t="shared" si="26"/>
        <v>MISMATCH_NEEDS_CORRECTION</v>
      </c>
      <c r="S1938">
        <f t="shared" si="27"/>
        <v>0</v>
      </c>
      <c r="T1938">
        <f>IFERROR(VLOOKUP(B1938,BSE_500_LIVE!A:F,6,FALSE),"")</f>
        <v>0</v>
      </c>
    </row>
    <row r="1939" spans="1:20" x14ac:dyDescent="0.25">
      <c r="A1939">
        <v>279</v>
      </c>
      <c r="B1939">
        <v>514274</v>
      </c>
      <c r="C1939" t="s">
        <v>355</v>
      </c>
      <c r="D1939">
        <v>2021</v>
      </c>
      <c r="E1939">
        <v>62.150001525878913</v>
      </c>
      <c r="F1939">
        <v>-13.69</v>
      </c>
      <c r="G1939" t="s">
        <v>465</v>
      </c>
      <c r="H1939">
        <v>16.47500038146973</v>
      </c>
      <c r="I1939">
        <v>8.2749996185302734</v>
      </c>
      <c r="L1939" t="s">
        <v>471</v>
      </c>
      <c r="M1939">
        <v>-1.203433190757468</v>
      </c>
      <c r="N1939">
        <v>-0.60445577929366501</v>
      </c>
      <c r="O1939">
        <f>IFERROR(VLOOKUP(B1939,BSE_500_LIVE!A:E,3,FALSE),"")</f>
        <v>0</v>
      </c>
      <c r="P1939">
        <f>IFERROR(VLOOKUP(B1939,BSE_500_LIVE!A:E,4,FALSE),"")</f>
        <v>0</v>
      </c>
      <c r="Q1939">
        <f>IFERROR(VLOOKUP(B1939,BSE_500_LIVE!A:E,5,FALSE),"")</f>
        <v>0</v>
      </c>
      <c r="R1939" t="str">
        <f t="shared" si="26"/>
        <v>MISMATCH_NEEDS_CORRECTION</v>
      </c>
      <c r="S1939">
        <f t="shared" si="27"/>
        <v>0</v>
      </c>
      <c r="T1939">
        <f>IFERROR(VLOOKUP(B1939,BSE_500_LIVE!A:F,6,FALSE),"")</f>
        <v>0</v>
      </c>
    </row>
    <row r="1940" spans="1:20" x14ac:dyDescent="0.25">
      <c r="A1940">
        <v>279</v>
      </c>
      <c r="B1940">
        <v>514274</v>
      </c>
      <c r="C1940" t="s">
        <v>355</v>
      </c>
      <c r="D1940">
        <v>2022</v>
      </c>
      <c r="E1940">
        <v>62.150001525878913</v>
      </c>
      <c r="F1940">
        <v>-8.83</v>
      </c>
      <c r="G1940" t="s">
        <v>465</v>
      </c>
      <c r="H1940">
        <v>16.64999961853027</v>
      </c>
      <c r="I1940">
        <v>8.2250003814697266</v>
      </c>
      <c r="L1940" t="s">
        <v>471</v>
      </c>
      <c r="M1940">
        <v>-1.88561717084148</v>
      </c>
      <c r="N1940">
        <v>-0.93148362191050127</v>
      </c>
      <c r="O1940">
        <f>IFERROR(VLOOKUP(B1940,BSE_500_LIVE!A:E,3,FALSE),"")</f>
        <v>0</v>
      </c>
      <c r="P1940">
        <f>IFERROR(VLOOKUP(B1940,BSE_500_LIVE!A:E,4,FALSE),"")</f>
        <v>0</v>
      </c>
      <c r="Q1940">
        <f>IFERROR(VLOOKUP(B1940,BSE_500_LIVE!A:E,5,FALSE),"")</f>
        <v>0</v>
      </c>
      <c r="R1940" t="str">
        <f t="shared" si="26"/>
        <v>MISMATCH_NEEDS_CORRECTION</v>
      </c>
      <c r="S1940">
        <f t="shared" si="27"/>
        <v>0</v>
      </c>
      <c r="T1940">
        <f>IFERROR(VLOOKUP(B1940,BSE_500_LIVE!A:F,6,FALSE),"")</f>
        <v>0</v>
      </c>
    </row>
    <row r="1941" spans="1:20" x14ac:dyDescent="0.25">
      <c r="A1941">
        <v>279</v>
      </c>
      <c r="B1941">
        <v>514274</v>
      </c>
      <c r="C1941" t="s">
        <v>355</v>
      </c>
      <c r="D1941">
        <v>2023</v>
      </c>
      <c r="E1941">
        <v>62.150001525878913</v>
      </c>
      <c r="F1941">
        <v>-13.87</v>
      </c>
      <c r="G1941" t="s">
        <v>465</v>
      </c>
      <c r="H1941">
        <v>16.395000457763668</v>
      </c>
      <c r="I1941">
        <v>8.375</v>
      </c>
      <c r="L1941" t="s">
        <v>471</v>
      </c>
      <c r="M1941">
        <v>-1.182047617719082</v>
      </c>
      <c r="N1941">
        <v>-0.60382119682768565</v>
      </c>
      <c r="O1941">
        <f>IFERROR(VLOOKUP(B1941,BSE_500_LIVE!A:E,3,FALSE),"")</f>
        <v>0</v>
      </c>
      <c r="P1941">
        <f>IFERROR(VLOOKUP(B1941,BSE_500_LIVE!A:E,4,FALSE),"")</f>
        <v>0</v>
      </c>
      <c r="Q1941">
        <f>IFERROR(VLOOKUP(B1941,BSE_500_LIVE!A:E,5,FALSE),"")</f>
        <v>0</v>
      </c>
      <c r="R1941" t="str">
        <f t="shared" si="26"/>
        <v>MISMATCH_NEEDS_CORRECTION</v>
      </c>
      <c r="S1941">
        <f t="shared" si="27"/>
        <v>0</v>
      </c>
      <c r="T1941">
        <f>IFERROR(VLOOKUP(B1941,BSE_500_LIVE!A:F,6,FALSE),"")</f>
        <v>0</v>
      </c>
    </row>
    <row r="1942" spans="1:20" x14ac:dyDescent="0.25">
      <c r="A1942">
        <v>279</v>
      </c>
      <c r="B1942">
        <v>514274</v>
      </c>
      <c r="C1942" t="s">
        <v>355</v>
      </c>
      <c r="D1942">
        <v>2024</v>
      </c>
      <c r="E1942">
        <v>62.150001525878913</v>
      </c>
      <c r="F1942">
        <v>-9.51</v>
      </c>
      <c r="G1942" t="s">
        <v>465</v>
      </c>
      <c r="H1942">
        <v>57.084999084472663</v>
      </c>
      <c r="I1942">
        <v>11.064999580383301</v>
      </c>
      <c r="L1942" t="s">
        <v>471</v>
      </c>
      <c r="M1942">
        <v>-6.0026287155071154</v>
      </c>
      <c r="N1942">
        <v>-1.163512048410442</v>
      </c>
      <c r="O1942">
        <f>IFERROR(VLOOKUP(B1942,BSE_500_LIVE!A:E,3,FALSE),"")</f>
        <v>0</v>
      </c>
      <c r="P1942">
        <f>IFERROR(VLOOKUP(B1942,BSE_500_LIVE!A:E,4,FALSE),"")</f>
        <v>0</v>
      </c>
      <c r="Q1942">
        <f>IFERROR(VLOOKUP(B1942,BSE_500_LIVE!A:E,5,FALSE),"")</f>
        <v>0</v>
      </c>
      <c r="R1942" t="str">
        <f t="shared" si="26"/>
        <v>MISMATCH_NEEDS_CORRECTION</v>
      </c>
      <c r="S1942">
        <f t="shared" si="27"/>
        <v>0</v>
      </c>
      <c r="T1942">
        <f>IFERROR(VLOOKUP(B1942,BSE_500_LIVE!A:F,6,FALSE),"")</f>
        <v>0</v>
      </c>
    </row>
    <row r="1943" spans="1:20" x14ac:dyDescent="0.25">
      <c r="A1943">
        <v>279</v>
      </c>
      <c r="B1943">
        <v>514274</v>
      </c>
      <c r="C1943" t="s">
        <v>355</v>
      </c>
      <c r="D1943">
        <v>2025</v>
      </c>
      <c r="E1943">
        <v>62.150001525878913</v>
      </c>
      <c r="F1943">
        <v>3.95</v>
      </c>
      <c r="G1943" t="s">
        <v>465</v>
      </c>
      <c r="H1943">
        <v>98.5</v>
      </c>
      <c r="I1943">
        <v>56.525001525878913</v>
      </c>
      <c r="L1943" t="s">
        <v>469</v>
      </c>
      <c r="M1943">
        <v>24.936708860759492</v>
      </c>
      <c r="N1943">
        <v>14.31012696857694</v>
      </c>
      <c r="O1943">
        <f>IFERROR(VLOOKUP(B1943,BSE_500_LIVE!A:E,3,FALSE),"")</f>
        <v>0</v>
      </c>
      <c r="P1943">
        <f>IFERROR(VLOOKUP(B1943,BSE_500_LIVE!A:E,4,FALSE),"")</f>
        <v>0</v>
      </c>
      <c r="Q1943">
        <f>IFERROR(VLOOKUP(B1943,BSE_500_LIVE!A:E,5,FALSE),"")</f>
        <v>0</v>
      </c>
      <c r="R1943" t="str">
        <f t="shared" si="26"/>
        <v>MISMATCH_NEEDS_CORRECTION</v>
      </c>
      <c r="S1943">
        <f t="shared" si="27"/>
        <v>0</v>
      </c>
      <c r="T1943">
        <f>IFERROR(VLOOKUP(B1943,BSE_500_LIVE!A:F,6,FALSE),"")</f>
        <v>0</v>
      </c>
    </row>
    <row r="1944" spans="1:20" x14ac:dyDescent="0.25">
      <c r="A1944">
        <v>279</v>
      </c>
      <c r="B1944">
        <v>514274</v>
      </c>
      <c r="C1944" t="s">
        <v>355</v>
      </c>
      <c r="D1944">
        <v>2026</v>
      </c>
      <c r="E1944">
        <v>62.150001525878913</v>
      </c>
      <c r="F1944">
        <v>2.42</v>
      </c>
      <c r="G1944" t="s">
        <v>465</v>
      </c>
      <c r="H1944">
        <v>80.599998474121094</v>
      </c>
      <c r="I1944">
        <v>44.25</v>
      </c>
      <c r="L1944" t="s">
        <v>469</v>
      </c>
      <c r="M1944">
        <v>33.305784493438473</v>
      </c>
      <c r="N1944">
        <v>18.285123966942152</v>
      </c>
      <c r="O1944">
        <f>IFERROR(VLOOKUP(B1944,BSE_500_LIVE!A:E,3,FALSE),"")</f>
        <v>0</v>
      </c>
      <c r="P1944">
        <f>IFERROR(VLOOKUP(B1944,BSE_500_LIVE!A:E,4,FALSE),"")</f>
        <v>0</v>
      </c>
      <c r="Q1944">
        <f>IFERROR(VLOOKUP(B1944,BSE_500_LIVE!A:E,5,FALSE),"")</f>
        <v>0</v>
      </c>
      <c r="R1944" t="str">
        <f t="shared" si="26"/>
        <v>MISMATCH_NEEDS_CORRECTION</v>
      </c>
      <c r="S1944">
        <f t="shared" si="27"/>
        <v>0</v>
      </c>
      <c r="T1944">
        <f>IFERROR(VLOOKUP(B1944,BSE_500_LIVE!A:F,6,FALSE),"")</f>
        <v>0</v>
      </c>
    </row>
    <row r="1945" spans="1:20" x14ac:dyDescent="0.25">
      <c r="A1945">
        <v>280</v>
      </c>
      <c r="B1945">
        <v>514286</v>
      </c>
      <c r="C1945" t="s">
        <v>357</v>
      </c>
      <c r="D1945">
        <v>2015</v>
      </c>
      <c r="E1945">
        <v>18.120000839233398</v>
      </c>
      <c r="G1945" t="s">
        <v>465</v>
      </c>
      <c r="H1945">
        <v>21.85000038146973</v>
      </c>
      <c r="I1945">
        <v>5.6769990921020508</v>
      </c>
      <c r="L1945" t="s">
        <v>466</v>
      </c>
      <c r="O1945">
        <f>IFERROR(VLOOKUP(B1945,BSE_500_LIVE!A:E,3,FALSE),"")</f>
        <v>0</v>
      </c>
      <c r="P1945">
        <f>IFERROR(VLOOKUP(B1945,BSE_500_LIVE!A:E,4,FALSE),"")</f>
        <v>0</v>
      </c>
      <c r="Q1945">
        <f>IFERROR(VLOOKUP(B1945,BSE_500_LIVE!A:E,5,FALSE),"")</f>
        <v>0</v>
      </c>
      <c r="R1945" t="str">
        <f t="shared" si="26"/>
        <v>MISMATCH_NEEDS_CORRECTION</v>
      </c>
      <c r="S1945">
        <f t="shared" si="27"/>
        <v>0</v>
      </c>
      <c r="T1945">
        <f>IFERROR(VLOOKUP(B1945,BSE_500_LIVE!A:F,6,FALSE),"")</f>
        <v>0</v>
      </c>
    </row>
    <row r="1946" spans="1:20" x14ac:dyDescent="0.25">
      <c r="A1946">
        <v>280</v>
      </c>
      <c r="B1946">
        <v>514286</v>
      </c>
      <c r="C1946" t="s">
        <v>357</v>
      </c>
      <c r="D1946">
        <v>2016</v>
      </c>
      <c r="E1946">
        <v>18.120000839233398</v>
      </c>
      <c r="G1946" t="s">
        <v>465</v>
      </c>
      <c r="H1946">
        <v>21.35000038146973</v>
      </c>
      <c r="I1946">
        <v>9.4499998092651367</v>
      </c>
      <c r="L1946" t="s">
        <v>466</v>
      </c>
      <c r="O1946">
        <f>IFERROR(VLOOKUP(B1946,BSE_500_LIVE!A:E,3,FALSE),"")</f>
        <v>0</v>
      </c>
      <c r="P1946">
        <f>IFERROR(VLOOKUP(B1946,BSE_500_LIVE!A:E,4,FALSE),"")</f>
        <v>0</v>
      </c>
      <c r="Q1946">
        <f>IFERROR(VLOOKUP(B1946,BSE_500_LIVE!A:E,5,FALSE),"")</f>
        <v>0</v>
      </c>
      <c r="R1946" t="str">
        <f t="shared" si="26"/>
        <v>MISMATCH_NEEDS_CORRECTION</v>
      </c>
      <c r="S1946">
        <f t="shared" si="27"/>
        <v>0</v>
      </c>
      <c r="T1946">
        <f>IFERROR(VLOOKUP(B1946,BSE_500_LIVE!A:F,6,FALSE),"")</f>
        <v>0</v>
      </c>
    </row>
    <row r="1947" spans="1:20" x14ac:dyDescent="0.25">
      <c r="A1947">
        <v>280</v>
      </c>
      <c r="B1947">
        <v>514286</v>
      </c>
      <c r="C1947" t="s">
        <v>357</v>
      </c>
      <c r="D1947">
        <v>2017</v>
      </c>
      <c r="E1947">
        <v>18.120000839233398</v>
      </c>
      <c r="G1947" t="s">
        <v>465</v>
      </c>
      <c r="H1947">
        <v>36.700000762939453</v>
      </c>
      <c r="I1947">
        <v>14</v>
      </c>
      <c r="L1947" t="s">
        <v>466</v>
      </c>
      <c r="O1947">
        <f>IFERROR(VLOOKUP(B1947,BSE_500_LIVE!A:E,3,FALSE),"")</f>
        <v>0</v>
      </c>
      <c r="P1947">
        <f>IFERROR(VLOOKUP(B1947,BSE_500_LIVE!A:E,4,FALSE),"")</f>
        <v>0</v>
      </c>
      <c r="Q1947">
        <f>IFERROR(VLOOKUP(B1947,BSE_500_LIVE!A:E,5,FALSE),"")</f>
        <v>0</v>
      </c>
      <c r="R1947" t="str">
        <f t="shared" si="26"/>
        <v>MISMATCH_NEEDS_CORRECTION</v>
      </c>
      <c r="S1947">
        <f t="shared" si="27"/>
        <v>0</v>
      </c>
      <c r="T1947">
        <f>IFERROR(VLOOKUP(B1947,BSE_500_LIVE!A:F,6,FALSE),"")</f>
        <v>0</v>
      </c>
    </row>
    <row r="1948" spans="1:20" x14ac:dyDescent="0.25">
      <c r="A1948">
        <v>280</v>
      </c>
      <c r="B1948">
        <v>514286</v>
      </c>
      <c r="C1948" t="s">
        <v>357</v>
      </c>
      <c r="D1948">
        <v>2018</v>
      </c>
      <c r="E1948">
        <v>18.120000839233398</v>
      </c>
      <c r="G1948" t="s">
        <v>465</v>
      </c>
      <c r="H1948">
        <v>38.299999237060547</v>
      </c>
      <c r="I1948">
        <v>11.64999961853027</v>
      </c>
      <c r="L1948" t="s">
        <v>466</v>
      </c>
      <c r="O1948">
        <f>IFERROR(VLOOKUP(B1948,BSE_500_LIVE!A:E,3,FALSE),"")</f>
        <v>0</v>
      </c>
      <c r="P1948">
        <f>IFERROR(VLOOKUP(B1948,BSE_500_LIVE!A:E,4,FALSE),"")</f>
        <v>0</v>
      </c>
      <c r="Q1948">
        <f>IFERROR(VLOOKUP(B1948,BSE_500_LIVE!A:E,5,FALSE),"")</f>
        <v>0</v>
      </c>
      <c r="R1948" t="str">
        <f t="shared" si="26"/>
        <v>MISMATCH_NEEDS_CORRECTION</v>
      </c>
      <c r="S1948">
        <f t="shared" si="27"/>
        <v>0</v>
      </c>
      <c r="T1948">
        <f>IFERROR(VLOOKUP(B1948,BSE_500_LIVE!A:F,6,FALSE),"")</f>
        <v>0</v>
      </c>
    </row>
    <row r="1949" spans="1:20" x14ac:dyDescent="0.25">
      <c r="A1949">
        <v>280</v>
      </c>
      <c r="B1949">
        <v>514286</v>
      </c>
      <c r="C1949" t="s">
        <v>357</v>
      </c>
      <c r="D1949">
        <v>2019</v>
      </c>
      <c r="E1949">
        <v>18.120000839233398</v>
      </c>
      <c r="F1949">
        <v>2.54</v>
      </c>
      <c r="G1949" t="s">
        <v>465</v>
      </c>
      <c r="H1949">
        <v>18.25</v>
      </c>
      <c r="I1949">
        <v>5.6500000953674316</v>
      </c>
      <c r="L1949" t="s">
        <v>469</v>
      </c>
      <c r="M1949">
        <v>7.1850393700787398</v>
      </c>
      <c r="N1949">
        <v>2.22440948636513</v>
      </c>
      <c r="O1949">
        <f>IFERROR(VLOOKUP(B1949,BSE_500_LIVE!A:E,3,FALSE),"")</f>
        <v>0</v>
      </c>
      <c r="P1949">
        <f>IFERROR(VLOOKUP(B1949,BSE_500_LIVE!A:E,4,FALSE),"")</f>
        <v>0</v>
      </c>
      <c r="Q1949">
        <f>IFERROR(VLOOKUP(B1949,BSE_500_LIVE!A:E,5,FALSE),"")</f>
        <v>0</v>
      </c>
      <c r="R1949" t="str">
        <f t="shared" si="26"/>
        <v>MISMATCH_NEEDS_CORRECTION</v>
      </c>
      <c r="S1949">
        <f t="shared" si="27"/>
        <v>0</v>
      </c>
      <c r="T1949">
        <f>IFERROR(VLOOKUP(B1949,BSE_500_LIVE!A:F,6,FALSE),"")</f>
        <v>0</v>
      </c>
    </row>
    <row r="1950" spans="1:20" x14ac:dyDescent="0.25">
      <c r="A1950">
        <v>280</v>
      </c>
      <c r="B1950">
        <v>514286</v>
      </c>
      <c r="C1950" t="s">
        <v>357</v>
      </c>
      <c r="D1950">
        <v>2020</v>
      </c>
      <c r="E1950">
        <v>18.120000839233398</v>
      </c>
      <c r="F1950">
        <v>-0.26</v>
      </c>
      <c r="G1950" t="s">
        <v>465</v>
      </c>
      <c r="H1950">
        <v>15.05000019073486</v>
      </c>
      <c r="I1950">
        <v>3</v>
      </c>
      <c r="L1950" t="s">
        <v>471</v>
      </c>
      <c r="M1950">
        <v>-57.884616118211</v>
      </c>
      <c r="N1950">
        <v>-11.53846153846154</v>
      </c>
      <c r="O1950">
        <f>IFERROR(VLOOKUP(B1950,BSE_500_LIVE!A:E,3,FALSE),"")</f>
        <v>0</v>
      </c>
      <c r="P1950">
        <f>IFERROR(VLOOKUP(B1950,BSE_500_LIVE!A:E,4,FALSE),"")</f>
        <v>0</v>
      </c>
      <c r="Q1950">
        <f>IFERROR(VLOOKUP(B1950,BSE_500_LIVE!A:E,5,FALSE),"")</f>
        <v>0</v>
      </c>
      <c r="R1950" t="str">
        <f t="shared" si="26"/>
        <v>MISMATCH_NEEDS_CORRECTION</v>
      </c>
      <c r="S1950">
        <f t="shared" si="27"/>
        <v>0</v>
      </c>
      <c r="T1950">
        <f>IFERROR(VLOOKUP(B1950,BSE_500_LIVE!A:F,6,FALSE),"")</f>
        <v>0</v>
      </c>
    </row>
    <row r="1951" spans="1:20" x14ac:dyDescent="0.25">
      <c r="A1951">
        <v>280</v>
      </c>
      <c r="B1951">
        <v>514286</v>
      </c>
      <c r="C1951" t="s">
        <v>357</v>
      </c>
      <c r="D1951">
        <v>2021</v>
      </c>
      <c r="E1951">
        <v>18.120000839233398</v>
      </c>
      <c r="F1951">
        <v>-0.6</v>
      </c>
      <c r="G1951" t="s">
        <v>465</v>
      </c>
      <c r="H1951">
        <v>21.64999961853027</v>
      </c>
      <c r="I1951">
        <v>12.35000038146973</v>
      </c>
      <c r="L1951" t="s">
        <v>471</v>
      </c>
      <c r="M1951">
        <v>-36.083332697550453</v>
      </c>
      <c r="N1951">
        <v>-20.583333969116222</v>
      </c>
      <c r="O1951">
        <f>IFERROR(VLOOKUP(B1951,BSE_500_LIVE!A:E,3,FALSE),"")</f>
        <v>0</v>
      </c>
      <c r="P1951">
        <f>IFERROR(VLOOKUP(B1951,BSE_500_LIVE!A:E,4,FALSE),"")</f>
        <v>0</v>
      </c>
      <c r="Q1951">
        <f>IFERROR(VLOOKUP(B1951,BSE_500_LIVE!A:E,5,FALSE),"")</f>
        <v>0</v>
      </c>
      <c r="R1951" t="str">
        <f t="shared" si="26"/>
        <v>MISMATCH_NEEDS_CORRECTION</v>
      </c>
      <c r="S1951">
        <f t="shared" si="27"/>
        <v>0</v>
      </c>
      <c r="T1951">
        <f>IFERROR(VLOOKUP(B1951,BSE_500_LIVE!A:F,6,FALSE),"")</f>
        <v>0</v>
      </c>
    </row>
    <row r="1952" spans="1:20" x14ac:dyDescent="0.25">
      <c r="A1952">
        <v>280</v>
      </c>
      <c r="B1952">
        <v>514286</v>
      </c>
      <c r="C1952" t="s">
        <v>357</v>
      </c>
      <c r="D1952">
        <v>2022</v>
      </c>
      <c r="E1952">
        <v>18.120000839233398</v>
      </c>
      <c r="F1952">
        <v>0.93</v>
      </c>
      <c r="G1952" t="s">
        <v>465</v>
      </c>
      <c r="H1952">
        <v>23.29999923706055</v>
      </c>
      <c r="I1952">
        <v>11</v>
      </c>
      <c r="L1952" t="s">
        <v>469</v>
      </c>
      <c r="M1952">
        <v>25.05376262049521</v>
      </c>
      <c r="N1952">
        <v>11.82795698924731</v>
      </c>
      <c r="O1952">
        <f>IFERROR(VLOOKUP(B1952,BSE_500_LIVE!A:E,3,FALSE),"")</f>
        <v>0</v>
      </c>
      <c r="P1952">
        <f>IFERROR(VLOOKUP(B1952,BSE_500_LIVE!A:E,4,FALSE),"")</f>
        <v>0</v>
      </c>
      <c r="Q1952">
        <f>IFERROR(VLOOKUP(B1952,BSE_500_LIVE!A:E,5,FALSE),"")</f>
        <v>0</v>
      </c>
      <c r="R1952" t="str">
        <f t="shared" si="26"/>
        <v>MISMATCH_NEEDS_CORRECTION</v>
      </c>
      <c r="S1952">
        <f t="shared" si="27"/>
        <v>0</v>
      </c>
      <c r="T1952">
        <f>IFERROR(VLOOKUP(B1952,BSE_500_LIVE!A:F,6,FALSE),"")</f>
        <v>0</v>
      </c>
    </row>
    <row r="1953" spans="1:20" x14ac:dyDescent="0.25">
      <c r="A1953">
        <v>280</v>
      </c>
      <c r="B1953">
        <v>514286</v>
      </c>
      <c r="C1953" t="s">
        <v>357</v>
      </c>
      <c r="D1953">
        <v>2023</v>
      </c>
      <c r="E1953">
        <v>18.120000839233398</v>
      </c>
      <c r="G1953" t="s">
        <v>465</v>
      </c>
      <c r="H1953">
        <v>19.45000076293945</v>
      </c>
      <c r="I1953">
        <v>12.05000019073486</v>
      </c>
      <c r="L1953" t="s">
        <v>466</v>
      </c>
      <c r="O1953">
        <f>IFERROR(VLOOKUP(B1953,BSE_500_LIVE!A:E,3,FALSE),"")</f>
        <v>0</v>
      </c>
      <c r="P1953">
        <f>IFERROR(VLOOKUP(B1953,BSE_500_LIVE!A:E,4,FALSE),"")</f>
        <v>0</v>
      </c>
      <c r="Q1953">
        <f>IFERROR(VLOOKUP(B1953,BSE_500_LIVE!A:E,5,FALSE),"")</f>
        <v>0</v>
      </c>
      <c r="R1953" t="str">
        <f t="shared" si="26"/>
        <v>MISMATCH_NEEDS_CORRECTION</v>
      </c>
      <c r="S1953">
        <f t="shared" si="27"/>
        <v>0</v>
      </c>
      <c r="T1953">
        <f>IFERROR(VLOOKUP(B1953,BSE_500_LIVE!A:F,6,FALSE),"")</f>
        <v>0</v>
      </c>
    </row>
    <row r="1954" spans="1:20" x14ac:dyDescent="0.25">
      <c r="A1954">
        <v>280</v>
      </c>
      <c r="B1954">
        <v>514286</v>
      </c>
      <c r="C1954" t="s">
        <v>357</v>
      </c>
      <c r="D1954">
        <v>2024</v>
      </c>
      <c r="E1954">
        <v>18.120000839233398</v>
      </c>
      <c r="F1954">
        <v>5.03</v>
      </c>
      <c r="G1954" t="s">
        <v>465</v>
      </c>
      <c r="H1954">
        <v>51.919998168945313</v>
      </c>
      <c r="I1954">
        <v>16.659999847412109</v>
      </c>
      <c r="L1954" t="s">
        <v>469</v>
      </c>
      <c r="M1954">
        <v>10.322067230406621</v>
      </c>
      <c r="N1954">
        <v>3.312127206244952</v>
      </c>
      <c r="O1954">
        <f>IFERROR(VLOOKUP(B1954,BSE_500_LIVE!A:E,3,FALSE),"")</f>
        <v>0</v>
      </c>
      <c r="P1954">
        <f>IFERROR(VLOOKUP(B1954,BSE_500_LIVE!A:E,4,FALSE),"")</f>
        <v>0</v>
      </c>
      <c r="Q1954">
        <f>IFERROR(VLOOKUP(B1954,BSE_500_LIVE!A:E,5,FALSE),"")</f>
        <v>0</v>
      </c>
      <c r="R1954" t="str">
        <f t="shared" si="26"/>
        <v>MISMATCH_NEEDS_CORRECTION</v>
      </c>
      <c r="S1954">
        <f t="shared" si="27"/>
        <v>0</v>
      </c>
      <c r="T1954">
        <f>IFERROR(VLOOKUP(B1954,BSE_500_LIVE!A:F,6,FALSE),"")</f>
        <v>0</v>
      </c>
    </row>
    <row r="1955" spans="1:20" x14ac:dyDescent="0.25">
      <c r="A1955">
        <v>280</v>
      </c>
      <c r="B1955">
        <v>514286</v>
      </c>
      <c r="C1955" t="s">
        <v>357</v>
      </c>
      <c r="D1955">
        <v>2025</v>
      </c>
      <c r="E1955">
        <v>18.120000839233398</v>
      </c>
      <c r="F1955">
        <v>-0.99</v>
      </c>
      <c r="G1955" t="s">
        <v>465</v>
      </c>
      <c r="H1955">
        <v>36.319999694824219</v>
      </c>
      <c r="I1955">
        <v>16.39999961853027</v>
      </c>
      <c r="L1955" t="s">
        <v>471</v>
      </c>
      <c r="M1955">
        <v>-36.68686837861032</v>
      </c>
      <c r="N1955">
        <v>-16.565656180333601</v>
      </c>
      <c r="O1955">
        <f>IFERROR(VLOOKUP(B1955,BSE_500_LIVE!A:E,3,FALSE),"")</f>
        <v>0</v>
      </c>
      <c r="P1955">
        <f>IFERROR(VLOOKUP(B1955,BSE_500_LIVE!A:E,4,FALSE),"")</f>
        <v>0</v>
      </c>
      <c r="Q1955">
        <f>IFERROR(VLOOKUP(B1955,BSE_500_LIVE!A:E,5,FALSE),"")</f>
        <v>0</v>
      </c>
      <c r="R1955" t="str">
        <f t="shared" si="26"/>
        <v>MISMATCH_NEEDS_CORRECTION</v>
      </c>
      <c r="S1955">
        <f t="shared" si="27"/>
        <v>0</v>
      </c>
      <c r="T1955">
        <f>IFERROR(VLOOKUP(B1955,BSE_500_LIVE!A:F,6,FALSE),"")</f>
        <v>0</v>
      </c>
    </row>
    <row r="1956" spans="1:20" x14ac:dyDescent="0.25">
      <c r="A1956">
        <v>280</v>
      </c>
      <c r="B1956">
        <v>514286</v>
      </c>
      <c r="C1956" t="s">
        <v>357</v>
      </c>
      <c r="D1956">
        <v>2026</v>
      </c>
      <c r="E1956">
        <v>18.120000839233398</v>
      </c>
      <c r="F1956">
        <v>-1.06</v>
      </c>
      <c r="G1956" t="s">
        <v>465</v>
      </c>
      <c r="H1956">
        <v>20.29999923706055</v>
      </c>
      <c r="I1956">
        <v>11.30000019073486</v>
      </c>
      <c r="L1956" t="s">
        <v>471</v>
      </c>
      <c r="M1956">
        <v>-19.150942676472219</v>
      </c>
      <c r="N1956">
        <v>-10.66037753842911</v>
      </c>
      <c r="O1956">
        <f>IFERROR(VLOOKUP(B1956,BSE_500_LIVE!A:E,3,FALSE),"")</f>
        <v>0</v>
      </c>
      <c r="P1956">
        <f>IFERROR(VLOOKUP(B1956,BSE_500_LIVE!A:E,4,FALSE),"")</f>
        <v>0</v>
      </c>
      <c r="Q1956">
        <f>IFERROR(VLOOKUP(B1956,BSE_500_LIVE!A:E,5,FALSE),"")</f>
        <v>0</v>
      </c>
      <c r="R1956" t="str">
        <f t="shared" si="26"/>
        <v>MISMATCH_NEEDS_CORRECTION</v>
      </c>
      <c r="S1956">
        <f t="shared" si="27"/>
        <v>0</v>
      </c>
      <c r="T1956">
        <f>IFERROR(VLOOKUP(B1956,BSE_500_LIVE!A:F,6,FALSE),"")</f>
        <v>0</v>
      </c>
    </row>
    <row r="1957" spans="1:20" x14ac:dyDescent="0.25">
      <c r="A1957">
        <v>281</v>
      </c>
      <c r="B1957">
        <v>514302</v>
      </c>
      <c r="C1957" t="s">
        <v>359</v>
      </c>
      <c r="D1957">
        <v>2015</v>
      </c>
      <c r="E1957">
        <v>167.19999694824219</v>
      </c>
      <c r="F1957">
        <v>5.54</v>
      </c>
      <c r="G1957" t="s">
        <v>465</v>
      </c>
      <c r="H1957">
        <v>32.900001525878913</v>
      </c>
      <c r="I1957">
        <v>13.75</v>
      </c>
      <c r="L1957" t="s">
        <v>469</v>
      </c>
      <c r="M1957">
        <v>5.9386284342741718</v>
      </c>
      <c r="N1957">
        <v>2.4819494584837551</v>
      </c>
      <c r="O1957">
        <v>158.65</v>
      </c>
      <c r="P1957">
        <v>228.3</v>
      </c>
      <c r="Q1957">
        <v>133.5</v>
      </c>
      <c r="R1957" s="3" t="s">
        <v>470</v>
      </c>
      <c r="S1957">
        <v>158.65</v>
      </c>
      <c r="T1957" t="s">
        <v>468</v>
      </c>
    </row>
    <row r="1958" spans="1:20" x14ac:dyDescent="0.25">
      <c r="A1958">
        <v>281</v>
      </c>
      <c r="B1958">
        <v>514302</v>
      </c>
      <c r="C1958" t="s">
        <v>359</v>
      </c>
      <c r="D1958">
        <v>2016</v>
      </c>
      <c r="E1958">
        <v>167.19999694824219</v>
      </c>
      <c r="F1958">
        <v>5.26</v>
      </c>
      <c r="G1958" t="s">
        <v>465</v>
      </c>
      <c r="H1958">
        <v>42</v>
      </c>
      <c r="I1958">
        <v>20.60000038146973</v>
      </c>
      <c r="L1958" t="s">
        <v>469</v>
      </c>
      <c r="M1958">
        <v>7.9847908745247151</v>
      </c>
      <c r="N1958">
        <v>3.916349882408694</v>
      </c>
      <c r="O1958">
        <v>158.65</v>
      </c>
      <c r="P1958">
        <v>228.3</v>
      </c>
      <c r="Q1958">
        <v>133.5</v>
      </c>
      <c r="R1958" s="3" t="s">
        <v>470</v>
      </c>
      <c r="S1958">
        <v>158.65</v>
      </c>
      <c r="T1958" t="s">
        <v>468</v>
      </c>
    </row>
    <row r="1959" spans="1:20" x14ac:dyDescent="0.25">
      <c r="A1959">
        <v>281</v>
      </c>
      <c r="B1959">
        <v>514302</v>
      </c>
      <c r="C1959" t="s">
        <v>359</v>
      </c>
      <c r="D1959">
        <v>2017</v>
      </c>
      <c r="E1959">
        <v>167.19999694824219</v>
      </c>
      <c r="F1959">
        <v>5.66</v>
      </c>
      <c r="G1959" t="s">
        <v>465</v>
      </c>
      <c r="H1959">
        <v>61.599998474121087</v>
      </c>
      <c r="I1959">
        <v>29.5</v>
      </c>
      <c r="L1959" t="s">
        <v>469</v>
      </c>
      <c r="M1959">
        <v>10.8833919565585</v>
      </c>
      <c r="N1959">
        <v>5.2120141342756181</v>
      </c>
      <c r="O1959">
        <v>158.65</v>
      </c>
      <c r="P1959">
        <v>228.3</v>
      </c>
      <c r="Q1959">
        <v>133.5</v>
      </c>
      <c r="R1959" s="3" t="s">
        <v>470</v>
      </c>
      <c r="S1959">
        <v>158.65</v>
      </c>
      <c r="T1959" t="s">
        <v>468</v>
      </c>
    </row>
    <row r="1960" spans="1:20" x14ac:dyDescent="0.25">
      <c r="A1960">
        <v>281</v>
      </c>
      <c r="B1960">
        <v>514302</v>
      </c>
      <c r="C1960" t="s">
        <v>359</v>
      </c>
      <c r="D1960">
        <v>2018</v>
      </c>
      <c r="E1960">
        <v>167.19999694824219</v>
      </c>
      <c r="F1960">
        <v>5.84</v>
      </c>
      <c r="G1960" t="s">
        <v>465</v>
      </c>
      <c r="H1960">
        <v>61</v>
      </c>
      <c r="I1960">
        <v>37.650001525878913</v>
      </c>
      <c r="L1960" t="s">
        <v>469</v>
      </c>
      <c r="M1960">
        <v>10.445205479452049</v>
      </c>
      <c r="N1960">
        <v>6.4469180694998141</v>
      </c>
      <c r="O1960">
        <v>158.65</v>
      </c>
      <c r="P1960">
        <v>228.3</v>
      </c>
      <c r="Q1960">
        <v>133.5</v>
      </c>
      <c r="R1960" s="3" t="s">
        <v>470</v>
      </c>
      <c r="S1960">
        <v>158.65</v>
      </c>
      <c r="T1960" t="s">
        <v>468</v>
      </c>
    </row>
    <row r="1961" spans="1:20" x14ac:dyDescent="0.25">
      <c r="A1961">
        <v>281</v>
      </c>
      <c r="B1961">
        <v>514302</v>
      </c>
      <c r="C1961" t="s">
        <v>359</v>
      </c>
      <c r="D1961">
        <v>2019</v>
      </c>
      <c r="E1961">
        <v>167.19999694824219</v>
      </c>
      <c r="F1961">
        <v>7.61</v>
      </c>
      <c r="G1961" t="s">
        <v>465</v>
      </c>
      <c r="H1961">
        <v>49.049999237060547</v>
      </c>
      <c r="I1961">
        <v>29.39999961853027</v>
      </c>
      <c r="L1961" t="s">
        <v>469</v>
      </c>
      <c r="M1961">
        <v>6.4454663912037509</v>
      </c>
      <c r="N1961">
        <v>3.8633376634073939</v>
      </c>
      <c r="O1961">
        <v>158.65</v>
      </c>
      <c r="P1961">
        <v>228.3</v>
      </c>
      <c r="Q1961">
        <v>133.5</v>
      </c>
      <c r="R1961" s="3" t="s">
        <v>470</v>
      </c>
      <c r="S1961">
        <v>158.65</v>
      </c>
      <c r="T1961" t="s">
        <v>468</v>
      </c>
    </row>
    <row r="1962" spans="1:20" x14ac:dyDescent="0.25">
      <c r="A1962">
        <v>281</v>
      </c>
      <c r="B1962">
        <v>514302</v>
      </c>
      <c r="C1962" t="s">
        <v>359</v>
      </c>
      <c r="D1962">
        <v>2020</v>
      </c>
      <c r="E1962">
        <v>167.19999694824219</v>
      </c>
      <c r="F1962">
        <v>6.46</v>
      </c>
      <c r="G1962" t="s">
        <v>465</v>
      </c>
      <c r="H1962">
        <v>39.700000762939453</v>
      </c>
      <c r="I1962">
        <v>28.95000076293945</v>
      </c>
      <c r="L1962" t="s">
        <v>469</v>
      </c>
      <c r="M1962">
        <v>6.1455109540153954</v>
      </c>
      <c r="N1962">
        <v>4.4814242667088928</v>
      </c>
      <c r="O1962">
        <v>158.65</v>
      </c>
      <c r="P1962">
        <v>228.3</v>
      </c>
      <c r="Q1962">
        <v>133.5</v>
      </c>
      <c r="R1962" s="3" t="s">
        <v>470</v>
      </c>
      <c r="S1962">
        <v>158.65</v>
      </c>
      <c r="T1962" t="s">
        <v>468</v>
      </c>
    </row>
    <row r="1963" spans="1:20" x14ac:dyDescent="0.25">
      <c r="A1963">
        <v>281</v>
      </c>
      <c r="B1963">
        <v>514302</v>
      </c>
      <c r="C1963" t="s">
        <v>359</v>
      </c>
      <c r="D1963">
        <v>2021</v>
      </c>
      <c r="E1963">
        <v>167.19999694824219</v>
      </c>
      <c r="F1963">
        <v>6.76</v>
      </c>
      <c r="G1963" t="s">
        <v>465</v>
      </c>
      <c r="H1963">
        <v>144</v>
      </c>
      <c r="I1963">
        <v>34.400001525878913</v>
      </c>
      <c r="L1963" t="s">
        <v>469</v>
      </c>
      <c r="M1963">
        <v>21.301775147929</v>
      </c>
      <c r="N1963">
        <v>5.0887576221714372</v>
      </c>
      <c r="O1963">
        <v>158.65</v>
      </c>
      <c r="P1963">
        <v>228.3</v>
      </c>
      <c r="Q1963">
        <v>133.5</v>
      </c>
      <c r="R1963" s="3" t="s">
        <v>470</v>
      </c>
      <c r="S1963">
        <v>158.65</v>
      </c>
      <c r="T1963" t="s">
        <v>468</v>
      </c>
    </row>
    <row r="1964" spans="1:20" x14ac:dyDescent="0.25">
      <c r="A1964">
        <v>281</v>
      </c>
      <c r="B1964">
        <v>514302</v>
      </c>
      <c r="C1964" t="s">
        <v>359</v>
      </c>
      <c r="D1964">
        <v>2022</v>
      </c>
      <c r="E1964">
        <v>167.19999694824219</v>
      </c>
      <c r="F1964">
        <v>20.73</v>
      </c>
      <c r="G1964" t="s">
        <v>465</v>
      </c>
      <c r="H1964">
        <v>167.6499938964844</v>
      </c>
      <c r="I1964">
        <v>91.099998474121094</v>
      </c>
      <c r="L1964" t="s">
        <v>469</v>
      </c>
      <c r="M1964">
        <v>8.0873127784121763</v>
      </c>
      <c r="N1964">
        <v>4.3945971285152483</v>
      </c>
      <c r="O1964">
        <v>158.65</v>
      </c>
      <c r="P1964">
        <v>228.3</v>
      </c>
      <c r="Q1964">
        <v>133.5</v>
      </c>
      <c r="R1964" s="3" t="s">
        <v>470</v>
      </c>
      <c r="S1964">
        <v>158.65</v>
      </c>
      <c r="T1964" t="s">
        <v>468</v>
      </c>
    </row>
    <row r="1965" spans="1:20" x14ac:dyDescent="0.25">
      <c r="A1965">
        <v>281</v>
      </c>
      <c r="B1965">
        <v>514302</v>
      </c>
      <c r="C1965" t="s">
        <v>359</v>
      </c>
      <c r="D1965">
        <v>2023</v>
      </c>
      <c r="E1965">
        <v>167.19999694824219</v>
      </c>
      <c r="F1965">
        <v>18.25</v>
      </c>
      <c r="G1965" t="s">
        <v>465</v>
      </c>
      <c r="H1965">
        <v>217.69999694824219</v>
      </c>
      <c r="I1965">
        <v>122</v>
      </c>
      <c r="L1965" t="s">
        <v>469</v>
      </c>
      <c r="M1965">
        <v>11.92876695606807</v>
      </c>
      <c r="N1965">
        <v>6.6849315068493151</v>
      </c>
      <c r="O1965">
        <v>158.65</v>
      </c>
      <c r="P1965">
        <v>228.3</v>
      </c>
      <c r="Q1965">
        <v>133.5</v>
      </c>
      <c r="R1965" s="3" t="s">
        <v>470</v>
      </c>
      <c r="S1965">
        <v>158.65</v>
      </c>
      <c r="T1965" t="s">
        <v>468</v>
      </c>
    </row>
    <row r="1966" spans="1:20" x14ac:dyDescent="0.25">
      <c r="A1966">
        <v>281</v>
      </c>
      <c r="B1966">
        <v>514302</v>
      </c>
      <c r="C1966" t="s">
        <v>359</v>
      </c>
      <c r="D1966">
        <v>2024</v>
      </c>
      <c r="E1966">
        <v>167.19999694824219</v>
      </c>
      <c r="F1966">
        <v>7.43</v>
      </c>
      <c r="G1966" t="s">
        <v>465</v>
      </c>
      <c r="H1966">
        <v>228.30000305175781</v>
      </c>
      <c r="I1966">
        <v>133.5</v>
      </c>
      <c r="L1966" t="s">
        <v>469</v>
      </c>
      <c r="M1966">
        <v>30.72678372163632</v>
      </c>
      <c r="N1966">
        <v>17.96769851951548</v>
      </c>
      <c r="O1966">
        <v>158.65</v>
      </c>
      <c r="P1966">
        <v>228.3</v>
      </c>
      <c r="Q1966">
        <v>133.5</v>
      </c>
      <c r="R1966" s="3" t="s">
        <v>470</v>
      </c>
      <c r="S1966">
        <v>158.65</v>
      </c>
      <c r="T1966" t="s">
        <v>468</v>
      </c>
    </row>
    <row r="1967" spans="1:20" x14ac:dyDescent="0.25">
      <c r="A1967">
        <v>281</v>
      </c>
      <c r="B1967">
        <v>514302</v>
      </c>
      <c r="C1967" t="s">
        <v>359</v>
      </c>
      <c r="D1967">
        <v>2025</v>
      </c>
      <c r="E1967">
        <v>167.19999694824219</v>
      </c>
      <c r="F1967">
        <v>19.57</v>
      </c>
      <c r="G1967" t="s">
        <v>465</v>
      </c>
      <c r="H1967">
        <v>204.8999938964844</v>
      </c>
      <c r="I1967">
        <v>150</v>
      </c>
      <c r="L1967" t="s">
        <v>469</v>
      </c>
      <c r="M1967">
        <v>10.47010699522148</v>
      </c>
      <c r="N1967">
        <v>7.664793050587634</v>
      </c>
      <c r="O1967">
        <v>158.65</v>
      </c>
      <c r="P1967">
        <v>228.3</v>
      </c>
      <c r="Q1967">
        <v>133.5</v>
      </c>
      <c r="R1967" s="3" t="s">
        <v>470</v>
      </c>
      <c r="S1967">
        <v>158.65</v>
      </c>
      <c r="T1967" t="s">
        <v>468</v>
      </c>
    </row>
    <row r="1968" spans="1:20" x14ac:dyDescent="0.25">
      <c r="A1968">
        <v>281</v>
      </c>
      <c r="B1968">
        <v>514302</v>
      </c>
      <c r="C1968" t="s">
        <v>359</v>
      </c>
      <c r="D1968">
        <v>2026</v>
      </c>
      <c r="E1968">
        <v>167.19999694824219</v>
      </c>
      <c r="F1968">
        <v>20.41</v>
      </c>
      <c r="G1968" t="s">
        <v>465</v>
      </c>
      <c r="H1968">
        <v>189</v>
      </c>
      <c r="I1968">
        <v>130.6000061035156</v>
      </c>
      <c r="L1968" t="s">
        <v>469</v>
      </c>
      <c r="M1968">
        <v>9.2601665850073491</v>
      </c>
      <c r="N1968">
        <v>6.3988244048758256</v>
      </c>
      <c r="O1968">
        <v>158.65</v>
      </c>
      <c r="P1968">
        <v>228.3</v>
      </c>
      <c r="Q1968">
        <v>133.5</v>
      </c>
      <c r="R1968" s="3" t="s">
        <v>470</v>
      </c>
      <c r="S1968">
        <v>158.65</v>
      </c>
      <c r="T1968" t="s">
        <v>468</v>
      </c>
    </row>
    <row r="1969" spans="1:20" x14ac:dyDescent="0.25">
      <c r="A1969">
        <v>282</v>
      </c>
      <c r="B1969">
        <v>514312</v>
      </c>
      <c r="C1969" t="s">
        <v>361</v>
      </c>
      <c r="D1969">
        <v>2015</v>
      </c>
      <c r="E1969">
        <v>39.970001220703118</v>
      </c>
      <c r="F1969">
        <v>0.08</v>
      </c>
      <c r="G1969" t="s">
        <v>465</v>
      </c>
      <c r="H1969">
        <v>14</v>
      </c>
      <c r="I1969">
        <v>6.0999999046325684</v>
      </c>
      <c r="L1969" t="s">
        <v>484</v>
      </c>
      <c r="M1969">
        <v>175</v>
      </c>
      <c r="N1969">
        <v>76.249998807907104</v>
      </c>
      <c r="O1969">
        <v>28.29</v>
      </c>
      <c r="P1969">
        <v>56.74</v>
      </c>
      <c r="Q1969">
        <v>23.51</v>
      </c>
      <c r="R1969" s="3" t="s">
        <v>470</v>
      </c>
      <c r="S1969">
        <v>28.29</v>
      </c>
      <c r="T1969" t="s">
        <v>468</v>
      </c>
    </row>
    <row r="1970" spans="1:20" x14ac:dyDescent="0.25">
      <c r="A1970">
        <v>282</v>
      </c>
      <c r="B1970">
        <v>514312</v>
      </c>
      <c r="C1970" t="s">
        <v>361</v>
      </c>
      <c r="D1970">
        <v>2016</v>
      </c>
      <c r="E1970">
        <v>39.970001220703118</v>
      </c>
      <c r="F1970">
        <v>0.08</v>
      </c>
      <c r="G1970" t="s">
        <v>465</v>
      </c>
      <c r="H1970">
        <v>12.19999980926514</v>
      </c>
      <c r="I1970">
        <v>4.0999999046325684</v>
      </c>
      <c r="L1970" t="s">
        <v>484</v>
      </c>
      <c r="M1970">
        <v>152.49999761581421</v>
      </c>
      <c r="N1970">
        <v>51.249998807907097</v>
      </c>
      <c r="O1970">
        <v>28.29</v>
      </c>
      <c r="P1970">
        <v>56.74</v>
      </c>
      <c r="Q1970">
        <v>23.51</v>
      </c>
      <c r="R1970" s="3" t="s">
        <v>470</v>
      </c>
      <c r="S1970">
        <v>28.29</v>
      </c>
      <c r="T1970" t="s">
        <v>468</v>
      </c>
    </row>
    <row r="1971" spans="1:20" x14ac:dyDescent="0.25">
      <c r="A1971">
        <v>282</v>
      </c>
      <c r="B1971">
        <v>514312</v>
      </c>
      <c r="C1971" t="s">
        <v>361</v>
      </c>
      <c r="D1971">
        <v>2017</v>
      </c>
      <c r="E1971">
        <v>39.970001220703118</v>
      </c>
      <c r="F1971">
        <v>0.08</v>
      </c>
      <c r="G1971" t="s">
        <v>465</v>
      </c>
      <c r="H1971">
        <v>6.1999998092651367</v>
      </c>
      <c r="I1971">
        <v>1.5900000333786011</v>
      </c>
      <c r="L1971" t="s">
        <v>484</v>
      </c>
      <c r="M1971">
        <v>77.499997615814209</v>
      </c>
      <c r="N1971">
        <v>19.87500041723251</v>
      </c>
      <c r="O1971">
        <v>28.29</v>
      </c>
      <c r="P1971">
        <v>56.74</v>
      </c>
      <c r="Q1971">
        <v>23.51</v>
      </c>
      <c r="R1971" s="3" t="s">
        <v>470</v>
      </c>
      <c r="S1971">
        <v>28.29</v>
      </c>
      <c r="T1971" t="s">
        <v>468</v>
      </c>
    </row>
    <row r="1972" spans="1:20" x14ac:dyDescent="0.25">
      <c r="A1972">
        <v>282</v>
      </c>
      <c r="B1972">
        <v>514312</v>
      </c>
      <c r="C1972" t="s">
        <v>361</v>
      </c>
      <c r="D1972">
        <v>2018</v>
      </c>
      <c r="E1972">
        <v>39.970001220703118</v>
      </c>
      <c r="F1972">
        <v>7.0000000000000007E-2</v>
      </c>
      <c r="G1972" t="s">
        <v>465</v>
      </c>
      <c r="H1972">
        <v>4.5500001907348633</v>
      </c>
      <c r="I1972">
        <v>2.6800000667572021</v>
      </c>
      <c r="L1972" t="s">
        <v>484</v>
      </c>
      <c r="M1972">
        <v>65.000002724783755</v>
      </c>
      <c r="N1972">
        <v>38.285715239388601</v>
      </c>
      <c r="O1972">
        <v>28.29</v>
      </c>
      <c r="P1972">
        <v>56.74</v>
      </c>
      <c r="Q1972">
        <v>23.51</v>
      </c>
      <c r="R1972" s="3" t="s">
        <v>470</v>
      </c>
      <c r="S1972">
        <v>28.29</v>
      </c>
      <c r="T1972" t="s">
        <v>468</v>
      </c>
    </row>
    <row r="1973" spans="1:20" x14ac:dyDescent="0.25">
      <c r="A1973">
        <v>282</v>
      </c>
      <c r="B1973">
        <v>514312</v>
      </c>
      <c r="C1973" t="s">
        <v>361</v>
      </c>
      <c r="D1973">
        <v>2019</v>
      </c>
      <c r="E1973">
        <v>39.970001220703118</v>
      </c>
      <c r="F1973">
        <v>0.02</v>
      </c>
      <c r="G1973" t="s">
        <v>465</v>
      </c>
      <c r="H1973">
        <v>4.3000001907348633</v>
      </c>
      <c r="I1973">
        <v>3</v>
      </c>
      <c r="L1973" t="s">
        <v>484</v>
      </c>
      <c r="M1973">
        <v>215.00000953674319</v>
      </c>
      <c r="N1973">
        <v>150</v>
      </c>
      <c r="O1973">
        <v>28.29</v>
      </c>
      <c r="P1973">
        <v>56.74</v>
      </c>
      <c r="Q1973">
        <v>23.51</v>
      </c>
      <c r="R1973" s="3" t="s">
        <v>470</v>
      </c>
      <c r="S1973">
        <v>28.29</v>
      </c>
      <c r="T1973" t="s">
        <v>468</v>
      </c>
    </row>
    <row r="1974" spans="1:20" x14ac:dyDescent="0.25">
      <c r="A1974">
        <v>282</v>
      </c>
      <c r="B1974">
        <v>514312</v>
      </c>
      <c r="C1974" t="s">
        <v>361</v>
      </c>
      <c r="D1974">
        <v>2020</v>
      </c>
      <c r="E1974">
        <v>39.970001220703118</v>
      </c>
      <c r="F1974">
        <v>0.02</v>
      </c>
      <c r="G1974" t="s">
        <v>465</v>
      </c>
      <c r="H1974">
        <v>3</v>
      </c>
      <c r="I1974">
        <v>1.919999957084656</v>
      </c>
      <c r="L1974" t="s">
        <v>484</v>
      </c>
      <c r="M1974">
        <v>150</v>
      </c>
      <c r="N1974">
        <v>95.999997854232802</v>
      </c>
      <c r="O1974">
        <v>28.29</v>
      </c>
      <c r="P1974">
        <v>56.74</v>
      </c>
      <c r="Q1974">
        <v>23.51</v>
      </c>
      <c r="R1974" s="3" t="s">
        <v>470</v>
      </c>
      <c r="S1974">
        <v>28.29</v>
      </c>
      <c r="T1974" t="s">
        <v>468</v>
      </c>
    </row>
    <row r="1975" spans="1:20" x14ac:dyDescent="0.25">
      <c r="A1975">
        <v>282</v>
      </c>
      <c r="B1975">
        <v>514312</v>
      </c>
      <c r="C1975" t="s">
        <v>361</v>
      </c>
      <c r="D1975">
        <v>2021</v>
      </c>
      <c r="E1975">
        <v>39.970001220703118</v>
      </c>
      <c r="F1975">
        <v>0.01</v>
      </c>
      <c r="G1975" t="s">
        <v>465</v>
      </c>
      <c r="H1975">
        <v>10.39999961853027</v>
      </c>
      <c r="I1975">
        <v>1.950000047683716</v>
      </c>
      <c r="L1975" t="s">
        <v>484</v>
      </c>
      <c r="M1975">
        <v>1039.9999618530269</v>
      </c>
      <c r="N1975">
        <v>195.00000476837161</v>
      </c>
      <c r="O1975">
        <v>28.29</v>
      </c>
      <c r="P1975">
        <v>56.74</v>
      </c>
      <c r="Q1975">
        <v>23.51</v>
      </c>
      <c r="R1975" s="3" t="s">
        <v>470</v>
      </c>
      <c r="S1975">
        <v>28.29</v>
      </c>
      <c r="T1975" t="s">
        <v>468</v>
      </c>
    </row>
    <row r="1976" spans="1:20" x14ac:dyDescent="0.25">
      <c r="A1976">
        <v>282</v>
      </c>
      <c r="B1976">
        <v>514312</v>
      </c>
      <c r="C1976" t="s">
        <v>361</v>
      </c>
      <c r="D1976">
        <v>2022</v>
      </c>
      <c r="E1976">
        <v>39.970001220703118</v>
      </c>
      <c r="F1976">
        <v>0.02</v>
      </c>
      <c r="G1976" t="s">
        <v>465</v>
      </c>
      <c r="H1976">
        <v>33</v>
      </c>
      <c r="I1976">
        <v>7.2600002288818359</v>
      </c>
      <c r="L1976" t="s">
        <v>484</v>
      </c>
      <c r="M1976">
        <v>1650</v>
      </c>
      <c r="N1976">
        <v>363.0000114440918</v>
      </c>
      <c r="O1976">
        <v>28.29</v>
      </c>
      <c r="P1976">
        <v>56.74</v>
      </c>
      <c r="Q1976">
        <v>23.51</v>
      </c>
      <c r="R1976" s="3" t="s">
        <v>470</v>
      </c>
      <c r="S1976">
        <v>28.29</v>
      </c>
      <c r="T1976" t="s">
        <v>468</v>
      </c>
    </row>
    <row r="1977" spans="1:20" x14ac:dyDescent="0.25">
      <c r="A1977">
        <v>282</v>
      </c>
      <c r="B1977">
        <v>514312</v>
      </c>
      <c r="C1977" t="s">
        <v>361</v>
      </c>
      <c r="D1977">
        <v>2023</v>
      </c>
      <c r="E1977">
        <v>39.970001220703118</v>
      </c>
      <c r="F1977">
        <v>0.02</v>
      </c>
      <c r="G1977" t="s">
        <v>465</v>
      </c>
      <c r="H1977">
        <v>37.200000762939453</v>
      </c>
      <c r="I1977">
        <v>14.35000038146973</v>
      </c>
      <c r="L1977" t="s">
        <v>484</v>
      </c>
      <c r="M1977">
        <v>1860.0000381469731</v>
      </c>
      <c r="N1977">
        <v>717.50001907348644</v>
      </c>
      <c r="O1977">
        <v>28.29</v>
      </c>
      <c r="P1977">
        <v>56.74</v>
      </c>
      <c r="Q1977">
        <v>23.51</v>
      </c>
      <c r="R1977" s="3" t="s">
        <v>470</v>
      </c>
      <c r="S1977">
        <v>28.29</v>
      </c>
      <c r="T1977" t="s">
        <v>468</v>
      </c>
    </row>
    <row r="1978" spans="1:20" x14ac:dyDescent="0.25">
      <c r="A1978">
        <v>282</v>
      </c>
      <c r="B1978">
        <v>514312</v>
      </c>
      <c r="C1978" t="s">
        <v>361</v>
      </c>
      <c r="D1978">
        <v>2024</v>
      </c>
      <c r="E1978">
        <v>39.970001220703118</v>
      </c>
      <c r="F1978">
        <v>0.02</v>
      </c>
      <c r="G1978" t="s">
        <v>465</v>
      </c>
      <c r="H1978">
        <v>56.740001678466797</v>
      </c>
      <c r="I1978">
        <v>23.510000228881839</v>
      </c>
      <c r="L1978" t="s">
        <v>484</v>
      </c>
      <c r="M1978">
        <v>2837.0000839233398</v>
      </c>
      <c r="N1978">
        <v>1175.500011444092</v>
      </c>
      <c r="O1978">
        <v>28.29</v>
      </c>
      <c r="P1978">
        <v>56.74</v>
      </c>
      <c r="Q1978">
        <v>23.51</v>
      </c>
      <c r="R1978" s="3" t="s">
        <v>470</v>
      </c>
      <c r="S1978">
        <v>28.29</v>
      </c>
      <c r="T1978" t="s">
        <v>468</v>
      </c>
    </row>
    <row r="1979" spans="1:20" x14ac:dyDescent="0.25">
      <c r="A1979">
        <v>282</v>
      </c>
      <c r="B1979">
        <v>514312</v>
      </c>
      <c r="C1979" t="s">
        <v>361</v>
      </c>
      <c r="D1979">
        <v>2025</v>
      </c>
      <c r="E1979">
        <v>39.970001220703118</v>
      </c>
      <c r="F1979">
        <v>0.02</v>
      </c>
      <c r="G1979" t="s">
        <v>465</v>
      </c>
      <c r="H1979">
        <v>67.599998474121094</v>
      </c>
      <c r="I1979">
        <v>37.5</v>
      </c>
      <c r="L1979" t="s">
        <v>484</v>
      </c>
      <c r="M1979">
        <v>3379.9999237060551</v>
      </c>
      <c r="N1979">
        <v>1875</v>
      </c>
      <c r="O1979">
        <v>28.29</v>
      </c>
      <c r="P1979">
        <v>56.74</v>
      </c>
      <c r="Q1979">
        <v>23.51</v>
      </c>
      <c r="R1979" s="3" t="s">
        <v>470</v>
      </c>
      <c r="S1979">
        <v>28.29</v>
      </c>
      <c r="T1979" t="s">
        <v>468</v>
      </c>
    </row>
    <row r="1980" spans="1:20" x14ac:dyDescent="0.25">
      <c r="A1980">
        <v>282</v>
      </c>
      <c r="B1980">
        <v>514312</v>
      </c>
      <c r="C1980" t="s">
        <v>361</v>
      </c>
      <c r="D1980">
        <v>2026</v>
      </c>
      <c r="E1980">
        <v>39.970001220703118</v>
      </c>
      <c r="F1980">
        <v>0.02</v>
      </c>
      <c r="G1980" t="s">
        <v>465</v>
      </c>
      <c r="H1980">
        <v>57.490001678466797</v>
      </c>
      <c r="I1980">
        <v>31</v>
      </c>
      <c r="L1980" t="s">
        <v>484</v>
      </c>
      <c r="M1980">
        <v>2874.5000839233398</v>
      </c>
      <c r="N1980">
        <v>1550</v>
      </c>
      <c r="O1980">
        <v>28.29</v>
      </c>
      <c r="P1980">
        <v>56.74</v>
      </c>
      <c r="Q1980">
        <v>23.51</v>
      </c>
      <c r="R1980" s="3" t="s">
        <v>470</v>
      </c>
      <c r="S1980">
        <v>28.29</v>
      </c>
      <c r="T1980" t="s">
        <v>468</v>
      </c>
    </row>
    <row r="1981" spans="1:20" x14ac:dyDescent="0.25">
      <c r="A1981">
        <v>283</v>
      </c>
      <c r="B1981">
        <v>514318</v>
      </c>
      <c r="C1981" t="s">
        <v>363</v>
      </c>
      <c r="D1981">
        <v>2015</v>
      </c>
      <c r="E1981">
        <v>415</v>
      </c>
      <c r="F1981">
        <v>6.34</v>
      </c>
      <c r="G1981" t="s">
        <v>465</v>
      </c>
      <c r="H1981">
        <v>29.25</v>
      </c>
      <c r="I1981">
        <v>29.25</v>
      </c>
      <c r="L1981" t="s">
        <v>469</v>
      </c>
      <c r="M1981">
        <v>4.6135646687697163</v>
      </c>
      <c r="N1981">
        <v>4.6135646687697163</v>
      </c>
      <c r="O1981">
        <v>38</v>
      </c>
      <c r="P1981">
        <v>149.69999999999999</v>
      </c>
      <c r="Q1981">
        <v>19.399999999999999</v>
      </c>
      <c r="R1981" s="3" t="s">
        <v>470</v>
      </c>
      <c r="S1981">
        <v>38</v>
      </c>
      <c r="T1981" t="s">
        <v>468</v>
      </c>
    </row>
    <row r="1982" spans="1:20" x14ac:dyDescent="0.25">
      <c r="A1982">
        <v>283</v>
      </c>
      <c r="B1982">
        <v>514318</v>
      </c>
      <c r="C1982" t="s">
        <v>363</v>
      </c>
      <c r="D1982">
        <v>2016</v>
      </c>
      <c r="E1982">
        <v>415</v>
      </c>
      <c r="F1982">
        <v>5.04</v>
      </c>
      <c r="G1982" t="s">
        <v>465</v>
      </c>
      <c r="H1982">
        <v>29.25</v>
      </c>
      <c r="I1982">
        <v>10.310000419616699</v>
      </c>
      <c r="L1982" t="s">
        <v>469</v>
      </c>
      <c r="M1982">
        <v>5.8035714285714288</v>
      </c>
      <c r="N1982">
        <v>2.045635003892202</v>
      </c>
      <c r="O1982">
        <v>38</v>
      </c>
      <c r="P1982">
        <v>149.69999999999999</v>
      </c>
      <c r="Q1982">
        <v>19.399999999999999</v>
      </c>
      <c r="R1982" s="3" t="s">
        <v>470</v>
      </c>
      <c r="S1982">
        <v>38</v>
      </c>
      <c r="T1982" t="s">
        <v>468</v>
      </c>
    </row>
    <row r="1983" spans="1:20" x14ac:dyDescent="0.25">
      <c r="A1983">
        <v>283</v>
      </c>
      <c r="B1983">
        <v>514318</v>
      </c>
      <c r="C1983" t="s">
        <v>363</v>
      </c>
      <c r="D1983">
        <v>2017</v>
      </c>
      <c r="E1983">
        <v>415</v>
      </c>
      <c r="F1983">
        <v>4.01</v>
      </c>
      <c r="G1983" t="s">
        <v>465</v>
      </c>
      <c r="H1983">
        <v>49.650001525878913</v>
      </c>
      <c r="I1983">
        <v>15.89999961853027</v>
      </c>
      <c r="L1983" t="s">
        <v>469</v>
      </c>
      <c r="M1983">
        <v>12.381546515181769</v>
      </c>
      <c r="N1983">
        <v>3.9650871866659032</v>
      </c>
      <c r="O1983">
        <v>38</v>
      </c>
      <c r="P1983">
        <v>149.69999999999999</v>
      </c>
      <c r="Q1983">
        <v>19.399999999999999</v>
      </c>
      <c r="R1983" s="3" t="s">
        <v>470</v>
      </c>
      <c r="S1983">
        <v>38</v>
      </c>
      <c r="T1983" t="s">
        <v>468</v>
      </c>
    </row>
    <row r="1984" spans="1:20" x14ac:dyDescent="0.25">
      <c r="A1984">
        <v>283</v>
      </c>
      <c r="B1984">
        <v>514318</v>
      </c>
      <c r="C1984" t="s">
        <v>363</v>
      </c>
      <c r="D1984">
        <v>2018</v>
      </c>
      <c r="E1984">
        <v>415</v>
      </c>
      <c r="F1984">
        <v>4.5599999999999996</v>
      </c>
      <c r="G1984" t="s">
        <v>465</v>
      </c>
      <c r="H1984">
        <v>40.150001525878913</v>
      </c>
      <c r="I1984">
        <v>13.25</v>
      </c>
      <c r="L1984" t="s">
        <v>469</v>
      </c>
      <c r="M1984">
        <v>8.8048248960260782</v>
      </c>
      <c r="N1984">
        <v>2.9057017543859649</v>
      </c>
      <c r="O1984">
        <v>38</v>
      </c>
      <c r="P1984">
        <v>149.69999999999999</v>
      </c>
      <c r="Q1984">
        <v>19.399999999999999</v>
      </c>
      <c r="R1984" s="3" t="s">
        <v>470</v>
      </c>
      <c r="S1984">
        <v>38</v>
      </c>
      <c r="T1984" t="s">
        <v>468</v>
      </c>
    </row>
    <row r="1985" spans="1:20" x14ac:dyDescent="0.25">
      <c r="A1985">
        <v>283</v>
      </c>
      <c r="B1985">
        <v>514318</v>
      </c>
      <c r="C1985" t="s">
        <v>363</v>
      </c>
      <c r="D1985">
        <v>2019</v>
      </c>
      <c r="E1985">
        <v>415</v>
      </c>
      <c r="F1985">
        <v>4.1900000000000004</v>
      </c>
      <c r="G1985" t="s">
        <v>465</v>
      </c>
      <c r="H1985">
        <v>21.20000076293945</v>
      </c>
      <c r="I1985">
        <v>11.14999961853027</v>
      </c>
      <c r="L1985" t="s">
        <v>469</v>
      </c>
      <c r="M1985">
        <v>5.0596660532075051</v>
      </c>
      <c r="N1985">
        <v>2.661097760985744</v>
      </c>
      <c r="O1985">
        <v>38</v>
      </c>
      <c r="P1985">
        <v>149.69999999999999</v>
      </c>
      <c r="Q1985">
        <v>19.399999999999999</v>
      </c>
      <c r="R1985" s="3" t="s">
        <v>470</v>
      </c>
      <c r="S1985">
        <v>38</v>
      </c>
      <c r="T1985" t="s">
        <v>468</v>
      </c>
    </row>
    <row r="1986" spans="1:20" x14ac:dyDescent="0.25">
      <c r="A1986">
        <v>283</v>
      </c>
      <c r="B1986">
        <v>514318</v>
      </c>
      <c r="C1986" t="s">
        <v>363</v>
      </c>
      <c r="D1986">
        <v>2020</v>
      </c>
      <c r="E1986">
        <v>415</v>
      </c>
      <c r="F1986">
        <v>1.5</v>
      </c>
      <c r="G1986" t="s">
        <v>465</v>
      </c>
      <c r="H1986">
        <v>12.27999973297119</v>
      </c>
      <c r="I1986">
        <v>9.9799995422363281</v>
      </c>
      <c r="L1986" t="s">
        <v>469</v>
      </c>
      <c r="M1986">
        <v>8.1866664886474592</v>
      </c>
      <c r="N1986">
        <v>6.6533330281575518</v>
      </c>
      <c r="O1986">
        <v>38</v>
      </c>
      <c r="P1986">
        <v>149.69999999999999</v>
      </c>
      <c r="Q1986">
        <v>19.399999999999999</v>
      </c>
      <c r="R1986" s="3" t="s">
        <v>470</v>
      </c>
      <c r="S1986">
        <v>38</v>
      </c>
      <c r="T1986" t="s">
        <v>468</v>
      </c>
    </row>
    <row r="1987" spans="1:20" x14ac:dyDescent="0.25">
      <c r="A1987">
        <v>283</v>
      </c>
      <c r="B1987">
        <v>514318</v>
      </c>
      <c r="C1987" t="s">
        <v>363</v>
      </c>
      <c r="D1987">
        <v>2021</v>
      </c>
      <c r="E1987">
        <v>415</v>
      </c>
      <c r="F1987">
        <v>1.34</v>
      </c>
      <c r="G1987" t="s">
        <v>465</v>
      </c>
      <c r="H1987">
        <v>23.20000076293945</v>
      </c>
      <c r="I1987">
        <v>10.439999580383301</v>
      </c>
      <c r="L1987" t="s">
        <v>469</v>
      </c>
      <c r="M1987">
        <v>17.313433405178689</v>
      </c>
      <c r="N1987">
        <v>7.7910444629726117</v>
      </c>
      <c r="O1987">
        <v>38</v>
      </c>
      <c r="P1987">
        <v>149.69999999999999</v>
      </c>
      <c r="Q1987">
        <v>19.399999999999999</v>
      </c>
      <c r="R1987" s="3" t="s">
        <v>470</v>
      </c>
      <c r="S1987">
        <v>38</v>
      </c>
      <c r="T1987" t="s">
        <v>468</v>
      </c>
    </row>
    <row r="1988" spans="1:20" x14ac:dyDescent="0.25">
      <c r="A1988">
        <v>283</v>
      </c>
      <c r="B1988">
        <v>514318</v>
      </c>
      <c r="C1988" t="s">
        <v>363</v>
      </c>
      <c r="D1988">
        <v>2022</v>
      </c>
      <c r="E1988">
        <v>415</v>
      </c>
      <c r="F1988">
        <v>2.0699999999999998</v>
      </c>
      <c r="G1988" t="s">
        <v>465</v>
      </c>
      <c r="H1988">
        <v>22.04999923706055</v>
      </c>
      <c r="I1988">
        <v>13.5</v>
      </c>
      <c r="L1988" t="s">
        <v>469</v>
      </c>
      <c r="M1988">
        <v>10.652173544473699</v>
      </c>
      <c r="N1988">
        <v>6.5217391304347831</v>
      </c>
      <c r="O1988">
        <v>38</v>
      </c>
      <c r="P1988">
        <v>149.69999999999999</v>
      </c>
      <c r="Q1988">
        <v>19.399999999999999</v>
      </c>
      <c r="R1988" s="3" t="s">
        <v>470</v>
      </c>
      <c r="S1988">
        <v>38</v>
      </c>
      <c r="T1988" t="s">
        <v>468</v>
      </c>
    </row>
    <row r="1989" spans="1:20" x14ac:dyDescent="0.25">
      <c r="A1989">
        <v>283</v>
      </c>
      <c r="B1989">
        <v>514318</v>
      </c>
      <c r="C1989" t="s">
        <v>363</v>
      </c>
      <c r="D1989">
        <v>2023</v>
      </c>
      <c r="E1989">
        <v>415</v>
      </c>
      <c r="F1989">
        <v>1.21</v>
      </c>
      <c r="G1989" t="s">
        <v>465</v>
      </c>
      <c r="H1989">
        <v>22.75</v>
      </c>
      <c r="I1989">
        <v>13</v>
      </c>
      <c r="L1989" t="s">
        <v>469</v>
      </c>
      <c r="M1989">
        <v>18.801652892561979</v>
      </c>
      <c r="N1989">
        <v>10.743801652892561</v>
      </c>
      <c r="O1989">
        <v>38</v>
      </c>
      <c r="P1989">
        <v>149.69999999999999</v>
      </c>
      <c r="Q1989">
        <v>19.399999999999999</v>
      </c>
      <c r="R1989" s="3" t="s">
        <v>470</v>
      </c>
      <c r="S1989">
        <v>38</v>
      </c>
      <c r="T1989" t="s">
        <v>468</v>
      </c>
    </row>
    <row r="1990" spans="1:20" x14ac:dyDescent="0.25">
      <c r="A1990">
        <v>283</v>
      </c>
      <c r="B1990">
        <v>514318</v>
      </c>
      <c r="C1990" t="s">
        <v>363</v>
      </c>
      <c r="D1990">
        <v>2024</v>
      </c>
      <c r="E1990">
        <v>415</v>
      </c>
      <c r="F1990">
        <v>8.7100000000000009</v>
      </c>
      <c r="G1990" t="s">
        <v>465</v>
      </c>
      <c r="H1990">
        <v>146.8500061035156</v>
      </c>
      <c r="I1990">
        <v>19.39999961853027</v>
      </c>
      <c r="L1990" t="s">
        <v>469</v>
      </c>
      <c r="M1990">
        <v>16.859931814410519</v>
      </c>
      <c r="N1990">
        <v>2.2273248700953241</v>
      </c>
      <c r="O1990">
        <v>38</v>
      </c>
      <c r="P1990">
        <v>149.69999999999999</v>
      </c>
      <c r="Q1990">
        <v>19.399999999999999</v>
      </c>
      <c r="R1990" s="3" t="s">
        <v>470</v>
      </c>
      <c r="S1990">
        <v>38</v>
      </c>
      <c r="T1990" t="s">
        <v>468</v>
      </c>
    </row>
    <row r="1991" spans="1:20" x14ac:dyDescent="0.25">
      <c r="A1991">
        <v>283</v>
      </c>
      <c r="B1991">
        <v>514318</v>
      </c>
      <c r="C1991" t="s">
        <v>363</v>
      </c>
      <c r="D1991">
        <v>2025</v>
      </c>
      <c r="E1991">
        <v>415</v>
      </c>
      <c r="F1991">
        <v>-2.71</v>
      </c>
      <c r="G1991" t="s">
        <v>465</v>
      </c>
      <c r="H1991">
        <v>401.5</v>
      </c>
      <c r="I1991">
        <v>135.6499938964844</v>
      </c>
      <c r="L1991" t="s">
        <v>471</v>
      </c>
      <c r="M1991">
        <v>-148.15498154981549</v>
      </c>
      <c r="N1991">
        <v>-50.055348301285761</v>
      </c>
      <c r="O1991">
        <v>38</v>
      </c>
      <c r="P1991">
        <v>149.69999999999999</v>
      </c>
      <c r="Q1991">
        <v>19.399999999999999</v>
      </c>
      <c r="R1991" s="3" t="s">
        <v>470</v>
      </c>
      <c r="S1991">
        <v>38</v>
      </c>
      <c r="T1991" t="s">
        <v>468</v>
      </c>
    </row>
    <row r="1992" spans="1:20" x14ac:dyDescent="0.25">
      <c r="A1992">
        <v>283</v>
      </c>
      <c r="B1992">
        <v>514318</v>
      </c>
      <c r="C1992" t="s">
        <v>363</v>
      </c>
      <c r="D1992">
        <v>2026</v>
      </c>
      <c r="E1992">
        <v>415</v>
      </c>
      <c r="F1992">
        <v>2.35</v>
      </c>
      <c r="G1992" t="s">
        <v>465</v>
      </c>
      <c r="H1992">
        <v>470</v>
      </c>
      <c r="I1992">
        <v>345</v>
      </c>
      <c r="L1992" t="s">
        <v>469</v>
      </c>
      <c r="M1992">
        <v>200</v>
      </c>
      <c r="N1992">
        <v>146.80851063829789</v>
      </c>
      <c r="O1992">
        <v>38</v>
      </c>
      <c r="P1992">
        <v>149.69999999999999</v>
      </c>
      <c r="Q1992">
        <v>19.399999999999999</v>
      </c>
      <c r="R1992" s="3" t="s">
        <v>470</v>
      </c>
      <c r="S1992">
        <v>38</v>
      </c>
      <c r="T1992" t="s">
        <v>468</v>
      </c>
    </row>
    <row r="1993" spans="1:20" x14ac:dyDescent="0.25">
      <c r="A1993">
        <v>284</v>
      </c>
      <c r="B1993">
        <v>514326</v>
      </c>
      <c r="C1993" t="s">
        <v>365</v>
      </c>
      <c r="D1993">
        <v>2015</v>
      </c>
      <c r="E1993">
        <v>6.940000057220459</v>
      </c>
      <c r="F1993">
        <v>-2.1</v>
      </c>
      <c r="G1993" t="s">
        <v>465</v>
      </c>
      <c r="H1993">
        <v>12.60000038146973</v>
      </c>
      <c r="I1993">
        <v>6.119999885559082</v>
      </c>
      <c r="L1993" t="s">
        <v>471</v>
      </c>
      <c r="M1993">
        <v>-6.0000001816522524</v>
      </c>
      <c r="N1993">
        <v>-2.9142856597900391</v>
      </c>
      <c r="O1993">
        <v>16.12</v>
      </c>
      <c r="P1993">
        <v>18.57</v>
      </c>
      <c r="Q1993">
        <v>10.55</v>
      </c>
      <c r="R1993" s="3" t="s">
        <v>470</v>
      </c>
      <c r="S1993">
        <v>16.12</v>
      </c>
      <c r="T1993" t="s">
        <v>468</v>
      </c>
    </row>
    <row r="1994" spans="1:20" x14ac:dyDescent="0.25">
      <c r="A1994">
        <v>284</v>
      </c>
      <c r="B1994">
        <v>514326</v>
      </c>
      <c r="C1994" t="s">
        <v>365</v>
      </c>
      <c r="D1994">
        <v>2016</v>
      </c>
      <c r="E1994">
        <v>6.940000057220459</v>
      </c>
      <c r="F1994">
        <v>0.25</v>
      </c>
      <c r="G1994" t="s">
        <v>465</v>
      </c>
      <c r="H1994">
        <v>14</v>
      </c>
      <c r="I1994">
        <v>7.2199997901916504</v>
      </c>
      <c r="L1994" t="s">
        <v>484</v>
      </c>
      <c r="M1994">
        <v>56</v>
      </c>
      <c r="N1994">
        <v>28.879999160766602</v>
      </c>
      <c r="O1994">
        <v>16.12</v>
      </c>
      <c r="P1994">
        <v>18.57</v>
      </c>
      <c r="Q1994">
        <v>10.55</v>
      </c>
      <c r="R1994" s="3" t="s">
        <v>470</v>
      </c>
      <c r="S1994">
        <v>16.12</v>
      </c>
      <c r="T1994" t="s">
        <v>468</v>
      </c>
    </row>
    <row r="1995" spans="1:20" x14ac:dyDescent="0.25">
      <c r="A1995">
        <v>284</v>
      </c>
      <c r="B1995">
        <v>514326</v>
      </c>
      <c r="C1995" t="s">
        <v>365</v>
      </c>
      <c r="D1995">
        <v>2017</v>
      </c>
      <c r="E1995">
        <v>6.940000057220459</v>
      </c>
      <c r="F1995">
        <v>3.24</v>
      </c>
      <c r="G1995" t="s">
        <v>465</v>
      </c>
      <c r="H1995">
        <v>43.950000762939453</v>
      </c>
      <c r="I1995">
        <v>10.10000038146973</v>
      </c>
      <c r="L1995" t="s">
        <v>469</v>
      </c>
      <c r="M1995">
        <v>13.564815050289949</v>
      </c>
      <c r="N1995">
        <v>3.1172840683548548</v>
      </c>
      <c r="O1995">
        <v>16.12</v>
      </c>
      <c r="P1995">
        <v>18.57</v>
      </c>
      <c r="Q1995">
        <v>10.55</v>
      </c>
      <c r="R1995" s="3" t="s">
        <v>470</v>
      </c>
      <c r="S1995">
        <v>16.12</v>
      </c>
      <c r="T1995" t="s">
        <v>468</v>
      </c>
    </row>
    <row r="1996" spans="1:20" x14ac:dyDescent="0.25">
      <c r="A1996">
        <v>284</v>
      </c>
      <c r="B1996">
        <v>514326</v>
      </c>
      <c r="C1996" t="s">
        <v>365</v>
      </c>
      <c r="D1996">
        <v>2018</v>
      </c>
      <c r="E1996">
        <v>6.940000057220459</v>
      </c>
      <c r="F1996">
        <v>-1.41</v>
      </c>
      <c r="G1996" t="s">
        <v>465</v>
      </c>
      <c r="H1996">
        <v>32</v>
      </c>
      <c r="I1996">
        <v>8.7100000381469727</v>
      </c>
      <c r="L1996" t="s">
        <v>471</v>
      </c>
      <c r="M1996">
        <v>-22.695035460992909</v>
      </c>
      <c r="N1996">
        <v>-6.1773049915935978</v>
      </c>
      <c r="O1996">
        <v>16.12</v>
      </c>
      <c r="P1996">
        <v>18.57</v>
      </c>
      <c r="Q1996">
        <v>10.55</v>
      </c>
      <c r="R1996" s="3" t="s">
        <v>470</v>
      </c>
      <c r="S1996">
        <v>16.12</v>
      </c>
      <c r="T1996" t="s">
        <v>468</v>
      </c>
    </row>
    <row r="1997" spans="1:20" x14ac:dyDescent="0.25">
      <c r="A1997">
        <v>284</v>
      </c>
      <c r="B1997">
        <v>514326</v>
      </c>
      <c r="C1997" t="s">
        <v>365</v>
      </c>
      <c r="D1997">
        <v>2019</v>
      </c>
      <c r="E1997">
        <v>6.940000057220459</v>
      </c>
      <c r="F1997">
        <v>-0.76</v>
      </c>
      <c r="G1997" t="s">
        <v>465</v>
      </c>
      <c r="H1997">
        <v>13.989999771118161</v>
      </c>
      <c r="I1997">
        <v>4.5</v>
      </c>
      <c r="L1997" t="s">
        <v>471</v>
      </c>
      <c r="M1997">
        <v>-18.40789443568179</v>
      </c>
      <c r="N1997">
        <v>-5.9210526315789469</v>
      </c>
      <c r="O1997">
        <v>16.12</v>
      </c>
      <c r="P1997">
        <v>18.57</v>
      </c>
      <c r="Q1997">
        <v>10.55</v>
      </c>
      <c r="R1997" s="3" t="s">
        <v>470</v>
      </c>
      <c r="S1997">
        <v>16.12</v>
      </c>
      <c r="T1997" t="s">
        <v>468</v>
      </c>
    </row>
    <row r="1998" spans="1:20" x14ac:dyDescent="0.25">
      <c r="A1998">
        <v>284</v>
      </c>
      <c r="B1998">
        <v>514326</v>
      </c>
      <c r="C1998" t="s">
        <v>365</v>
      </c>
      <c r="D1998">
        <v>2020</v>
      </c>
      <c r="E1998">
        <v>6.940000057220459</v>
      </c>
      <c r="F1998">
        <v>-7.77</v>
      </c>
      <c r="G1998" t="s">
        <v>465</v>
      </c>
      <c r="H1998">
        <v>7.75</v>
      </c>
      <c r="I1998">
        <v>3.7999999523162842</v>
      </c>
      <c r="L1998" t="s">
        <v>471</v>
      </c>
      <c r="M1998">
        <v>-0.99742599742599747</v>
      </c>
      <c r="N1998">
        <v>-0.48906048292358872</v>
      </c>
      <c r="O1998">
        <v>16.12</v>
      </c>
      <c r="P1998">
        <v>18.57</v>
      </c>
      <c r="Q1998">
        <v>10.55</v>
      </c>
      <c r="R1998" s="3" t="s">
        <v>470</v>
      </c>
      <c r="S1998">
        <v>16.12</v>
      </c>
      <c r="T1998" t="s">
        <v>468</v>
      </c>
    </row>
    <row r="1999" spans="1:20" x14ac:dyDescent="0.25">
      <c r="A1999">
        <v>284</v>
      </c>
      <c r="B1999">
        <v>514326</v>
      </c>
      <c r="C1999" t="s">
        <v>365</v>
      </c>
      <c r="D1999">
        <v>2021</v>
      </c>
      <c r="E1999">
        <v>6.940000057220459</v>
      </c>
      <c r="F1999">
        <v>-12.28</v>
      </c>
      <c r="G1999" t="s">
        <v>465</v>
      </c>
      <c r="H1999">
        <v>14.590000152587891</v>
      </c>
      <c r="I1999">
        <v>4.25</v>
      </c>
      <c r="L1999" t="s">
        <v>471</v>
      </c>
      <c r="M1999">
        <v>-1.188110761611392</v>
      </c>
      <c r="N1999">
        <v>-0.34609120521172643</v>
      </c>
      <c r="O1999">
        <v>16.12</v>
      </c>
      <c r="P1999">
        <v>18.57</v>
      </c>
      <c r="Q1999">
        <v>10.55</v>
      </c>
      <c r="R1999" s="3" t="s">
        <v>470</v>
      </c>
      <c r="S1999">
        <v>16.12</v>
      </c>
      <c r="T1999" t="s">
        <v>468</v>
      </c>
    </row>
    <row r="2000" spans="1:20" x14ac:dyDescent="0.25">
      <c r="A2000">
        <v>284</v>
      </c>
      <c r="B2000">
        <v>514326</v>
      </c>
      <c r="C2000" t="s">
        <v>365</v>
      </c>
      <c r="D2000">
        <v>2022</v>
      </c>
      <c r="E2000">
        <v>6.940000057220459</v>
      </c>
      <c r="F2000">
        <v>-4.33</v>
      </c>
      <c r="G2000" t="s">
        <v>465</v>
      </c>
      <c r="H2000">
        <v>15.39999961853027</v>
      </c>
      <c r="I2000">
        <v>5.7199997901916504</v>
      </c>
      <c r="L2000" t="s">
        <v>471</v>
      </c>
      <c r="M2000">
        <v>-3.5565818980439419</v>
      </c>
      <c r="N2000">
        <v>-1.3210161178271711</v>
      </c>
      <c r="O2000">
        <v>16.12</v>
      </c>
      <c r="P2000">
        <v>18.57</v>
      </c>
      <c r="Q2000">
        <v>10.55</v>
      </c>
      <c r="R2000" s="3" t="s">
        <v>470</v>
      </c>
      <c r="S2000">
        <v>16.12</v>
      </c>
      <c r="T2000" t="s">
        <v>468</v>
      </c>
    </row>
    <row r="2001" spans="1:20" x14ac:dyDescent="0.25">
      <c r="A2001">
        <v>284</v>
      </c>
      <c r="B2001">
        <v>514326</v>
      </c>
      <c r="C2001" t="s">
        <v>365</v>
      </c>
      <c r="D2001">
        <v>2023</v>
      </c>
      <c r="E2001">
        <v>6.940000057220459</v>
      </c>
      <c r="F2001">
        <v>-5.87</v>
      </c>
      <c r="G2001" t="s">
        <v>465</v>
      </c>
      <c r="H2001">
        <v>16.489999771118161</v>
      </c>
      <c r="I2001">
        <v>8.8500003814697266</v>
      </c>
      <c r="L2001" t="s">
        <v>471</v>
      </c>
      <c r="M2001">
        <v>-2.8091992795771992</v>
      </c>
      <c r="N2001">
        <v>-1.50766616379382</v>
      </c>
      <c r="O2001">
        <v>16.12</v>
      </c>
      <c r="P2001">
        <v>18.57</v>
      </c>
      <c r="Q2001">
        <v>10.55</v>
      </c>
      <c r="R2001" s="3" t="s">
        <v>470</v>
      </c>
      <c r="S2001">
        <v>16.12</v>
      </c>
      <c r="T2001" t="s">
        <v>468</v>
      </c>
    </row>
    <row r="2002" spans="1:20" x14ac:dyDescent="0.25">
      <c r="A2002">
        <v>284</v>
      </c>
      <c r="B2002">
        <v>514326</v>
      </c>
      <c r="C2002" t="s">
        <v>365</v>
      </c>
      <c r="D2002">
        <v>2024</v>
      </c>
      <c r="E2002">
        <v>6.940000057220459</v>
      </c>
      <c r="F2002">
        <v>-2.15</v>
      </c>
      <c r="G2002" t="s">
        <v>465</v>
      </c>
      <c r="H2002">
        <v>18.569999694824219</v>
      </c>
      <c r="I2002">
        <v>10.55000019073486</v>
      </c>
      <c r="L2002" t="s">
        <v>471</v>
      </c>
      <c r="M2002">
        <v>-8.6372091603833585</v>
      </c>
      <c r="N2002">
        <v>-4.906976832899935</v>
      </c>
      <c r="O2002">
        <v>16.12</v>
      </c>
      <c r="P2002">
        <v>18.57</v>
      </c>
      <c r="Q2002">
        <v>10.55</v>
      </c>
      <c r="R2002" s="3" t="s">
        <v>470</v>
      </c>
      <c r="S2002">
        <v>16.12</v>
      </c>
      <c r="T2002" t="s">
        <v>468</v>
      </c>
    </row>
    <row r="2003" spans="1:20" x14ac:dyDescent="0.25">
      <c r="A2003">
        <v>284</v>
      </c>
      <c r="B2003">
        <v>514326</v>
      </c>
      <c r="C2003" t="s">
        <v>365</v>
      </c>
      <c r="D2003">
        <v>2025</v>
      </c>
      <c r="E2003">
        <v>6.940000057220459</v>
      </c>
      <c r="F2003">
        <v>-3.17</v>
      </c>
      <c r="G2003" t="s">
        <v>465</v>
      </c>
      <c r="H2003">
        <v>13.5</v>
      </c>
      <c r="I2003">
        <v>7.5999999046325684</v>
      </c>
      <c r="L2003" t="s">
        <v>471</v>
      </c>
      <c r="M2003">
        <v>-4.2586750788643526</v>
      </c>
      <c r="N2003">
        <v>-2.3974763106096431</v>
      </c>
      <c r="O2003">
        <v>16.12</v>
      </c>
      <c r="P2003">
        <v>18.57</v>
      </c>
      <c r="Q2003">
        <v>10.55</v>
      </c>
      <c r="R2003" s="3" t="s">
        <v>470</v>
      </c>
      <c r="S2003">
        <v>16.12</v>
      </c>
      <c r="T2003" t="s">
        <v>468</v>
      </c>
    </row>
    <row r="2004" spans="1:20" x14ac:dyDescent="0.25">
      <c r="A2004">
        <v>284</v>
      </c>
      <c r="B2004">
        <v>514326</v>
      </c>
      <c r="C2004" t="s">
        <v>365</v>
      </c>
      <c r="D2004">
        <v>2026</v>
      </c>
      <c r="E2004">
        <v>6.940000057220459</v>
      </c>
      <c r="F2004">
        <v>-3.69</v>
      </c>
      <c r="G2004" t="s">
        <v>465</v>
      </c>
      <c r="H2004">
        <v>9</v>
      </c>
      <c r="I2004">
        <v>5.869999885559082</v>
      </c>
      <c r="L2004" t="s">
        <v>471</v>
      </c>
      <c r="M2004">
        <v>-2.4390243902439019</v>
      </c>
      <c r="N2004">
        <v>-1.5907858768452801</v>
      </c>
      <c r="O2004">
        <v>16.12</v>
      </c>
      <c r="P2004">
        <v>18.57</v>
      </c>
      <c r="Q2004">
        <v>10.55</v>
      </c>
      <c r="R2004" s="3" t="s">
        <v>470</v>
      </c>
      <c r="S2004">
        <v>16.12</v>
      </c>
      <c r="T2004" t="s">
        <v>468</v>
      </c>
    </row>
    <row r="2005" spans="1:20" x14ac:dyDescent="0.25">
      <c r="A2005">
        <v>285</v>
      </c>
      <c r="B2005">
        <v>514336</v>
      </c>
      <c r="C2005" t="s">
        <v>367</v>
      </c>
      <c r="D2005">
        <v>2015</v>
      </c>
      <c r="E2005">
        <v>117.40000152587891</v>
      </c>
      <c r="F2005">
        <v>-0.62</v>
      </c>
      <c r="G2005" t="s">
        <v>465</v>
      </c>
      <c r="H2005">
        <v>16.35000038146973</v>
      </c>
      <c r="I2005">
        <v>6.0500001907348633</v>
      </c>
      <c r="L2005" t="s">
        <v>471</v>
      </c>
      <c r="M2005">
        <v>-26.370968357209239</v>
      </c>
      <c r="N2005">
        <v>-9.758064823765908</v>
      </c>
      <c r="O2005">
        <v>15.1</v>
      </c>
      <c r="P2005">
        <v>17.47</v>
      </c>
      <c r="Q2005">
        <v>10.23</v>
      </c>
      <c r="R2005" s="3" t="s">
        <v>470</v>
      </c>
      <c r="S2005">
        <v>15.1</v>
      </c>
      <c r="T2005" t="s">
        <v>468</v>
      </c>
    </row>
    <row r="2006" spans="1:20" x14ac:dyDescent="0.25">
      <c r="A2006">
        <v>285</v>
      </c>
      <c r="B2006">
        <v>514336</v>
      </c>
      <c r="C2006" t="s">
        <v>367</v>
      </c>
      <c r="D2006">
        <v>2016</v>
      </c>
      <c r="E2006">
        <v>117.40000152587891</v>
      </c>
      <c r="F2006">
        <v>0.36</v>
      </c>
      <c r="G2006" t="s">
        <v>465</v>
      </c>
      <c r="H2006">
        <v>17</v>
      </c>
      <c r="I2006">
        <v>13.89999961853027</v>
      </c>
      <c r="L2006" t="s">
        <v>484</v>
      </c>
      <c r="M2006">
        <v>47.222222222222221</v>
      </c>
      <c r="N2006">
        <v>38.61111005147297</v>
      </c>
      <c r="O2006">
        <v>15.1</v>
      </c>
      <c r="P2006">
        <v>17.47</v>
      </c>
      <c r="Q2006">
        <v>10.23</v>
      </c>
      <c r="R2006" s="3" t="s">
        <v>470</v>
      </c>
      <c r="S2006">
        <v>15.1</v>
      </c>
      <c r="T2006" t="s">
        <v>468</v>
      </c>
    </row>
    <row r="2007" spans="1:20" x14ac:dyDescent="0.25">
      <c r="A2007">
        <v>285</v>
      </c>
      <c r="B2007">
        <v>514336</v>
      </c>
      <c r="C2007" t="s">
        <v>367</v>
      </c>
      <c r="D2007">
        <v>2017</v>
      </c>
      <c r="E2007">
        <v>117.40000152587891</v>
      </c>
      <c r="G2007" t="s">
        <v>465</v>
      </c>
      <c r="H2007">
        <v>14.14999961853027</v>
      </c>
      <c r="I2007">
        <v>4.0799999237060547</v>
      </c>
      <c r="L2007" t="s">
        <v>466</v>
      </c>
      <c r="O2007">
        <v>15.1</v>
      </c>
      <c r="P2007">
        <v>17.47</v>
      </c>
      <c r="Q2007">
        <v>10.23</v>
      </c>
      <c r="R2007" s="3" t="s">
        <v>470</v>
      </c>
      <c r="S2007">
        <v>15.1</v>
      </c>
      <c r="T2007" t="s">
        <v>468</v>
      </c>
    </row>
    <row r="2008" spans="1:20" x14ac:dyDescent="0.25">
      <c r="A2008">
        <v>285</v>
      </c>
      <c r="B2008">
        <v>514336</v>
      </c>
      <c r="C2008" t="s">
        <v>367</v>
      </c>
      <c r="D2008">
        <v>2018</v>
      </c>
      <c r="E2008">
        <v>117.40000152587891</v>
      </c>
      <c r="F2008">
        <v>-0.15</v>
      </c>
      <c r="G2008" t="s">
        <v>465</v>
      </c>
      <c r="H2008">
        <v>5.8000001907348633</v>
      </c>
      <c r="I2008">
        <v>4.8000001907348633</v>
      </c>
      <c r="L2008" t="s">
        <v>471</v>
      </c>
      <c r="M2008">
        <v>-38.666667938232422</v>
      </c>
      <c r="N2008">
        <v>-32.000001271565758</v>
      </c>
      <c r="O2008">
        <v>15.1</v>
      </c>
      <c r="P2008">
        <v>17.47</v>
      </c>
      <c r="Q2008">
        <v>10.23</v>
      </c>
      <c r="R2008" s="3" t="s">
        <v>470</v>
      </c>
      <c r="S2008">
        <v>15.1</v>
      </c>
      <c r="T2008" t="s">
        <v>468</v>
      </c>
    </row>
    <row r="2009" spans="1:20" x14ac:dyDescent="0.25">
      <c r="A2009">
        <v>285</v>
      </c>
      <c r="B2009">
        <v>514336</v>
      </c>
      <c r="C2009" t="s">
        <v>367</v>
      </c>
      <c r="D2009">
        <v>2019</v>
      </c>
      <c r="E2009">
        <v>117.40000152587891</v>
      </c>
      <c r="F2009">
        <v>-0.04</v>
      </c>
      <c r="G2009" t="s">
        <v>465</v>
      </c>
      <c r="H2009">
        <v>8.119999885559082</v>
      </c>
      <c r="I2009">
        <v>5.8000001907348633</v>
      </c>
      <c r="L2009" t="s">
        <v>471</v>
      </c>
      <c r="M2009">
        <v>-202.99999713897711</v>
      </c>
      <c r="N2009">
        <v>-145.00000476837161</v>
      </c>
      <c r="O2009">
        <v>15.1</v>
      </c>
      <c r="P2009">
        <v>17.47</v>
      </c>
      <c r="Q2009">
        <v>10.23</v>
      </c>
      <c r="R2009" s="3" t="s">
        <v>470</v>
      </c>
      <c r="S2009">
        <v>15.1</v>
      </c>
      <c r="T2009" t="s">
        <v>468</v>
      </c>
    </row>
    <row r="2010" spans="1:20" x14ac:dyDescent="0.25">
      <c r="A2010">
        <v>285</v>
      </c>
      <c r="B2010">
        <v>514336</v>
      </c>
      <c r="C2010" t="s">
        <v>367</v>
      </c>
      <c r="D2010">
        <v>2020</v>
      </c>
      <c r="E2010">
        <v>117.40000152587891</v>
      </c>
      <c r="F2010">
        <v>-0.08</v>
      </c>
      <c r="G2010" t="s">
        <v>465</v>
      </c>
      <c r="H2010">
        <v>7.75</v>
      </c>
      <c r="I2010">
        <v>6.7800002098083496</v>
      </c>
      <c r="L2010" t="s">
        <v>471</v>
      </c>
      <c r="M2010">
        <v>-96.875</v>
      </c>
      <c r="N2010">
        <v>-84.75000262260437</v>
      </c>
      <c r="O2010">
        <v>15.1</v>
      </c>
      <c r="P2010">
        <v>17.47</v>
      </c>
      <c r="Q2010">
        <v>10.23</v>
      </c>
      <c r="R2010" s="3" t="s">
        <v>470</v>
      </c>
      <c r="S2010">
        <v>15.1</v>
      </c>
      <c r="T2010" t="s">
        <v>468</v>
      </c>
    </row>
    <row r="2011" spans="1:20" x14ac:dyDescent="0.25">
      <c r="A2011">
        <v>285</v>
      </c>
      <c r="B2011">
        <v>514336</v>
      </c>
      <c r="C2011" t="s">
        <v>367</v>
      </c>
      <c r="D2011">
        <v>2021</v>
      </c>
      <c r="E2011">
        <v>117.40000152587891</v>
      </c>
      <c r="F2011">
        <v>-0.09</v>
      </c>
      <c r="G2011" t="s">
        <v>465</v>
      </c>
      <c r="H2011">
        <v>8.2200002670288086</v>
      </c>
      <c r="I2011">
        <v>7.4600000381469727</v>
      </c>
      <c r="L2011" t="s">
        <v>471</v>
      </c>
      <c r="M2011">
        <v>-91.333336300320099</v>
      </c>
      <c r="N2011">
        <v>-82.888889312744141</v>
      </c>
      <c r="O2011">
        <v>15.1</v>
      </c>
      <c r="P2011">
        <v>17.47</v>
      </c>
      <c r="Q2011">
        <v>10.23</v>
      </c>
      <c r="R2011" s="3" t="s">
        <v>470</v>
      </c>
      <c r="S2011">
        <v>15.1</v>
      </c>
      <c r="T2011" t="s">
        <v>468</v>
      </c>
    </row>
    <row r="2012" spans="1:20" x14ac:dyDescent="0.25">
      <c r="A2012">
        <v>285</v>
      </c>
      <c r="B2012">
        <v>514336</v>
      </c>
      <c r="C2012" t="s">
        <v>367</v>
      </c>
      <c r="D2012">
        <v>2022</v>
      </c>
      <c r="E2012">
        <v>117.40000152587891</v>
      </c>
      <c r="F2012">
        <v>-0.09</v>
      </c>
      <c r="G2012" t="s">
        <v>465</v>
      </c>
      <c r="H2012">
        <v>11.02000045776367</v>
      </c>
      <c r="I2012">
        <v>8</v>
      </c>
      <c r="L2012" t="s">
        <v>471</v>
      </c>
      <c r="M2012">
        <v>-122.4444495307074</v>
      </c>
      <c r="N2012">
        <v>-88.888888888888886</v>
      </c>
      <c r="O2012">
        <v>15.1</v>
      </c>
      <c r="P2012">
        <v>17.47</v>
      </c>
      <c r="Q2012">
        <v>10.23</v>
      </c>
      <c r="R2012" s="3" t="s">
        <v>470</v>
      </c>
      <c r="S2012">
        <v>15.1</v>
      </c>
      <c r="T2012" t="s">
        <v>468</v>
      </c>
    </row>
    <row r="2013" spans="1:20" x14ac:dyDescent="0.25">
      <c r="A2013">
        <v>285</v>
      </c>
      <c r="B2013">
        <v>514336</v>
      </c>
      <c r="C2013" t="s">
        <v>367</v>
      </c>
      <c r="D2013">
        <v>2023</v>
      </c>
      <c r="E2013">
        <v>117.40000152587891</v>
      </c>
      <c r="F2013">
        <v>-0.11</v>
      </c>
      <c r="G2013" t="s">
        <v>465</v>
      </c>
      <c r="H2013">
        <v>11.239999771118161</v>
      </c>
      <c r="I2013">
        <v>9.7299995422363281</v>
      </c>
      <c r="L2013" t="s">
        <v>471</v>
      </c>
      <c r="M2013">
        <v>-102.1818161010742</v>
      </c>
      <c r="N2013">
        <v>-88.454541293057531</v>
      </c>
      <c r="O2013">
        <v>15.1</v>
      </c>
      <c r="P2013">
        <v>17.47</v>
      </c>
      <c r="Q2013">
        <v>10.23</v>
      </c>
      <c r="R2013" s="3" t="s">
        <v>470</v>
      </c>
      <c r="S2013">
        <v>15.1</v>
      </c>
      <c r="T2013" t="s">
        <v>468</v>
      </c>
    </row>
    <row r="2014" spans="1:20" x14ac:dyDescent="0.25">
      <c r="A2014">
        <v>285</v>
      </c>
      <c r="B2014">
        <v>514336</v>
      </c>
      <c r="C2014" t="s">
        <v>367</v>
      </c>
      <c r="D2014">
        <v>2024</v>
      </c>
      <c r="E2014">
        <v>117.40000152587891</v>
      </c>
      <c r="F2014">
        <v>-2.92</v>
      </c>
      <c r="G2014" t="s">
        <v>465</v>
      </c>
      <c r="H2014">
        <v>17.469999313354489</v>
      </c>
      <c r="I2014">
        <v>9.7299995422363281</v>
      </c>
      <c r="L2014" t="s">
        <v>471</v>
      </c>
      <c r="M2014">
        <v>-5.9828764771761946</v>
      </c>
      <c r="N2014">
        <v>-3.3321916240535372</v>
      </c>
      <c r="O2014">
        <v>15.1</v>
      </c>
      <c r="P2014">
        <v>17.47</v>
      </c>
      <c r="Q2014">
        <v>10.23</v>
      </c>
      <c r="R2014" s="3" t="s">
        <v>470</v>
      </c>
      <c r="S2014">
        <v>15.1</v>
      </c>
      <c r="T2014" t="s">
        <v>468</v>
      </c>
    </row>
    <row r="2015" spans="1:20" x14ac:dyDescent="0.25">
      <c r="A2015">
        <v>285</v>
      </c>
      <c r="B2015">
        <v>514336</v>
      </c>
      <c r="C2015" t="s">
        <v>367</v>
      </c>
      <c r="D2015">
        <v>2025</v>
      </c>
      <c r="E2015">
        <v>117.40000152587891</v>
      </c>
      <c r="F2015">
        <v>2.69</v>
      </c>
      <c r="G2015" t="s">
        <v>465</v>
      </c>
      <c r="H2015">
        <v>181.30000305175781</v>
      </c>
      <c r="I2015">
        <v>17.469999313354489</v>
      </c>
      <c r="L2015" t="s">
        <v>469</v>
      </c>
      <c r="M2015">
        <v>67.39777065121109</v>
      </c>
      <c r="N2015">
        <v>6.4944235365630067</v>
      </c>
      <c r="O2015">
        <v>15.1</v>
      </c>
      <c r="P2015">
        <v>17.47</v>
      </c>
      <c r="Q2015">
        <v>10.23</v>
      </c>
      <c r="R2015" s="3" t="s">
        <v>470</v>
      </c>
      <c r="S2015">
        <v>15.1</v>
      </c>
      <c r="T2015" t="s">
        <v>468</v>
      </c>
    </row>
    <row r="2016" spans="1:20" x14ac:dyDescent="0.25">
      <c r="A2016">
        <v>285</v>
      </c>
      <c r="B2016">
        <v>514336</v>
      </c>
      <c r="C2016" t="s">
        <v>367</v>
      </c>
      <c r="D2016">
        <v>2026</v>
      </c>
      <c r="E2016">
        <v>117.40000152587891</v>
      </c>
      <c r="F2016">
        <v>-0.16</v>
      </c>
      <c r="G2016" t="s">
        <v>465</v>
      </c>
      <c r="H2016">
        <v>130.1000061035156</v>
      </c>
      <c r="I2016">
        <v>59.430000305175781</v>
      </c>
      <c r="L2016" t="s">
        <v>471</v>
      </c>
      <c r="M2016">
        <v>-813.12503814697243</v>
      </c>
      <c r="N2016">
        <v>-371.43750190734858</v>
      </c>
      <c r="O2016">
        <v>15.1</v>
      </c>
      <c r="P2016">
        <v>17.47</v>
      </c>
      <c r="Q2016">
        <v>10.23</v>
      </c>
      <c r="R2016" s="3" t="s">
        <v>470</v>
      </c>
      <c r="S2016">
        <v>15.1</v>
      </c>
      <c r="T2016" t="s">
        <v>468</v>
      </c>
    </row>
    <row r="2017" spans="1:20" x14ac:dyDescent="0.25">
      <c r="A2017">
        <v>286</v>
      </c>
      <c r="B2017">
        <v>514360</v>
      </c>
      <c r="C2017" t="s">
        <v>369</v>
      </c>
      <c r="D2017">
        <v>2015</v>
      </c>
      <c r="E2017">
        <v>24.489999771118161</v>
      </c>
      <c r="F2017">
        <v>5.51</v>
      </c>
      <c r="G2017" t="s">
        <v>465</v>
      </c>
      <c r="H2017">
        <v>36</v>
      </c>
      <c r="I2017">
        <v>9</v>
      </c>
      <c r="L2017" t="s">
        <v>469</v>
      </c>
      <c r="M2017">
        <v>6.5335753176043561</v>
      </c>
      <c r="N2017">
        <v>1.633393829401089</v>
      </c>
      <c r="O2017">
        <v>475.4</v>
      </c>
      <c r="P2017">
        <v>800</v>
      </c>
      <c r="Q2017">
        <v>303.55</v>
      </c>
      <c r="R2017" s="3" t="s">
        <v>470</v>
      </c>
      <c r="S2017">
        <v>475.4</v>
      </c>
      <c r="T2017" t="s">
        <v>468</v>
      </c>
    </row>
    <row r="2018" spans="1:20" x14ac:dyDescent="0.25">
      <c r="A2018">
        <v>286</v>
      </c>
      <c r="B2018">
        <v>514360</v>
      </c>
      <c r="C2018" t="s">
        <v>369</v>
      </c>
      <c r="D2018">
        <v>2016</v>
      </c>
      <c r="E2018">
        <v>24.489999771118161</v>
      </c>
      <c r="F2018">
        <v>7.21</v>
      </c>
      <c r="G2018" t="s">
        <v>465</v>
      </c>
      <c r="H2018">
        <v>9</v>
      </c>
      <c r="I2018">
        <v>9</v>
      </c>
      <c r="L2018" t="s">
        <v>469</v>
      </c>
      <c r="M2018">
        <v>1.248266296809986</v>
      </c>
      <c r="N2018">
        <v>1.248266296809986</v>
      </c>
      <c r="O2018">
        <v>475.4</v>
      </c>
      <c r="P2018">
        <v>800</v>
      </c>
      <c r="Q2018">
        <v>303.55</v>
      </c>
      <c r="R2018" s="3" t="s">
        <v>470</v>
      </c>
      <c r="S2018">
        <v>475.4</v>
      </c>
      <c r="T2018" t="s">
        <v>468</v>
      </c>
    </row>
    <row r="2019" spans="1:20" x14ac:dyDescent="0.25">
      <c r="A2019">
        <v>286</v>
      </c>
      <c r="B2019">
        <v>514360</v>
      </c>
      <c r="C2019" t="s">
        <v>369</v>
      </c>
      <c r="D2019">
        <v>2017</v>
      </c>
      <c r="E2019">
        <v>24.489999771118161</v>
      </c>
      <c r="F2019">
        <v>0.74</v>
      </c>
      <c r="G2019" t="s">
        <v>465</v>
      </c>
      <c r="H2019">
        <v>9</v>
      </c>
      <c r="I2019">
        <v>9</v>
      </c>
      <c r="L2019" t="s">
        <v>469</v>
      </c>
      <c r="M2019">
        <v>12.16216216216216</v>
      </c>
      <c r="N2019">
        <v>12.16216216216216</v>
      </c>
      <c r="O2019">
        <v>475.4</v>
      </c>
      <c r="P2019">
        <v>800</v>
      </c>
      <c r="Q2019">
        <v>303.55</v>
      </c>
      <c r="R2019" s="3" t="s">
        <v>470</v>
      </c>
      <c r="S2019">
        <v>475.4</v>
      </c>
      <c r="T2019" t="s">
        <v>468</v>
      </c>
    </row>
    <row r="2020" spans="1:20" x14ac:dyDescent="0.25">
      <c r="A2020">
        <v>286</v>
      </c>
      <c r="B2020">
        <v>514360</v>
      </c>
      <c r="C2020" t="s">
        <v>369</v>
      </c>
      <c r="D2020">
        <v>2018</v>
      </c>
      <c r="E2020">
        <v>24.489999771118161</v>
      </c>
      <c r="F2020">
        <v>0.03</v>
      </c>
      <c r="G2020" t="s">
        <v>465</v>
      </c>
      <c r="H2020">
        <v>9</v>
      </c>
      <c r="I2020">
        <v>9</v>
      </c>
      <c r="L2020" t="s">
        <v>484</v>
      </c>
      <c r="M2020">
        <v>300</v>
      </c>
      <c r="N2020">
        <v>300</v>
      </c>
      <c r="O2020">
        <v>475.4</v>
      </c>
      <c r="P2020">
        <v>800</v>
      </c>
      <c r="Q2020">
        <v>303.55</v>
      </c>
      <c r="R2020" s="3" t="s">
        <v>470</v>
      </c>
      <c r="S2020">
        <v>475.4</v>
      </c>
      <c r="T2020" t="s">
        <v>468</v>
      </c>
    </row>
    <row r="2021" spans="1:20" x14ac:dyDescent="0.25">
      <c r="A2021">
        <v>286</v>
      </c>
      <c r="B2021">
        <v>514360</v>
      </c>
      <c r="C2021" t="s">
        <v>369</v>
      </c>
      <c r="D2021">
        <v>2020</v>
      </c>
      <c r="E2021">
        <v>24.489999771118161</v>
      </c>
      <c r="F2021">
        <v>1.25</v>
      </c>
      <c r="G2021" t="s">
        <v>465</v>
      </c>
      <c r="H2021">
        <v>37.549999237060547</v>
      </c>
      <c r="I2021">
        <v>9.119999885559082</v>
      </c>
      <c r="L2021" t="s">
        <v>469</v>
      </c>
      <c r="M2021">
        <v>30.03999938964844</v>
      </c>
      <c r="N2021">
        <v>7.295999908447266</v>
      </c>
      <c r="O2021">
        <v>475.4</v>
      </c>
      <c r="P2021">
        <v>800</v>
      </c>
      <c r="Q2021">
        <v>303.55</v>
      </c>
      <c r="R2021" s="3" t="s">
        <v>470</v>
      </c>
      <c r="S2021">
        <v>475.4</v>
      </c>
      <c r="T2021" t="s">
        <v>468</v>
      </c>
    </row>
    <row r="2022" spans="1:20" x14ac:dyDescent="0.25">
      <c r="A2022">
        <v>286</v>
      </c>
      <c r="B2022">
        <v>514360</v>
      </c>
      <c r="C2022" t="s">
        <v>369</v>
      </c>
      <c r="D2022">
        <v>2021</v>
      </c>
      <c r="E2022">
        <v>24.489999771118161</v>
      </c>
      <c r="F2022">
        <v>2.69</v>
      </c>
      <c r="G2022" t="s">
        <v>465</v>
      </c>
      <c r="H2022">
        <v>37.150001525878913</v>
      </c>
      <c r="I2022">
        <v>11.64000034332275</v>
      </c>
      <c r="L2022" t="s">
        <v>469</v>
      </c>
      <c r="M2022">
        <v>13.810409489174321</v>
      </c>
      <c r="N2022">
        <v>4.3271376740976768</v>
      </c>
      <c r="O2022">
        <v>475.4</v>
      </c>
      <c r="P2022">
        <v>800</v>
      </c>
      <c r="Q2022">
        <v>303.55</v>
      </c>
      <c r="R2022" s="3" t="s">
        <v>470</v>
      </c>
      <c r="S2022">
        <v>475.4</v>
      </c>
      <c r="T2022" t="s">
        <v>468</v>
      </c>
    </row>
    <row r="2023" spans="1:20" x14ac:dyDescent="0.25">
      <c r="A2023">
        <v>286</v>
      </c>
      <c r="B2023">
        <v>514360</v>
      </c>
      <c r="C2023" t="s">
        <v>369</v>
      </c>
      <c r="D2023">
        <v>2022</v>
      </c>
      <c r="E2023">
        <v>24.489999771118161</v>
      </c>
      <c r="F2023">
        <v>3.84</v>
      </c>
      <c r="G2023" t="s">
        <v>465</v>
      </c>
      <c r="H2023">
        <v>104.4499969482422</v>
      </c>
      <c r="I2023">
        <v>15.60000038146973</v>
      </c>
      <c r="L2023" t="s">
        <v>469</v>
      </c>
      <c r="M2023">
        <v>27.20052003860474</v>
      </c>
      <c r="N2023">
        <v>4.0625000993410758</v>
      </c>
      <c r="O2023">
        <v>475.4</v>
      </c>
      <c r="P2023">
        <v>800</v>
      </c>
      <c r="Q2023">
        <v>303.55</v>
      </c>
      <c r="R2023" s="3" t="s">
        <v>470</v>
      </c>
      <c r="S2023">
        <v>475.4</v>
      </c>
      <c r="T2023" t="s">
        <v>468</v>
      </c>
    </row>
    <row r="2024" spans="1:20" x14ac:dyDescent="0.25">
      <c r="A2024">
        <v>286</v>
      </c>
      <c r="B2024">
        <v>514360</v>
      </c>
      <c r="C2024" t="s">
        <v>369</v>
      </c>
      <c r="D2024">
        <v>2023</v>
      </c>
      <c r="E2024">
        <v>24.489999771118161</v>
      </c>
      <c r="F2024">
        <v>3.31</v>
      </c>
      <c r="G2024" t="s">
        <v>465</v>
      </c>
      <c r="H2024">
        <v>863.3499755859375</v>
      </c>
      <c r="I2024">
        <v>60.549999237060547</v>
      </c>
      <c r="L2024" t="s">
        <v>469</v>
      </c>
      <c r="M2024">
        <v>260.83080833412009</v>
      </c>
      <c r="N2024">
        <v>18.293051129021311</v>
      </c>
      <c r="O2024">
        <v>475.4</v>
      </c>
      <c r="P2024">
        <v>800</v>
      </c>
      <c r="Q2024">
        <v>303.55</v>
      </c>
      <c r="R2024" s="3" t="s">
        <v>470</v>
      </c>
      <c r="S2024">
        <v>475.4</v>
      </c>
      <c r="T2024" t="s">
        <v>468</v>
      </c>
    </row>
    <row r="2025" spans="1:20" x14ac:dyDescent="0.25">
      <c r="A2025">
        <v>286</v>
      </c>
      <c r="B2025">
        <v>514360</v>
      </c>
      <c r="C2025" t="s">
        <v>369</v>
      </c>
      <c r="D2025">
        <v>2024</v>
      </c>
      <c r="E2025">
        <v>24.489999771118161</v>
      </c>
      <c r="F2025">
        <v>3.04</v>
      </c>
      <c r="G2025" t="s">
        <v>465</v>
      </c>
      <c r="H2025">
        <v>800</v>
      </c>
      <c r="I2025">
        <v>303.54998779296881</v>
      </c>
      <c r="L2025" t="s">
        <v>469</v>
      </c>
      <c r="M2025">
        <v>263.15789473684208</v>
      </c>
      <c r="N2025">
        <v>99.851969668739741</v>
      </c>
      <c r="O2025">
        <v>475.4</v>
      </c>
      <c r="P2025">
        <v>800</v>
      </c>
      <c r="Q2025">
        <v>303.55</v>
      </c>
      <c r="R2025" s="3" t="s">
        <v>470</v>
      </c>
      <c r="S2025">
        <v>475.4</v>
      </c>
      <c r="T2025" t="s">
        <v>468</v>
      </c>
    </row>
    <row r="2026" spans="1:20" x14ac:dyDescent="0.25">
      <c r="A2026">
        <v>286</v>
      </c>
      <c r="B2026">
        <v>514360</v>
      </c>
      <c r="C2026" t="s">
        <v>369</v>
      </c>
      <c r="D2026">
        <v>2025</v>
      </c>
      <c r="E2026">
        <v>24.489999771118161</v>
      </c>
      <c r="F2026">
        <v>1.44</v>
      </c>
      <c r="G2026" t="s">
        <v>465</v>
      </c>
      <c r="H2026">
        <v>362.89999389648438</v>
      </c>
      <c r="I2026">
        <v>29.5</v>
      </c>
      <c r="L2026" t="s">
        <v>469</v>
      </c>
      <c r="M2026">
        <v>252.01388465033639</v>
      </c>
      <c r="N2026">
        <v>20.486111111111111</v>
      </c>
      <c r="O2026">
        <v>475.4</v>
      </c>
      <c r="P2026">
        <v>800</v>
      </c>
      <c r="Q2026">
        <v>303.55</v>
      </c>
      <c r="R2026" s="3" t="s">
        <v>470</v>
      </c>
      <c r="S2026">
        <v>475.4</v>
      </c>
      <c r="T2026" t="s">
        <v>468</v>
      </c>
    </row>
    <row r="2027" spans="1:20" x14ac:dyDescent="0.25">
      <c r="A2027">
        <v>286</v>
      </c>
      <c r="B2027">
        <v>514360</v>
      </c>
      <c r="C2027" t="s">
        <v>369</v>
      </c>
      <c r="D2027">
        <v>2026</v>
      </c>
      <c r="E2027">
        <v>24.489999771118161</v>
      </c>
      <c r="G2027" t="s">
        <v>465</v>
      </c>
      <c r="H2027">
        <v>42.259998321533203</v>
      </c>
      <c r="I2027">
        <v>19.920000076293949</v>
      </c>
      <c r="L2027" t="s">
        <v>466</v>
      </c>
      <c r="O2027">
        <v>475.4</v>
      </c>
      <c r="P2027">
        <v>800</v>
      </c>
      <c r="Q2027">
        <v>303.55</v>
      </c>
      <c r="R2027" s="3" t="s">
        <v>470</v>
      </c>
      <c r="S2027">
        <v>475.4</v>
      </c>
      <c r="T2027" t="s">
        <v>468</v>
      </c>
    </row>
    <row r="2028" spans="1:20" x14ac:dyDescent="0.25">
      <c r="A2028">
        <v>287</v>
      </c>
      <c r="B2028">
        <v>514378</v>
      </c>
      <c r="C2028" t="s">
        <v>371</v>
      </c>
      <c r="D2028">
        <v>2015</v>
      </c>
      <c r="E2028">
        <v>14.930000305175779</v>
      </c>
      <c r="G2028" t="s">
        <v>465</v>
      </c>
      <c r="H2028">
        <v>6.5276408195495614</v>
      </c>
      <c r="I2028">
        <v>1.834692001342773</v>
      </c>
      <c r="L2028" t="s">
        <v>466</v>
      </c>
      <c r="O2028">
        <v>51.94</v>
      </c>
      <c r="P2028">
        <v>61</v>
      </c>
      <c r="Q2028">
        <v>22.6</v>
      </c>
      <c r="R2028" s="3" t="s">
        <v>470</v>
      </c>
      <c r="S2028">
        <v>51.94</v>
      </c>
      <c r="T2028" t="s">
        <v>468</v>
      </c>
    </row>
    <row r="2029" spans="1:20" x14ac:dyDescent="0.25">
      <c r="A2029">
        <v>287</v>
      </c>
      <c r="B2029">
        <v>514378</v>
      </c>
      <c r="C2029" t="s">
        <v>371</v>
      </c>
      <c r="D2029">
        <v>2016</v>
      </c>
      <c r="E2029">
        <v>14.930000305175779</v>
      </c>
      <c r="G2029" t="s">
        <v>465</v>
      </c>
      <c r="H2029">
        <v>6.624204158782959</v>
      </c>
      <c r="I2029">
        <v>4.9440121650695801</v>
      </c>
      <c r="L2029" t="s">
        <v>466</v>
      </c>
      <c r="O2029">
        <v>51.94</v>
      </c>
      <c r="P2029">
        <v>61</v>
      </c>
      <c r="Q2029">
        <v>22.6</v>
      </c>
      <c r="R2029" s="3" t="s">
        <v>470</v>
      </c>
      <c r="S2029">
        <v>51.94</v>
      </c>
      <c r="T2029" t="s">
        <v>468</v>
      </c>
    </row>
    <row r="2030" spans="1:20" x14ac:dyDescent="0.25">
      <c r="A2030">
        <v>287</v>
      </c>
      <c r="B2030">
        <v>514378</v>
      </c>
      <c r="C2030" t="s">
        <v>371</v>
      </c>
      <c r="D2030">
        <v>2017</v>
      </c>
      <c r="E2030">
        <v>14.930000305175779</v>
      </c>
      <c r="G2030" t="s">
        <v>465</v>
      </c>
      <c r="H2030">
        <v>6.8559541702270508</v>
      </c>
      <c r="I2030">
        <v>4.0942602157592773</v>
      </c>
      <c r="L2030" t="s">
        <v>466</v>
      </c>
      <c r="O2030">
        <v>51.94</v>
      </c>
      <c r="P2030">
        <v>61</v>
      </c>
      <c r="Q2030">
        <v>22.6</v>
      </c>
      <c r="R2030" s="3" t="s">
        <v>470</v>
      </c>
      <c r="S2030">
        <v>51.94</v>
      </c>
      <c r="T2030" t="s">
        <v>468</v>
      </c>
    </row>
    <row r="2031" spans="1:20" x14ac:dyDescent="0.25">
      <c r="A2031">
        <v>287</v>
      </c>
      <c r="B2031">
        <v>514378</v>
      </c>
      <c r="C2031" t="s">
        <v>371</v>
      </c>
      <c r="D2031">
        <v>2018</v>
      </c>
      <c r="E2031">
        <v>14.930000305175779</v>
      </c>
      <c r="G2031" t="s">
        <v>465</v>
      </c>
      <c r="H2031">
        <v>5.0212621688842773</v>
      </c>
      <c r="I2031">
        <v>3.8818221092224121</v>
      </c>
      <c r="L2031" t="s">
        <v>466</v>
      </c>
      <c r="O2031">
        <v>51.94</v>
      </c>
      <c r="P2031">
        <v>61</v>
      </c>
      <c r="Q2031">
        <v>22.6</v>
      </c>
      <c r="R2031" s="3" t="s">
        <v>470</v>
      </c>
      <c r="S2031">
        <v>51.94</v>
      </c>
      <c r="T2031" t="s">
        <v>468</v>
      </c>
    </row>
    <row r="2032" spans="1:20" x14ac:dyDescent="0.25">
      <c r="A2032">
        <v>287</v>
      </c>
      <c r="B2032">
        <v>514378</v>
      </c>
      <c r="C2032" t="s">
        <v>371</v>
      </c>
      <c r="D2032">
        <v>2019</v>
      </c>
      <c r="E2032">
        <v>14.930000305175779</v>
      </c>
      <c r="G2032" t="s">
        <v>465</v>
      </c>
      <c r="H2032">
        <v>4.1328849792480469</v>
      </c>
      <c r="I2032">
        <v>2.9934439659118648</v>
      </c>
      <c r="L2032" t="s">
        <v>466</v>
      </c>
      <c r="O2032">
        <v>51.94</v>
      </c>
      <c r="P2032">
        <v>61</v>
      </c>
      <c r="Q2032">
        <v>22.6</v>
      </c>
      <c r="R2032" s="3" t="s">
        <v>470</v>
      </c>
      <c r="S2032">
        <v>51.94</v>
      </c>
      <c r="T2032" t="s">
        <v>468</v>
      </c>
    </row>
    <row r="2033" spans="1:20" x14ac:dyDescent="0.25">
      <c r="A2033">
        <v>287</v>
      </c>
      <c r="B2033">
        <v>514378</v>
      </c>
      <c r="C2033" t="s">
        <v>371</v>
      </c>
      <c r="D2033">
        <v>2020</v>
      </c>
      <c r="E2033">
        <v>14.930000305175779</v>
      </c>
      <c r="G2033" t="s">
        <v>465</v>
      </c>
      <c r="H2033">
        <v>2.9934439659118648</v>
      </c>
      <c r="I2033">
        <v>2.365787029266357</v>
      </c>
      <c r="L2033" t="s">
        <v>466</v>
      </c>
      <c r="O2033">
        <v>51.94</v>
      </c>
      <c r="P2033">
        <v>61</v>
      </c>
      <c r="Q2033">
        <v>22.6</v>
      </c>
      <c r="R2033" s="3" t="s">
        <v>470</v>
      </c>
      <c r="S2033">
        <v>51.94</v>
      </c>
      <c r="T2033" t="s">
        <v>468</v>
      </c>
    </row>
    <row r="2034" spans="1:20" x14ac:dyDescent="0.25">
      <c r="A2034">
        <v>287</v>
      </c>
      <c r="B2034">
        <v>514378</v>
      </c>
      <c r="C2034" t="s">
        <v>371</v>
      </c>
      <c r="D2034">
        <v>2021</v>
      </c>
      <c r="E2034">
        <v>14.930000305175779</v>
      </c>
      <c r="G2034" t="s">
        <v>465</v>
      </c>
      <c r="H2034">
        <v>6.3827967643737793</v>
      </c>
      <c r="I2034">
        <v>1.6608790159225459</v>
      </c>
      <c r="L2034" t="s">
        <v>466</v>
      </c>
      <c r="O2034">
        <v>51.94</v>
      </c>
      <c r="P2034">
        <v>61</v>
      </c>
      <c r="Q2034">
        <v>22.6</v>
      </c>
      <c r="R2034" s="3" t="s">
        <v>470</v>
      </c>
      <c r="S2034">
        <v>51.94</v>
      </c>
      <c r="T2034" t="s">
        <v>468</v>
      </c>
    </row>
    <row r="2035" spans="1:20" x14ac:dyDescent="0.25">
      <c r="A2035">
        <v>287</v>
      </c>
      <c r="B2035">
        <v>514378</v>
      </c>
      <c r="C2035" t="s">
        <v>371</v>
      </c>
      <c r="D2035">
        <v>2022</v>
      </c>
      <c r="E2035">
        <v>14.930000305175779</v>
      </c>
      <c r="G2035" t="s">
        <v>465</v>
      </c>
      <c r="H2035">
        <v>40.749477386474609</v>
      </c>
      <c r="I2035">
        <v>4.1811661720275879</v>
      </c>
      <c r="L2035" t="s">
        <v>466</v>
      </c>
      <c r="O2035">
        <v>51.94</v>
      </c>
      <c r="P2035">
        <v>61</v>
      </c>
      <c r="Q2035">
        <v>22.6</v>
      </c>
      <c r="R2035" s="3" t="s">
        <v>470</v>
      </c>
      <c r="S2035">
        <v>51.94</v>
      </c>
      <c r="T2035" t="s">
        <v>468</v>
      </c>
    </row>
    <row r="2036" spans="1:20" x14ac:dyDescent="0.25">
      <c r="A2036">
        <v>287</v>
      </c>
      <c r="B2036">
        <v>514378</v>
      </c>
      <c r="C2036" t="s">
        <v>371</v>
      </c>
      <c r="D2036">
        <v>2023</v>
      </c>
      <c r="E2036">
        <v>14.930000305175779</v>
      </c>
      <c r="F2036">
        <v>-7.0000000000000007E-2</v>
      </c>
      <c r="G2036" t="s">
        <v>465</v>
      </c>
      <c r="H2036">
        <v>46.350116729736328</v>
      </c>
      <c r="I2036">
        <v>20.065736770629879</v>
      </c>
      <c r="L2036" t="s">
        <v>471</v>
      </c>
      <c r="M2036">
        <v>-662.14452471051891</v>
      </c>
      <c r="N2036">
        <v>-286.65338243756969</v>
      </c>
      <c r="O2036">
        <v>51.94</v>
      </c>
      <c r="P2036">
        <v>61</v>
      </c>
      <c r="Q2036">
        <v>22.6</v>
      </c>
      <c r="R2036" s="3" t="s">
        <v>470</v>
      </c>
      <c r="S2036">
        <v>51.94</v>
      </c>
      <c r="T2036" t="s">
        <v>468</v>
      </c>
    </row>
    <row r="2037" spans="1:20" x14ac:dyDescent="0.25">
      <c r="A2037">
        <v>287</v>
      </c>
      <c r="B2037">
        <v>514378</v>
      </c>
      <c r="C2037" t="s">
        <v>371</v>
      </c>
      <c r="D2037">
        <v>2024</v>
      </c>
      <c r="E2037">
        <v>14.930000305175779</v>
      </c>
      <c r="F2037">
        <v>0.34</v>
      </c>
      <c r="G2037" t="s">
        <v>465</v>
      </c>
      <c r="H2037">
        <v>61</v>
      </c>
      <c r="I2037">
        <v>22.60000038146973</v>
      </c>
      <c r="L2037" t="s">
        <v>484</v>
      </c>
      <c r="M2037">
        <v>179.41176470588229</v>
      </c>
      <c r="N2037">
        <v>66.470589357263904</v>
      </c>
      <c r="O2037">
        <v>51.94</v>
      </c>
      <c r="P2037">
        <v>61</v>
      </c>
      <c r="Q2037">
        <v>22.6</v>
      </c>
      <c r="R2037" s="3" t="s">
        <v>470</v>
      </c>
      <c r="S2037">
        <v>51.94</v>
      </c>
      <c r="T2037" t="s">
        <v>468</v>
      </c>
    </row>
    <row r="2038" spans="1:20" x14ac:dyDescent="0.25">
      <c r="A2038">
        <v>287</v>
      </c>
      <c r="B2038">
        <v>514378</v>
      </c>
      <c r="C2038" t="s">
        <v>371</v>
      </c>
      <c r="D2038">
        <v>2025</v>
      </c>
      <c r="E2038">
        <v>14.930000305175779</v>
      </c>
      <c r="F2038">
        <v>-0.51</v>
      </c>
      <c r="G2038" t="s">
        <v>465</v>
      </c>
      <c r="H2038">
        <v>44.799999237060547</v>
      </c>
      <c r="I2038">
        <v>13</v>
      </c>
      <c r="L2038" t="s">
        <v>471</v>
      </c>
      <c r="M2038">
        <v>-87.843135758942253</v>
      </c>
      <c r="N2038">
        <v>-25.490196078431371</v>
      </c>
      <c r="O2038">
        <v>51.94</v>
      </c>
      <c r="P2038">
        <v>61</v>
      </c>
      <c r="Q2038">
        <v>22.6</v>
      </c>
      <c r="R2038" s="3" t="s">
        <v>470</v>
      </c>
      <c r="S2038">
        <v>51.94</v>
      </c>
      <c r="T2038" t="s">
        <v>468</v>
      </c>
    </row>
    <row r="2039" spans="1:20" x14ac:dyDescent="0.25">
      <c r="A2039">
        <v>287</v>
      </c>
      <c r="B2039">
        <v>514378</v>
      </c>
      <c r="C2039" t="s">
        <v>371</v>
      </c>
      <c r="D2039">
        <v>2026</v>
      </c>
      <c r="E2039">
        <v>14.930000305175779</v>
      </c>
      <c r="F2039">
        <v>-0.24</v>
      </c>
      <c r="G2039" t="s">
        <v>465</v>
      </c>
      <c r="H2039">
        <v>18.79999923706055</v>
      </c>
      <c r="I2039">
        <v>11.22999954223633</v>
      </c>
      <c r="L2039" t="s">
        <v>471</v>
      </c>
      <c r="M2039">
        <v>-78.33333015441896</v>
      </c>
      <c r="N2039">
        <v>-46.791664759318053</v>
      </c>
      <c r="O2039">
        <v>51.94</v>
      </c>
      <c r="P2039">
        <v>61</v>
      </c>
      <c r="Q2039">
        <v>22.6</v>
      </c>
      <c r="R2039" s="3" t="s">
        <v>470</v>
      </c>
      <c r="S2039">
        <v>51.94</v>
      </c>
      <c r="T2039" t="s">
        <v>468</v>
      </c>
    </row>
    <row r="2040" spans="1:20" x14ac:dyDescent="0.25">
      <c r="A2040">
        <v>288</v>
      </c>
      <c r="B2040">
        <v>514400</v>
      </c>
      <c r="C2040" t="s">
        <v>373</v>
      </c>
      <c r="D2040">
        <v>2015</v>
      </c>
      <c r="E2040">
        <v>18.5</v>
      </c>
      <c r="F2040">
        <v>1.05</v>
      </c>
      <c r="G2040" t="s">
        <v>465</v>
      </c>
      <c r="H2040">
        <v>42.900001525878913</v>
      </c>
      <c r="I2040">
        <v>16.29999923706055</v>
      </c>
      <c r="L2040" t="s">
        <v>469</v>
      </c>
      <c r="M2040">
        <v>40.857144310360873</v>
      </c>
      <c r="N2040">
        <v>15.52380879720052</v>
      </c>
      <c r="O2040">
        <v>20.34</v>
      </c>
      <c r="P2040">
        <v>40.03</v>
      </c>
      <c r="Q2040">
        <v>13.4</v>
      </c>
      <c r="R2040" s="3" t="s">
        <v>470</v>
      </c>
      <c r="S2040">
        <v>20.34</v>
      </c>
      <c r="T2040" t="s">
        <v>468</v>
      </c>
    </row>
    <row r="2041" spans="1:20" x14ac:dyDescent="0.25">
      <c r="A2041">
        <v>288</v>
      </c>
      <c r="B2041">
        <v>514400</v>
      </c>
      <c r="C2041" t="s">
        <v>373</v>
      </c>
      <c r="D2041">
        <v>2016</v>
      </c>
      <c r="E2041">
        <v>18.5</v>
      </c>
      <c r="F2041">
        <v>0.28999999999999998</v>
      </c>
      <c r="G2041" t="s">
        <v>465</v>
      </c>
      <c r="H2041">
        <v>23.60000038146973</v>
      </c>
      <c r="I2041">
        <v>6.0199999809265137</v>
      </c>
      <c r="L2041" t="s">
        <v>484</v>
      </c>
      <c r="M2041">
        <v>81.379311660240461</v>
      </c>
      <c r="N2041">
        <v>20.758620623884529</v>
      </c>
      <c r="O2041">
        <v>20.34</v>
      </c>
      <c r="P2041">
        <v>40.03</v>
      </c>
      <c r="Q2041">
        <v>13.4</v>
      </c>
      <c r="R2041" s="3" t="s">
        <v>470</v>
      </c>
      <c r="S2041">
        <v>20.34</v>
      </c>
      <c r="T2041" t="s">
        <v>468</v>
      </c>
    </row>
    <row r="2042" spans="1:20" x14ac:dyDescent="0.25">
      <c r="A2042">
        <v>288</v>
      </c>
      <c r="B2042">
        <v>514400</v>
      </c>
      <c r="C2042" t="s">
        <v>373</v>
      </c>
      <c r="D2042">
        <v>2017</v>
      </c>
      <c r="E2042">
        <v>18.5</v>
      </c>
      <c r="F2042">
        <v>0.81</v>
      </c>
      <c r="G2042" t="s">
        <v>465</v>
      </c>
      <c r="H2042">
        <v>10</v>
      </c>
      <c r="I2042">
        <v>6.0100002288818359</v>
      </c>
      <c r="L2042" t="s">
        <v>469</v>
      </c>
      <c r="M2042">
        <v>12.345679012345681</v>
      </c>
      <c r="N2042">
        <v>7.4197533689899204</v>
      </c>
      <c r="O2042">
        <v>20.34</v>
      </c>
      <c r="P2042">
        <v>40.03</v>
      </c>
      <c r="Q2042">
        <v>13.4</v>
      </c>
      <c r="R2042" s="3" t="s">
        <v>470</v>
      </c>
      <c r="S2042">
        <v>20.34</v>
      </c>
      <c r="T2042" t="s">
        <v>468</v>
      </c>
    </row>
    <row r="2043" spans="1:20" x14ac:dyDescent="0.25">
      <c r="A2043">
        <v>288</v>
      </c>
      <c r="B2043">
        <v>514400</v>
      </c>
      <c r="C2043" t="s">
        <v>373</v>
      </c>
      <c r="D2043">
        <v>2018</v>
      </c>
      <c r="E2043">
        <v>18.5</v>
      </c>
      <c r="F2043">
        <v>0.59</v>
      </c>
      <c r="G2043" t="s">
        <v>465</v>
      </c>
      <c r="H2043">
        <v>12.30000019073486</v>
      </c>
      <c r="I2043">
        <v>2.880000114440918</v>
      </c>
      <c r="L2043" t="s">
        <v>469</v>
      </c>
      <c r="M2043">
        <v>20.84745795039807</v>
      </c>
      <c r="N2043">
        <v>4.8813561261710481</v>
      </c>
      <c r="O2043">
        <v>20.34</v>
      </c>
      <c r="P2043">
        <v>40.03</v>
      </c>
      <c r="Q2043">
        <v>13.4</v>
      </c>
      <c r="R2043" s="3" t="s">
        <v>470</v>
      </c>
      <c r="S2043">
        <v>20.34</v>
      </c>
      <c r="T2043" t="s">
        <v>468</v>
      </c>
    </row>
    <row r="2044" spans="1:20" x14ac:dyDescent="0.25">
      <c r="A2044">
        <v>288</v>
      </c>
      <c r="B2044">
        <v>514400</v>
      </c>
      <c r="C2044" t="s">
        <v>373</v>
      </c>
      <c r="D2044">
        <v>2019</v>
      </c>
      <c r="E2044">
        <v>18.5</v>
      </c>
      <c r="F2044">
        <v>-2.36</v>
      </c>
      <c r="G2044" t="s">
        <v>465</v>
      </c>
      <c r="H2044">
        <v>4.5</v>
      </c>
      <c r="I2044">
        <v>1.779999971389771</v>
      </c>
      <c r="L2044" t="s">
        <v>471</v>
      </c>
      <c r="M2044">
        <v>-1.906779661016949</v>
      </c>
      <c r="N2044">
        <v>-0.75423727601261481</v>
      </c>
      <c r="O2044">
        <v>20.34</v>
      </c>
      <c r="P2044">
        <v>40.03</v>
      </c>
      <c r="Q2044">
        <v>13.4</v>
      </c>
      <c r="R2044" s="3" t="s">
        <v>470</v>
      </c>
      <c r="S2044">
        <v>20.34</v>
      </c>
      <c r="T2044" t="s">
        <v>468</v>
      </c>
    </row>
    <row r="2045" spans="1:20" x14ac:dyDescent="0.25">
      <c r="A2045">
        <v>288</v>
      </c>
      <c r="B2045">
        <v>514400</v>
      </c>
      <c r="C2045" t="s">
        <v>373</v>
      </c>
      <c r="D2045">
        <v>2020</v>
      </c>
      <c r="E2045">
        <v>18.5</v>
      </c>
      <c r="F2045">
        <v>0.19</v>
      </c>
      <c r="G2045" t="s">
        <v>465</v>
      </c>
      <c r="H2045">
        <v>3.9900000095367432</v>
      </c>
      <c r="L2045" t="s">
        <v>484</v>
      </c>
      <c r="M2045">
        <v>21.000000050193389</v>
      </c>
      <c r="O2045">
        <v>20.34</v>
      </c>
      <c r="P2045">
        <v>40.03</v>
      </c>
      <c r="Q2045">
        <v>13.4</v>
      </c>
      <c r="R2045" s="3" t="s">
        <v>470</v>
      </c>
      <c r="S2045">
        <v>20.34</v>
      </c>
      <c r="T2045" t="s">
        <v>468</v>
      </c>
    </row>
    <row r="2046" spans="1:20" x14ac:dyDescent="0.25">
      <c r="A2046">
        <v>288</v>
      </c>
      <c r="B2046">
        <v>514400</v>
      </c>
      <c r="C2046" t="s">
        <v>373</v>
      </c>
      <c r="D2046">
        <v>2021</v>
      </c>
      <c r="E2046">
        <v>18.5</v>
      </c>
      <c r="F2046">
        <v>1</v>
      </c>
      <c r="G2046" t="s">
        <v>465</v>
      </c>
      <c r="H2046">
        <v>22.79999923706055</v>
      </c>
      <c r="I2046">
        <v>3.5499999523162842</v>
      </c>
      <c r="L2046" t="s">
        <v>469</v>
      </c>
      <c r="M2046">
        <v>22.79999923706055</v>
      </c>
      <c r="N2046">
        <v>3.5499999523162842</v>
      </c>
      <c r="O2046">
        <v>20.34</v>
      </c>
      <c r="P2046">
        <v>40.03</v>
      </c>
      <c r="Q2046">
        <v>13.4</v>
      </c>
      <c r="R2046" s="3" t="s">
        <v>470</v>
      </c>
      <c r="S2046">
        <v>20.34</v>
      </c>
      <c r="T2046" t="s">
        <v>468</v>
      </c>
    </row>
    <row r="2047" spans="1:20" x14ac:dyDescent="0.25">
      <c r="A2047">
        <v>288</v>
      </c>
      <c r="B2047">
        <v>514400</v>
      </c>
      <c r="C2047" t="s">
        <v>373</v>
      </c>
      <c r="D2047">
        <v>2022</v>
      </c>
      <c r="E2047">
        <v>18.5</v>
      </c>
      <c r="F2047">
        <v>0.4</v>
      </c>
      <c r="G2047" t="s">
        <v>465</v>
      </c>
      <c r="H2047">
        <v>17.989999771118161</v>
      </c>
      <c r="I2047">
        <v>9.5</v>
      </c>
      <c r="L2047" t="s">
        <v>484</v>
      </c>
      <c r="M2047">
        <v>44.974999427795403</v>
      </c>
      <c r="N2047">
        <v>23.75</v>
      </c>
      <c r="O2047">
        <v>20.34</v>
      </c>
      <c r="P2047">
        <v>40.03</v>
      </c>
      <c r="Q2047">
        <v>13.4</v>
      </c>
      <c r="R2047" s="3" t="s">
        <v>470</v>
      </c>
      <c r="S2047">
        <v>20.34</v>
      </c>
      <c r="T2047" t="s">
        <v>468</v>
      </c>
    </row>
    <row r="2048" spans="1:20" x14ac:dyDescent="0.25">
      <c r="A2048">
        <v>288</v>
      </c>
      <c r="B2048">
        <v>514400</v>
      </c>
      <c r="C2048" t="s">
        <v>373</v>
      </c>
      <c r="D2048">
        <v>2023</v>
      </c>
      <c r="E2048">
        <v>18.5</v>
      </c>
      <c r="F2048">
        <v>1</v>
      </c>
      <c r="G2048" t="s">
        <v>465</v>
      </c>
      <c r="H2048">
        <v>20.989999771118161</v>
      </c>
      <c r="I2048">
        <v>6.9499998092651367</v>
      </c>
      <c r="L2048" t="s">
        <v>469</v>
      </c>
      <c r="M2048">
        <v>20.989999771118161</v>
      </c>
      <c r="N2048">
        <v>6.9499998092651367</v>
      </c>
      <c r="O2048">
        <v>20.34</v>
      </c>
      <c r="P2048">
        <v>40.03</v>
      </c>
      <c r="Q2048">
        <v>13.4</v>
      </c>
      <c r="R2048" s="3" t="s">
        <v>470</v>
      </c>
      <c r="S2048">
        <v>20.34</v>
      </c>
      <c r="T2048" t="s">
        <v>468</v>
      </c>
    </row>
    <row r="2049" spans="1:20" x14ac:dyDescent="0.25">
      <c r="A2049">
        <v>288</v>
      </c>
      <c r="B2049">
        <v>514400</v>
      </c>
      <c r="C2049" t="s">
        <v>373</v>
      </c>
      <c r="D2049">
        <v>2024</v>
      </c>
      <c r="E2049">
        <v>18.5</v>
      </c>
      <c r="F2049">
        <v>-0.09</v>
      </c>
      <c r="G2049" t="s">
        <v>465</v>
      </c>
      <c r="H2049">
        <v>40.029998779296882</v>
      </c>
      <c r="I2049">
        <v>13.39999961853027</v>
      </c>
      <c r="L2049" t="s">
        <v>471</v>
      </c>
      <c r="M2049">
        <v>-444.77776421440979</v>
      </c>
      <c r="N2049">
        <v>-148.88888465033631</v>
      </c>
      <c r="O2049">
        <v>20.34</v>
      </c>
      <c r="P2049">
        <v>40.03</v>
      </c>
      <c r="Q2049">
        <v>13.4</v>
      </c>
      <c r="R2049" s="3" t="s">
        <v>470</v>
      </c>
      <c r="S2049">
        <v>20.34</v>
      </c>
      <c r="T2049" t="s">
        <v>468</v>
      </c>
    </row>
    <row r="2050" spans="1:20" x14ac:dyDescent="0.25">
      <c r="A2050">
        <v>288</v>
      </c>
      <c r="B2050">
        <v>514400</v>
      </c>
      <c r="C2050" t="s">
        <v>373</v>
      </c>
      <c r="D2050">
        <v>2025</v>
      </c>
      <c r="E2050">
        <v>18.5</v>
      </c>
      <c r="F2050">
        <v>0.02</v>
      </c>
      <c r="G2050" t="s">
        <v>465</v>
      </c>
      <c r="H2050">
        <v>39.790000915527337</v>
      </c>
      <c r="I2050">
        <v>12.69999980926514</v>
      </c>
      <c r="L2050" t="s">
        <v>484</v>
      </c>
      <c r="M2050">
        <v>1989.500045776367</v>
      </c>
      <c r="N2050">
        <v>634.99999046325695</v>
      </c>
      <c r="O2050">
        <v>20.34</v>
      </c>
      <c r="P2050">
        <v>40.03</v>
      </c>
      <c r="Q2050">
        <v>13.4</v>
      </c>
      <c r="R2050" s="3" t="s">
        <v>470</v>
      </c>
      <c r="S2050">
        <v>20.34</v>
      </c>
      <c r="T2050" t="s">
        <v>468</v>
      </c>
    </row>
    <row r="2051" spans="1:20" x14ac:dyDescent="0.25">
      <c r="A2051">
        <v>288</v>
      </c>
      <c r="B2051">
        <v>514400</v>
      </c>
      <c r="C2051" t="s">
        <v>373</v>
      </c>
      <c r="D2051">
        <v>2026</v>
      </c>
      <c r="E2051">
        <v>18.5</v>
      </c>
      <c r="F2051">
        <v>0.62</v>
      </c>
      <c r="G2051" t="s">
        <v>465</v>
      </c>
      <c r="H2051">
        <v>29.39999961853027</v>
      </c>
      <c r="I2051">
        <v>11.810000419616699</v>
      </c>
      <c r="L2051" t="s">
        <v>469</v>
      </c>
      <c r="M2051">
        <v>47.419354223435917</v>
      </c>
      <c r="N2051">
        <v>19.048387773575321</v>
      </c>
      <c r="O2051">
        <v>20.34</v>
      </c>
      <c r="P2051">
        <v>40.03</v>
      </c>
      <c r="Q2051">
        <v>13.4</v>
      </c>
      <c r="R2051" s="3" t="s">
        <v>470</v>
      </c>
      <c r="S2051">
        <v>20.34</v>
      </c>
      <c r="T2051" t="s">
        <v>468</v>
      </c>
    </row>
    <row r="2052" spans="1:20" x14ac:dyDescent="0.25">
      <c r="A2052">
        <v>289</v>
      </c>
      <c r="B2052">
        <v>514402</v>
      </c>
      <c r="C2052" t="s">
        <v>375</v>
      </c>
      <c r="D2052">
        <v>2015</v>
      </c>
      <c r="E2052">
        <v>12</v>
      </c>
      <c r="G2052" t="s">
        <v>465</v>
      </c>
      <c r="H2052">
        <v>9.7200002670288086</v>
      </c>
      <c r="I2052">
        <v>8.7799997329711914</v>
      </c>
      <c r="L2052" t="s">
        <v>466</v>
      </c>
      <c r="O2052">
        <v>37.979999999999997</v>
      </c>
      <c r="P2052">
        <v>55.18</v>
      </c>
      <c r="Q2052">
        <v>25</v>
      </c>
      <c r="R2052" s="3" t="s">
        <v>470</v>
      </c>
      <c r="S2052">
        <v>37.979999999999997</v>
      </c>
      <c r="T2052" t="s">
        <v>468</v>
      </c>
    </row>
    <row r="2053" spans="1:20" x14ac:dyDescent="0.25">
      <c r="A2053">
        <v>289</v>
      </c>
      <c r="B2053">
        <v>514402</v>
      </c>
      <c r="C2053" t="s">
        <v>375</v>
      </c>
      <c r="D2053">
        <v>2016</v>
      </c>
      <c r="E2053">
        <v>12</v>
      </c>
      <c r="G2053" t="s">
        <v>465</v>
      </c>
      <c r="H2053">
        <v>10.35000038146973</v>
      </c>
      <c r="I2053">
        <v>9.3999996185302734</v>
      </c>
      <c r="L2053" t="s">
        <v>466</v>
      </c>
      <c r="O2053">
        <v>37.979999999999997</v>
      </c>
      <c r="P2053">
        <v>55.18</v>
      </c>
      <c r="Q2053">
        <v>25</v>
      </c>
      <c r="R2053" s="3" t="s">
        <v>470</v>
      </c>
      <c r="S2053">
        <v>37.979999999999997</v>
      </c>
      <c r="T2053" t="s">
        <v>468</v>
      </c>
    </row>
    <row r="2054" spans="1:20" x14ac:dyDescent="0.25">
      <c r="A2054">
        <v>289</v>
      </c>
      <c r="B2054">
        <v>514402</v>
      </c>
      <c r="C2054" t="s">
        <v>375</v>
      </c>
      <c r="D2054">
        <v>2017</v>
      </c>
      <c r="E2054">
        <v>12</v>
      </c>
      <c r="F2054">
        <v>0.25</v>
      </c>
      <c r="G2054" t="s">
        <v>465</v>
      </c>
      <c r="H2054">
        <v>10.69999980926514</v>
      </c>
      <c r="I2054">
        <v>10.19999980926514</v>
      </c>
      <c r="L2054" t="s">
        <v>484</v>
      </c>
      <c r="M2054">
        <v>42.799999237060561</v>
      </c>
      <c r="N2054">
        <v>40.799999237060561</v>
      </c>
      <c r="O2054">
        <v>37.979999999999997</v>
      </c>
      <c r="P2054">
        <v>55.18</v>
      </c>
      <c r="Q2054">
        <v>25</v>
      </c>
      <c r="R2054" s="3" t="s">
        <v>470</v>
      </c>
      <c r="S2054">
        <v>37.979999999999997</v>
      </c>
      <c r="T2054" t="s">
        <v>468</v>
      </c>
    </row>
    <row r="2055" spans="1:20" x14ac:dyDescent="0.25">
      <c r="A2055">
        <v>289</v>
      </c>
      <c r="B2055">
        <v>514402</v>
      </c>
      <c r="C2055" t="s">
        <v>375</v>
      </c>
      <c r="D2055">
        <v>2018</v>
      </c>
      <c r="E2055">
        <v>12</v>
      </c>
      <c r="G2055" t="s">
        <v>465</v>
      </c>
      <c r="H2055">
        <v>10.69999980926514</v>
      </c>
      <c r="I2055">
        <v>10.170000076293951</v>
      </c>
      <c r="L2055" t="s">
        <v>466</v>
      </c>
      <c r="O2055">
        <v>37.979999999999997</v>
      </c>
      <c r="P2055">
        <v>55.18</v>
      </c>
      <c r="Q2055">
        <v>25</v>
      </c>
      <c r="R2055" s="3" t="s">
        <v>470</v>
      </c>
      <c r="S2055">
        <v>37.979999999999997</v>
      </c>
      <c r="T2055" t="s">
        <v>468</v>
      </c>
    </row>
    <row r="2056" spans="1:20" x14ac:dyDescent="0.25">
      <c r="A2056">
        <v>289</v>
      </c>
      <c r="B2056">
        <v>514402</v>
      </c>
      <c r="C2056" t="s">
        <v>375</v>
      </c>
      <c r="D2056">
        <v>2019</v>
      </c>
      <c r="E2056">
        <v>12</v>
      </c>
      <c r="G2056" t="s">
        <v>465</v>
      </c>
      <c r="H2056">
        <v>11</v>
      </c>
      <c r="I2056">
        <v>10.69999980926514</v>
      </c>
      <c r="L2056" t="s">
        <v>466</v>
      </c>
      <c r="O2056">
        <v>37.979999999999997</v>
      </c>
      <c r="P2056">
        <v>55.18</v>
      </c>
      <c r="Q2056">
        <v>25</v>
      </c>
      <c r="R2056" s="3" t="s">
        <v>470</v>
      </c>
      <c r="S2056">
        <v>37.979999999999997</v>
      </c>
      <c r="T2056" t="s">
        <v>468</v>
      </c>
    </row>
    <row r="2057" spans="1:20" x14ac:dyDescent="0.25">
      <c r="A2057">
        <v>289</v>
      </c>
      <c r="B2057">
        <v>514402</v>
      </c>
      <c r="C2057" t="s">
        <v>375</v>
      </c>
      <c r="D2057">
        <v>2020</v>
      </c>
      <c r="E2057">
        <v>12</v>
      </c>
      <c r="G2057" t="s">
        <v>465</v>
      </c>
      <c r="H2057">
        <v>12</v>
      </c>
      <c r="I2057">
        <v>10</v>
      </c>
      <c r="L2057" t="s">
        <v>466</v>
      </c>
      <c r="O2057">
        <v>37.979999999999997</v>
      </c>
      <c r="P2057">
        <v>55.18</v>
      </c>
      <c r="Q2057">
        <v>25</v>
      </c>
      <c r="R2057" s="3" t="s">
        <v>470</v>
      </c>
      <c r="S2057">
        <v>37.979999999999997</v>
      </c>
      <c r="T2057" t="s">
        <v>468</v>
      </c>
    </row>
    <row r="2058" spans="1:20" x14ac:dyDescent="0.25">
      <c r="A2058">
        <v>289</v>
      </c>
      <c r="B2058">
        <v>514402</v>
      </c>
      <c r="C2058" t="s">
        <v>375</v>
      </c>
      <c r="D2058">
        <v>2021</v>
      </c>
      <c r="E2058">
        <v>12</v>
      </c>
      <c r="G2058" t="s">
        <v>465</v>
      </c>
      <c r="H2058">
        <v>15.75</v>
      </c>
      <c r="I2058">
        <v>6.5500001907348633</v>
      </c>
      <c r="L2058" t="s">
        <v>466</v>
      </c>
      <c r="O2058">
        <v>37.979999999999997</v>
      </c>
      <c r="P2058">
        <v>55.18</v>
      </c>
      <c r="Q2058">
        <v>25</v>
      </c>
      <c r="R2058" s="3" t="s">
        <v>470</v>
      </c>
      <c r="S2058">
        <v>37.979999999999997</v>
      </c>
      <c r="T2058" t="s">
        <v>468</v>
      </c>
    </row>
    <row r="2059" spans="1:20" x14ac:dyDescent="0.25">
      <c r="A2059">
        <v>289</v>
      </c>
      <c r="B2059">
        <v>514402</v>
      </c>
      <c r="C2059" t="s">
        <v>375</v>
      </c>
      <c r="D2059">
        <v>2022</v>
      </c>
      <c r="E2059">
        <v>12</v>
      </c>
      <c r="G2059" t="s">
        <v>465</v>
      </c>
      <c r="H2059">
        <v>45.950000762939453</v>
      </c>
      <c r="I2059">
        <v>11.52000045776367</v>
      </c>
      <c r="L2059" t="s">
        <v>466</v>
      </c>
      <c r="O2059">
        <v>37.979999999999997</v>
      </c>
      <c r="P2059">
        <v>55.18</v>
      </c>
      <c r="Q2059">
        <v>25</v>
      </c>
      <c r="R2059" s="3" t="s">
        <v>470</v>
      </c>
      <c r="S2059">
        <v>37.979999999999997</v>
      </c>
      <c r="T2059" t="s">
        <v>468</v>
      </c>
    </row>
    <row r="2060" spans="1:20" x14ac:dyDescent="0.25">
      <c r="A2060">
        <v>289</v>
      </c>
      <c r="B2060">
        <v>514402</v>
      </c>
      <c r="C2060" t="s">
        <v>375</v>
      </c>
      <c r="D2060">
        <v>2023</v>
      </c>
      <c r="E2060">
        <v>12</v>
      </c>
      <c r="G2060" t="s">
        <v>465</v>
      </c>
      <c r="H2060">
        <v>46.439998626708977</v>
      </c>
      <c r="I2060">
        <v>15.47000026702881</v>
      </c>
      <c r="L2060" t="s">
        <v>466</v>
      </c>
      <c r="O2060">
        <v>37.979999999999997</v>
      </c>
      <c r="P2060">
        <v>55.18</v>
      </c>
      <c r="Q2060">
        <v>25</v>
      </c>
      <c r="R2060" s="3" t="s">
        <v>470</v>
      </c>
      <c r="S2060">
        <v>37.979999999999997</v>
      </c>
      <c r="T2060" t="s">
        <v>468</v>
      </c>
    </row>
    <row r="2061" spans="1:20" x14ac:dyDescent="0.25">
      <c r="A2061">
        <v>289</v>
      </c>
      <c r="B2061">
        <v>514402</v>
      </c>
      <c r="C2061" t="s">
        <v>375</v>
      </c>
      <c r="D2061">
        <v>2024</v>
      </c>
      <c r="E2061">
        <v>12</v>
      </c>
      <c r="F2061">
        <v>-1.43</v>
      </c>
      <c r="G2061" t="s">
        <v>465</v>
      </c>
      <c r="H2061">
        <v>55.180000305175781</v>
      </c>
      <c r="I2061">
        <v>21.030000686645511</v>
      </c>
      <c r="L2061" t="s">
        <v>471</v>
      </c>
      <c r="M2061">
        <v>-38.587412800822229</v>
      </c>
      <c r="N2061">
        <v>-14.70629418646539</v>
      </c>
      <c r="O2061">
        <v>37.979999999999997</v>
      </c>
      <c r="P2061">
        <v>55.18</v>
      </c>
      <c r="Q2061">
        <v>25</v>
      </c>
      <c r="R2061" s="3" t="s">
        <v>470</v>
      </c>
      <c r="S2061">
        <v>37.979999999999997</v>
      </c>
      <c r="T2061" t="s">
        <v>468</v>
      </c>
    </row>
    <row r="2062" spans="1:20" x14ac:dyDescent="0.25">
      <c r="A2062">
        <v>289</v>
      </c>
      <c r="B2062">
        <v>514402</v>
      </c>
      <c r="C2062" t="s">
        <v>375</v>
      </c>
      <c r="D2062">
        <v>2025</v>
      </c>
      <c r="E2062">
        <v>12</v>
      </c>
      <c r="F2062">
        <v>-0.55000000000000004</v>
      </c>
      <c r="G2062" t="s">
        <v>465</v>
      </c>
      <c r="H2062">
        <v>30.979999542236332</v>
      </c>
      <c r="I2062">
        <v>12.05000019073486</v>
      </c>
      <c r="L2062" t="s">
        <v>471</v>
      </c>
      <c r="M2062">
        <v>-56.327271894975141</v>
      </c>
      <c r="N2062">
        <v>-21.90909125588156</v>
      </c>
      <c r="O2062">
        <v>37.979999999999997</v>
      </c>
      <c r="P2062">
        <v>55.18</v>
      </c>
      <c r="Q2062">
        <v>25</v>
      </c>
      <c r="R2062" s="3" t="s">
        <v>470</v>
      </c>
      <c r="S2062">
        <v>37.979999999999997</v>
      </c>
      <c r="T2062" t="s">
        <v>468</v>
      </c>
    </row>
    <row r="2063" spans="1:20" x14ac:dyDescent="0.25">
      <c r="A2063">
        <v>289</v>
      </c>
      <c r="B2063">
        <v>514402</v>
      </c>
      <c r="C2063" t="s">
        <v>375</v>
      </c>
      <c r="D2063">
        <v>2026</v>
      </c>
      <c r="E2063">
        <v>12</v>
      </c>
      <c r="F2063">
        <v>-1.63</v>
      </c>
      <c r="G2063" t="s">
        <v>465</v>
      </c>
      <c r="H2063">
        <v>19</v>
      </c>
      <c r="I2063">
        <v>8.5</v>
      </c>
      <c r="L2063" t="s">
        <v>471</v>
      </c>
      <c r="M2063">
        <v>-11.656441717791409</v>
      </c>
      <c r="N2063">
        <v>-5.2147239263803682</v>
      </c>
      <c r="O2063">
        <v>37.979999999999997</v>
      </c>
      <c r="P2063">
        <v>55.18</v>
      </c>
      <c r="Q2063">
        <v>25</v>
      </c>
      <c r="R2063" s="3" t="s">
        <v>470</v>
      </c>
      <c r="S2063">
        <v>37.979999999999997</v>
      </c>
      <c r="T2063" t="s">
        <v>468</v>
      </c>
    </row>
    <row r="2064" spans="1:20" x14ac:dyDescent="0.25">
      <c r="A2064">
        <v>290</v>
      </c>
      <c r="B2064">
        <v>514412</v>
      </c>
      <c r="C2064" t="s">
        <v>377</v>
      </c>
      <c r="D2064">
        <v>2015</v>
      </c>
      <c r="E2064">
        <v>124.59999847412109</v>
      </c>
      <c r="F2064">
        <v>6.24</v>
      </c>
      <c r="G2064" t="s">
        <v>465</v>
      </c>
      <c r="H2064">
        <v>140</v>
      </c>
      <c r="I2064">
        <v>62.099998474121087</v>
      </c>
      <c r="L2064" t="s">
        <v>469</v>
      </c>
      <c r="M2064">
        <v>22.435897435897431</v>
      </c>
      <c r="N2064">
        <v>9.9519228323911992</v>
      </c>
      <c r="O2064">
        <v>47.08</v>
      </c>
      <c r="P2064">
        <v>131.66999999999999</v>
      </c>
      <c r="Q2064">
        <v>36.6</v>
      </c>
      <c r="R2064" s="3" t="s">
        <v>470</v>
      </c>
      <c r="S2064">
        <v>47.08</v>
      </c>
      <c r="T2064" t="s">
        <v>468</v>
      </c>
    </row>
    <row r="2065" spans="1:20" x14ac:dyDescent="0.25">
      <c r="A2065">
        <v>290</v>
      </c>
      <c r="B2065">
        <v>514412</v>
      </c>
      <c r="C2065" t="s">
        <v>377</v>
      </c>
      <c r="D2065">
        <v>2016</v>
      </c>
      <c r="E2065">
        <v>124.59999847412109</v>
      </c>
      <c r="F2065">
        <v>-7.26</v>
      </c>
      <c r="G2065" t="s">
        <v>465</v>
      </c>
      <c r="H2065">
        <v>100</v>
      </c>
      <c r="I2065">
        <v>50.299999237060547</v>
      </c>
      <c r="L2065" t="s">
        <v>471</v>
      </c>
      <c r="M2065">
        <v>-13.77410468319559</v>
      </c>
      <c r="N2065">
        <v>-6.9283745505593046</v>
      </c>
      <c r="O2065">
        <v>47.08</v>
      </c>
      <c r="P2065">
        <v>131.66999999999999</v>
      </c>
      <c r="Q2065">
        <v>36.6</v>
      </c>
      <c r="R2065" s="3" t="s">
        <v>470</v>
      </c>
      <c r="S2065">
        <v>47.08</v>
      </c>
      <c r="T2065" t="s">
        <v>468</v>
      </c>
    </row>
    <row r="2066" spans="1:20" x14ac:dyDescent="0.25">
      <c r="A2066">
        <v>290</v>
      </c>
      <c r="B2066">
        <v>514412</v>
      </c>
      <c r="C2066" t="s">
        <v>377</v>
      </c>
      <c r="D2066">
        <v>2017</v>
      </c>
      <c r="E2066">
        <v>124.59999847412109</v>
      </c>
      <c r="F2066">
        <v>1.66</v>
      </c>
      <c r="G2066" t="s">
        <v>465</v>
      </c>
      <c r="H2066">
        <v>99.949996948242188</v>
      </c>
      <c r="I2066">
        <v>57.700000762939453</v>
      </c>
      <c r="L2066" t="s">
        <v>469</v>
      </c>
      <c r="M2066">
        <v>60.210841535085663</v>
      </c>
      <c r="N2066">
        <v>34.759036604180388</v>
      </c>
      <c r="O2066">
        <v>47.08</v>
      </c>
      <c r="P2066">
        <v>131.66999999999999</v>
      </c>
      <c r="Q2066">
        <v>36.6</v>
      </c>
      <c r="R2066" s="3" t="s">
        <v>470</v>
      </c>
      <c r="S2066">
        <v>47.08</v>
      </c>
      <c r="T2066" t="s">
        <v>468</v>
      </c>
    </row>
    <row r="2067" spans="1:20" x14ac:dyDescent="0.25">
      <c r="A2067">
        <v>290</v>
      </c>
      <c r="B2067">
        <v>514412</v>
      </c>
      <c r="C2067" t="s">
        <v>377</v>
      </c>
      <c r="D2067">
        <v>2018</v>
      </c>
      <c r="E2067">
        <v>124.59999847412109</v>
      </c>
      <c r="F2067">
        <v>-9.6199999999999992</v>
      </c>
      <c r="G2067" t="s">
        <v>465</v>
      </c>
      <c r="H2067">
        <v>82.800003051757813</v>
      </c>
      <c r="I2067">
        <v>41.5</v>
      </c>
      <c r="L2067" t="s">
        <v>471</v>
      </c>
      <c r="M2067">
        <v>-8.6070689242991492</v>
      </c>
      <c r="N2067">
        <v>-4.3139293139293136</v>
      </c>
      <c r="O2067">
        <v>47.08</v>
      </c>
      <c r="P2067">
        <v>131.66999999999999</v>
      </c>
      <c r="Q2067">
        <v>36.6</v>
      </c>
      <c r="R2067" s="3" t="s">
        <v>470</v>
      </c>
      <c r="S2067">
        <v>47.08</v>
      </c>
      <c r="T2067" t="s">
        <v>468</v>
      </c>
    </row>
    <row r="2068" spans="1:20" x14ac:dyDescent="0.25">
      <c r="A2068">
        <v>290</v>
      </c>
      <c r="B2068">
        <v>514412</v>
      </c>
      <c r="C2068" t="s">
        <v>377</v>
      </c>
      <c r="D2068">
        <v>2019</v>
      </c>
      <c r="E2068">
        <v>124.59999847412109</v>
      </c>
      <c r="F2068">
        <v>-28.13</v>
      </c>
      <c r="G2068" t="s">
        <v>465</v>
      </c>
      <c r="H2068">
        <v>52.5</v>
      </c>
      <c r="I2068">
        <v>25.85000038146973</v>
      </c>
      <c r="L2068" t="s">
        <v>471</v>
      </c>
      <c r="M2068">
        <v>-1.866334873800213</v>
      </c>
      <c r="N2068">
        <v>-0.91894775618449098</v>
      </c>
      <c r="O2068">
        <v>47.08</v>
      </c>
      <c r="P2068">
        <v>131.66999999999999</v>
      </c>
      <c r="Q2068">
        <v>36.6</v>
      </c>
      <c r="R2068" s="3" t="s">
        <v>470</v>
      </c>
      <c r="S2068">
        <v>47.08</v>
      </c>
      <c r="T2068" t="s">
        <v>468</v>
      </c>
    </row>
    <row r="2069" spans="1:20" x14ac:dyDescent="0.25">
      <c r="A2069">
        <v>290</v>
      </c>
      <c r="B2069">
        <v>514412</v>
      </c>
      <c r="C2069" t="s">
        <v>377</v>
      </c>
      <c r="D2069">
        <v>2020</v>
      </c>
      <c r="E2069">
        <v>124.59999847412109</v>
      </c>
      <c r="F2069">
        <v>-17.059999999999999</v>
      </c>
      <c r="G2069" t="s">
        <v>465</v>
      </c>
      <c r="H2069">
        <v>32.299999237060547</v>
      </c>
      <c r="I2069">
        <v>15.69999980926514</v>
      </c>
      <c r="L2069" t="s">
        <v>471</v>
      </c>
      <c r="M2069">
        <v>-1.8933176575064801</v>
      </c>
      <c r="N2069">
        <v>-0.92028134872597545</v>
      </c>
      <c r="O2069">
        <v>47.08</v>
      </c>
      <c r="P2069">
        <v>131.66999999999999</v>
      </c>
      <c r="Q2069">
        <v>36.6</v>
      </c>
      <c r="R2069" s="3" t="s">
        <v>470</v>
      </c>
      <c r="S2069">
        <v>47.08</v>
      </c>
      <c r="T2069" t="s">
        <v>468</v>
      </c>
    </row>
    <row r="2070" spans="1:20" x14ac:dyDescent="0.25">
      <c r="A2070">
        <v>290</v>
      </c>
      <c r="B2070">
        <v>514412</v>
      </c>
      <c r="C2070" t="s">
        <v>377</v>
      </c>
      <c r="D2070">
        <v>2021</v>
      </c>
      <c r="E2070">
        <v>124.59999847412109</v>
      </c>
      <c r="F2070">
        <v>-13.37</v>
      </c>
      <c r="G2070" t="s">
        <v>465</v>
      </c>
      <c r="H2070">
        <v>27.04999923706055</v>
      </c>
      <c r="I2070">
        <v>13.30000019073486</v>
      </c>
      <c r="L2070" t="s">
        <v>471</v>
      </c>
      <c r="M2070">
        <v>-2.0231861807823899</v>
      </c>
      <c r="N2070">
        <v>-0.99476441217164258</v>
      </c>
      <c r="O2070">
        <v>47.08</v>
      </c>
      <c r="P2070">
        <v>131.66999999999999</v>
      </c>
      <c r="Q2070">
        <v>36.6</v>
      </c>
      <c r="R2070" s="3" t="s">
        <v>470</v>
      </c>
      <c r="S2070">
        <v>47.08</v>
      </c>
      <c r="T2070" t="s">
        <v>468</v>
      </c>
    </row>
    <row r="2071" spans="1:20" x14ac:dyDescent="0.25">
      <c r="A2071">
        <v>290</v>
      </c>
      <c r="B2071">
        <v>514412</v>
      </c>
      <c r="C2071" t="s">
        <v>377</v>
      </c>
      <c r="D2071">
        <v>2022</v>
      </c>
      <c r="E2071">
        <v>124.59999847412109</v>
      </c>
      <c r="F2071">
        <v>-6.67</v>
      </c>
      <c r="G2071" t="s">
        <v>465</v>
      </c>
      <c r="H2071">
        <v>33.049999237060547</v>
      </c>
      <c r="I2071">
        <v>20.04999923706055</v>
      </c>
      <c r="L2071" t="s">
        <v>471</v>
      </c>
      <c r="M2071">
        <v>-4.9550223743718957</v>
      </c>
      <c r="N2071">
        <v>-3.0059968871155252</v>
      </c>
      <c r="O2071">
        <v>47.08</v>
      </c>
      <c r="P2071">
        <v>131.66999999999999</v>
      </c>
      <c r="Q2071">
        <v>36.6</v>
      </c>
      <c r="R2071" s="3" t="s">
        <v>470</v>
      </c>
      <c r="S2071">
        <v>47.08</v>
      </c>
      <c r="T2071" t="s">
        <v>468</v>
      </c>
    </row>
    <row r="2072" spans="1:20" x14ac:dyDescent="0.25">
      <c r="A2072">
        <v>290</v>
      </c>
      <c r="B2072">
        <v>514412</v>
      </c>
      <c r="C2072" t="s">
        <v>377</v>
      </c>
      <c r="D2072">
        <v>2023</v>
      </c>
      <c r="E2072">
        <v>124.59999847412109</v>
      </c>
      <c r="F2072">
        <v>-7.69</v>
      </c>
      <c r="G2072" t="s">
        <v>465</v>
      </c>
      <c r="H2072">
        <v>41.700000762939453</v>
      </c>
      <c r="I2072">
        <v>20.559999465942379</v>
      </c>
      <c r="L2072" t="s">
        <v>471</v>
      </c>
      <c r="M2072">
        <v>-5.4226268872483034</v>
      </c>
      <c r="N2072">
        <v>-2.6736020111758618</v>
      </c>
      <c r="O2072">
        <v>47.08</v>
      </c>
      <c r="P2072">
        <v>131.66999999999999</v>
      </c>
      <c r="Q2072">
        <v>36.6</v>
      </c>
      <c r="R2072" s="3" t="s">
        <v>470</v>
      </c>
      <c r="S2072">
        <v>47.08</v>
      </c>
      <c r="T2072" t="s">
        <v>468</v>
      </c>
    </row>
    <row r="2073" spans="1:20" x14ac:dyDescent="0.25">
      <c r="A2073">
        <v>290</v>
      </c>
      <c r="B2073">
        <v>514412</v>
      </c>
      <c r="C2073" t="s">
        <v>377</v>
      </c>
      <c r="D2073">
        <v>2024</v>
      </c>
      <c r="E2073">
        <v>124.59999847412109</v>
      </c>
      <c r="F2073">
        <v>-5.23</v>
      </c>
      <c r="G2073" t="s">
        <v>465</v>
      </c>
      <c r="H2073">
        <v>99.269996643066406</v>
      </c>
      <c r="I2073">
        <v>36.599998474121087</v>
      </c>
      <c r="L2073" t="s">
        <v>471</v>
      </c>
      <c r="M2073">
        <v>-18.98087889924788</v>
      </c>
      <c r="N2073">
        <v>-6.9980876623558466</v>
      </c>
      <c r="O2073">
        <v>47.08</v>
      </c>
      <c r="P2073">
        <v>131.66999999999999</v>
      </c>
      <c r="Q2073">
        <v>36.6</v>
      </c>
      <c r="R2073" s="3" t="s">
        <v>470</v>
      </c>
      <c r="S2073">
        <v>47.08</v>
      </c>
      <c r="T2073" t="s">
        <v>468</v>
      </c>
    </row>
    <row r="2074" spans="1:20" x14ac:dyDescent="0.25">
      <c r="A2074">
        <v>290</v>
      </c>
      <c r="B2074">
        <v>514412</v>
      </c>
      <c r="C2074" t="s">
        <v>377</v>
      </c>
      <c r="D2074">
        <v>2025</v>
      </c>
      <c r="E2074">
        <v>124.59999847412109</v>
      </c>
      <c r="F2074">
        <v>14.73</v>
      </c>
      <c r="G2074" t="s">
        <v>465</v>
      </c>
      <c r="H2074">
        <v>184.8999938964844</v>
      </c>
      <c r="I2074">
        <v>62.990001678466797</v>
      </c>
      <c r="L2074" t="s">
        <v>469</v>
      </c>
      <c r="M2074">
        <v>12.55261329915033</v>
      </c>
      <c r="N2074">
        <v>4.2763069707037884</v>
      </c>
      <c r="O2074">
        <v>47.08</v>
      </c>
      <c r="P2074">
        <v>131.66999999999999</v>
      </c>
      <c r="Q2074">
        <v>36.6</v>
      </c>
      <c r="R2074" s="3" t="s">
        <v>470</v>
      </c>
      <c r="S2074">
        <v>47.08</v>
      </c>
      <c r="T2074" t="s">
        <v>468</v>
      </c>
    </row>
    <row r="2075" spans="1:20" x14ac:dyDescent="0.25">
      <c r="A2075">
        <v>290</v>
      </c>
      <c r="B2075">
        <v>514412</v>
      </c>
      <c r="C2075" t="s">
        <v>377</v>
      </c>
      <c r="D2075">
        <v>2026</v>
      </c>
      <c r="E2075">
        <v>124.59999847412109</v>
      </c>
      <c r="F2075">
        <v>1.75</v>
      </c>
      <c r="G2075" t="s">
        <v>465</v>
      </c>
      <c r="H2075">
        <v>208</v>
      </c>
      <c r="I2075">
        <v>102.90000152587891</v>
      </c>
      <c r="L2075" t="s">
        <v>469</v>
      </c>
      <c r="M2075">
        <v>118.8571428571429</v>
      </c>
      <c r="N2075">
        <v>58.800000871930813</v>
      </c>
      <c r="O2075">
        <v>47.08</v>
      </c>
      <c r="P2075">
        <v>131.66999999999999</v>
      </c>
      <c r="Q2075">
        <v>36.6</v>
      </c>
      <c r="R2075" s="3" t="s">
        <v>470</v>
      </c>
      <c r="S2075">
        <v>47.08</v>
      </c>
      <c r="T2075" t="s">
        <v>468</v>
      </c>
    </row>
    <row r="2076" spans="1:20" x14ac:dyDescent="0.25">
      <c r="A2076">
        <v>292</v>
      </c>
      <c r="B2076">
        <v>514428</v>
      </c>
      <c r="C2076" t="s">
        <v>379</v>
      </c>
      <c r="D2076">
        <v>2015</v>
      </c>
      <c r="E2076">
        <v>253.44999694824219</v>
      </c>
      <c r="G2076" t="s">
        <v>465</v>
      </c>
      <c r="H2076">
        <v>40.900001525878913</v>
      </c>
      <c r="I2076">
        <v>23.39999961853027</v>
      </c>
      <c r="L2076" t="s">
        <v>466</v>
      </c>
      <c r="O2076">
        <v>405.15</v>
      </c>
      <c r="P2076">
        <v>538.79999999999995</v>
      </c>
      <c r="Q2076">
        <v>300.05</v>
      </c>
      <c r="R2076" s="3" t="s">
        <v>470</v>
      </c>
      <c r="S2076">
        <v>405.15</v>
      </c>
      <c r="T2076" t="s">
        <v>468</v>
      </c>
    </row>
    <row r="2077" spans="1:20" x14ac:dyDescent="0.25">
      <c r="A2077">
        <v>292</v>
      </c>
      <c r="B2077">
        <v>514428</v>
      </c>
      <c r="C2077" t="s">
        <v>379</v>
      </c>
      <c r="D2077">
        <v>2016</v>
      </c>
      <c r="E2077">
        <v>253.44999694824219</v>
      </c>
      <c r="F2077">
        <v>3.44</v>
      </c>
      <c r="G2077" t="s">
        <v>465</v>
      </c>
      <c r="H2077">
        <v>92</v>
      </c>
      <c r="I2077">
        <v>29.64999961853027</v>
      </c>
      <c r="L2077" t="s">
        <v>469</v>
      </c>
      <c r="M2077">
        <v>26.744186046511629</v>
      </c>
      <c r="N2077">
        <v>8.6191859356192655</v>
      </c>
      <c r="O2077">
        <v>405.15</v>
      </c>
      <c r="P2077">
        <v>538.79999999999995</v>
      </c>
      <c r="Q2077">
        <v>300.05</v>
      </c>
      <c r="R2077" s="3" t="s">
        <v>470</v>
      </c>
      <c r="S2077">
        <v>405.15</v>
      </c>
      <c r="T2077" t="s">
        <v>468</v>
      </c>
    </row>
    <row r="2078" spans="1:20" x14ac:dyDescent="0.25">
      <c r="A2078">
        <v>292</v>
      </c>
      <c r="B2078">
        <v>514428</v>
      </c>
      <c r="C2078" t="s">
        <v>379</v>
      </c>
      <c r="D2078">
        <v>2017</v>
      </c>
      <c r="E2078">
        <v>253.44999694824219</v>
      </c>
      <c r="F2078">
        <v>9.32</v>
      </c>
      <c r="G2078" t="s">
        <v>465</v>
      </c>
      <c r="H2078">
        <v>104</v>
      </c>
      <c r="I2078">
        <v>56</v>
      </c>
      <c r="L2078" t="s">
        <v>469</v>
      </c>
      <c r="M2078">
        <v>11.158798283261801</v>
      </c>
      <c r="N2078">
        <v>6.0085836909871242</v>
      </c>
      <c r="O2078">
        <v>405.15</v>
      </c>
      <c r="P2078">
        <v>538.79999999999995</v>
      </c>
      <c r="Q2078">
        <v>300.05</v>
      </c>
      <c r="R2078" s="3" t="s">
        <v>470</v>
      </c>
      <c r="S2078">
        <v>405.15</v>
      </c>
      <c r="T2078" t="s">
        <v>468</v>
      </c>
    </row>
    <row r="2079" spans="1:20" x14ac:dyDescent="0.25">
      <c r="A2079">
        <v>292</v>
      </c>
      <c r="B2079">
        <v>514428</v>
      </c>
      <c r="C2079" t="s">
        <v>379</v>
      </c>
      <c r="D2079">
        <v>2018</v>
      </c>
      <c r="E2079">
        <v>253.44999694824219</v>
      </c>
      <c r="G2079" t="s">
        <v>465</v>
      </c>
      <c r="H2079">
        <v>150</v>
      </c>
      <c r="I2079">
        <v>68.5</v>
      </c>
      <c r="L2079" t="s">
        <v>466</v>
      </c>
      <c r="O2079">
        <v>405.15</v>
      </c>
      <c r="P2079">
        <v>538.79999999999995</v>
      </c>
      <c r="Q2079">
        <v>300.05</v>
      </c>
      <c r="R2079" s="3" t="s">
        <v>470</v>
      </c>
      <c r="S2079">
        <v>405.15</v>
      </c>
      <c r="T2079" t="s">
        <v>468</v>
      </c>
    </row>
    <row r="2080" spans="1:20" x14ac:dyDescent="0.25">
      <c r="A2080">
        <v>292</v>
      </c>
      <c r="B2080">
        <v>514428</v>
      </c>
      <c r="C2080" t="s">
        <v>379</v>
      </c>
      <c r="D2080">
        <v>2019</v>
      </c>
      <c r="E2080">
        <v>253.44999694824219</v>
      </c>
      <c r="G2080" t="s">
        <v>465</v>
      </c>
      <c r="H2080">
        <v>95.75</v>
      </c>
      <c r="I2080">
        <v>56.049999237060547</v>
      </c>
      <c r="L2080" t="s">
        <v>466</v>
      </c>
      <c r="O2080">
        <v>405.15</v>
      </c>
      <c r="P2080">
        <v>538.79999999999995</v>
      </c>
      <c r="Q2080">
        <v>300.05</v>
      </c>
      <c r="R2080" s="3" t="s">
        <v>470</v>
      </c>
      <c r="S2080">
        <v>405.15</v>
      </c>
      <c r="T2080" t="s">
        <v>468</v>
      </c>
    </row>
    <row r="2081" spans="1:20" x14ac:dyDescent="0.25">
      <c r="A2081">
        <v>292</v>
      </c>
      <c r="B2081">
        <v>514428</v>
      </c>
      <c r="C2081" t="s">
        <v>379</v>
      </c>
      <c r="D2081">
        <v>2020</v>
      </c>
      <c r="E2081">
        <v>253.44999694824219</v>
      </c>
      <c r="G2081" t="s">
        <v>465</v>
      </c>
      <c r="H2081">
        <v>136.8999938964844</v>
      </c>
      <c r="I2081">
        <v>55</v>
      </c>
      <c r="L2081" t="s">
        <v>466</v>
      </c>
      <c r="O2081">
        <v>405.15</v>
      </c>
      <c r="P2081">
        <v>538.79999999999995</v>
      </c>
      <c r="Q2081">
        <v>300.05</v>
      </c>
      <c r="R2081" s="3" t="s">
        <v>470</v>
      </c>
      <c r="S2081">
        <v>405.15</v>
      </c>
      <c r="T2081" t="s">
        <v>468</v>
      </c>
    </row>
    <row r="2082" spans="1:20" x14ac:dyDescent="0.25">
      <c r="A2082">
        <v>292</v>
      </c>
      <c r="B2082">
        <v>514428</v>
      </c>
      <c r="C2082" t="s">
        <v>379</v>
      </c>
      <c r="D2082">
        <v>2021</v>
      </c>
      <c r="E2082">
        <v>253.44999694824219</v>
      </c>
      <c r="G2082" t="s">
        <v>465</v>
      </c>
      <c r="H2082">
        <v>333</v>
      </c>
      <c r="I2082">
        <v>96.099998474121094</v>
      </c>
      <c r="L2082" t="s">
        <v>466</v>
      </c>
      <c r="O2082">
        <v>405.15</v>
      </c>
      <c r="P2082">
        <v>538.79999999999995</v>
      </c>
      <c r="Q2082">
        <v>300.05</v>
      </c>
      <c r="R2082" s="3" t="s">
        <v>470</v>
      </c>
      <c r="S2082">
        <v>405.15</v>
      </c>
      <c r="T2082" t="s">
        <v>468</v>
      </c>
    </row>
    <row r="2083" spans="1:20" x14ac:dyDescent="0.25">
      <c r="A2083">
        <v>292</v>
      </c>
      <c r="B2083">
        <v>514428</v>
      </c>
      <c r="C2083" t="s">
        <v>379</v>
      </c>
      <c r="D2083">
        <v>2022</v>
      </c>
      <c r="E2083">
        <v>253.44999694824219</v>
      </c>
      <c r="F2083">
        <v>24.47</v>
      </c>
      <c r="G2083" t="s">
        <v>465</v>
      </c>
      <c r="H2083">
        <v>658.4000244140625</v>
      </c>
      <c r="I2083">
        <v>242.6000061035156</v>
      </c>
      <c r="L2083" t="s">
        <v>469</v>
      </c>
      <c r="M2083">
        <v>26.90641701732989</v>
      </c>
      <c r="N2083">
        <v>9.9141808787705603</v>
      </c>
      <c r="O2083">
        <v>405.15</v>
      </c>
      <c r="P2083">
        <v>538.79999999999995</v>
      </c>
      <c r="Q2083">
        <v>300.05</v>
      </c>
      <c r="R2083" s="3" t="s">
        <v>470</v>
      </c>
      <c r="S2083">
        <v>405.15</v>
      </c>
      <c r="T2083" t="s">
        <v>468</v>
      </c>
    </row>
    <row r="2084" spans="1:20" x14ac:dyDescent="0.25">
      <c r="A2084">
        <v>292</v>
      </c>
      <c r="B2084">
        <v>514428</v>
      </c>
      <c r="C2084" t="s">
        <v>379</v>
      </c>
      <c r="D2084">
        <v>2023</v>
      </c>
      <c r="E2084">
        <v>253.44999694824219</v>
      </c>
      <c r="F2084">
        <v>9.5</v>
      </c>
      <c r="G2084" t="s">
        <v>465</v>
      </c>
      <c r="H2084">
        <v>368</v>
      </c>
      <c r="I2084">
        <v>172</v>
      </c>
      <c r="L2084" t="s">
        <v>469</v>
      </c>
      <c r="M2084">
        <v>38.736842105263158</v>
      </c>
      <c r="N2084">
        <v>18.10526315789474</v>
      </c>
      <c r="O2084">
        <v>405.15</v>
      </c>
      <c r="P2084">
        <v>538.79999999999995</v>
      </c>
      <c r="Q2084">
        <v>300.05</v>
      </c>
      <c r="R2084" s="3" t="s">
        <v>470</v>
      </c>
      <c r="S2084">
        <v>405.15</v>
      </c>
      <c r="T2084" t="s">
        <v>468</v>
      </c>
    </row>
    <row r="2085" spans="1:20" x14ac:dyDescent="0.25">
      <c r="A2085">
        <v>292</v>
      </c>
      <c r="B2085">
        <v>514428</v>
      </c>
      <c r="C2085" t="s">
        <v>379</v>
      </c>
      <c r="D2085">
        <v>2024</v>
      </c>
      <c r="E2085">
        <v>253.44999694824219</v>
      </c>
      <c r="F2085">
        <v>32.07</v>
      </c>
      <c r="G2085" t="s">
        <v>465</v>
      </c>
      <c r="H2085">
        <v>538.79998779296875</v>
      </c>
      <c r="I2085">
        <v>300.04998779296881</v>
      </c>
      <c r="L2085" t="s">
        <v>469</v>
      </c>
      <c r="M2085">
        <v>16.800747982318949</v>
      </c>
      <c r="N2085">
        <v>9.3560956592756099</v>
      </c>
      <c r="O2085">
        <v>405.15</v>
      </c>
      <c r="P2085">
        <v>538.79999999999995</v>
      </c>
      <c r="Q2085">
        <v>300.05</v>
      </c>
      <c r="R2085" s="3" t="s">
        <v>470</v>
      </c>
      <c r="S2085">
        <v>405.15</v>
      </c>
      <c r="T2085" t="s">
        <v>468</v>
      </c>
    </row>
    <row r="2086" spans="1:20" x14ac:dyDescent="0.25">
      <c r="A2086">
        <v>292</v>
      </c>
      <c r="B2086">
        <v>514428</v>
      </c>
      <c r="C2086" t="s">
        <v>379</v>
      </c>
      <c r="D2086">
        <v>2025</v>
      </c>
      <c r="E2086">
        <v>253.44999694824219</v>
      </c>
      <c r="F2086">
        <v>30.08</v>
      </c>
      <c r="G2086" t="s">
        <v>465</v>
      </c>
      <c r="H2086">
        <v>424.89999389648438</v>
      </c>
      <c r="I2086">
        <v>281.25</v>
      </c>
      <c r="L2086" t="s">
        <v>469</v>
      </c>
      <c r="M2086">
        <v>14.125664690707589</v>
      </c>
      <c r="N2086">
        <v>9.3500664893617031</v>
      </c>
      <c r="O2086">
        <v>405.15</v>
      </c>
      <c r="P2086">
        <v>538.79999999999995</v>
      </c>
      <c r="Q2086">
        <v>300.05</v>
      </c>
      <c r="R2086" s="3" t="s">
        <v>470</v>
      </c>
      <c r="S2086">
        <v>405.15</v>
      </c>
      <c r="T2086" t="s">
        <v>468</v>
      </c>
    </row>
    <row r="2087" spans="1:20" x14ac:dyDescent="0.25">
      <c r="A2087">
        <v>292</v>
      </c>
      <c r="B2087">
        <v>514428</v>
      </c>
      <c r="C2087" t="s">
        <v>379</v>
      </c>
      <c r="D2087">
        <v>2026</v>
      </c>
      <c r="E2087">
        <v>253.44999694824219</v>
      </c>
      <c r="F2087">
        <v>29.12</v>
      </c>
      <c r="G2087" t="s">
        <v>465</v>
      </c>
      <c r="H2087">
        <v>328</v>
      </c>
      <c r="I2087">
        <v>247.6000061035156</v>
      </c>
      <c r="L2087" t="s">
        <v>469</v>
      </c>
      <c r="M2087">
        <v>11.263736263736259</v>
      </c>
      <c r="N2087">
        <v>8.5027474623460026</v>
      </c>
      <c r="O2087">
        <v>405.15</v>
      </c>
      <c r="P2087">
        <v>538.79999999999995</v>
      </c>
      <c r="Q2087">
        <v>300.05</v>
      </c>
      <c r="R2087" s="3" t="s">
        <v>470</v>
      </c>
      <c r="S2087">
        <v>405.15</v>
      </c>
      <c r="T2087" t="s">
        <v>468</v>
      </c>
    </row>
    <row r="2088" spans="1:20" x14ac:dyDescent="0.25">
      <c r="A2088">
        <v>293</v>
      </c>
      <c r="B2088">
        <v>514448</v>
      </c>
      <c r="C2088" t="s">
        <v>381</v>
      </c>
      <c r="D2088">
        <v>2015</v>
      </c>
      <c r="E2088">
        <v>924.29998779296875</v>
      </c>
      <c r="F2088">
        <v>0.18</v>
      </c>
      <c r="G2088" t="s">
        <v>465</v>
      </c>
      <c r="H2088">
        <v>19.816665649414059</v>
      </c>
      <c r="I2088">
        <v>3.2333331108093262</v>
      </c>
      <c r="L2088" t="s">
        <v>484</v>
      </c>
      <c r="M2088">
        <v>110.0925869411892</v>
      </c>
      <c r="N2088">
        <v>17.962961726718479</v>
      </c>
      <c r="O2088">
        <v>1400.55</v>
      </c>
      <c r="P2088">
        <v>1635</v>
      </c>
      <c r="Q2088">
        <v>0</v>
      </c>
      <c r="R2088" s="3" t="s">
        <v>470</v>
      </c>
      <c r="S2088">
        <v>1400.55</v>
      </c>
      <c r="T2088" t="s">
        <v>468</v>
      </c>
    </row>
    <row r="2089" spans="1:20" x14ac:dyDescent="0.25">
      <c r="A2089">
        <v>293</v>
      </c>
      <c r="B2089">
        <v>514448</v>
      </c>
      <c r="C2089" t="s">
        <v>381</v>
      </c>
      <c r="D2089">
        <v>2016</v>
      </c>
      <c r="E2089">
        <v>924.29998779296875</v>
      </c>
      <c r="F2089">
        <v>0.18</v>
      </c>
      <c r="G2089" t="s">
        <v>465</v>
      </c>
      <c r="H2089">
        <v>55.75</v>
      </c>
      <c r="I2089">
        <v>18.85000038146973</v>
      </c>
      <c r="L2089" t="s">
        <v>484</v>
      </c>
      <c r="M2089">
        <v>309.72222222222217</v>
      </c>
      <c r="N2089">
        <v>104.7222243414985</v>
      </c>
      <c r="O2089">
        <v>1400.55</v>
      </c>
      <c r="P2089">
        <v>1635</v>
      </c>
      <c r="Q2089">
        <v>0</v>
      </c>
      <c r="R2089" s="3" t="s">
        <v>470</v>
      </c>
      <c r="S2089">
        <v>1400.55</v>
      </c>
      <c r="T2089" t="s">
        <v>468</v>
      </c>
    </row>
    <row r="2090" spans="1:20" x14ac:dyDescent="0.25">
      <c r="A2090">
        <v>293</v>
      </c>
      <c r="B2090">
        <v>514448</v>
      </c>
      <c r="C2090" t="s">
        <v>381</v>
      </c>
      <c r="D2090">
        <v>2017</v>
      </c>
      <c r="E2090">
        <v>924.29998779296875</v>
      </c>
      <c r="F2090">
        <v>0.32</v>
      </c>
      <c r="G2090" t="s">
        <v>465</v>
      </c>
      <c r="H2090">
        <v>74.983329772949219</v>
      </c>
      <c r="I2090">
        <v>19</v>
      </c>
      <c r="L2090" t="s">
        <v>484</v>
      </c>
      <c r="M2090">
        <v>234.32290554046631</v>
      </c>
      <c r="N2090">
        <v>59.375</v>
      </c>
      <c r="O2090">
        <v>1400.55</v>
      </c>
      <c r="P2090">
        <v>1635</v>
      </c>
      <c r="Q2090">
        <v>0</v>
      </c>
      <c r="R2090" s="3" t="s">
        <v>470</v>
      </c>
      <c r="S2090">
        <v>1400.55</v>
      </c>
      <c r="T2090" t="s">
        <v>468</v>
      </c>
    </row>
    <row r="2091" spans="1:20" x14ac:dyDescent="0.25">
      <c r="A2091">
        <v>293</v>
      </c>
      <c r="B2091">
        <v>514448</v>
      </c>
      <c r="C2091" t="s">
        <v>381</v>
      </c>
      <c r="D2091">
        <v>2018</v>
      </c>
      <c r="E2091">
        <v>924.29998779296875</v>
      </c>
      <c r="F2091">
        <v>0.88</v>
      </c>
      <c r="G2091" t="s">
        <v>465</v>
      </c>
      <c r="H2091">
        <v>35.666664123535163</v>
      </c>
      <c r="I2091">
        <v>18.833332061767582</v>
      </c>
      <c r="L2091" t="s">
        <v>469</v>
      </c>
      <c r="M2091">
        <v>40.530300140380866</v>
      </c>
      <c r="N2091">
        <v>21.40151370655407</v>
      </c>
      <c r="O2091">
        <v>1400.55</v>
      </c>
      <c r="P2091">
        <v>1635</v>
      </c>
      <c r="Q2091">
        <v>0</v>
      </c>
      <c r="R2091" s="3" t="s">
        <v>470</v>
      </c>
      <c r="S2091">
        <v>1400.55</v>
      </c>
      <c r="T2091" t="s">
        <v>468</v>
      </c>
    </row>
    <row r="2092" spans="1:20" x14ac:dyDescent="0.25">
      <c r="A2092">
        <v>293</v>
      </c>
      <c r="B2092">
        <v>514448</v>
      </c>
      <c r="C2092" t="s">
        <v>381</v>
      </c>
      <c r="D2092">
        <v>2019</v>
      </c>
      <c r="E2092">
        <v>924.29998779296875</v>
      </c>
      <c r="F2092">
        <v>1.83</v>
      </c>
      <c r="G2092" t="s">
        <v>465</v>
      </c>
      <c r="H2092">
        <v>86.666664123535156</v>
      </c>
      <c r="I2092">
        <v>18.666666030883789</v>
      </c>
      <c r="L2092" t="s">
        <v>469</v>
      </c>
      <c r="M2092">
        <v>47.358832854390791</v>
      </c>
      <c r="N2092">
        <v>10.20036395130262</v>
      </c>
      <c r="O2092">
        <v>1400.55</v>
      </c>
      <c r="P2092">
        <v>1635</v>
      </c>
      <c r="Q2092">
        <v>0</v>
      </c>
      <c r="R2092" s="3" t="s">
        <v>470</v>
      </c>
      <c r="S2092">
        <v>1400.55</v>
      </c>
      <c r="T2092" t="s">
        <v>468</v>
      </c>
    </row>
    <row r="2093" spans="1:20" x14ac:dyDescent="0.25">
      <c r="A2093">
        <v>293</v>
      </c>
      <c r="B2093">
        <v>514448</v>
      </c>
      <c r="C2093" t="s">
        <v>381</v>
      </c>
      <c r="D2093">
        <v>2020</v>
      </c>
      <c r="E2093">
        <v>924.29998779296875</v>
      </c>
      <c r="F2093">
        <v>6.75</v>
      </c>
      <c r="G2093" t="s">
        <v>465</v>
      </c>
      <c r="H2093">
        <v>146.66667175292969</v>
      </c>
      <c r="I2093">
        <v>30.766666412353519</v>
      </c>
      <c r="L2093" t="s">
        <v>469</v>
      </c>
      <c r="M2093">
        <v>21.728395815248842</v>
      </c>
      <c r="N2093">
        <v>4.5580246536820033</v>
      </c>
      <c r="O2093">
        <v>1400.55</v>
      </c>
      <c r="P2093">
        <v>1635</v>
      </c>
      <c r="Q2093">
        <v>0</v>
      </c>
      <c r="R2093" s="3" t="s">
        <v>470</v>
      </c>
      <c r="S2093">
        <v>1400.55</v>
      </c>
      <c r="T2093" t="s">
        <v>468</v>
      </c>
    </row>
    <row r="2094" spans="1:20" x14ac:dyDescent="0.25">
      <c r="A2094">
        <v>293</v>
      </c>
      <c r="B2094">
        <v>514448</v>
      </c>
      <c r="C2094" t="s">
        <v>381</v>
      </c>
      <c r="D2094">
        <v>2021</v>
      </c>
      <c r="E2094">
        <v>924.29998779296875</v>
      </c>
      <c r="F2094">
        <v>10.14</v>
      </c>
      <c r="G2094" t="s">
        <v>465</v>
      </c>
      <c r="H2094">
        <v>420</v>
      </c>
      <c r="I2094">
        <v>127.3333358764648</v>
      </c>
      <c r="L2094" t="s">
        <v>469</v>
      </c>
      <c r="M2094">
        <v>41.420118343195263</v>
      </c>
      <c r="N2094">
        <v>12.55752819294525</v>
      </c>
      <c r="O2094">
        <v>1400.55</v>
      </c>
      <c r="P2094">
        <v>1635</v>
      </c>
      <c r="Q2094">
        <v>0</v>
      </c>
      <c r="R2094" s="3" t="s">
        <v>470</v>
      </c>
      <c r="S2094">
        <v>1400.55</v>
      </c>
      <c r="T2094" t="s">
        <v>468</v>
      </c>
    </row>
    <row r="2095" spans="1:20" x14ac:dyDescent="0.25">
      <c r="A2095">
        <v>293</v>
      </c>
      <c r="B2095">
        <v>514448</v>
      </c>
      <c r="C2095" t="s">
        <v>381</v>
      </c>
      <c r="D2095">
        <v>2022</v>
      </c>
      <c r="E2095">
        <v>924.29998779296875</v>
      </c>
      <c r="F2095">
        <v>16.47</v>
      </c>
      <c r="G2095" t="s">
        <v>465</v>
      </c>
      <c r="H2095">
        <v>1818.449951171875</v>
      </c>
      <c r="I2095">
        <v>323</v>
      </c>
      <c r="L2095" t="s">
        <v>469</v>
      </c>
      <c r="M2095">
        <v>110.4098331009032</v>
      </c>
      <c r="N2095">
        <v>19.61141469338191</v>
      </c>
      <c r="O2095">
        <v>1400.55</v>
      </c>
      <c r="P2095">
        <v>1635</v>
      </c>
      <c r="Q2095">
        <v>0</v>
      </c>
      <c r="R2095" s="3" t="s">
        <v>470</v>
      </c>
      <c r="S2095">
        <v>1400.55</v>
      </c>
      <c r="T2095" t="s">
        <v>468</v>
      </c>
    </row>
    <row r="2096" spans="1:20" x14ac:dyDescent="0.25">
      <c r="A2096">
        <v>293</v>
      </c>
      <c r="B2096">
        <v>514448</v>
      </c>
      <c r="C2096" t="s">
        <v>381</v>
      </c>
      <c r="D2096">
        <v>2023</v>
      </c>
      <c r="E2096">
        <v>924.29998779296875</v>
      </c>
      <c r="F2096">
        <v>38.700000000000003</v>
      </c>
      <c r="G2096" t="s">
        <v>465</v>
      </c>
      <c r="H2096">
        <v>1780.050048828125</v>
      </c>
      <c r="I2096">
        <v>1055.599975585938</v>
      </c>
      <c r="L2096" t="s">
        <v>469</v>
      </c>
      <c r="M2096">
        <v>45.996125292716407</v>
      </c>
      <c r="N2096">
        <v>27.27648515725938</v>
      </c>
      <c r="O2096">
        <v>1400.55</v>
      </c>
      <c r="P2096">
        <v>1635</v>
      </c>
      <c r="Q2096">
        <v>0</v>
      </c>
      <c r="R2096" s="3" t="s">
        <v>470</v>
      </c>
      <c r="S2096">
        <v>1400.55</v>
      </c>
      <c r="T2096" t="s">
        <v>468</v>
      </c>
    </row>
    <row r="2097" spans="1:20" x14ac:dyDescent="0.25">
      <c r="A2097">
        <v>293</v>
      </c>
      <c r="B2097">
        <v>514448</v>
      </c>
      <c r="C2097" t="s">
        <v>381</v>
      </c>
      <c r="D2097">
        <v>2024</v>
      </c>
      <c r="E2097">
        <v>924.29998779296875</v>
      </c>
      <c r="F2097">
        <v>55.93</v>
      </c>
      <c r="G2097" t="s">
        <v>465</v>
      </c>
      <c r="H2097">
        <v>1635</v>
      </c>
      <c r="I2097">
        <v>1181.050048828125</v>
      </c>
      <c r="L2097" t="s">
        <v>469</v>
      </c>
      <c r="M2097">
        <v>29.232969783658149</v>
      </c>
      <c r="N2097">
        <v>21.116575162312269</v>
      </c>
      <c r="O2097">
        <v>1400.55</v>
      </c>
      <c r="P2097">
        <v>1635</v>
      </c>
      <c r="Q2097">
        <v>0</v>
      </c>
      <c r="R2097" s="3" t="s">
        <v>470</v>
      </c>
      <c r="S2097">
        <v>1400.55</v>
      </c>
      <c r="T2097" t="s">
        <v>468</v>
      </c>
    </row>
    <row r="2098" spans="1:20" x14ac:dyDescent="0.25">
      <c r="A2098">
        <v>293</v>
      </c>
      <c r="B2098">
        <v>514448</v>
      </c>
      <c r="C2098" t="s">
        <v>381</v>
      </c>
      <c r="D2098">
        <v>2025</v>
      </c>
      <c r="E2098">
        <v>924.29998779296875</v>
      </c>
      <c r="F2098">
        <v>61.56</v>
      </c>
      <c r="G2098" t="s">
        <v>465</v>
      </c>
      <c r="H2098">
        <v>1570</v>
      </c>
      <c r="I2098">
        <v>1010.599975585938</v>
      </c>
      <c r="L2098" t="s">
        <v>469</v>
      </c>
      <c r="M2098">
        <v>25.50357374918778</v>
      </c>
      <c r="N2098">
        <v>16.416503826932061</v>
      </c>
      <c r="O2098">
        <v>1400.55</v>
      </c>
      <c r="P2098">
        <v>1635</v>
      </c>
      <c r="Q2098">
        <v>0</v>
      </c>
      <c r="R2098" s="3" t="s">
        <v>470</v>
      </c>
      <c r="S2098">
        <v>1400.55</v>
      </c>
      <c r="T2098" t="s">
        <v>468</v>
      </c>
    </row>
    <row r="2099" spans="1:20" x14ac:dyDescent="0.25">
      <c r="A2099">
        <v>293</v>
      </c>
      <c r="B2099">
        <v>514448</v>
      </c>
      <c r="C2099" t="s">
        <v>381</v>
      </c>
      <c r="D2099">
        <v>2026</v>
      </c>
      <c r="E2099">
        <v>924.29998779296875</v>
      </c>
      <c r="F2099">
        <v>58.32</v>
      </c>
      <c r="G2099" t="s">
        <v>465</v>
      </c>
      <c r="H2099">
        <v>1220.949951171875</v>
      </c>
      <c r="I2099">
        <v>700</v>
      </c>
      <c r="L2099" t="s">
        <v>469</v>
      </c>
      <c r="M2099">
        <v>20.935355815704309</v>
      </c>
      <c r="N2099">
        <v>12.00274348422497</v>
      </c>
      <c r="O2099">
        <v>1400.55</v>
      </c>
      <c r="P2099">
        <v>1635</v>
      </c>
      <c r="Q2099">
        <v>0</v>
      </c>
      <c r="R2099" s="3" t="s">
        <v>470</v>
      </c>
      <c r="S2099">
        <v>1400.55</v>
      </c>
      <c r="T2099" t="s">
        <v>468</v>
      </c>
    </row>
    <row r="2100" spans="1:20" x14ac:dyDescent="0.25">
      <c r="A2100">
        <v>294</v>
      </c>
      <c r="B2100">
        <v>514460</v>
      </c>
      <c r="C2100" t="s">
        <v>383</v>
      </c>
      <c r="D2100">
        <v>2015</v>
      </c>
      <c r="E2100">
        <v>15.75</v>
      </c>
      <c r="G2100" t="s">
        <v>465</v>
      </c>
      <c r="H2100">
        <v>1.940000057220459</v>
      </c>
      <c r="I2100">
        <v>1.4800000190734861</v>
      </c>
      <c r="L2100" t="s">
        <v>466</v>
      </c>
      <c r="O2100">
        <v>17.64</v>
      </c>
      <c r="P2100">
        <v>109.2</v>
      </c>
      <c r="Q2100">
        <v>5.2</v>
      </c>
      <c r="R2100" s="3" t="s">
        <v>470</v>
      </c>
      <c r="S2100">
        <v>17.64</v>
      </c>
      <c r="T2100" t="s">
        <v>468</v>
      </c>
    </row>
    <row r="2101" spans="1:20" x14ac:dyDescent="0.25">
      <c r="A2101">
        <v>294</v>
      </c>
      <c r="B2101">
        <v>514460</v>
      </c>
      <c r="C2101" t="s">
        <v>383</v>
      </c>
      <c r="D2101">
        <v>2016</v>
      </c>
      <c r="E2101">
        <v>15.75</v>
      </c>
      <c r="G2101" t="s">
        <v>465</v>
      </c>
      <c r="H2101">
        <v>3.0999999046325679</v>
      </c>
      <c r="I2101">
        <v>1.2599999904632571</v>
      </c>
      <c r="L2101" t="s">
        <v>466</v>
      </c>
      <c r="O2101">
        <v>17.64</v>
      </c>
      <c r="P2101">
        <v>109.2</v>
      </c>
      <c r="Q2101">
        <v>5.2</v>
      </c>
      <c r="R2101" s="3" t="s">
        <v>470</v>
      </c>
      <c r="S2101">
        <v>17.64</v>
      </c>
      <c r="T2101" t="s">
        <v>468</v>
      </c>
    </row>
    <row r="2102" spans="1:20" x14ac:dyDescent="0.25">
      <c r="A2102">
        <v>294</v>
      </c>
      <c r="B2102">
        <v>514460</v>
      </c>
      <c r="C2102" t="s">
        <v>383</v>
      </c>
      <c r="D2102">
        <v>2017</v>
      </c>
      <c r="E2102">
        <v>15.75</v>
      </c>
      <c r="F2102">
        <v>0.02</v>
      </c>
      <c r="G2102" t="s">
        <v>465</v>
      </c>
      <c r="H2102">
        <v>5.4200000762939453</v>
      </c>
      <c r="I2102">
        <v>2.3499999046325679</v>
      </c>
      <c r="L2102" t="s">
        <v>484</v>
      </c>
      <c r="M2102">
        <v>271.00000381469732</v>
      </c>
      <c r="N2102">
        <v>117.4999952316284</v>
      </c>
      <c r="O2102">
        <v>17.64</v>
      </c>
      <c r="P2102">
        <v>109.2</v>
      </c>
      <c r="Q2102">
        <v>5.2</v>
      </c>
      <c r="R2102" s="3" t="s">
        <v>470</v>
      </c>
      <c r="S2102">
        <v>17.64</v>
      </c>
      <c r="T2102" t="s">
        <v>468</v>
      </c>
    </row>
    <row r="2103" spans="1:20" x14ac:dyDescent="0.25">
      <c r="A2103">
        <v>294</v>
      </c>
      <c r="B2103">
        <v>514460</v>
      </c>
      <c r="C2103" t="s">
        <v>383</v>
      </c>
      <c r="D2103">
        <v>2018</v>
      </c>
      <c r="E2103">
        <v>15.75</v>
      </c>
      <c r="F2103">
        <v>-0.2</v>
      </c>
      <c r="G2103" t="s">
        <v>465</v>
      </c>
      <c r="H2103">
        <v>9.0500001907348633</v>
      </c>
      <c r="I2103">
        <v>4.2100000381469727</v>
      </c>
      <c r="L2103" t="s">
        <v>471</v>
      </c>
      <c r="M2103">
        <v>-45.250000953674324</v>
      </c>
      <c r="N2103">
        <v>-21.05000019073486</v>
      </c>
      <c r="O2103">
        <v>17.64</v>
      </c>
      <c r="P2103">
        <v>109.2</v>
      </c>
      <c r="Q2103">
        <v>5.2</v>
      </c>
      <c r="R2103" s="3" t="s">
        <v>470</v>
      </c>
      <c r="S2103">
        <v>17.64</v>
      </c>
      <c r="T2103" t="s">
        <v>468</v>
      </c>
    </row>
    <row r="2104" spans="1:20" x14ac:dyDescent="0.25">
      <c r="A2104">
        <v>294</v>
      </c>
      <c r="B2104">
        <v>514460</v>
      </c>
      <c r="C2104" t="s">
        <v>383</v>
      </c>
      <c r="D2104">
        <v>2019</v>
      </c>
      <c r="E2104">
        <v>15.75</v>
      </c>
      <c r="F2104">
        <v>-0.02</v>
      </c>
      <c r="G2104" t="s">
        <v>465</v>
      </c>
      <c r="H2104">
        <v>9.8000001907348633</v>
      </c>
      <c r="I2104">
        <v>2.8499999046325679</v>
      </c>
      <c r="L2104" t="s">
        <v>471</v>
      </c>
      <c r="M2104">
        <v>-490.00000953674322</v>
      </c>
      <c r="N2104">
        <v>-142.49999523162839</v>
      </c>
      <c r="O2104">
        <v>17.64</v>
      </c>
      <c r="P2104">
        <v>109.2</v>
      </c>
      <c r="Q2104">
        <v>5.2</v>
      </c>
      <c r="R2104" s="3" t="s">
        <v>470</v>
      </c>
      <c r="S2104">
        <v>17.64</v>
      </c>
      <c r="T2104" t="s">
        <v>468</v>
      </c>
    </row>
    <row r="2105" spans="1:20" x14ac:dyDescent="0.25">
      <c r="A2105">
        <v>294</v>
      </c>
      <c r="B2105">
        <v>514460</v>
      </c>
      <c r="C2105" t="s">
        <v>383</v>
      </c>
      <c r="D2105">
        <v>2020</v>
      </c>
      <c r="E2105">
        <v>15.75</v>
      </c>
      <c r="F2105">
        <v>-0.02</v>
      </c>
      <c r="G2105" t="s">
        <v>465</v>
      </c>
      <c r="H2105">
        <v>6.369999885559082</v>
      </c>
      <c r="I2105">
        <v>3.190000057220459</v>
      </c>
      <c r="L2105" t="s">
        <v>471</v>
      </c>
      <c r="M2105">
        <v>-318.4999942779541</v>
      </c>
      <c r="N2105">
        <v>-159.50000286102289</v>
      </c>
      <c r="O2105">
        <v>17.64</v>
      </c>
      <c r="P2105">
        <v>109.2</v>
      </c>
      <c r="Q2105">
        <v>5.2</v>
      </c>
      <c r="R2105" s="3" t="s">
        <v>470</v>
      </c>
      <c r="S2105">
        <v>17.64</v>
      </c>
      <c r="T2105" t="s">
        <v>468</v>
      </c>
    </row>
    <row r="2106" spans="1:20" x14ac:dyDescent="0.25">
      <c r="A2106">
        <v>294</v>
      </c>
      <c r="B2106">
        <v>514460</v>
      </c>
      <c r="C2106" t="s">
        <v>383</v>
      </c>
      <c r="D2106">
        <v>2021</v>
      </c>
      <c r="E2106">
        <v>15.75</v>
      </c>
      <c r="F2106">
        <v>0.02</v>
      </c>
      <c r="G2106" t="s">
        <v>465</v>
      </c>
      <c r="H2106">
        <v>10.310000419616699</v>
      </c>
      <c r="I2106">
        <v>3.4200000762939449</v>
      </c>
      <c r="L2106" t="s">
        <v>484</v>
      </c>
      <c r="M2106">
        <v>515.50002098083496</v>
      </c>
      <c r="N2106">
        <v>171.00000381469721</v>
      </c>
      <c r="O2106">
        <v>17.64</v>
      </c>
      <c r="P2106">
        <v>109.2</v>
      </c>
      <c r="Q2106">
        <v>5.2</v>
      </c>
      <c r="R2106" s="3" t="s">
        <v>470</v>
      </c>
      <c r="S2106">
        <v>17.64</v>
      </c>
      <c r="T2106" t="s">
        <v>468</v>
      </c>
    </row>
    <row r="2107" spans="1:20" x14ac:dyDescent="0.25">
      <c r="A2107">
        <v>294</v>
      </c>
      <c r="B2107">
        <v>514460</v>
      </c>
      <c r="C2107" t="s">
        <v>383</v>
      </c>
      <c r="D2107">
        <v>2022</v>
      </c>
      <c r="E2107">
        <v>15.75</v>
      </c>
      <c r="F2107">
        <v>-0.15</v>
      </c>
      <c r="G2107" t="s">
        <v>465</v>
      </c>
      <c r="H2107">
        <v>10.77000045776367</v>
      </c>
      <c r="I2107">
        <v>4.8499999046325684</v>
      </c>
      <c r="L2107" t="s">
        <v>471</v>
      </c>
      <c r="M2107">
        <v>-71.800003051757798</v>
      </c>
      <c r="N2107">
        <v>-32.33333269755046</v>
      </c>
      <c r="O2107">
        <v>17.64</v>
      </c>
      <c r="P2107">
        <v>109.2</v>
      </c>
      <c r="Q2107">
        <v>5.2</v>
      </c>
      <c r="R2107" s="3" t="s">
        <v>470</v>
      </c>
      <c r="S2107">
        <v>17.64</v>
      </c>
      <c r="T2107" t="s">
        <v>468</v>
      </c>
    </row>
    <row r="2108" spans="1:20" x14ac:dyDescent="0.25">
      <c r="A2108">
        <v>294</v>
      </c>
      <c r="B2108">
        <v>514460</v>
      </c>
      <c r="C2108" t="s">
        <v>383</v>
      </c>
      <c r="D2108">
        <v>2023</v>
      </c>
      <c r="E2108">
        <v>15.75</v>
      </c>
      <c r="F2108">
        <v>-0.62</v>
      </c>
      <c r="G2108" t="s">
        <v>465</v>
      </c>
      <c r="H2108">
        <v>7.4800000190734863</v>
      </c>
      <c r="I2108">
        <v>5.2800002098083496</v>
      </c>
      <c r="L2108" t="s">
        <v>471</v>
      </c>
      <c r="M2108">
        <v>-12.06451615979595</v>
      </c>
      <c r="N2108">
        <v>-8.5161293706586285</v>
      </c>
      <c r="O2108">
        <v>17.64</v>
      </c>
      <c r="P2108">
        <v>109.2</v>
      </c>
      <c r="Q2108">
        <v>5.2</v>
      </c>
      <c r="R2108" s="3" t="s">
        <v>470</v>
      </c>
      <c r="S2108">
        <v>17.64</v>
      </c>
      <c r="T2108" t="s">
        <v>468</v>
      </c>
    </row>
    <row r="2109" spans="1:20" x14ac:dyDescent="0.25">
      <c r="A2109">
        <v>294</v>
      </c>
      <c r="B2109">
        <v>514460</v>
      </c>
      <c r="C2109" t="s">
        <v>383</v>
      </c>
      <c r="D2109">
        <v>2024</v>
      </c>
      <c r="E2109">
        <v>15.75</v>
      </c>
      <c r="F2109">
        <v>-0.15</v>
      </c>
      <c r="G2109" t="s">
        <v>465</v>
      </c>
      <c r="H2109">
        <v>109.1999969482422</v>
      </c>
      <c r="I2109">
        <v>5.1999998092651367</v>
      </c>
      <c r="L2109" t="s">
        <v>471</v>
      </c>
      <c r="M2109">
        <v>-727.99997965494799</v>
      </c>
      <c r="N2109">
        <v>-34.666665395100907</v>
      </c>
      <c r="O2109">
        <v>17.64</v>
      </c>
      <c r="P2109">
        <v>109.2</v>
      </c>
      <c r="Q2109">
        <v>5.2</v>
      </c>
      <c r="R2109" s="3" t="s">
        <v>470</v>
      </c>
      <c r="S2109">
        <v>17.64</v>
      </c>
      <c r="T2109" t="s">
        <v>468</v>
      </c>
    </row>
    <row r="2110" spans="1:20" x14ac:dyDescent="0.25">
      <c r="A2110">
        <v>294</v>
      </c>
      <c r="B2110">
        <v>514460</v>
      </c>
      <c r="C2110" t="s">
        <v>383</v>
      </c>
      <c r="D2110">
        <v>2025</v>
      </c>
      <c r="E2110">
        <v>15.75</v>
      </c>
      <c r="F2110">
        <v>-0.3</v>
      </c>
      <c r="G2110" t="s">
        <v>465</v>
      </c>
      <c r="H2110">
        <v>47.599998474121087</v>
      </c>
      <c r="I2110">
        <v>22.29999923706055</v>
      </c>
      <c r="L2110" t="s">
        <v>471</v>
      </c>
      <c r="M2110">
        <v>-158.6666615804036</v>
      </c>
      <c r="N2110">
        <v>-74.333330790201842</v>
      </c>
      <c r="O2110">
        <v>17.64</v>
      </c>
      <c r="P2110">
        <v>109.2</v>
      </c>
      <c r="Q2110">
        <v>5.2</v>
      </c>
      <c r="R2110" s="3" t="s">
        <v>470</v>
      </c>
      <c r="S2110">
        <v>17.64</v>
      </c>
      <c r="T2110" t="s">
        <v>468</v>
      </c>
    </row>
    <row r="2111" spans="1:20" x14ac:dyDescent="0.25">
      <c r="A2111">
        <v>294</v>
      </c>
      <c r="B2111">
        <v>514460</v>
      </c>
      <c r="C2111" t="s">
        <v>383</v>
      </c>
      <c r="D2111">
        <v>2026</v>
      </c>
      <c r="E2111">
        <v>15.75</v>
      </c>
      <c r="F2111">
        <v>-0.3</v>
      </c>
      <c r="G2111" t="s">
        <v>465</v>
      </c>
      <c r="H2111">
        <v>23</v>
      </c>
      <c r="I2111">
        <v>13.86999988555908</v>
      </c>
      <c r="L2111" t="s">
        <v>471</v>
      </c>
      <c r="M2111">
        <v>-76.666666666666671</v>
      </c>
      <c r="N2111">
        <v>-46.233332951863602</v>
      </c>
      <c r="O2111">
        <v>17.64</v>
      </c>
      <c r="P2111">
        <v>109.2</v>
      </c>
      <c r="Q2111">
        <v>5.2</v>
      </c>
      <c r="R2111" s="3" t="s">
        <v>470</v>
      </c>
      <c r="S2111">
        <v>17.64</v>
      </c>
      <c r="T2111" t="s">
        <v>468</v>
      </c>
    </row>
    <row r="2112" spans="1:20" x14ac:dyDescent="0.25">
      <c r="A2112">
        <v>295</v>
      </c>
      <c r="B2112">
        <v>514470</v>
      </c>
      <c r="C2112" t="s">
        <v>385</v>
      </c>
      <c r="D2112">
        <v>2015</v>
      </c>
      <c r="E2112">
        <v>94.879997253417969</v>
      </c>
      <c r="F2112">
        <v>6.52</v>
      </c>
      <c r="G2112" t="s">
        <v>465</v>
      </c>
      <c r="H2112">
        <v>76.800003051757813</v>
      </c>
      <c r="I2112">
        <v>29.10000038146973</v>
      </c>
      <c r="L2112" t="s">
        <v>469</v>
      </c>
      <c r="M2112">
        <v>11.77914157235549</v>
      </c>
      <c r="N2112">
        <v>4.4631902425567072</v>
      </c>
      <c r="O2112">
        <v>81.69</v>
      </c>
      <c r="P2112">
        <v>128</v>
      </c>
      <c r="Q2112">
        <v>63.11</v>
      </c>
      <c r="R2112" s="3" t="s">
        <v>470</v>
      </c>
      <c r="S2112">
        <v>81.69</v>
      </c>
      <c r="T2112" t="s">
        <v>468</v>
      </c>
    </row>
    <row r="2113" spans="1:20" x14ac:dyDescent="0.25">
      <c r="A2113">
        <v>295</v>
      </c>
      <c r="B2113">
        <v>514470</v>
      </c>
      <c r="C2113" t="s">
        <v>385</v>
      </c>
      <c r="D2113">
        <v>2016</v>
      </c>
      <c r="E2113">
        <v>94.879997253417969</v>
      </c>
      <c r="F2113">
        <v>10.34</v>
      </c>
      <c r="G2113" t="s">
        <v>465</v>
      </c>
      <c r="H2113">
        <v>74.949996948242188</v>
      </c>
      <c r="I2113">
        <v>30.20000076293945</v>
      </c>
      <c r="L2113" t="s">
        <v>469</v>
      </c>
      <c r="M2113">
        <v>7.2485490278764209</v>
      </c>
      <c r="N2113">
        <v>2.920696398736891</v>
      </c>
      <c r="O2113">
        <v>81.69</v>
      </c>
      <c r="P2113">
        <v>128</v>
      </c>
      <c r="Q2113">
        <v>63.11</v>
      </c>
      <c r="R2113" s="3" t="s">
        <v>470</v>
      </c>
      <c r="S2113">
        <v>81.69</v>
      </c>
      <c r="T2113" t="s">
        <v>468</v>
      </c>
    </row>
    <row r="2114" spans="1:20" x14ac:dyDescent="0.25">
      <c r="A2114">
        <v>295</v>
      </c>
      <c r="B2114">
        <v>514470</v>
      </c>
      <c r="C2114" t="s">
        <v>385</v>
      </c>
      <c r="D2114">
        <v>2017</v>
      </c>
      <c r="E2114">
        <v>94.879997253417969</v>
      </c>
      <c r="F2114">
        <v>11.02</v>
      </c>
      <c r="G2114" t="s">
        <v>465</v>
      </c>
      <c r="H2114">
        <v>128</v>
      </c>
      <c r="I2114">
        <v>55.299999237060547</v>
      </c>
      <c r="L2114" t="s">
        <v>469</v>
      </c>
      <c r="M2114">
        <v>11.61524500907441</v>
      </c>
      <c r="N2114">
        <v>5.018148751094424</v>
      </c>
      <c r="O2114">
        <v>81.69</v>
      </c>
      <c r="P2114">
        <v>128</v>
      </c>
      <c r="Q2114">
        <v>63.11</v>
      </c>
      <c r="R2114" s="3" t="s">
        <v>470</v>
      </c>
      <c r="S2114">
        <v>81.69</v>
      </c>
      <c r="T2114" t="s">
        <v>468</v>
      </c>
    </row>
    <row r="2115" spans="1:20" x14ac:dyDescent="0.25">
      <c r="A2115">
        <v>295</v>
      </c>
      <c r="B2115">
        <v>514470</v>
      </c>
      <c r="C2115" t="s">
        <v>385</v>
      </c>
      <c r="D2115">
        <v>2018</v>
      </c>
      <c r="E2115">
        <v>94.879997253417969</v>
      </c>
      <c r="F2115">
        <v>2.5</v>
      </c>
      <c r="G2115" t="s">
        <v>465</v>
      </c>
      <c r="H2115">
        <v>76.650001525878906</v>
      </c>
      <c r="I2115">
        <v>23.04999923706055</v>
      </c>
      <c r="L2115" t="s">
        <v>469</v>
      </c>
      <c r="M2115">
        <v>30.66000061035156</v>
      </c>
      <c r="N2115">
        <v>9.2199996948242209</v>
      </c>
      <c r="O2115">
        <v>81.69</v>
      </c>
      <c r="P2115">
        <v>128</v>
      </c>
      <c r="Q2115">
        <v>63.11</v>
      </c>
      <c r="R2115" s="3" t="s">
        <v>470</v>
      </c>
      <c r="S2115">
        <v>81.69</v>
      </c>
      <c r="T2115" t="s">
        <v>468</v>
      </c>
    </row>
    <row r="2116" spans="1:20" x14ac:dyDescent="0.25">
      <c r="A2116">
        <v>295</v>
      </c>
      <c r="B2116">
        <v>514470</v>
      </c>
      <c r="C2116" t="s">
        <v>385</v>
      </c>
      <c r="D2116">
        <v>2019</v>
      </c>
      <c r="E2116">
        <v>94.879997253417969</v>
      </c>
      <c r="F2116">
        <v>6.12</v>
      </c>
      <c r="G2116" t="s">
        <v>465</v>
      </c>
      <c r="H2116">
        <v>32.450000762939453</v>
      </c>
      <c r="I2116">
        <v>16.20000076293945</v>
      </c>
      <c r="L2116" t="s">
        <v>469</v>
      </c>
      <c r="M2116">
        <v>5.3022877063626552</v>
      </c>
      <c r="N2116">
        <v>2.6470589481927198</v>
      </c>
      <c r="O2116">
        <v>81.69</v>
      </c>
      <c r="P2116">
        <v>128</v>
      </c>
      <c r="Q2116">
        <v>63.11</v>
      </c>
      <c r="R2116" s="3" t="s">
        <v>470</v>
      </c>
      <c r="S2116">
        <v>81.69</v>
      </c>
      <c r="T2116" t="s">
        <v>468</v>
      </c>
    </row>
    <row r="2117" spans="1:20" x14ac:dyDescent="0.25">
      <c r="A2117">
        <v>295</v>
      </c>
      <c r="B2117">
        <v>514470</v>
      </c>
      <c r="C2117" t="s">
        <v>385</v>
      </c>
      <c r="D2117">
        <v>2020</v>
      </c>
      <c r="E2117">
        <v>94.879997253417969</v>
      </c>
      <c r="F2117">
        <v>-1.47</v>
      </c>
      <c r="G2117" t="s">
        <v>465</v>
      </c>
      <c r="H2117">
        <v>25.670000076293949</v>
      </c>
      <c r="I2117">
        <v>11.13000011444092</v>
      </c>
      <c r="L2117" t="s">
        <v>471</v>
      </c>
      <c r="M2117">
        <v>-17.462585085914249</v>
      </c>
      <c r="N2117">
        <v>-7.5714286492795377</v>
      </c>
      <c r="O2117">
        <v>81.69</v>
      </c>
      <c r="P2117">
        <v>128</v>
      </c>
      <c r="Q2117">
        <v>63.11</v>
      </c>
      <c r="R2117" s="3" t="s">
        <v>470</v>
      </c>
      <c r="S2117">
        <v>81.69</v>
      </c>
      <c r="T2117" t="s">
        <v>468</v>
      </c>
    </row>
    <row r="2118" spans="1:20" x14ac:dyDescent="0.25">
      <c r="A2118">
        <v>295</v>
      </c>
      <c r="B2118">
        <v>514470</v>
      </c>
      <c r="C2118" t="s">
        <v>385</v>
      </c>
      <c r="D2118">
        <v>2021</v>
      </c>
      <c r="E2118">
        <v>94.879997253417969</v>
      </c>
      <c r="F2118">
        <v>-0.61</v>
      </c>
      <c r="G2118" t="s">
        <v>465</v>
      </c>
      <c r="H2118">
        <v>88.5</v>
      </c>
      <c r="I2118">
        <v>24.39999961853027</v>
      </c>
      <c r="L2118" t="s">
        <v>471</v>
      </c>
      <c r="M2118">
        <v>-145.08196721311481</v>
      </c>
      <c r="N2118">
        <v>-39.999999374639778</v>
      </c>
      <c r="O2118">
        <v>81.69</v>
      </c>
      <c r="P2118">
        <v>128</v>
      </c>
      <c r="Q2118">
        <v>63.11</v>
      </c>
      <c r="R2118" s="3" t="s">
        <v>470</v>
      </c>
      <c r="S2118">
        <v>81.69</v>
      </c>
      <c r="T2118" t="s">
        <v>468</v>
      </c>
    </row>
    <row r="2119" spans="1:20" x14ac:dyDescent="0.25">
      <c r="A2119">
        <v>295</v>
      </c>
      <c r="B2119">
        <v>514470</v>
      </c>
      <c r="C2119" t="s">
        <v>385</v>
      </c>
      <c r="D2119">
        <v>2022</v>
      </c>
      <c r="E2119">
        <v>94.879997253417969</v>
      </c>
      <c r="F2119">
        <v>22.95</v>
      </c>
      <c r="G2119" t="s">
        <v>465</v>
      </c>
      <c r="H2119">
        <v>123.6999969482422</v>
      </c>
      <c r="I2119">
        <v>63</v>
      </c>
      <c r="L2119" t="s">
        <v>469</v>
      </c>
      <c r="M2119">
        <v>5.3899780805334299</v>
      </c>
      <c r="N2119">
        <v>2.7450980392156858</v>
      </c>
      <c r="O2119">
        <v>81.69</v>
      </c>
      <c r="P2119">
        <v>128</v>
      </c>
      <c r="Q2119">
        <v>63.11</v>
      </c>
      <c r="R2119" s="3" t="s">
        <v>470</v>
      </c>
      <c r="S2119">
        <v>81.69</v>
      </c>
      <c r="T2119" t="s">
        <v>468</v>
      </c>
    </row>
    <row r="2120" spans="1:20" x14ac:dyDescent="0.25">
      <c r="A2120">
        <v>295</v>
      </c>
      <c r="B2120">
        <v>514470</v>
      </c>
      <c r="C2120" t="s">
        <v>385</v>
      </c>
      <c r="D2120">
        <v>2023</v>
      </c>
      <c r="E2120">
        <v>94.879997253417969</v>
      </c>
      <c r="F2120">
        <v>12.37</v>
      </c>
      <c r="G2120" t="s">
        <v>465</v>
      </c>
      <c r="H2120">
        <v>84.050003051757813</v>
      </c>
      <c r="I2120">
        <v>40.060001373291023</v>
      </c>
      <c r="L2120" t="s">
        <v>469</v>
      </c>
      <c r="M2120">
        <v>6.7946647576198718</v>
      </c>
      <c r="N2120">
        <v>3.2384803050356532</v>
      </c>
      <c r="O2120">
        <v>81.69</v>
      </c>
      <c r="P2120">
        <v>128</v>
      </c>
      <c r="Q2120">
        <v>63.11</v>
      </c>
      <c r="R2120" s="3" t="s">
        <v>470</v>
      </c>
      <c r="S2120">
        <v>81.69</v>
      </c>
      <c r="T2120" t="s">
        <v>468</v>
      </c>
    </row>
    <row r="2121" spans="1:20" x14ac:dyDescent="0.25">
      <c r="A2121">
        <v>295</v>
      </c>
      <c r="B2121">
        <v>514470</v>
      </c>
      <c r="C2121" t="s">
        <v>385</v>
      </c>
      <c r="D2121">
        <v>2024</v>
      </c>
      <c r="E2121">
        <v>94.879997253417969</v>
      </c>
      <c r="F2121">
        <v>9.43</v>
      </c>
      <c r="G2121" t="s">
        <v>465</v>
      </c>
      <c r="H2121">
        <v>128</v>
      </c>
      <c r="I2121">
        <v>63.110000610351563</v>
      </c>
      <c r="L2121" t="s">
        <v>469</v>
      </c>
      <c r="M2121">
        <v>13.57370095440085</v>
      </c>
      <c r="N2121">
        <v>6.6924709024763063</v>
      </c>
      <c r="O2121">
        <v>81.69</v>
      </c>
      <c r="P2121">
        <v>128</v>
      </c>
      <c r="Q2121">
        <v>63.11</v>
      </c>
      <c r="R2121" s="3" t="s">
        <v>470</v>
      </c>
      <c r="S2121">
        <v>81.69</v>
      </c>
      <c r="T2121" t="s">
        <v>468</v>
      </c>
    </row>
    <row r="2122" spans="1:20" x14ac:dyDescent="0.25">
      <c r="A2122">
        <v>295</v>
      </c>
      <c r="B2122">
        <v>514470</v>
      </c>
      <c r="C2122" t="s">
        <v>385</v>
      </c>
      <c r="D2122">
        <v>2025</v>
      </c>
      <c r="E2122">
        <v>94.879997253417969</v>
      </c>
      <c r="F2122">
        <v>14.16</v>
      </c>
      <c r="G2122" t="s">
        <v>465</v>
      </c>
      <c r="H2122">
        <v>122.4499969482422</v>
      </c>
      <c r="I2122">
        <v>74.989997863769531</v>
      </c>
      <c r="L2122" t="s">
        <v>469</v>
      </c>
      <c r="M2122">
        <v>8.6475986545368784</v>
      </c>
      <c r="N2122">
        <v>5.2959038039385264</v>
      </c>
      <c r="O2122">
        <v>81.69</v>
      </c>
      <c r="P2122">
        <v>128</v>
      </c>
      <c r="Q2122">
        <v>63.11</v>
      </c>
      <c r="R2122" s="3" t="s">
        <v>470</v>
      </c>
      <c r="S2122">
        <v>81.69</v>
      </c>
      <c r="T2122" t="s">
        <v>468</v>
      </c>
    </row>
    <row r="2123" spans="1:20" x14ac:dyDescent="0.25">
      <c r="A2123">
        <v>295</v>
      </c>
      <c r="B2123">
        <v>514470</v>
      </c>
      <c r="C2123" t="s">
        <v>385</v>
      </c>
      <c r="D2123">
        <v>2026</v>
      </c>
      <c r="E2123">
        <v>94.879997253417969</v>
      </c>
      <c r="F2123">
        <v>13.42</v>
      </c>
      <c r="G2123" t="s">
        <v>465</v>
      </c>
      <c r="H2123">
        <v>98.150001525878906</v>
      </c>
      <c r="I2123">
        <v>58.009998321533203</v>
      </c>
      <c r="L2123" t="s">
        <v>469</v>
      </c>
      <c r="M2123">
        <v>7.3137109929865058</v>
      </c>
      <c r="N2123">
        <v>4.3226526320069452</v>
      </c>
      <c r="O2123">
        <v>81.69</v>
      </c>
      <c r="P2123">
        <v>128</v>
      </c>
      <c r="Q2123">
        <v>63.11</v>
      </c>
      <c r="R2123" s="3" t="s">
        <v>470</v>
      </c>
      <c r="S2123">
        <v>81.69</v>
      </c>
      <c r="T2123" t="s">
        <v>468</v>
      </c>
    </row>
    <row r="2124" spans="1:20" x14ac:dyDescent="0.25">
      <c r="A2124">
        <v>316</v>
      </c>
      <c r="B2124">
        <v>515127</v>
      </c>
      <c r="C2124" t="s">
        <v>387</v>
      </c>
      <c r="D2124">
        <v>2015</v>
      </c>
      <c r="E2124">
        <v>0.97000002861022949</v>
      </c>
      <c r="G2124" t="s">
        <v>465</v>
      </c>
      <c r="H2124">
        <v>2.0999999046325679</v>
      </c>
      <c r="L2124" t="s">
        <v>466</v>
      </c>
      <c r="O2124">
        <v>2.0299999999999998</v>
      </c>
      <c r="P2124">
        <v>3.12</v>
      </c>
      <c r="Q2124">
        <v>1.9</v>
      </c>
      <c r="R2124" s="3" t="s">
        <v>470</v>
      </c>
      <c r="S2124">
        <v>2.0299999999999998</v>
      </c>
      <c r="T2124" t="s">
        <v>468</v>
      </c>
    </row>
    <row r="2125" spans="1:20" x14ac:dyDescent="0.25">
      <c r="A2125">
        <v>316</v>
      </c>
      <c r="B2125">
        <v>515127</v>
      </c>
      <c r="C2125" t="s">
        <v>387</v>
      </c>
      <c r="D2125">
        <v>2016</v>
      </c>
      <c r="E2125">
        <v>0.97000002861022949</v>
      </c>
      <c r="G2125" t="s">
        <v>465</v>
      </c>
      <c r="H2125">
        <v>3.4549999237060551</v>
      </c>
      <c r="I2125">
        <v>1.690000057220459</v>
      </c>
      <c r="L2125" t="s">
        <v>466</v>
      </c>
      <c r="O2125">
        <v>2.0299999999999998</v>
      </c>
      <c r="P2125">
        <v>3.12</v>
      </c>
      <c r="Q2125">
        <v>1.9</v>
      </c>
      <c r="R2125" s="3" t="s">
        <v>470</v>
      </c>
      <c r="S2125">
        <v>2.0299999999999998</v>
      </c>
      <c r="T2125" t="s">
        <v>468</v>
      </c>
    </row>
    <row r="2126" spans="1:20" x14ac:dyDescent="0.25">
      <c r="A2126">
        <v>316</v>
      </c>
      <c r="B2126">
        <v>515127</v>
      </c>
      <c r="C2126" t="s">
        <v>387</v>
      </c>
      <c r="D2126">
        <v>2017</v>
      </c>
      <c r="E2126">
        <v>0.97000002861022949</v>
      </c>
      <c r="G2126" t="s">
        <v>465</v>
      </c>
      <c r="H2126">
        <v>11.25</v>
      </c>
      <c r="I2126">
        <v>3.5199999809265141</v>
      </c>
      <c r="L2126" t="s">
        <v>466</v>
      </c>
      <c r="O2126">
        <v>2.0299999999999998</v>
      </c>
      <c r="P2126">
        <v>3.12</v>
      </c>
      <c r="Q2126">
        <v>1.9</v>
      </c>
      <c r="R2126" s="3" t="s">
        <v>470</v>
      </c>
      <c r="S2126">
        <v>2.0299999999999998</v>
      </c>
      <c r="T2126" t="s">
        <v>468</v>
      </c>
    </row>
    <row r="2127" spans="1:20" x14ac:dyDescent="0.25">
      <c r="A2127">
        <v>316</v>
      </c>
      <c r="B2127">
        <v>515127</v>
      </c>
      <c r="C2127" t="s">
        <v>387</v>
      </c>
      <c r="D2127">
        <v>2018</v>
      </c>
      <c r="E2127">
        <v>0.97000002861022949</v>
      </c>
      <c r="G2127" t="s">
        <v>465</v>
      </c>
      <c r="H2127">
        <v>12.375</v>
      </c>
      <c r="I2127">
        <v>6</v>
      </c>
      <c r="L2127" t="s">
        <v>466</v>
      </c>
      <c r="O2127">
        <v>2.0299999999999998</v>
      </c>
      <c r="P2127">
        <v>3.12</v>
      </c>
      <c r="Q2127">
        <v>1.9</v>
      </c>
      <c r="R2127" s="3" t="s">
        <v>470</v>
      </c>
      <c r="S2127">
        <v>2.0299999999999998</v>
      </c>
      <c r="T2127" t="s">
        <v>468</v>
      </c>
    </row>
    <row r="2128" spans="1:20" x14ac:dyDescent="0.25">
      <c r="A2128">
        <v>316</v>
      </c>
      <c r="B2128">
        <v>515127</v>
      </c>
      <c r="C2128" t="s">
        <v>387</v>
      </c>
      <c r="D2128">
        <v>2019</v>
      </c>
      <c r="E2128">
        <v>0.97000002861022949</v>
      </c>
      <c r="G2128" t="s">
        <v>465</v>
      </c>
      <c r="H2128">
        <v>10.35000038146973</v>
      </c>
      <c r="I2128">
        <v>2.869999885559082</v>
      </c>
      <c r="L2128" t="s">
        <v>466</v>
      </c>
      <c r="O2128">
        <v>2.0299999999999998</v>
      </c>
      <c r="P2128">
        <v>3.12</v>
      </c>
      <c r="Q2128">
        <v>1.9</v>
      </c>
      <c r="R2128" s="3" t="s">
        <v>470</v>
      </c>
      <c r="S2128">
        <v>2.0299999999999998</v>
      </c>
      <c r="T2128" t="s">
        <v>468</v>
      </c>
    </row>
    <row r="2129" spans="1:20" x14ac:dyDescent="0.25">
      <c r="A2129">
        <v>316</v>
      </c>
      <c r="B2129">
        <v>515127</v>
      </c>
      <c r="C2129" t="s">
        <v>387</v>
      </c>
      <c r="D2129">
        <v>2020</v>
      </c>
      <c r="E2129">
        <v>0.97000002861022949</v>
      </c>
      <c r="G2129" t="s">
        <v>465</v>
      </c>
      <c r="H2129">
        <v>4.7100000381469727</v>
      </c>
      <c r="I2129">
        <v>2.0999999046325679</v>
      </c>
      <c r="L2129" t="s">
        <v>466</v>
      </c>
      <c r="O2129">
        <v>2.0299999999999998</v>
      </c>
      <c r="P2129">
        <v>3.12</v>
      </c>
      <c r="Q2129">
        <v>1.9</v>
      </c>
      <c r="R2129" s="3" t="s">
        <v>470</v>
      </c>
      <c r="S2129">
        <v>2.0299999999999998</v>
      </c>
      <c r="T2129" t="s">
        <v>468</v>
      </c>
    </row>
    <row r="2130" spans="1:20" x14ac:dyDescent="0.25">
      <c r="A2130">
        <v>316</v>
      </c>
      <c r="B2130">
        <v>515127</v>
      </c>
      <c r="C2130" t="s">
        <v>387</v>
      </c>
      <c r="D2130">
        <v>2021</v>
      </c>
      <c r="E2130">
        <v>0.97000002861022949</v>
      </c>
      <c r="G2130" t="s">
        <v>465</v>
      </c>
      <c r="H2130">
        <v>7.75</v>
      </c>
      <c r="I2130">
        <v>1.7899999618530269</v>
      </c>
      <c r="L2130" t="s">
        <v>466</v>
      </c>
      <c r="O2130">
        <v>2.0299999999999998</v>
      </c>
      <c r="P2130">
        <v>3.12</v>
      </c>
      <c r="Q2130">
        <v>1.9</v>
      </c>
      <c r="R2130" s="3" t="s">
        <v>470</v>
      </c>
      <c r="S2130">
        <v>2.0299999999999998</v>
      </c>
      <c r="T2130" t="s">
        <v>468</v>
      </c>
    </row>
    <row r="2131" spans="1:20" x14ac:dyDescent="0.25">
      <c r="A2131">
        <v>316</v>
      </c>
      <c r="B2131">
        <v>515127</v>
      </c>
      <c r="C2131" t="s">
        <v>387</v>
      </c>
      <c r="D2131">
        <v>2022</v>
      </c>
      <c r="E2131">
        <v>0.97000002861022949</v>
      </c>
      <c r="G2131" t="s">
        <v>465</v>
      </c>
      <c r="H2131">
        <v>10.189999580383301</v>
      </c>
      <c r="I2131">
        <v>3.5999999046325679</v>
      </c>
      <c r="L2131" t="s">
        <v>466</v>
      </c>
      <c r="O2131">
        <v>2.0299999999999998</v>
      </c>
      <c r="P2131">
        <v>3.12</v>
      </c>
      <c r="Q2131">
        <v>1.9</v>
      </c>
      <c r="R2131" s="3" t="s">
        <v>470</v>
      </c>
      <c r="S2131">
        <v>2.0299999999999998</v>
      </c>
      <c r="T2131" t="s">
        <v>468</v>
      </c>
    </row>
    <row r="2132" spans="1:20" x14ac:dyDescent="0.25">
      <c r="A2132">
        <v>316</v>
      </c>
      <c r="B2132">
        <v>515127</v>
      </c>
      <c r="C2132" t="s">
        <v>387</v>
      </c>
      <c r="D2132">
        <v>2023</v>
      </c>
      <c r="E2132">
        <v>0.97000002861022949</v>
      </c>
      <c r="G2132" t="s">
        <v>465</v>
      </c>
      <c r="H2132">
        <v>4.7800002098083496</v>
      </c>
      <c r="I2132">
        <v>2.559999942779541</v>
      </c>
      <c r="L2132" t="s">
        <v>466</v>
      </c>
      <c r="O2132">
        <v>2.0299999999999998</v>
      </c>
      <c r="P2132">
        <v>3.12</v>
      </c>
      <c r="Q2132">
        <v>1.9</v>
      </c>
      <c r="R2132" s="3" t="s">
        <v>470</v>
      </c>
      <c r="S2132">
        <v>2.0299999999999998</v>
      </c>
      <c r="T2132" t="s">
        <v>468</v>
      </c>
    </row>
    <row r="2133" spans="1:20" x14ac:dyDescent="0.25">
      <c r="A2133">
        <v>316</v>
      </c>
      <c r="B2133">
        <v>515127</v>
      </c>
      <c r="C2133" t="s">
        <v>387</v>
      </c>
      <c r="D2133">
        <v>2024</v>
      </c>
      <c r="E2133">
        <v>0.97000002861022949</v>
      </c>
      <c r="G2133" t="s">
        <v>465</v>
      </c>
      <c r="H2133">
        <v>2.9800000190734859</v>
      </c>
      <c r="I2133">
        <v>1.8999999761581421</v>
      </c>
      <c r="L2133" t="s">
        <v>466</v>
      </c>
      <c r="O2133">
        <v>2.0299999999999998</v>
      </c>
      <c r="P2133">
        <v>3.12</v>
      </c>
      <c r="Q2133">
        <v>1.9</v>
      </c>
      <c r="R2133" s="3" t="s">
        <v>470</v>
      </c>
      <c r="S2133">
        <v>2.0299999999999998</v>
      </c>
      <c r="T2133" t="s">
        <v>468</v>
      </c>
    </row>
    <row r="2134" spans="1:20" x14ac:dyDescent="0.25">
      <c r="A2134">
        <v>316</v>
      </c>
      <c r="B2134">
        <v>515127</v>
      </c>
      <c r="C2134" t="s">
        <v>387</v>
      </c>
      <c r="D2134">
        <v>2025</v>
      </c>
      <c r="E2134">
        <v>0.97000002861022949</v>
      </c>
      <c r="G2134" t="s">
        <v>465</v>
      </c>
      <c r="H2134">
        <v>3.5999999046325679</v>
      </c>
      <c r="I2134">
        <v>1.3500000238418579</v>
      </c>
      <c r="L2134" t="s">
        <v>466</v>
      </c>
      <c r="O2134">
        <v>2.0299999999999998</v>
      </c>
      <c r="P2134">
        <v>3.12</v>
      </c>
      <c r="Q2134">
        <v>1.9</v>
      </c>
      <c r="R2134" s="3" t="s">
        <v>470</v>
      </c>
      <c r="S2134">
        <v>2.0299999999999998</v>
      </c>
      <c r="T2134" t="s">
        <v>468</v>
      </c>
    </row>
    <row r="2135" spans="1:20" x14ac:dyDescent="0.25">
      <c r="A2135">
        <v>316</v>
      </c>
      <c r="B2135">
        <v>515127</v>
      </c>
      <c r="C2135" t="s">
        <v>387</v>
      </c>
      <c r="D2135">
        <v>2026</v>
      </c>
      <c r="E2135">
        <v>0.97000002861022949</v>
      </c>
      <c r="G2135" t="s">
        <v>465</v>
      </c>
      <c r="H2135">
        <v>1.3500000238418579</v>
      </c>
      <c r="L2135" t="s">
        <v>466</v>
      </c>
      <c r="O2135">
        <v>2.0299999999999998</v>
      </c>
      <c r="P2135">
        <v>3.12</v>
      </c>
      <c r="Q2135">
        <v>1.9</v>
      </c>
      <c r="R2135" s="3" t="s">
        <v>470</v>
      </c>
      <c r="S2135">
        <v>2.0299999999999998</v>
      </c>
      <c r="T2135" t="s">
        <v>468</v>
      </c>
    </row>
    <row r="2136" spans="1:20" x14ac:dyDescent="0.25">
      <c r="A2136">
        <v>317</v>
      </c>
      <c r="B2136">
        <v>515145</v>
      </c>
      <c r="C2136" t="s">
        <v>389</v>
      </c>
      <c r="D2136">
        <v>2015</v>
      </c>
      <c r="E2136">
        <v>8.880000114440918</v>
      </c>
      <c r="G2136" t="s">
        <v>465</v>
      </c>
      <c r="H2136">
        <v>135.94999694824219</v>
      </c>
      <c r="I2136">
        <v>80</v>
      </c>
      <c r="L2136" t="s">
        <v>466</v>
      </c>
      <c r="O2136">
        <f>IFERROR(VLOOKUP(B2136,BSE_500_LIVE!A:E,3,FALSE),"")</f>
        <v>0</v>
      </c>
      <c r="P2136">
        <f>IFERROR(VLOOKUP(B2136,BSE_500_LIVE!A:E,4,FALSE),"")</f>
        <v>0</v>
      </c>
      <c r="Q2136">
        <f>IFERROR(VLOOKUP(B2136,BSE_500_LIVE!A:E,5,FALSE),"")</f>
        <v>0</v>
      </c>
      <c r="R2136" t="str">
        <f t="shared" ref="R2136:R2146" si="28">IF(OR(E2136="",O2136=""),"PENDING_FETCH",IF(ABS(E2136-O2136)/E2136&gt;0.005,"MISMATCH_NEEDS_CORRECTION","VERIFIED_OK"))</f>
        <v>MISMATCH_NEEDS_CORRECTION</v>
      </c>
      <c r="S2136">
        <f t="shared" ref="S2136:S2146" si="29">IF(O2136&lt;&gt;"",O2136,E2136)</f>
        <v>0</v>
      </c>
      <c r="T2136">
        <f>IFERROR(VLOOKUP(B2136,BSE_500_LIVE!A:F,6,FALSE),"")</f>
        <v>0</v>
      </c>
    </row>
    <row r="2137" spans="1:20" x14ac:dyDescent="0.25">
      <c r="A2137">
        <v>317</v>
      </c>
      <c r="B2137">
        <v>515145</v>
      </c>
      <c r="C2137" t="s">
        <v>389</v>
      </c>
      <c r="D2137">
        <v>2016</v>
      </c>
      <c r="E2137">
        <v>8.880000114440918</v>
      </c>
      <c r="G2137" t="s">
        <v>465</v>
      </c>
      <c r="H2137">
        <v>154.80000305175781</v>
      </c>
      <c r="I2137">
        <v>57.150001525878913</v>
      </c>
      <c r="L2137" t="s">
        <v>466</v>
      </c>
      <c r="O2137">
        <f>IFERROR(VLOOKUP(B2137,BSE_500_LIVE!A:E,3,FALSE),"")</f>
        <v>0</v>
      </c>
      <c r="P2137">
        <f>IFERROR(VLOOKUP(B2137,BSE_500_LIVE!A:E,4,FALSE),"")</f>
        <v>0</v>
      </c>
      <c r="Q2137">
        <f>IFERROR(VLOOKUP(B2137,BSE_500_LIVE!A:E,5,FALSE),"")</f>
        <v>0</v>
      </c>
      <c r="R2137" t="str">
        <f t="shared" si="28"/>
        <v>MISMATCH_NEEDS_CORRECTION</v>
      </c>
      <c r="S2137">
        <f t="shared" si="29"/>
        <v>0</v>
      </c>
      <c r="T2137">
        <f>IFERROR(VLOOKUP(B2137,BSE_500_LIVE!A:F,6,FALSE),"")</f>
        <v>0</v>
      </c>
    </row>
    <row r="2138" spans="1:20" x14ac:dyDescent="0.25">
      <c r="A2138">
        <v>317</v>
      </c>
      <c r="B2138">
        <v>515145</v>
      </c>
      <c r="C2138" t="s">
        <v>389</v>
      </c>
      <c r="D2138">
        <v>2017</v>
      </c>
      <c r="E2138">
        <v>8.880000114440918</v>
      </c>
      <c r="G2138" t="s">
        <v>465</v>
      </c>
      <c r="H2138">
        <v>184.8500061035156</v>
      </c>
      <c r="I2138">
        <v>74.199996948242188</v>
      </c>
      <c r="L2138" t="s">
        <v>466</v>
      </c>
      <c r="O2138">
        <f>IFERROR(VLOOKUP(B2138,BSE_500_LIVE!A:E,3,FALSE),"")</f>
        <v>0</v>
      </c>
      <c r="P2138">
        <f>IFERROR(VLOOKUP(B2138,BSE_500_LIVE!A:E,4,FALSE),"")</f>
        <v>0</v>
      </c>
      <c r="Q2138">
        <f>IFERROR(VLOOKUP(B2138,BSE_500_LIVE!A:E,5,FALSE),"")</f>
        <v>0</v>
      </c>
      <c r="R2138" t="str">
        <f t="shared" si="28"/>
        <v>MISMATCH_NEEDS_CORRECTION</v>
      </c>
      <c r="S2138">
        <f t="shared" si="29"/>
        <v>0</v>
      </c>
      <c r="T2138">
        <f>IFERROR(VLOOKUP(B2138,BSE_500_LIVE!A:F,6,FALSE),"")</f>
        <v>0</v>
      </c>
    </row>
    <row r="2139" spans="1:20" x14ac:dyDescent="0.25">
      <c r="A2139">
        <v>317</v>
      </c>
      <c r="B2139">
        <v>515145</v>
      </c>
      <c r="C2139" t="s">
        <v>389</v>
      </c>
      <c r="D2139">
        <v>2018</v>
      </c>
      <c r="E2139">
        <v>8.880000114440918</v>
      </c>
      <c r="G2139" t="s">
        <v>465</v>
      </c>
      <c r="H2139">
        <v>193.6000061035156</v>
      </c>
      <c r="I2139">
        <v>69.199996948242188</v>
      </c>
      <c r="L2139" t="s">
        <v>466</v>
      </c>
      <c r="O2139">
        <f>IFERROR(VLOOKUP(B2139,BSE_500_LIVE!A:E,3,FALSE),"")</f>
        <v>0</v>
      </c>
      <c r="P2139">
        <f>IFERROR(VLOOKUP(B2139,BSE_500_LIVE!A:E,4,FALSE),"")</f>
        <v>0</v>
      </c>
      <c r="Q2139">
        <f>IFERROR(VLOOKUP(B2139,BSE_500_LIVE!A:E,5,FALSE),"")</f>
        <v>0</v>
      </c>
      <c r="R2139" t="str">
        <f t="shared" si="28"/>
        <v>MISMATCH_NEEDS_CORRECTION</v>
      </c>
      <c r="S2139">
        <f t="shared" si="29"/>
        <v>0</v>
      </c>
      <c r="T2139">
        <f>IFERROR(VLOOKUP(B2139,BSE_500_LIVE!A:F,6,FALSE),"")</f>
        <v>0</v>
      </c>
    </row>
    <row r="2140" spans="1:20" x14ac:dyDescent="0.25">
      <c r="A2140">
        <v>317</v>
      </c>
      <c r="B2140">
        <v>515145</v>
      </c>
      <c r="C2140" t="s">
        <v>389</v>
      </c>
      <c r="D2140">
        <v>2019</v>
      </c>
      <c r="E2140">
        <v>8.880000114440918</v>
      </c>
      <c r="G2140" t="s">
        <v>465</v>
      </c>
      <c r="H2140">
        <v>116.9499969482422</v>
      </c>
      <c r="I2140">
        <v>17.35000038146973</v>
      </c>
      <c r="L2140" t="s">
        <v>466</v>
      </c>
      <c r="O2140">
        <f>IFERROR(VLOOKUP(B2140,BSE_500_LIVE!A:E,3,FALSE),"")</f>
        <v>0</v>
      </c>
      <c r="P2140">
        <f>IFERROR(VLOOKUP(B2140,BSE_500_LIVE!A:E,4,FALSE),"")</f>
        <v>0</v>
      </c>
      <c r="Q2140">
        <f>IFERROR(VLOOKUP(B2140,BSE_500_LIVE!A:E,5,FALSE),"")</f>
        <v>0</v>
      </c>
      <c r="R2140" t="str">
        <f t="shared" si="28"/>
        <v>MISMATCH_NEEDS_CORRECTION</v>
      </c>
      <c r="S2140">
        <f t="shared" si="29"/>
        <v>0</v>
      </c>
      <c r="T2140">
        <f>IFERROR(VLOOKUP(B2140,BSE_500_LIVE!A:F,6,FALSE),"")</f>
        <v>0</v>
      </c>
    </row>
    <row r="2141" spans="1:20" x14ac:dyDescent="0.25">
      <c r="A2141">
        <v>317</v>
      </c>
      <c r="B2141">
        <v>515145</v>
      </c>
      <c r="C2141" t="s">
        <v>389</v>
      </c>
      <c r="D2141">
        <v>2020</v>
      </c>
      <c r="E2141">
        <v>8.880000114440918</v>
      </c>
      <c r="G2141" t="s">
        <v>465</v>
      </c>
      <c r="H2141">
        <v>49</v>
      </c>
      <c r="I2141">
        <v>23.29999923706055</v>
      </c>
      <c r="L2141" t="s">
        <v>466</v>
      </c>
      <c r="O2141">
        <f>IFERROR(VLOOKUP(B2141,BSE_500_LIVE!A:E,3,FALSE),"")</f>
        <v>0</v>
      </c>
      <c r="P2141">
        <f>IFERROR(VLOOKUP(B2141,BSE_500_LIVE!A:E,4,FALSE),"")</f>
        <v>0</v>
      </c>
      <c r="Q2141">
        <f>IFERROR(VLOOKUP(B2141,BSE_500_LIVE!A:E,5,FALSE),"")</f>
        <v>0</v>
      </c>
      <c r="R2141" t="str">
        <f t="shared" si="28"/>
        <v>MISMATCH_NEEDS_CORRECTION</v>
      </c>
      <c r="S2141">
        <f t="shared" si="29"/>
        <v>0</v>
      </c>
      <c r="T2141">
        <f>IFERROR(VLOOKUP(B2141,BSE_500_LIVE!A:F,6,FALSE),"")</f>
        <v>0</v>
      </c>
    </row>
    <row r="2142" spans="1:20" x14ac:dyDescent="0.25">
      <c r="A2142">
        <v>317</v>
      </c>
      <c r="B2142">
        <v>515145</v>
      </c>
      <c r="C2142" t="s">
        <v>389</v>
      </c>
      <c r="D2142">
        <v>2021</v>
      </c>
      <c r="E2142">
        <v>8.880000114440918</v>
      </c>
      <c r="G2142" t="s">
        <v>465</v>
      </c>
      <c r="H2142">
        <v>53.200000762939453</v>
      </c>
      <c r="I2142">
        <v>24.5</v>
      </c>
      <c r="L2142" t="s">
        <v>466</v>
      </c>
      <c r="O2142">
        <f>IFERROR(VLOOKUP(B2142,BSE_500_LIVE!A:E,3,FALSE),"")</f>
        <v>0</v>
      </c>
      <c r="P2142">
        <f>IFERROR(VLOOKUP(B2142,BSE_500_LIVE!A:E,4,FALSE),"")</f>
        <v>0</v>
      </c>
      <c r="Q2142">
        <f>IFERROR(VLOOKUP(B2142,BSE_500_LIVE!A:E,5,FALSE),"")</f>
        <v>0</v>
      </c>
      <c r="R2142" t="str">
        <f t="shared" si="28"/>
        <v>MISMATCH_NEEDS_CORRECTION</v>
      </c>
      <c r="S2142">
        <f t="shared" si="29"/>
        <v>0</v>
      </c>
      <c r="T2142">
        <f>IFERROR(VLOOKUP(B2142,BSE_500_LIVE!A:F,6,FALSE),"")</f>
        <v>0</v>
      </c>
    </row>
    <row r="2143" spans="1:20" x14ac:dyDescent="0.25">
      <c r="A2143">
        <v>317</v>
      </c>
      <c r="B2143">
        <v>515145</v>
      </c>
      <c r="C2143" t="s">
        <v>389</v>
      </c>
      <c r="D2143">
        <v>2022</v>
      </c>
      <c r="E2143">
        <v>8.880000114440918</v>
      </c>
      <c r="G2143" t="s">
        <v>465</v>
      </c>
      <c r="H2143">
        <v>39.450000762939453</v>
      </c>
      <c r="I2143">
        <v>7.8600001335144043</v>
      </c>
      <c r="L2143" t="s">
        <v>466</v>
      </c>
      <c r="O2143">
        <f>IFERROR(VLOOKUP(B2143,BSE_500_LIVE!A:E,3,FALSE),"")</f>
        <v>0</v>
      </c>
      <c r="P2143">
        <f>IFERROR(VLOOKUP(B2143,BSE_500_LIVE!A:E,4,FALSE),"")</f>
        <v>0</v>
      </c>
      <c r="Q2143">
        <f>IFERROR(VLOOKUP(B2143,BSE_500_LIVE!A:E,5,FALSE),"")</f>
        <v>0</v>
      </c>
      <c r="R2143" t="str">
        <f t="shared" si="28"/>
        <v>MISMATCH_NEEDS_CORRECTION</v>
      </c>
      <c r="S2143">
        <f t="shared" si="29"/>
        <v>0</v>
      </c>
      <c r="T2143">
        <f>IFERROR(VLOOKUP(B2143,BSE_500_LIVE!A:F,6,FALSE),"")</f>
        <v>0</v>
      </c>
    </row>
    <row r="2144" spans="1:20" x14ac:dyDescent="0.25">
      <c r="A2144">
        <v>317</v>
      </c>
      <c r="B2144">
        <v>515145</v>
      </c>
      <c r="C2144" t="s">
        <v>389</v>
      </c>
      <c r="D2144">
        <v>2023</v>
      </c>
      <c r="E2144">
        <v>8.880000114440918</v>
      </c>
      <c r="G2144" t="s">
        <v>465</v>
      </c>
      <c r="H2144">
        <v>25.239999771118161</v>
      </c>
      <c r="I2144">
        <v>7.5500001907348633</v>
      </c>
      <c r="L2144" t="s">
        <v>466</v>
      </c>
      <c r="O2144">
        <f>IFERROR(VLOOKUP(B2144,BSE_500_LIVE!A:E,3,FALSE),"")</f>
        <v>0</v>
      </c>
      <c r="P2144">
        <f>IFERROR(VLOOKUP(B2144,BSE_500_LIVE!A:E,4,FALSE),"")</f>
        <v>0</v>
      </c>
      <c r="Q2144">
        <f>IFERROR(VLOOKUP(B2144,BSE_500_LIVE!A:E,5,FALSE),"")</f>
        <v>0</v>
      </c>
      <c r="R2144" t="str">
        <f t="shared" si="28"/>
        <v>MISMATCH_NEEDS_CORRECTION</v>
      </c>
      <c r="S2144">
        <f t="shared" si="29"/>
        <v>0</v>
      </c>
      <c r="T2144">
        <f>IFERROR(VLOOKUP(B2144,BSE_500_LIVE!A:F,6,FALSE),"")</f>
        <v>0</v>
      </c>
    </row>
    <row r="2145" spans="1:20" x14ac:dyDescent="0.25">
      <c r="A2145">
        <v>317</v>
      </c>
      <c r="B2145">
        <v>515145</v>
      </c>
      <c r="C2145" t="s">
        <v>389</v>
      </c>
      <c r="D2145">
        <v>2024</v>
      </c>
      <c r="E2145">
        <v>8.880000114440918</v>
      </c>
      <c r="G2145" t="s">
        <v>465</v>
      </c>
      <c r="H2145">
        <v>31.469999313354489</v>
      </c>
      <c r="I2145">
        <v>16.14999961853027</v>
      </c>
      <c r="L2145" t="s">
        <v>466</v>
      </c>
      <c r="O2145">
        <f>IFERROR(VLOOKUP(B2145,BSE_500_LIVE!A:E,3,FALSE),"")</f>
        <v>0</v>
      </c>
      <c r="P2145">
        <f>IFERROR(VLOOKUP(B2145,BSE_500_LIVE!A:E,4,FALSE),"")</f>
        <v>0</v>
      </c>
      <c r="Q2145">
        <f>IFERROR(VLOOKUP(B2145,BSE_500_LIVE!A:E,5,FALSE),"")</f>
        <v>0</v>
      </c>
      <c r="R2145" t="str">
        <f t="shared" si="28"/>
        <v>MISMATCH_NEEDS_CORRECTION</v>
      </c>
      <c r="S2145">
        <f t="shared" si="29"/>
        <v>0</v>
      </c>
      <c r="T2145">
        <f>IFERROR(VLOOKUP(B2145,BSE_500_LIVE!A:F,6,FALSE),"")</f>
        <v>0</v>
      </c>
    </row>
    <row r="2146" spans="1:20" x14ac:dyDescent="0.25">
      <c r="A2146">
        <v>317</v>
      </c>
      <c r="B2146">
        <v>515145</v>
      </c>
      <c r="C2146" t="s">
        <v>389</v>
      </c>
      <c r="D2146">
        <v>2025</v>
      </c>
      <c r="E2146">
        <v>8.880000114440918</v>
      </c>
      <c r="G2146" t="s">
        <v>465</v>
      </c>
      <c r="H2146">
        <v>27.04999923706055</v>
      </c>
      <c r="I2146">
        <v>8.880000114440918</v>
      </c>
      <c r="L2146" t="s">
        <v>466</v>
      </c>
      <c r="O2146">
        <f>IFERROR(VLOOKUP(B2146,BSE_500_LIVE!A:E,3,FALSE),"")</f>
        <v>0</v>
      </c>
      <c r="P2146">
        <f>IFERROR(VLOOKUP(B2146,BSE_500_LIVE!A:E,4,FALSE),"")</f>
        <v>0</v>
      </c>
      <c r="Q2146">
        <f>IFERROR(VLOOKUP(B2146,BSE_500_LIVE!A:E,5,FALSE),"")</f>
        <v>0</v>
      </c>
      <c r="R2146" t="str">
        <f t="shared" si="28"/>
        <v>MISMATCH_NEEDS_CORRECTION</v>
      </c>
      <c r="S2146">
        <f t="shared" si="29"/>
        <v>0</v>
      </c>
      <c r="T2146">
        <f>IFERROR(VLOOKUP(B2146,BSE_500_LIVE!A:F,6,FALSE),"")</f>
        <v>0</v>
      </c>
    </row>
    <row r="2147" spans="1:20" x14ac:dyDescent="0.25">
      <c r="A2147">
        <v>318</v>
      </c>
      <c r="B2147">
        <v>515147</v>
      </c>
      <c r="C2147" t="s">
        <v>391</v>
      </c>
      <c r="D2147">
        <v>2015</v>
      </c>
      <c r="E2147">
        <v>121.3000030517578</v>
      </c>
      <c r="G2147" t="s">
        <v>465</v>
      </c>
      <c r="H2147">
        <v>42.400001525878913</v>
      </c>
      <c r="L2147" t="s">
        <v>466</v>
      </c>
      <c r="O2147">
        <v>130.94999999999999</v>
      </c>
      <c r="P2147">
        <v>188.9</v>
      </c>
      <c r="Q2147">
        <v>118.5</v>
      </c>
      <c r="R2147" s="3" t="s">
        <v>470</v>
      </c>
      <c r="S2147">
        <v>130.94999999999999</v>
      </c>
      <c r="T2147" t="s">
        <v>468</v>
      </c>
    </row>
    <row r="2148" spans="1:20" x14ac:dyDescent="0.25">
      <c r="A2148">
        <v>318</v>
      </c>
      <c r="B2148">
        <v>515147</v>
      </c>
      <c r="C2148" t="s">
        <v>391</v>
      </c>
      <c r="D2148">
        <v>2016</v>
      </c>
      <c r="E2148">
        <v>121.3000030517578</v>
      </c>
      <c r="F2148">
        <v>1.24</v>
      </c>
      <c r="G2148" t="s">
        <v>465</v>
      </c>
      <c r="H2148">
        <v>43.450000762939453</v>
      </c>
      <c r="I2148">
        <v>24</v>
      </c>
      <c r="L2148" t="s">
        <v>469</v>
      </c>
      <c r="M2148">
        <v>35.040323195918923</v>
      </c>
      <c r="N2148">
        <v>19.35483870967742</v>
      </c>
      <c r="O2148">
        <v>130.94999999999999</v>
      </c>
      <c r="P2148">
        <v>188.9</v>
      </c>
      <c r="Q2148">
        <v>118.5</v>
      </c>
      <c r="R2148" s="3" t="s">
        <v>470</v>
      </c>
      <c r="S2148">
        <v>130.94999999999999</v>
      </c>
      <c r="T2148" t="s">
        <v>468</v>
      </c>
    </row>
    <row r="2149" spans="1:20" x14ac:dyDescent="0.25">
      <c r="A2149">
        <v>318</v>
      </c>
      <c r="B2149">
        <v>515147</v>
      </c>
      <c r="C2149" t="s">
        <v>391</v>
      </c>
      <c r="D2149">
        <v>2017</v>
      </c>
      <c r="E2149">
        <v>121.3000030517578</v>
      </c>
      <c r="F2149">
        <v>2</v>
      </c>
      <c r="G2149" t="s">
        <v>465</v>
      </c>
      <c r="H2149">
        <v>50.799999237060547</v>
      </c>
      <c r="I2149">
        <v>29.79999923706055</v>
      </c>
      <c r="L2149" t="s">
        <v>469</v>
      </c>
      <c r="M2149">
        <v>25.39999961853027</v>
      </c>
      <c r="N2149">
        <v>14.899999618530281</v>
      </c>
      <c r="O2149">
        <v>130.94999999999999</v>
      </c>
      <c r="P2149">
        <v>188.9</v>
      </c>
      <c r="Q2149">
        <v>118.5</v>
      </c>
      <c r="R2149" s="3" t="s">
        <v>470</v>
      </c>
      <c r="S2149">
        <v>130.94999999999999</v>
      </c>
      <c r="T2149" t="s">
        <v>468</v>
      </c>
    </row>
    <row r="2150" spans="1:20" x14ac:dyDescent="0.25">
      <c r="A2150">
        <v>318</v>
      </c>
      <c r="B2150">
        <v>515147</v>
      </c>
      <c r="C2150" t="s">
        <v>391</v>
      </c>
      <c r="D2150">
        <v>2018</v>
      </c>
      <c r="E2150">
        <v>121.3000030517578</v>
      </c>
      <c r="F2150">
        <v>-0.09</v>
      </c>
      <c r="G2150" t="s">
        <v>465</v>
      </c>
      <c r="H2150">
        <v>54.950000762939453</v>
      </c>
      <c r="I2150">
        <v>28</v>
      </c>
      <c r="L2150" t="s">
        <v>471</v>
      </c>
      <c r="M2150">
        <v>-610.55556403266064</v>
      </c>
      <c r="N2150">
        <v>-311.11111111111109</v>
      </c>
      <c r="O2150">
        <v>130.94999999999999</v>
      </c>
      <c r="P2150">
        <v>188.9</v>
      </c>
      <c r="Q2150">
        <v>118.5</v>
      </c>
      <c r="R2150" s="3" t="s">
        <v>470</v>
      </c>
      <c r="S2150">
        <v>130.94999999999999</v>
      </c>
      <c r="T2150" t="s">
        <v>468</v>
      </c>
    </row>
    <row r="2151" spans="1:20" x14ac:dyDescent="0.25">
      <c r="A2151">
        <v>318</v>
      </c>
      <c r="B2151">
        <v>515147</v>
      </c>
      <c r="C2151" t="s">
        <v>391</v>
      </c>
      <c r="D2151">
        <v>2019</v>
      </c>
      <c r="E2151">
        <v>121.3000030517578</v>
      </c>
      <c r="F2151">
        <v>1.03</v>
      </c>
      <c r="G2151" t="s">
        <v>465</v>
      </c>
      <c r="H2151">
        <v>38.799999237060547</v>
      </c>
      <c r="I2151">
        <v>20</v>
      </c>
      <c r="L2151" t="s">
        <v>469</v>
      </c>
      <c r="M2151">
        <v>37.669902171903438</v>
      </c>
      <c r="N2151">
        <v>19.417475728155338</v>
      </c>
      <c r="O2151">
        <v>130.94999999999999</v>
      </c>
      <c r="P2151">
        <v>188.9</v>
      </c>
      <c r="Q2151">
        <v>118.5</v>
      </c>
      <c r="R2151" s="3" t="s">
        <v>470</v>
      </c>
      <c r="S2151">
        <v>130.94999999999999</v>
      </c>
      <c r="T2151" t="s">
        <v>468</v>
      </c>
    </row>
    <row r="2152" spans="1:20" x14ac:dyDescent="0.25">
      <c r="A2152">
        <v>318</v>
      </c>
      <c r="B2152">
        <v>515147</v>
      </c>
      <c r="C2152" t="s">
        <v>391</v>
      </c>
      <c r="D2152">
        <v>2020</v>
      </c>
      <c r="E2152">
        <v>121.3000030517578</v>
      </c>
      <c r="F2152">
        <v>1.53</v>
      </c>
      <c r="G2152" t="s">
        <v>465</v>
      </c>
      <c r="H2152">
        <v>40</v>
      </c>
      <c r="I2152">
        <v>16.60000038146973</v>
      </c>
      <c r="L2152" t="s">
        <v>469</v>
      </c>
      <c r="M2152">
        <v>26.143790849673199</v>
      </c>
      <c r="N2152">
        <v>10.849673451940999</v>
      </c>
      <c r="O2152">
        <v>130.94999999999999</v>
      </c>
      <c r="P2152">
        <v>188.9</v>
      </c>
      <c r="Q2152">
        <v>118.5</v>
      </c>
      <c r="R2152" s="3" t="s">
        <v>470</v>
      </c>
      <c r="S2152">
        <v>130.94999999999999</v>
      </c>
      <c r="T2152" t="s">
        <v>468</v>
      </c>
    </row>
    <row r="2153" spans="1:20" x14ac:dyDescent="0.25">
      <c r="A2153">
        <v>318</v>
      </c>
      <c r="B2153">
        <v>515147</v>
      </c>
      <c r="C2153" t="s">
        <v>391</v>
      </c>
      <c r="D2153">
        <v>2021</v>
      </c>
      <c r="E2153">
        <v>121.3000030517578</v>
      </c>
      <c r="F2153">
        <v>1.39</v>
      </c>
      <c r="G2153" t="s">
        <v>465</v>
      </c>
      <c r="H2153">
        <v>50.950000762939453</v>
      </c>
      <c r="I2153">
        <v>28.10000038146973</v>
      </c>
      <c r="L2153" t="s">
        <v>469</v>
      </c>
      <c r="M2153">
        <v>36.654676807870111</v>
      </c>
      <c r="N2153">
        <v>20.215827612568152</v>
      </c>
      <c r="O2153">
        <v>130.94999999999999</v>
      </c>
      <c r="P2153">
        <v>188.9</v>
      </c>
      <c r="Q2153">
        <v>118.5</v>
      </c>
      <c r="R2153" s="3" t="s">
        <v>470</v>
      </c>
      <c r="S2153">
        <v>130.94999999999999</v>
      </c>
      <c r="T2153" t="s">
        <v>468</v>
      </c>
    </row>
    <row r="2154" spans="1:20" x14ac:dyDescent="0.25">
      <c r="A2154">
        <v>318</v>
      </c>
      <c r="B2154">
        <v>515147</v>
      </c>
      <c r="C2154" t="s">
        <v>391</v>
      </c>
      <c r="D2154">
        <v>2022</v>
      </c>
      <c r="E2154">
        <v>121.3000030517578</v>
      </c>
      <c r="F2154">
        <v>2.2000000000000002</v>
      </c>
      <c r="G2154" t="s">
        <v>465</v>
      </c>
      <c r="H2154">
        <v>80.949996948242188</v>
      </c>
      <c r="I2154">
        <v>33.299999237060547</v>
      </c>
      <c r="L2154" t="s">
        <v>469</v>
      </c>
      <c r="M2154">
        <v>36.795453158291899</v>
      </c>
      <c r="N2154">
        <v>15.136363289572969</v>
      </c>
      <c r="O2154">
        <v>130.94999999999999</v>
      </c>
      <c r="P2154">
        <v>188.9</v>
      </c>
      <c r="Q2154">
        <v>118.5</v>
      </c>
      <c r="R2154" s="3" t="s">
        <v>470</v>
      </c>
      <c r="S2154">
        <v>130.94999999999999</v>
      </c>
      <c r="T2154" t="s">
        <v>468</v>
      </c>
    </row>
    <row r="2155" spans="1:20" x14ac:dyDescent="0.25">
      <c r="A2155">
        <v>318</v>
      </c>
      <c r="B2155">
        <v>515147</v>
      </c>
      <c r="C2155" t="s">
        <v>391</v>
      </c>
      <c r="D2155">
        <v>2023</v>
      </c>
      <c r="E2155">
        <v>121.3000030517578</v>
      </c>
      <c r="F2155">
        <v>5.01</v>
      </c>
      <c r="G2155" t="s">
        <v>465</v>
      </c>
      <c r="H2155">
        <v>160.5</v>
      </c>
      <c r="I2155">
        <v>55</v>
      </c>
      <c r="L2155" t="s">
        <v>469</v>
      </c>
      <c r="M2155">
        <v>32.035928143712567</v>
      </c>
      <c r="N2155">
        <v>10.97804391217565</v>
      </c>
      <c r="O2155">
        <v>130.94999999999999</v>
      </c>
      <c r="P2155">
        <v>188.9</v>
      </c>
      <c r="Q2155">
        <v>118.5</v>
      </c>
      <c r="R2155" s="3" t="s">
        <v>470</v>
      </c>
      <c r="S2155">
        <v>130.94999999999999</v>
      </c>
      <c r="T2155" t="s">
        <v>468</v>
      </c>
    </row>
    <row r="2156" spans="1:20" x14ac:dyDescent="0.25">
      <c r="A2156">
        <v>318</v>
      </c>
      <c r="B2156">
        <v>515147</v>
      </c>
      <c r="C2156" t="s">
        <v>391</v>
      </c>
      <c r="D2156">
        <v>2024</v>
      </c>
      <c r="E2156">
        <v>121.3000030517578</v>
      </c>
      <c r="F2156">
        <v>4.57</v>
      </c>
      <c r="G2156" t="s">
        <v>465</v>
      </c>
      <c r="H2156">
        <v>188.8999938964844</v>
      </c>
      <c r="I2156">
        <v>118.5</v>
      </c>
      <c r="L2156" t="s">
        <v>469</v>
      </c>
      <c r="M2156">
        <v>41.334790786976889</v>
      </c>
      <c r="N2156">
        <v>25.92997811816192</v>
      </c>
      <c r="O2156">
        <v>130.94999999999999</v>
      </c>
      <c r="P2156">
        <v>188.9</v>
      </c>
      <c r="Q2156">
        <v>118.5</v>
      </c>
      <c r="R2156" s="3" t="s">
        <v>470</v>
      </c>
      <c r="S2156">
        <v>130.94999999999999</v>
      </c>
      <c r="T2156" t="s">
        <v>468</v>
      </c>
    </row>
    <row r="2157" spans="1:20" x14ac:dyDescent="0.25">
      <c r="A2157">
        <v>318</v>
      </c>
      <c r="B2157">
        <v>515147</v>
      </c>
      <c r="C2157" t="s">
        <v>391</v>
      </c>
      <c r="D2157">
        <v>2025</v>
      </c>
      <c r="E2157">
        <v>121.3000030517578</v>
      </c>
      <c r="F2157">
        <v>3.5</v>
      </c>
      <c r="G2157" t="s">
        <v>465</v>
      </c>
      <c r="H2157">
        <v>154.6499938964844</v>
      </c>
      <c r="I2157">
        <v>84.010002136230469</v>
      </c>
      <c r="L2157" t="s">
        <v>469</v>
      </c>
      <c r="M2157">
        <v>44.185712541852688</v>
      </c>
      <c r="N2157">
        <v>24.002857753208701</v>
      </c>
      <c r="O2157">
        <v>130.94999999999999</v>
      </c>
      <c r="P2157">
        <v>188.9</v>
      </c>
      <c r="Q2157">
        <v>118.5</v>
      </c>
      <c r="R2157" s="3" t="s">
        <v>470</v>
      </c>
      <c r="S2157">
        <v>130.94999999999999</v>
      </c>
      <c r="T2157" t="s">
        <v>468</v>
      </c>
    </row>
    <row r="2158" spans="1:20" x14ac:dyDescent="0.25">
      <c r="A2158">
        <v>318</v>
      </c>
      <c r="B2158">
        <v>515147</v>
      </c>
      <c r="C2158" t="s">
        <v>391</v>
      </c>
      <c r="D2158">
        <v>2026</v>
      </c>
      <c r="E2158">
        <v>121.3000030517578</v>
      </c>
      <c r="F2158">
        <v>4.6100000000000003</v>
      </c>
      <c r="G2158" t="s">
        <v>465</v>
      </c>
      <c r="H2158">
        <v>134</v>
      </c>
      <c r="I2158">
        <v>70.400001525878906</v>
      </c>
      <c r="L2158" t="s">
        <v>469</v>
      </c>
      <c r="M2158">
        <v>29.067245119305859</v>
      </c>
      <c r="N2158">
        <v>15.27115000561365</v>
      </c>
      <c r="O2158">
        <v>130.94999999999999</v>
      </c>
      <c r="P2158">
        <v>188.9</v>
      </c>
      <c r="Q2158">
        <v>118.5</v>
      </c>
      <c r="R2158" s="3" t="s">
        <v>470</v>
      </c>
      <c r="S2158">
        <v>130.94999999999999</v>
      </c>
      <c r="T2158" t="s">
        <v>468</v>
      </c>
    </row>
    <row r="2159" spans="1:20" x14ac:dyDescent="0.25">
      <c r="A2159">
        <v>334</v>
      </c>
      <c r="B2159">
        <v>516003</v>
      </c>
      <c r="C2159" t="s">
        <v>393</v>
      </c>
      <c r="D2159">
        <v>2015</v>
      </c>
      <c r="E2159">
        <v>103.75</v>
      </c>
      <c r="F2159">
        <v>-1.08</v>
      </c>
      <c r="G2159" t="s">
        <v>465</v>
      </c>
      <c r="H2159">
        <v>70</v>
      </c>
      <c r="I2159">
        <v>26.60000038146973</v>
      </c>
      <c r="L2159" t="s">
        <v>471</v>
      </c>
      <c r="M2159">
        <v>-64.81481481481481</v>
      </c>
      <c r="N2159">
        <v>-24.629629982842339</v>
      </c>
      <c r="O2159">
        <v>275</v>
      </c>
      <c r="P2159">
        <v>369.8</v>
      </c>
      <c r="Q2159">
        <v>158.1</v>
      </c>
      <c r="R2159" s="3" t="s">
        <v>470</v>
      </c>
      <c r="S2159">
        <v>275</v>
      </c>
      <c r="T2159" t="s">
        <v>468</v>
      </c>
    </row>
    <row r="2160" spans="1:20" x14ac:dyDescent="0.25">
      <c r="A2160">
        <v>334</v>
      </c>
      <c r="B2160">
        <v>516003</v>
      </c>
      <c r="C2160" t="s">
        <v>393</v>
      </c>
      <c r="D2160">
        <v>2016</v>
      </c>
      <c r="E2160">
        <v>103.75</v>
      </c>
      <c r="F2160">
        <v>-12.71</v>
      </c>
      <c r="G2160" t="s">
        <v>465</v>
      </c>
      <c r="H2160">
        <v>154.3999938964844</v>
      </c>
      <c r="I2160">
        <v>38.049999237060547</v>
      </c>
      <c r="L2160" t="s">
        <v>471</v>
      </c>
      <c r="M2160">
        <v>-12.14791454732371</v>
      </c>
      <c r="N2160">
        <v>-2.9937056834823399</v>
      </c>
      <c r="O2160">
        <v>275</v>
      </c>
      <c r="P2160">
        <v>369.8</v>
      </c>
      <c r="Q2160">
        <v>158.1</v>
      </c>
      <c r="R2160" s="3" t="s">
        <v>470</v>
      </c>
      <c r="S2160">
        <v>275</v>
      </c>
      <c r="T2160" t="s">
        <v>468</v>
      </c>
    </row>
    <row r="2161" spans="1:20" x14ac:dyDescent="0.25">
      <c r="A2161">
        <v>334</v>
      </c>
      <c r="B2161">
        <v>516003</v>
      </c>
      <c r="C2161" t="s">
        <v>393</v>
      </c>
      <c r="D2161">
        <v>2017</v>
      </c>
      <c r="E2161">
        <v>103.75</v>
      </c>
      <c r="F2161">
        <v>-4.16</v>
      </c>
      <c r="G2161" t="s">
        <v>465</v>
      </c>
      <c r="H2161">
        <v>295</v>
      </c>
      <c r="I2161">
        <v>128.5</v>
      </c>
      <c r="L2161" t="s">
        <v>471</v>
      </c>
      <c r="M2161">
        <v>-70.913461538461533</v>
      </c>
      <c r="N2161">
        <v>-30.88942307692308</v>
      </c>
      <c r="O2161">
        <v>275</v>
      </c>
      <c r="P2161">
        <v>369.8</v>
      </c>
      <c r="Q2161">
        <v>158.1</v>
      </c>
      <c r="R2161" s="3" t="s">
        <v>470</v>
      </c>
      <c r="S2161">
        <v>275</v>
      </c>
      <c r="T2161" t="s">
        <v>468</v>
      </c>
    </row>
    <row r="2162" spans="1:20" x14ac:dyDescent="0.25">
      <c r="A2162">
        <v>334</v>
      </c>
      <c r="B2162">
        <v>516003</v>
      </c>
      <c r="C2162" t="s">
        <v>393</v>
      </c>
      <c r="D2162">
        <v>2018</v>
      </c>
      <c r="E2162">
        <v>103.75</v>
      </c>
      <c r="F2162">
        <v>-10.51</v>
      </c>
      <c r="G2162" t="s">
        <v>465</v>
      </c>
      <c r="H2162">
        <v>197</v>
      </c>
      <c r="I2162">
        <v>71</v>
      </c>
      <c r="L2162" t="s">
        <v>471</v>
      </c>
      <c r="M2162">
        <v>-18.744053282588009</v>
      </c>
      <c r="N2162">
        <v>-6.7554709800190293</v>
      </c>
      <c r="O2162">
        <v>275</v>
      </c>
      <c r="P2162">
        <v>369.8</v>
      </c>
      <c r="Q2162">
        <v>158.1</v>
      </c>
      <c r="R2162" s="3" t="s">
        <v>470</v>
      </c>
      <c r="S2162">
        <v>275</v>
      </c>
      <c r="T2162" t="s">
        <v>468</v>
      </c>
    </row>
    <row r="2163" spans="1:20" x14ac:dyDescent="0.25">
      <c r="A2163">
        <v>334</v>
      </c>
      <c r="B2163">
        <v>516003</v>
      </c>
      <c r="C2163" t="s">
        <v>393</v>
      </c>
      <c r="D2163">
        <v>2019</v>
      </c>
      <c r="E2163">
        <v>103.75</v>
      </c>
      <c r="F2163">
        <v>1.52</v>
      </c>
      <c r="G2163" t="s">
        <v>465</v>
      </c>
      <c r="H2163">
        <v>102.8000030517578</v>
      </c>
      <c r="I2163">
        <v>45</v>
      </c>
      <c r="L2163" t="s">
        <v>469</v>
      </c>
      <c r="M2163">
        <v>67.631580955103814</v>
      </c>
      <c r="N2163">
        <v>29.60526315789474</v>
      </c>
      <c r="O2163">
        <v>275</v>
      </c>
      <c r="P2163">
        <v>369.8</v>
      </c>
      <c r="Q2163">
        <v>158.1</v>
      </c>
      <c r="R2163" s="3" t="s">
        <v>470</v>
      </c>
      <c r="S2163">
        <v>275</v>
      </c>
      <c r="T2163" t="s">
        <v>468</v>
      </c>
    </row>
    <row r="2164" spans="1:20" x14ac:dyDescent="0.25">
      <c r="A2164">
        <v>334</v>
      </c>
      <c r="B2164">
        <v>516003</v>
      </c>
      <c r="C2164" t="s">
        <v>393</v>
      </c>
      <c r="D2164">
        <v>2020</v>
      </c>
      <c r="E2164">
        <v>103.75</v>
      </c>
      <c r="F2164">
        <v>-6.32</v>
      </c>
      <c r="G2164" t="s">
        <v>465</v>
      </c>
      <c r="H2164">
        <v>63</v>
      </c>
      <c r="I2164">
        <v>20</v>
      </c>
      <c r="L2164" t="s">
        <v>471</v>
      </c>
      <c r="M2164">
        <v>-9.9683544303797458</v>
      </c>
      <c r="N2164">
        <v>-3.164556962025316</v>
      </c>
      <c r="O2164">
        <v>275</v>
      </c>
      <c r="P2164">
        <v>369.8</v>
      </c>
      <c r="Q2164">
        <v>158.1</v>
      </c>
      <c r="R2164" s="3" t="s">
        <v>470</v>
      </c>
      <c r="S2164">
        <v>275</v>
      </c>
      <c r="T2164" t="s">
        <v>468</v>
      </c>
    </row>
    <row r="2165" spans="1:20" x14ac:dyDescent="0.25">
      <c r="A2165">
        <v>334</v>
      </c>
      <c r="B2165">
        <v>516003</v>
      </c>
      <c r="C2165" t="s">
        <v>393</v>
      </c>
      <c r="D2165">
        <v>2021</v>
      </c>
      <c r="E2165">
        <v>103.75</v>
      </c>
      <c r="F2165">
        <v>-3.79</v>
      </c>
      <c r="G2165" t="s">
        <v>465</v>
      </c>
      <c r="H2165">
        <v>155.30000305175781</v>
      </c>
      <c r="I2165">
        <v>42.25</v>
      </c>
      <c r="L2165" t="s">
        <v>471</v>
      </c>
      <c r="M2165">
        <v>-40.97625410336618</v>
      </c>
      <c r="N2165">
        <v>-11.14775725593667</v>
      </c>
      <c r="O2165">
        <v>275</v>
      </c>
      <c r="P2165">
        <v>369.8</v>
      </c>
      <c r="Q2165">
        <v>158.1</v>
      </c>
      <c r="R2165" s="3" t="s">
        <v>470</v>
      </c>
      <c r="S2165">
        <v>275</v>
      </c>
      <c r="T2165" t="s">
        <v>468</v>
      </c>
    </row>
    <row r="2166" spans="1:20" x14ac:dyDescent="0.25">
      <c r="A2166">
        <v>334</v>
      </c>
      <c r="B2166">
        <v>516003</v>
      </c>
      <c r="C2166" t="s">
        <v>393</v>
      </c>
      <c r="D2166">
        <v>2022</v>
      </c>
      <c r="E2166">
        <v>103.75</v>
      </c>
      <c r="F2166">
        <v>-9.77</v>
      </c>
      <c r="G2166" t="s">
        <v>465</v>
      </c>
      <c r="H2166">
        <v>193</v>
      </c>
      <c r="I2166">
        <v>88.75</v>
      </c>
      <c r="L2166" t="s">
        <v>471</v>
      </c>
      <c r="M2166">
        <v>-19.75435005117707</v>
      </c>
      <c r="N2166">
        <v>-9.0839303991811668</v>
      </c>
      <c r="O2166">
        <v>275</v>
      </c>
      <c r="P2166">
        <v>369.8</v>
      </c>
      <c r="Q2166">
        <v>158.1</v>
      </c>
      <c r="R2166" s="3" t="s">
        <v>470</v>
      </c>
      <c r="S2166">
        <v>275</v>
      </c>
      <c r="T2166" t="s">
        <v>468</v>
      </c>
    </row>
    <row r="2167" spans="1:20" x14ac:dyDescent="0.25">
      <c r="A2167">
        <v>334</v>
      </c>
      <c r="B2167">
        <v>516003</v>
      </c>
      <c r="C2167" t="s">
        <v>393</v>
      </c>
      <c r="D2167">
        <v>2023</v>
      </c>
      <c r="E2167">
        <v>103.75</v>
      </c>
      <c r="F2167">
        <v>6.73</v>
      </c>
      <c r="G2167" t="s">
        <v>465</v>
      </c>
      <c r="H2167">
        <v>250</v>
      </c>
      <c r="I2167">
        <v>101</v>
      </c>
      <c r="L2167" t="s">
        <v>469</v>
      </c>
      <c r="M2167">
        <v>37.147102526002968</v>
      </c>
      <c r="N2167">
        <v>15.007429420505201</v>
      </c>
      <c r="O2167">
        <v>275</v>
      </c>
      <c r="P2167">
        <v>369.8</v>
      </c>
      <c r="Q2167">
        <v>158.1</v>
      </c>
      <c r="R2167" s="3" t="s">
        <v>470</v>
      </c>
      <c r="S2167">
        <v>275</v>
      </c>
      <c r="T2167" t="s">
        <v>468</v>
      </c>
    </row>
    <row r="2168" spans="1:20" x14ac:dyDescent="0.25">
      <c r="A2168">
        <v>334</v>
      </c>
      <c r="B2168">
        <v>516003</v>
      </c>
      <c r="C2168" t="s">
        <v>393</v>
      </c>
      <c r="D2168">
        <v>2024</v>
      </c>
      <c r="E2168">
        <v>103.75</v>
      </c>
      <c r="F2168">
        <v>1.02</v>
      </c>
      <c r="G2168" t="s">
        <v>465</v>
      </c>
      <c r="H2168">
        <v>369.79998779296881</v>
      </c>
      <c r="I2168">
        <v>158.1000061035156</v>
      </c>
      <c r="L2168" t="s">
        <v>469</v>
      </c>
      <c r="M2168">
        <v>362.54900764016548</v>
      </c>
      <c r="N2168">
        <v>155.0000059838388</v>
      </c>
      <c r="O2168">
        <v>275</v>
      </c>
      <c r="P2168">
        <v>369.8</v>
      </c>
      <c r="Q2168">
        <v>158.1</v>
      </c>
      <c r="R2168" s="3" t="s">
        <v>470</v>
      </c>
      <c r="S2168">
        <v>275</v>
      </c>
      <c r="T2168" t="s">
        <v>468</v>
      </c>
    </row>
    <row r="2169" spans="1:20" x14ac:dyDescent="0.25">
      <c r="A2169">
        <v>334</v>
      </c>
      <c r="B2169">
        <v>516003</v>
      </c>
      <c r="C2169" t="s">
        <v>393</v>
      </c>
      <c r="D2169">
        <v>2025</v>
      </c>
      <c r="E2169">
        <v>103.75</v>
      </c>
      <c r="F2169">
        <v>7.88</v>
      </c>
      <c r="G2169" t="s">
        <v>465</v>
      </c>
      <c r="H2169">
        <v>269.95001220703119</v>
      </c>
      <c r="I2169">
        <v>150.5</v>
      </c>
      <c r="L2169" t="s">
        <v>469</v>
      </c>
      <c r="M2169">
        <v>34.257615762313613</v>
      </c>
      <c r="N2169">
        <v>19.098984771573601</v>
      </c>
      <c r="O2169">
        <v>275</v>
      </c>
      <c r="P2169">
        <v>369.8</v>
      </c>
      <c r="Q2169">
        <v>158.1</v>
      </c>
      <c r="R2169" s="3" t="s">
        <v>470</v>
      </c>
      <c r="S2169">
        <v>275</v>
      </c>
      <c r="T2169" t="s">
        <v>468</v>
      </c>
    </row>
    <row r="2170" spans="1:20" x14ac:dyDescent="0.25">
      <c r="A2170">
        <v>334</v>
      </c>
      <c r="B2170">
        <v>516003</v>
      </c>
      <c r="C2170" t="s">
        <v>393</v>
      </c>
      <c r="D2170">
        <v>2026</v>
      </c>
      <c r="E2170">
        <v>103.75</v>
      </c>
      <c r="F2170">
        <v>2.71</v>
      </c>
      <c r="G2170" t="s">
        <v>465</v>
      </c>
      <c r="H2170">
        <v>188.3999938964844</v>
      </c>
      <c r="I2170">
        <v>102.65000152587891</v>
      </c>
      <c r="L2170" t="s">
        <v>469</v>
      </c>
      <c r="M2170">
        <v>69.520292950732255</v>
      </c>
      <c r="N2170">
        <v>37.878229345342767</v>
      </c>
      <c r="O2170">
        <v>275</v>
      </c>
      <c r="P2170">
        <v>369.8</v>
      </c>
      <c r="Q2170">
        <v>158.1</v>
      </c>
      <c r="R2170" s="3" t="s">
        <v>470</v>
      </c>
      <c r="S2170">
        <v>275</v>
      </c>
      <c r="T2170" t="s">
        <v>468</v>
      </c>
    </row>
    <row r="2171" spans="1:20" x14ac:dyDescent="0.25">
      <c r="A2171">
        <v>335</v>
      </c>
      <c r="B2171">
        <v>516016</v>
      </c>
      <c r="C2171" t="s">
        <v>395</v>
      </c>
      <c r="D2171">
        <v>2015</v>
      </c>
      <c r="E2171">
        <v>135.3500061035156</v>
      </c>
      <c r="F2171">
        <v>7.09</v>
      </c>
      <c r="G2171" t="s">
        <v>465</v>
      </c>
      <c r="H2171">
        <v>55.950000762939453</v>
      </c>
      <c r="I2171">
        <v>29</v>
      </c>
      <c r="L2171" t="s">
        <v>469</v>
      </c>
      <c r="M2171">
        <v>7.8913964404710093</v>
      </c>
      <c r="N2171">
        <v>4.090267983074753</v>
      </c>
      <c r="O2171">
        <v>67</v>
      </c>
      <c r="P2171">
        <v>83.85</v>
      </c>
      <c r="Q2171">
        <v>53.1</v>
      </c>
      <c r="R2171" s="3" t="s">
        <v>470</v>
      </c>
      <c r="S2171">
        <v>67</v>
      </c>
      <c r="T2171" t="s">
        <v>468</v>
      </c>
    </row>
    <row r="2172" spans="1:20" x14ac:dyDescent="0.25">
      <c r="A2172">
        <v>335</v>
      </c>
      <c r="B2172">
        <v>516016</v>
      </c>
      <c r="C2172" t="s">
        <v>395</v>
      </c>
      <c r="D2172">
        <v>2016</v>
      </c>
      <c r="E2172">
        <v>135.3500061035156</v>
      </c>
      <c r="F2172">
        <v>6.27</v>
      </c>
      <c r="G2172" t="s">
        <v>465</v>
      </c>
      <c r="H2172">
        <v>115.9499969482422</v>
      </c>
      <c r="I2172">
        <v>23.54999923706055</v>
      </c>
      <c r="L2172" t="s">
        <v>469</v>
      </c>
      <c r="M2172">
        <v>18.492822479783449</v>
      </c>
      <c r="N2172">
        <v>3.755980739563086</v>
      </c>
      <c r="O2172">
        <v>67</v>
      </c>
      <c r="P2172">
        <v>83.85</v>
      </c>
      <c r="Q2172">
        <v>53.1</v>
      </c>
      <c r="R2172" s="3" t="s">
        <v>470</v>
      </c>
      <c r="S2172">
        <v>67</v>
      </c>
      <c r="T2172" t="s">
        <v>468</v>
      </c>
    </row>
    <row r="2173" spans="1:20" x14ac:dyDescent="0.25">
      <c r="A2173">
        <v>335</v>
      </c>
      <c r="B2173">
        <v>516016</v>
      </c>
      <c r="C2173" t="s">
        <v>395</v>
      </c>
      <c r="D2173">
        <v>2017</v>
      </c>
      <c r="E2173">
        <v>135.3500061035156</v>
      </c>
      <c r="F2173">
        <v>18.16</v>
      </c>
      <c r="G2173" t="s">
        <v>465</v>
      </c>
      <c r="H2173">
        <v>219</v>
      </c>
      <c r="I2173">
        <v>101</v>
      </c>
      <c r="L2173" t="s">
        <v>469</v>
      </c>
      <c r="M2173">
        <v>12.059471365638769</v>
      </c>
      <c r="N2173">
        <v>5.5616740088105727</v>
      </c>
      <c r="O2173">
        <v>67</v>
      </c>
      <c r="P2173">
        <v>83.85</v>
      </c>
      <c r="Q2173">
        <v>53.1</v>
      </c>
      <c r="R2173" s="3" t="s">
        <v>470</v>
      </c>
      <c r="S2173">
        <v>67</v>
      </c>
      <c r="T2173" t="s">
        <v>468</v>
      </c>
    </row>
    <row r="2174" spans="1:20" x14ac:dyDescent="0.25">
      <c r="A2174">
        <v>335</v>
      </c>
      <c r="B2174">
        <v>516016</v>
      </c>
      <c r="C2174" t="s">
        <v>395</v>
      </c>
      <c r="D2174">
        <v>2018</v>
      </c>
      <c r="E2174">
        <v>135.3500061035156</v>
      </c>
      <c r="F2174">
        <v>22.55</v>
      </c>
      <c r="G2174" t="s">
        <v>465</v>
      </c>
      <c r="H2174">
        <v>234</v>
      </c>
      <c r="I2174">
        <v>120.5500030517578</v>
      </c>
      <c r="L2174" t="s">
        <v>469</v>
      </c>
      <c r="M2174">
        <v>10.37694013303769</v>
      </c>
      <c r="N2174">
        <v>5.34589813976753</v>
      </c>
      <c r="O2174">
        <v>67</v>
      </c>
      <c r="P2174">
        <v>83.85</v>
      </c>
      <c r="Q2174">
        <v>53.1</v>
      </c>
      <c r="R2174" s="3" t="s">
        <v>470</v>
      </c>
      <c r="S2174">
        <v>67</v>
      </c>
      <c r="T2174" t="s">
        <v>468</v>
      </c>
    </row>
    <row r="2175" spans="1:20" x14ac:dyDescent="0.25">
      <c r="A2175">
        <v>335</v>
      </c>
      <c r="B2175">
        <v>516016</v>
      </c>
      <c r="C2175" t="s">
        <v>395</v>
      </c>
      <c r="D2175">
        <v>2019</v>
      </c>
      <c r="E2175">
        <v>135.3500061035156</v>
      </c>
      <c r="F2175">
        <v>33.96</v>
      </c>
      <c r="G2175" t="s">
        <v>465</v>
      </c>
      <c r="H2175">
        <v>172.25</v>
      </c>
      <c r="I2175">
        <v>90.199996948242188</v>
      </c>
      <c r="L2175" t="s">
        <v>469</v>
      </c>
      <c r="M2175">
        <v>5.0721436984687864</v>
      </c>
      <c r="N2175">
        <v>2.6560658700895821</v>
      </c>
      <c r="O2175">
        <v>67</v>
      </c>
      <c r="P2175">
        <v>83.85</v>
      </c>
      <c r="Q2175">
        <v>53.1</v>
      </c>
      <c r="R2175" s="3" t="s">
        <v>470</v>
      </c>
      <c r="S2175">
        <v>67</v>
      </c>
      <c r="T2175" t="s">
        <v>468</v>
      </c>
    </row>
    <row r="2176" spans="1:20" x14ac:dyDescent="0.25">
      <c r="A2176">
        <v>335</v>
      </c>
      <c r="B2176">
        <v>516016</v>
      </c>
      <c r="C2176" t="s">
        <v>395</v>
      </c>
      <c r="D2176">
        <v>2020</v>
      </c>
      <c r="E2176">
        <v>135.3500061035156</v>
      </c>
      <c r="F2176">
        <v>23.12</v>
      </c>
      <c r="G2176" t="s">
        <v>465</v>
      </c>
      <c r="H2176">
        <v>128</v>
      </c>
      <c r="I2176">
        <v>55.5</v>
      </c>
      <c r="L2176" t="s">
        <v>469</v>
      </c>
      <c r="M2176">
        <v>5.5363321799307954</v>
      </c>
      <c r="N2176">
        <v>2.4005190311418678</v>
      </c>
      <c r="O2176">
        <v>67</v>
      </c>
      <c r="P2176">
        <v>83.85</v>
      </c>
      <c r="Q2176">
        <v>53.1</v>
      </c>
      <c r="R2176" s="3" t="s">
        <v>470</v>
      </c>
      <c r="S2176">
        <v>67</v>
      </c>
      <c r="T2176" t="s">
        <v>468</v>
      </c>
    </row>
    <row r="2177" spans="1:20" x14ac:dyDescent="0.25">
      <c r="A2177">
        <v>335</v>
      </c>
      <c r="B2177">
        <v>516016</v>
      </c>
      <c r="C2177" t="s">
        <v>395</v>
      </c>
      <c r="D2177">
        <v>2021</v>
      </c>
      <c r="E2177">
        <v>135.3500061035156</v>
      </c>
      <c r="F2177">
        <v>6.35</v>
      </c>
      <c r="G2177" t="s">
        <v>465</v>
      </c>
      <c r="H2177">
        <v>152</v>
      </c>
      <c r="I2177">
        <v>72.900001525878906</v>
      </c>
      <c r="L2177" t="s">
        <v>469</v>
      </c>
      <c r="M2177">
        <v>23.937007874015752</v>
      </c>
      <c r="N2177">
        <v>11.48031520092581</v>
      </c>
      <c r="O2177">
        <v>67</v>
      </c>
      <c r="P2177">
        <v>83.85</v>
      </c>
      <c r="Q2177">
        <v>53.1</v>
      </c>
      <c r="R2177" s="3" t="s">
        <v>470</v>
      </c>
      <c r="S2177">
        <v>67</v>
      </c>
      <c r="T2177" t="s">
        <v>468</v>
      </c>
    </row>
    <row r="2178" spans="1:20" x14ac:dyDescent="0.25">
      <c r="A2178">
        <v>335</v>
      </c>
      <c r="B2178">
        <v>516016</v>
      </c>
      <c r="C2178" t="s">
        <v>395</v>
      </c>
      <c r="D2178">
        <v>2022</v>
      </c>
      <c r="E2178">
        <v>135.3500061035156</v>
      </c>
      <c r="F2178">
        <v>7.2</v>
      </c>
      <c r="G2178" t="s">
        <v>465</v>
      </c>
      <c r="H2178">
        <v>180</v>
      </c>
      <c r="I2178">
        <v>79.099998474121094</v>
      </c>
      <c r="L2178" t="s">
        <v>469</v>
      </c>
      <c r="M2178">
        <v>25</v>
      </c>
      <c r="N2178">
        <v>10.98611089918349</v>
      </c>
      <c r="O2178">
        <v>67</v>
      </c>
      <c r="P2178">
        <v>83.85</v>
      </c>
      <c r="Q2178">
        <v>53.1</v>
      </c>
      <c r="R2178" s="3" t="s">
        <v>470</v>
      </c>
      <c r="S2178">
        <v>67</v>
      </c>
      <c r="T2178" t="s">
        <v>468</v>
      </c>
    </row>
    <row r="2179" spans="1:20" x14ac:dyDescent="0.25">
      <c r="A2179">
        <v>335</v>
      </c>
      <c r="B2179">
        <v>516016</v>
      </c>
      <c r="C2179" t="s">
        <v>395</v>
      </c>
      <c r="D2179">
        <v>2023</v>
      </c>
      <c r="E2179">
        <v>135.3500061035156</v>
      </c>
      <c r="F2179">
        <v>53.14</v>
      </c>
      <c r="G2179" t="s">
        <v>465</v>
      </c>
      <c r="H2179">
        <v>318.45001220703119</v>
      </c>
      <c r="I2179">
        <v>129.75</v>
      </c>
      <c r="L2179" t="s">
        <v>469</v>
      </c>
      <c r="M2179">
        <v>5.9926611254616331</v>
      </c>
      <c r="N2179">
        <v>2.441663530297328</v>
      </c>
      <c r="O2179">
        <v>67</v>
      </c>
      <c r="P2179">
        <v>83.85</v>
      </c>
      <c r="Q2179">
        <v>53.1</v>
      </c>
      <c r="R2179" s="3" t="s">
        <v>470</v>
      </c>
      <c r="S2179">
        <v>67</v>
      </c>
      <c r="T2179" t="s">
        <v>468</v>
      </c>
    </row>
    <row r="2180" spans="1:20" x14ac:dyDescent="0.25">
      <c r="A2180">
        <v>335</v>
      </c>
      <c r="B2180">
        <v>516016</v>
      </c>
      <c r="C2180" t="s">
        <v>395</v>
      </c>
      <c r="D2180">
        <v>2024</v>
      </c>
      <c r="E2180">
        <v>135.3500061035156</v>
      </c>
      <c r="F2180">
        <v>63.24</v>
      </c>
      <c r="G2180" t="s">
        <v>465</v>
      </c>
      <c r="H2180">
        <v>347.20001220703119</v>
      </c>
      <c r="I2180">
        <v>165.05000305175781</v>
      </c>
      <c r="L2180" t="s">
        <v>469</v>
      </c>
      <c r="M2180">
        <v>5.4901962714584309</v>
      </c>
      <c r="N2180">
        <v>2.6098988464857338</v>
      </c>
      <c r="O2180">
        <v>67</v>
      </c>
      <c r="P2180">
        <v>83.85</v>
      </c>
      <c r="Q2180">
        <v>53.1</v>
      </c>
      <c r="R2180" s="3" t="s">
        <v>470</v>
      </c>
      <c r="S2180">
        <v>67</v>
      </c>
      <c r="T2180" t="s">
        <v>468</v>
      </c>
    </row>
    <row r="2181" spans="1:20" x14ac:dyDescent="0.25">
      <c r="A2181">
        <v>335</v>
      </c>
      <c r="B2181">
        <v>516016</v>
      </c>
      <c r="C2181" t="s">
        <v>395</v>
      </c>
      <c r="D2181">
        <v>2025</v>
      </c>
      <c r="E2181">
        <v>135.3500061035156</v>
      </c>
      <c r="F2181">
        <v>36.6</v>
      </c>
      <c r="G2181" t="s">
        <v>465</v>
      </c>
      <c r="H2181">
        <v>268</v>
      </c>
      <c r="I2181">
        <v>165</v>
      </c>
      <c r="L2181" t="s">
        <v>469</v>
      </c>
      <c r="M2181">
        <v>7.3224043715846996</v>
      </c>
      <c r="N2181">
        <v>4.5081967213114753</v>
      </c>
      <c r="O2181">
        <v>67</v>
      </c>
      <c r="P2181">
        <v>83.85</v>
      </c>
      <c r="Q2181">
        <v>53.1</v>
      </c>
      <c r="R2181" s="3" t="s">
        <v>470</v>
      </c>
      <c r="S2181">
        <v>67</v>
      </c>
      <c r="T2181" t="s">
        <v>468</v>
      </c>
    </row>
    <row r="2182" spans="1:20" x14ac:dyDescent="0.25">
      <c r="A2182">
        <v>335</v>
      </c>
      <c r="B2182">
        <v>516016</v>
      </c>
      <c r="C2182" t="s">
        <v>395</v>
      </c>
      <c r="D2182">
        <v>2026</v>
      </c>
      <c r="E2182">
        <v>135.3500061035156</v>
      </c>
      <c r="F2182">
        <v>4.68</v>
      </c>
      <c r="G2182" t="s">
        <v>465</v>
      </c>
      <c r="H2182">
        <v>185</v>
      </c>
      <c r="I2182">
        <v>123.0500030517578</v>
      </c>
      <c r="L2182" t="s">
        <v>469</v>
      </c>
      <c r="M2182">
        <v>39.529914529914542</v>
      </c>
      <c r="N2182">
        <v>26.292735694820049</v>
      </c>
      <c r="O2182">
        <v>67</v>
      </c>
      <c r="P2182">
        <v>83.85</v>
      </c>
      <c r="Q2182">
        <v>53.1</v>
      </c>
      <c r="R2182" s="3" t="s">
        <v>470</v>
      </c>
      <c r="S2182">
        <v>67</v>
      </c>
      <c r="T2182" t="s">
        <v>468</v>
      </c>
    </row>
    <row r="2183" spans="1:20" x14ac:dyDescent="0.25">
      <c r="A2183">
        <v>336</v>
      </c>
      <c r="B2183">
        <v>516020</v>
      </c>
      <c r="C2183" t="s">
        <v>397</v>
      </c>
      <c r="D2183">
        <v>2015</v>
      </c>
      <c r="E2183">
        <v>3.7999999523162842</v>
      </c>
      <c r="F2183">
        <v>2.13</v>
      </c>
      <c r="G2183" t="s">
        <v>465</v>
      </c>
      <c r="H2183">
        <v>4.3899998664855957</v>
      </c>
      <c r="I2183">
        <v>1.120000004768372</v>
      </c>
      <c r="L2183" t="s">
        <v>469</v>
      </c>
      <c r="M2183">
        <v>2.061032801166947</v>
      </c>
      <c r="N2183">
        <v>0.52582159848280374</v>
      </c>
      <c r="O2183">
        <v>5.79</v>
      </c>
      <c r="P2183">
        <v>8.61</v>
      </c>
      <c r="Q2183">
        <v>3.63</v>
      </c>
      <c r="R2183" s="3" t="s">
        <v>470</v>
      </c>
      <c r="S2183">
        <v>5.79</v>
      </c>
      <c r="T2183" t="s">
        <v>468</v>
      </c>
    </row>
    <row r="2184" spans="1:20" x14ac:dyDescent="0.25">
      <c r="A2184">
        <v>336</v>
      </c>
      <c r="B2184">
        <v>516020</v>
      </c>
      <c r="C2184" t="s">
        <v>397</v>
      </c>
      <c r="D2184">
        <v>2016</v>
      </c>
      <c r="E2184">
        <v>3.7999999523162842</v>
      </c>
      <c r="F2184">
        <v>-0.91</v>
      </c>
      <c r="G2184" t="s">
        <v>465</v>
      </c>
      <c r="H2184">
        <v>2.309999942779541</v>
      </c>
      <c r="I2184">
        <v>1.120000004768372</v>
      </c>
      <c r="L2184" t="s">
        <v>471</v>
      </c>
      <c r="M2184">
        <v>-2.5384614755819128</v>
      </c>
      <c r="N2184">
        <v>-1.2307692360092</v>
      </c>
      <c r="O2184">
        <v>5.79</v>
      </c>
      <c r="P2184">
        <v>8.61</v>
      </c>
      <c r="Q2184">
        <v>3.63</v>
      </c>
      <c r="R2184" s="3" t="s">
        <v>470</v>
      </c>
      <c r="S2184">
        <v>5.79</v>
      </c>
      <c r="T2184" t="s">
        <v>468</v>
      </c>
    </row>
    <row r="2185" spans="1:20" x14ac:dyDescent="0.25">
      <c r="A2185">
        <v>336</v>
      </c>
      <c r="B2185">
        <v>516020</v>
      </c>
      <c r="C2185" t="s">
        <v>397</v>
      </c>
      <c r="D2185">
        <v>2017</v>
      </c>
      <c r="E2185">
        <v>3.7999999523162842</v>
      </c>
      <c r="F2185">
        <v>-1</v>
      </c>
      <c r="G2185" t="s">
        <v>465</v>
      </c>
      <c r="H2185">
        <v>7.5500001907348633</v>
      </c>
      <c r="I2185">
        <v>1.320000052452087</v>
      </c>
      <c r="L2185" t="s">
        <v>471</v>
      </c>
      <c r="M2185">
        <v>-7.5500001907348633</v>
      </c>
      <c r="N2185">
        <v>-1.320000052452087</v>
      </c>
      <c r="O2185">
        <v>5.79</v>
      </c>
      <c r="P2185">
        <v>8.61</v>
      </c>
      <c r="Q2185">
        <v>3.63</v>
      </c>
      <c r="R2185" s="3" t="s">
        <v>470</v>
      </c>
      <c r="S2185">
        <v>5.79</v>
      </c>
      <c r="T2185" t="s">
        <v>468</v>
      </c>
    </row>
    <row r="2186" spans="1:20" x14ac:dyDescent="0.25">
      <c r="A2186">
        <v>336</v>
      </c>
      <c r="B2186">
        <v>516020</v>
      </c>
      <c r="C2186" t="s">
        <v>397</v>
      </c>
      <c r="D2186">
        <v>2018</v>
      </c>
      <c r="E2186">
        <v>3.7999999523162842</v>
      </c>
      <c r="F2186">
        <v>-3.19</v>
      </c>
      <c r="G2186" t="s">
        <v>465</v>
      </c>
      <c r="H2186">
        <v>8.3999996185302734</v>
      </c>
      <c r="I2186">
        <v>2.660000085830688</v>
      </c>
      <c r="L2186" t="s">
        <v>471</v>
      </c>
      <c r="M2186">
        <v>-2.6332287205424061</v>
      </c>
      <c r="N2186">
        <v>-0.83385582627921251</v>
      </c>
      <c r="O2186">
        <v>5.79</v>
      </c>
      <c r="P2186">
        <v>8.61</v>
      </c>
      <c r="Q2186">
        <v>3.63</v>
      </c>
      <c r="R2186" s="3" t="s">
        <v>470</v>
      </c>
      <c r="S2186">
        <v>5.79</v>
      </c>
      <c r="T2186" t="s">
        <v>468</v>
      </c>
    </row>
    <row r="2187" spans="1:20" x14ac:dyDescent="0.25">
      <c r="A2187">
        <v>336</v>
      </c>
      <c r="B2187">
        <v>516020</v>
      </c>
      <c r="C2187" t="s">
        <v>397</v>
      </c>
      <c r="D2187">
        <v>2019</v>
      </c>
      <c r="E2187">
        <v>3.7999999523162842</v>
      </c>
      <c r="F2187">
        <v>-5.18</v>
      </c>
      <c r="G2187" t="s">
        <v>465</v>
      </c>
      <c r="H2187">
        <v>2.8299999237060551</v>
      </c>
      <c r="I2187">
        <v>2.5</v>
      </c>
      <c r="L2187" t="s">
        <v>471</v>
      </c>
      <c r="M2187">
        <v>-0.54633203160348554</v>
      </c>
      <c r="N2187">
        <v>-0.48262548262548272</v>
      </c>
      <c r="O2187">
        <v>5.79</v>
      </c>
      <c r="P2187">
        <v>8.61</v>
      </c>
      <c r="Q2187">
        <v>3.63</v>
      </c>
      <c r="R2187" s="3" t="s">
        <v>470</v>
      </c>
      <c r="S2187">
        <v>5.79</v>
      </c>
      <c r="T2187" t="s">
        <v>468</v>
      </c>
    </row>
    <row r="2188" spans="1:20" x14ac:dyDescent="0.25">
      <c r="A2188">
        <v>336</v>
      </c>
      <c r="B2188">
        <v>516020</v>
      </c>
      <c r="C2188" t="s">
        <v>397</v>
      </c>
      <c r="D2188">
        <v>2020</v>
      </c>
      <c r="E2188">
        <v>3.7999999523162842</v>
      </c>
      <c r="F2188">
        <v>-0.96</v>
      </c>
      <c r="G2188" t="s">
        <v>465</v>
      </c>
      <c r="H2188">
        <v>2.5</v>
      </c>
      <c r="L2188" t="s">
        <v>471</v>
      </c>
      <c r="M2188">
        <v>-2.604166666666667</v>
      </c>
      <c r="O2188">
        <v>5.79</v>
      </c>
      <c r="P2188">
        <v>8.61</v>
      </c>
      <c r="Q2188">
        <v>3.63</v>
      </c>
      <c r="R2188" s="3" t="s">
        <v>470</v>
      </c>
      <c r="S2188">
        <v>5.79</v>
      </c>
      <c r="T2188" t="s">
        <v>468</v>
      </c>
    </row>
    <row r="2189" spans="1:20" x14ac:dyDescent="0.25">
      <c r="A2189">
        <v>336</v>
      </c>
      <c r="B2189">
        <v>516020</v>
      </c>
      <c r="C2189" t="s">
        <v>397</v>
      </c>
      <c r="D2189">
        <v>2021</v>
      </c>
      <c r="E2189">
        <v>3.7999999523162842</v>
      </c>
      <c r="F2189">
        <v>-0.76</v>
      </c>
      <c r="G2189" t="s">
        <v>465</v>
      </c>
      <c r="H2189">
        <v>6.119999885559082</v>
      </c>
      <c r="I2189">
        <v>1.120000004768372</v>
      </c>
      <c r="L2189" t="s">
        <v>471</v>
      </c>
      <c r="M2189">
        <v>-8.0526314283672136</v>
      </c>
      <c r="N2189">
        <v>-1.47368421680049</v>
      </c>
      <c r="O2189">
        <v>5.79</v>
      </c>
      <c r="P2189">
        <v>8.61</v>
      </c>
      <c r="Q2189">
        <v>3.63</v>
      </c>
      <c r="R2189" s="3" t="s">
        <v>470</v>
      </c>
      <c r="S2189">
        <v>5.79</v>
      </c>
      <c r="T2189" t="s">
        <v>468</v>
      </c>
    </row>
    <row r="2190" spans="1:20" x14ac:dyDescent="0.25">
      <c r="A2190">
        <v>336</v>
      </c>
      <c r="B2190">
        <v>516020</v>
      </c>
      <c r="C2190" t="s">
        <v>397</v>
      </c>
      <c r="D2190">
        <v>2022</v>
      </c>
      <c r="E2190">
        <v>3.7999999523162842</v>
      </c>
      <c r="F2190">
        <v>-0.83</v>
      </c>
      <c r="G2190" t="s">
        <v>465</v>
      </c>
      <c r="H2190">
        <v>5.7699999809265137</v>
      </c>
      <c r="I2190">
        <v>2.5199999809265141</v>
      </c>
      <c r="L2190" t="s">
        <v>471</v>
      </c>
      <c r="M2190">
        <v>-6.9518072059355589</v>
      </c>
      <c r="N2190">
        <v>-3.0361445553331499</v>
      </c>
      <c r="O2190">
        <v>5.79</v>
      </c>
      <c r="P2190">
        <v>8.61</v>
      </c>
      <c r="Q2190">
        <v>3.63</v>
      </c>
      <c r="R2190" s="3" t="s">
        <v>470</v>
      </c>
      <c r="S2190">
        <v>5.79</v>
      </c>
      <c r="T2190" t="s">
        <v>468</v>
      </c>
    </row>
    <row r="2191" spans="1:20" x14ac:dyDescent="0.25">
      <c r="A2191">
        <v>336</v>
      </c>
      <c r="B2191">
        <v>516020</v>
      </c>
      <c r="C2191" t="s">
        <v>397</v>
      </c>
      <c r="D2191">
        <v>2023</v>
      </c>
      <c r="E2191">
        <v>3.7999999523162842</v>
      </c>
      <c r="F2191">
        <v>-0.88</v>
      </c>
      <c r="G2191" t="s">
        <v>465</v>
      </c>
      <c r="H2191">
        <v>5.559999942779541</v>
      </c>
      <c r="I2191">
        <v>2.7999999523162842</v>
      </c>
      <c r="L2191" t="s">
        <v>471</v>
      </c>
      <c r="M2191">
        <v>-6.3181817531585693</v>
      </c>
      <c r="N2191">
        <v>-3.1818181276321411</v>
      </c>
      <c r="O2191">
        <v>5.79</v>
      </c>
      <c r="P2191">
        <v>8.61</v>
      </c>
      <c r="Q2191">
        <v>3.63</v>
      </c>
      <c r="R2191" s="3" t="s">
        <v>470</v>
      </c>
      <c r="S2191">
        <v>5.79</v>
      </c>
      <c r="T2191" t="s">
        <v>468</v>
      </c>
    </row>
    <row r="2192" spans="1:20" x14ac:dyDescent="0.25">
      <c r="A2192">
        <v>336</v>
      </c>
      <c r="B2192">
        <v>516020</v>
      </c>
      <c r="C2192" t="s">
        <v>397</v>
      </c>
      <c r="D2192">
        <v>2024</v>
      </c>
      <c r="E2192">
        <v>3.7999999523162842</v>
      </c>
      <c r="F2192">
        <v>-0.67</v>
      </c>
      <c r="G2192" t="s">
        <v>465</v>
      </c>
      <c r="H2192">
        <v>8.6099996566772461</v>
      </c>
      <c r="I2192">
        <v>3.630000114440918</v>
      </c>
      <c r="L2192" t="s">
        <v>471</v>
      </c>
      <c r="M2192">
        <v>-12.850745756234691</v>
      </c>
      <c r="N2192">
        <v>-5.4179106185685342</v>
      </c>
      <c r="O2192">
        <v>5.79</v>
      </c>
      <c r="P2192">
        <v>8.61</v>
      </c>
      <c r="Q2192">
        <v>3.63</v>
      </c>
      <c r="R2192" s="3" t="s">
        <v>470</v>
      </c>
      <c r="S2192">
        <v>5.79</v>
      </c>
      <c r="T2192" t="s">
        <v>468</v>
      </c>
    </row>
    <row r="2193" spans="1:20" x14ac:dyDescent="0.25">
      <c r="A2193">
        <v>336</v>
      </c>
      <c r="B2193">
        <v>516020</v>
      </c>
      <c r="C2193" t="s">
        <v>397</v>
      </c>
      <c r="D2193">
        <v>2025</v>
      </c>
      <c r="E2193">
        <v>3.7999999523162842</v>
      </c>
      <c r="F2193">
        <v>-0.98</v>
      </c>
      <c r="G2193" t="s">
        <v>465</v>
      </c>
      <c r="H2193">
        <v>8.1999998092651367</v>
      </c>
      <c r="I2193">
        <v>3.9000000953674321</v>
      </c>
      <c r="L2193" t="s">
        <v>471</v>
      </c>
      <c r="M2193">
        <v>-8.3673467441480991</v>
      </c>
      <c r="N2193">
        <v>-3.9795919340484001</v>
      </c>
      <c r="O2193">
        <v>5.79</v>
      </c>
      <c r="P2193">
        <v>8.61</v>
      </c>
      <c r="Q2193">
        <v>3.63</v>
      </c>
      <c r="R2193" s="3" t="s">
        <v>470</v>
      </c>
      <c r="S2193">
        <v>5.79</v>
      </c>
      <c r="T2193" t="s">
        <v>468</v>
      </c>
    </row>
    <row r="2194" spans="1:20" x14ac:dyDescent="0.25">
      <c r="A2194">
        <v>336</v>
      </c>
      <c r="B2194">
        <v>516020</v>
      </c>
      <c r="C2194" t="s">
        <v>397</v>
      </c>
      <c r="D2194">
        <v>2026</v>
      </c>
      <c r="E2194">
        <v>3.7999999523162842</v>
      </c>
      <c r="F2194">
        <v>-11.19</v>
      </c>
      <c r="G2194" t="s">
        <v>465</v>
      </c>
      <c r="H2194">
        <v>5.820000171661377</v>
      </c>
      <c r="I2194">
        <v>3.279999971389771</v>
      </c>
      <c r="L2194" t="s">
        <v>471</v>
      </c>
      <c r="M2194">
        <v>-0.52010725394650381</v>
      </c>
      <c r="N2194">
        <v>-0.29311885356476952</v>
      </c>
      <c r="O2194">
        <v>5.79</v>
      </c>
      <c r="P2194">
        <v>8.61</v>
      </c>
      <c r="Q2194">
        <v>3.63</v>
      </c>
      <c r="R2194" s="3" t="s">
        <v>470</v>
      </c>
      <c r="S2194">
        <v>5.79</v>
      </c>
      <c r="T2194" t="s">
        <v>468</v>
      </c>
    </row>
    <row r="2195" spans="1:20" x14ac:dyDescent="0.25">
      <c r="A2195">
        <v>338</v>
      </c>
      <c r="B2195">
        <v>516032</v>
      </c>
      <c r="C2195" t="s">
        <v>399</v>
      </c>
      <c r="D2195">
        <v>2015</v>
      </c>
      <c r="E2195">
        <v>3.8499999046325679</v>
      </c>
      <c r="F2195">
        <v>0.01</v>
      </c>
      <c r="G2195" t="s">
        <v>465</v>
      </c>
      <c r="H2195">
        <v>1.9160000085830691</v>
      </c>
      <c r="I2195">
        <v>1.2280000448226931</v>
      </c>
      <c r="L2195" t="s">
        <v>484</v>
      </c>
      <c r="M2195">
        <v>191.60000085830691</v>
      </c>
      <c r="N2195">
        <v>122.8000044822693</v>
      </c>
      <c r="O2195">
        <v>21.23</v>
      </c>
      <c r="P2195">
        <v>32.65</v>
      </c>
      <c r="Q2195">
        <v>2.69</v>
      </c>
      <c r="R2195" s="3" t="s">
        <v>470</v>
      </c>
      <c r="S2195">
        <v>21.23</v>
      </c>
      <c r="T2195" t="s">
        <v>468</v>
      </c>
    </row>
    <row r="2196" spans="1:20" x14ac:dyDescent="0.25">
      <c r="A2196">
        <v>338</v>
      </c>
      <c r="B2196">
        <v>516032</v>
      </c>
      <c r="C2196" t="s">
        <v>399</v>
      </c>
      <c r="D2196">
        <v>2016</v>
      </c>
      <c r="E2196">
        <v>3.8499999046325679</v>
      </c>
      <c r="F2196">
        <v>1.51</v>
      </c>
      <c r="G2196" t="s">
        <v>465</v>
      </c>
      <c r="H2196">
        <v>1.353999972343445</v>
      </c>
      <c r="L2196" t="s">
        <v>469</v>
      </c>
      <c r="M2196">
        <v>0.89668872340625494</v>
      </c>
      <c r="O2196">
        <v>21.23</v>
      </c>
      <c r="P2196">
        <v>32.65</v>
      </c>
      <c r="Q2196">
        <v>2.69</v>
      </c>
      <c r="R2196" s="3" t="s">
        <v>470</v>
      </c>
      <c r="S2196">
        <v>21.23</v>
      </c>
      <c r="T2196" t="s">
        <v>468</v>
      </c>
    </row>
    <row r="2197" spans="1:20" x14ac:dyDescent="0.25">
      <c r="A2197">
        <v>338</v>
      </c>
      <c r="B2197">
        <v>516032</v>
      </c>
      <c r="C2197" t="s">
        <v>399</v>
      </c>
      <c r="D2197">
        <v>2017</v>
      </c>
      <c r="E2197">
        <v>3.8499999046325679</v>
      </c>
      <c r="F2197">
        <v>-0.03</v>
      </c>
      <c r="G2197" t="s">
        <v>465</v>
      </c>
      <c r="H2197">
        <v>1.322999954223633</v>
      </c>
      <c r="L2197" t="s">
        <v>471</v>
      </c>
      <c r="M2197">
        <v>-44.099998474121101</v>
      </c>
      <c r="O2197">
        <v>21.23</v>
      </c>
      <c r="P2197">
        <v>32.65</v>
      </c>
      <c r="Q2197">
        <v>2.69</v>
      </c>
      <c r="R2197" s="3" t="s">
        <v>470</v>
      </c>
      <c r="S2197">
        <v>21.23</v>
      </c>
      <c r="T2197" t="s">
        <v>468</v>
      </c>
    </row>
    <row r="2198" spans="1:20" x14ac:dyDescent="0.25">
      <c r="A2198">
        <v>338</v>
      </c>
      <c r="B2198">
        <v>516032</v>
      </c>
      <c r="C2198" t="s">
        <v>399</v>
      </c>
      <c r="D2198">
        <v>2018</v>
      </c>
      <c r="E2198">
        <v>3.8499999046325679</v>
      </c>
      <c r="F2198">
        <v>-0.02</v>
      </c>
      <c r="G2198" t="s">
        <v>465</v>
      </c>
      <c r="L2198" t="s">
        <v>466</v>
      </c>
      <c r="O2198">
        <v>21.23</v>
      </c>
      <c r="P2198">
        <v>32.65</v>
      </c>
      <c r="Q2198">
        <v>2.69</v>
      </c>
      <c r="R2198" s="3" t="s">
        <v>470</v>
      </c>
      <c r="S2198">
        <v>21.23</v>
      </c>
      <c r="T2198" t="s">
        <v>468</v>
      </c>
    </row>
    <row r="2199" spans="1:20" x14ac:dyDescent="0.25">
      <c r="A2199">
        <v>338</v>
      </c>
      <c r="B2199">
        <v>516032</v>
      </c>
      <c r="C2199" t="s">
        <v>399</v>
      </c>
      <c r="D2199">
        <v>2019</v>
      </c>
      <c r="E2199">
        <v>3.8499999046325679</v>
      </c>
      <c r="F2199">
        <v>-0.03</v>
      </c>
      <c r="G2199" t="s">
        <v>465</v>
      </c>
      <c r="L2199" t="s">
        <v>466</v>
      </c>
      <c r="O2199">
        <v>21.23</v>
      </c>
      <c r="P2199">
        <v>32.65</v>
      </c>
      <c r="Q2199">
        <v>2.69</v>
      </c>
      <c r="R2199" s="3" t="s">
        <v>470</v>
      </c>
      <c r="S2199">
        <v>21.23</v>
      </c>
      <c r="T2199" t="s">
        <v>468</v>
      </c>
    </row>
    <row r="2200" spans="1:20" x14ac:dyDescent="0.25">
      <c r="A2200">
        <v>338</v>
      </c>
      <c r="B2200">
        <v>516032</v>
      </c>
      <c r="C2200" t="s">
        <v>399</v>
      </c>
      <c r="D2200">
        <v>2020</v>
      </c>
      <c r="E2200">
        <v>3.8499999046325679</v>
      </c>
      <c r="F2200">
        <v>-0.02</v>
      </c>
      <c r="G2200" t="s">
        <v>465</v>
      </c>
      <c r="L2200" t="s">
        <v>466</v>
      </c>
      <c r="O2200">
        <v>21.23</v>
      </c>
      <c r="P2200">
        <v>32.65</v>
      </c>
      <c r="Q2200">
        <v>2.69</v>
      </c>
      <c r="R2200" s="3" t="s">
        <v>470</v>
      </c>
      <c r="S2200">
        <v>21.23</v>
      </c>
      <c r="T2200" t="s">
        <v>468</v>
      </c>
    </row>
    <row r="2201" spans="1:20" x14ac:dyDescent="0.25">
      <c r="A2201">
        <v>338</v>
      </c>
      <c r="B2201">
        <v>516032</v>
      </c>
      <c r="C2201" t="s">
        <v>399</v>
      </c>
      <c r="D2201">
        <v>2021</v>
      </c>
      <c r="E2201">
        <v>3.8499999046325679</v>
      </c>
      <c r="F2201">
        <v>-0.03</v>
      </c>
      <c r="G2201" t="s">
        <v>465</v>
      </c>
      <c r="H2201">
        <v>1.3710000514984131</v>
      </c>
      <c r="L2201" t="s">
        <v>471</v>
      </c>
      <c r="M2201">
        <v>-45.70000171661377</v>
      </c>
      <c r="O2201">
        <v>21.23</v>
      </c>
      <c r="P2201">
        <v>32.65</v>
      </c>
      <c r="Q2201">
        <v>2.69</v>
      </c>
      <c r="R2201" s="3" t="s">
        <v>470</v>
      </c>
      <c r="S2201">
        <v>21.23</v>
      </c>
      <c r="T2201" t="s">
        <v>468</v>
      </c>
    </row>
    <row r="2202" spans="1:20" x14ac:dyDescent="0.25">
      <c r="A2202">
        <v>338</v>
      </c>
      <c r="B2202">
        <v>516032</v>
      </c>
      <c r="C2202" t="s">
        <v>399</v>
      </c>
      <c r="D2202">
        <v>2022</v>
      </c>
      <c r="E2202">
        <v>3.8499999046325679</v>
      </c>
      <c r="F2202">
        <v>-0.03</v>
      </c>
      <c r="G2202" t="s">
        <v>465</v>
      </c>
      <c r="H2202">
        <v>1.679999947547913</v>
      </c>
      <c r="L2202" t="s">
        <v>471</v>
      </c>
      <c r="M2202">
        <v>-55.999998251597113</v>
      </c>
      <c r="O2202">
        <v>21.23</v>
      </c>
      <c r="P2202">
        <v>32.65</v>
      </c>
      <c r="Q2202">
        <v>2.69</v>
      </c>
      <c r="R2202" s="3" t="s">
        <v>470</v>
      </c>
      <c r="S2202">
        <v>21.23</v>
      </c>
      <c r="T2202" t="s">
        <v>468</v>
      </c>
    </row>
    <row r="2203" spans="1:20" x14ac:dyDescent="0.25">
      <c r="A2203">
        <v>338</v>
      </c>
      <c r="B2203">
        <v>516032</v>
      </c>
      <c r="C2203" t="s">
        <v>399</v>
      </c>
      <c r="D2203">
        <v>2023</v>
      </c>
      <c r="E2203">
        <v>3.8499999046325679</v>
      </c>
      <c r="G2203" t="s">
        <v>465</v>
      </c>
      <c r="H2203">
        <v>2.5699999332427979</v>
      </c>
      <c r="I2203">
        <v>1.679999947547913</v>
      </c>
      <c r="L2203" t="s">
        <v>466</v>
      </c>
      <c r="O2203">
        <v>21.23</v>
      </c>
      <c r="P2203">
        <v>32.65</v>
      </c>
      <c r="Q2203">
        <v>2.69</v>
      </c>
      <c r="R2203" s="3" t="s">
        <v>470</v>
      </c>
      <c r="S2203">
        <v>21.23</v>
      </c>
      <c r="T2203" t="s">
        <v>468</v>
      </c>
    </row>
    <row r="2204" spans="1:20" x14ac:dyDescent="0.25">
      <c r="A2204">
        <v>338</v>
      </c>
      <c r="B2204">
        <v>516032</v>
      </c>
      <c r="C2204" t="s">
        <v>399</v>
      </c>
      <c r="D2204">
        <v>2024</v>
      </c>
      <c r="E2204">
        <v>3.8499999046325679</v>
      </c>
      <c r="F2204">
        <v>0.01</v>
      </c>
      <c r="G2204" t="s">
        <v>465</v>
      </c>
      <c r="H2204">
        <v>32.650001525878913</v>
      </c>
      <c r="I2204">
        <v>2.5699999332427979</v>
      </c>
      <c r="L2204" t="s">
        <v>484</v>
      </c>
      <c r="M2204">
        <v>3265.0001525878911</v>
      </c>
      <c r="N2204">
        <v>256.99999332427979</v>
      </c>
      <c r="O2204">
        <v>21.23</v>
      </c>
      <c r="P2204">
        <v>32.65</v>
      </c>
      <c r="Q2204">
        <v>2.69</v>
      </c>
      <c r="R2204" s="3" t="s">
        <v>470</v>
      </c>
      <c r="S2204">
        <v>21.23</v>
      </c>
      <c r="T2204" t="s">
        <v>468</v>
      </c>
    </row>
    <row r="2205" spans="1:20" x14ac:dyDescent="0.25">
      <c r="A2205">
        <v>338</v>
      </c>
      <c r="B2205">
        <v>516032</v>
      </c>
      <c r="C2205" t="s">
        <v>399</v>
      </c>
      <c r="D2205">
        <v>2025</v>
      </c>
      <c r="E2205">
        <v>3.8499999046325679</v>
      </c>
      <c r="F2205">
        <v>-0.28000000000000003</v>
      </c>
      <c r="G2205" t="s">
        <v>465</v>
      </c>
      <c r="H2205">
        <v>24.14999961853027</v>
      </c>
      <c r="I2205">
        <v>9.5399999618530273</v>
      </c>
      <c r="L2205" t="s">
        <v>471</v>
      </c>
      <c r="M2205">
        <v>-86.249998637608101</v>
      </c>
      <c r="N2205">
        <v>-34.071428435189382</v>
      </c>
      <c r="O2205">
        <v>21.23</v>
      </c>
      <c r="P2205">
        <v>32.65</v>
      </c>
      <c r="Q2205">
        <v>2.69</v>
      </c>
      <c r="R2205" s="3" t="s">
        <v>470</v>
      </c>
      <c r="S2205">
        <v>21.23</v>
      </c>
      <c r="T2205" t="s">
        <v>468</v>
      </c>
    </row>
    <row r="2206" spans="1:20" x14ac:dyDescent="0.25">
      <c r="A2206">
        <v>338</v>
      </c>
      <c r="B2206">
        <v>516032</v>
      </c>
      <c r="C2206" t="s">
        <v>399</v>
      </c>
      <c r="D2206">
        <v>2026</v>
      </c>
      <c r="E2206">
        <v>3.8499999046325679</v>
      </c>
      <c r="F2206">
        <v>-0.36</v>
      </c>
      <c r="G2206" t="s">
        <v>465</v>
      </c>
      <c r="H2206">
        <v>16.79000091552734</v>
      </c>
      <c r="I2206">
        <v>3.75</v>
      </c>
      <c r="L2206" t="s">
        <v>471</v>
      </c>
      <c r="M2206">
        <v>-46.638891432020387</v>
      </c>
      <c r="N2206">
        <v>-10.41666666666667</v>
      </c>
      <c r="O2206">
        <v>21.23</v>
      </c>
      <c r="P2206">
        <v>32.65</v>
      </c>
      <c r="Q2206">
        <v>2.69</v>
      </c>
      <c r="R2206" s="3" t="s">
        <v>470</v>
      </c>
      <c r="S2206">
        <v>21.23</v>
      </c>
      <c r="T2206" t="s">
        <v>468</v>
      </c>
    </row>
    <row r="2207" spans="1:20" x14ac:dyDescent="0.25">
      <c r="A2207">
        <v>339</v>
      </c>
      <c r="B2207">
        <v>516038</v>
      </c>
      <c r="C2207" t="s">
        <v>401</v>
      </c>
      <c r="D2207">
        <v>2015</v>
      </c>
      <c r="E2207">
        <v>118.8000030517578</v>
      </c>
      <c r="G2207" t="s">
        <v>465</v>
      </c>
      <c r="H2207">
        <v>22.85000038146973</v>
      </c>
      <c r="I2207">
        <v>6.8000001907348633</v>
      </c>
      <c r="L2207" t="s">
        <v>466</v>
      </c>
      <c r="O2207">
        <v>81.92</v>
      </c>
      <c r="P2207">
        <v>99.24</v>
      </c>
      <c r="Q2207">
        <v>15.77</v>
      </c>
      <c r="R2207" s="3" t="s">
        <v>470</v>
      </c>
      <c r="S2207">
        <v>81.92</v>
      </c>
      <c r="T2207" t="s">
        <v>468</v>
      </c>
    </row>
    <row r="2208" spans="1:20" x14ac:dyDescent="0.25">
      <c r="A2208">
        <v>339</v>
      </c>
      <c r="B2208">
        <v>516038</v>
      </c>
      <c r="C2208" t="s">
        <v>401</v>
      </c>
      <c r="D2208">
        <v>2016</v>
      </c>
      <c r="E2208">
        <v>118.8000030517578</v>
      </c>
      <c r="G2208" t="s">
        <v>465</v>
      </c>
      <c r="H2208">
        <v>14.19999980926514</v>
      </c>
      <c r="I2208">
        <v>6.5500001907348633</v>
      </c>
      <c r="L2208" t="s">
        <v>466</v>
      </c>
      <c r="O2208">
        <v>81.92</v>
      </c>
      <c r="P2208">
        <v>99.24</v>
      </c>
      <c r="Q2208">
        <v>15.77</v>
      </c>
      <c r="R2208" s="3" t="s">
        <v>470</v>
      </c>
      <c r="S2208">
        <v>81.92</v>
      </c>
      <c r="T2208" t="s">
        <v>468</v>
      </c>
    </row>
    <row r="2209" spans="1:20" x14ac:dyDescent="0.25">
      <c r="A2209">
        <v>339</v>
      </c>
      <c r="B2209">
        <v>516038</v>
      </c>
      <c r="C2209" t="s">
        <v>401</v>
      </c>
      <c r="D2209">
        <v>2017</v>
      </c>
      <c r="E2209">
        <v>118.8000030517578</v>
      </c>
      <c r="G2209" t="s">
        <v>465</v>
      </c>
      <c r="H2209">
        <v>15.77000045776367</v>
      </c>
      <c r="I2209">
        <v>13</v>
      </c>
      <c r="L2209" t="s">
        <v>466</v>
      </c>
      <c r="O2209">
        <v>81.92</v>
      </c>
      <c r="P2209">
        <v>99.24</v>
      </c>
      <c r="Q2209">
        <v>15.77</v>
      </c>
      <c r="R2209" s="3" t="s">
        <v>470</v>
      </c>
      <c r="S2209">
        <v>81.92</v>
      </c>
      <c r="T2209" t="s">
        <v>468</v>
      </c>
    </row>
    <row r="2210" spans="1:20" x14ac:dyDescent="0.25">
      <c r="A2210">
        <v>339</v>
      </c>
      <c r="B2210">
        <v>516038</v>
      </c>
      <c r="C2210" t="s">
        <v>401</v>
      </c>
      <c r="D2210">
        <v>2018</v>
      </c>
      <c r="E2210">
        <v>118.8000030517578</v>
      </c>
      <c r="G2210" t="s">
        <v>465</v>
      </c>
      <c r="H2210">
        <v>15.77000045776367</v>
      </c>
      <c r="I2210">
        <v>15.77000045776367</v>
      </c>
      <c r="L2210" t="s">
        <v>466</v>
      </c>
      <c r="O2210">
        <v>81.92</v>
      </c>
      <c r="P2210">
        <v>99.24</v>
      </c>
      <c r="Q2210">
        <v>15.77</v>
      </c>
      <c r="R2210" s="3" t="s">
        <v>470</v>
      </c>
      <c r="S2210">
        <v>81.92</v>
      </c>
      <c r="T2210" t="s">
        <v>468</v>
      </c>
    </row>
    <row r="2211" spans="1:20" x14ac:dyDescent="0.25">
      <c r="A2211">
        <v>339</v>
      </c>
      <c r="B2211">
        <v>516038</v>
      </c>
      <c r="C2211" t="s">
        <v>401</v>
      </c>
      <c r="D2211">
        <v>2019</v>
      </c>
      <c r="E2211">
        <v>118.8000030517578</v>
      </c>
      <c r="G2211" t="s">
        <v>465</v>
      </c>
      <c r="H2211">
        <v>15.77000045776367</v>
      </c>
      <c r="I2211">
        <v>15.77000045776367</v>
      </c>
      <c r="L2211" t="s">
        <v>466</v>
      </c>
      <c r="O2211">
        <v>81.92</v>
      </c>
      <c r="P2211">
        <v>99.24</v>
      </c>
      <c r="Q2211">
        <v>15.77</v>
      </c>
      <c r="R2211" s="3" t="s">
        <v>470</v>
      </c>
      <c r="S2211">
        <v>81.92</v>
      </c>
      <c r="T2211" t="s">
        <v>468</v>
      </c>
    </row>
    <row r="2212" spans="1:20" x14ac:dyDescent="0.25">
      <c r="A2212">
        <v>339</v>
      </c>
      <c r="B2212">
        <v>516038</v>
      </c>
      <c r="C2212" t="s">
        <v>401</v>
      </c>
      <c r="D2212">
        <v>2020</v>
      </c>
      <c r="E2212">
        <v>118.8000030517578</v>
      </c>
      <c r="G2212" t="s">
        <v>465</v>
      </c>
      <c r="H2212">
        <v>15.77000045776367</v>
      </c>
      <c r="I2212">
        <v>15.77000045776367</v>
      </c>
      <c r="L2212" t="s">
        <v>466</v>
      </c>
      <c r="O2212">
        <v>81.92</v>
      </c>
      <c r="P2212">
        <v>99.24</v>
      </c>
      <c r="Q2212">
        <v>15.77</v>
      </c>
      <c r="R2212" s="3" t="s">
        <v>470</v>
      </c>
      <c r="S2212">
        <v>81.92</v>
      </c>
      <c r="T2212" t="s">
        <v>468</v>
      </c>
    </row>
    <row r="2213" spans="1:20" x14ac:dyDescent="0.25">
      <c r="A2213">
        <v>339</v>
      </c>
      <c r="B2213">
        <v>516038</v>
      </c>
      <c r="C2213" t="s">
        <v>401</v>
      </c>
      <c r="D2213">
        <v>2021</v>
      </c>
      <c r="E2213">
        <v>118.8000030517578</v>
      </c>
      <c r="G2213" t="s">
        <v>465</v>
      </c>
      <c r="H2213">
        <v>15.77000045776367</v>
      </c>
      <c r="I2213">
        <v>15.77000045776367</v>
      </c>
      <c r="L2213" t="s">
        <v>466</v>
      </c>
      <c r="O2213">
        <v>81.92</v>
      </c>
      <c r="P2213">
        <v>99.24</v>
      </c>
      <c r="Q2213">
        <v>15.77</v>
      </c>
      <c r="R2213" s="3" t="s">
        <v>470</v>
      </c>
      <c r="S2213">
        <v>81.92</v>
      </c>
      <c r="T2213" t="s">
        <v>468</v>
      </c>
    </row>
    <row r="2214" spans="1:20" x14ac:dyDescent="0.25">
      <c r="A2214">
        <v>339</v>
      </c>
      <c r="B2214">
        <v>516038</v>
      </c>
      <c r="C2214" t="s">
        <v>401</v>
      </c>
      <c r="D2214">
        <v>2022</v>
      </c>
      <c r="E2214">
        <v>118.8000030517578</v>
      </c>
      <c r="G2214" t="s">
        <v>465</v>
      </c>
      <c r="H2214">
        <v>15.77000045776367</v>
      </c>
      <c r="I2214">
        <v>15.77000045776367</v>
      </c>
      <c r="L2214" t="s">
        <v>466</v>
      </c>
      <c r="O2214">
        <v>81.92</v>
      </c>
      <c r="P2214">
        <v>99.24</v>
      </c>
      <c r="Q2214">
        <v>15.77</v>
      </c>
      <c r="R2214" s="3" t="s">
        <v>470</v>
      </c>
      <c r="S2214">
        <v>81.92</v>
      </c>
      <c r="T2214" t="s">
        <v>468</v>
      </c>
    </row>
    <row r="2215" spans="1:20" x14ac:dyDescent="0.25">
      <c r="A2215">
        <v>339</v>
      </c>
      <c r="B2215">
        <v>516038</v>
      </c>
      <c r="C2215" t="s">
        <v>401</v>
      </c>
      <c r="D2215">
        <v>2023</v>
      </c>
      <c r="E2215">
        <v>118.8000030517578</v>
      </c>
      <c r="G2215" t="s">
        <v>465</v>
      </c>
      <c r="H2215">
        <v>15.77000045776367</v>
      </c>
      <c r="I2215">
        <v>15.77000045776367</v>
      </c>
      <c r="L2215" t="s">
        <v>466</v>
      </c>
      <c r="O2215">
        <v>81.92</v>
      </c>
      <c r="P2215">
        <v>99.24</v>
      </c>
      <c r="Q2215">
        <v>15.77</v>
      </c>
      <c r="R2215" s="3" t="s">
        <v>470</v>
      </c>
      <c r="S2215">
        <v>81.92</v>
      </c>
      <c r="T2215" t="s">
        <v>468</v>
      </c>
    </row>
    <row r="2216" spans="1:20" x14ac:dyDescent="0.25">
      <c r="A2216">
        <v>339</v>
      </c>
      <c r="B2216">
        <v>516038</v>
      </c>
      <c r="C2216" t="s">
        <v>401</v>
      </c>
      <c r="D2216">
        <v>2024</v>
      </c>
      <c r="E2216">
        <v>118.8000030517578</v>
      </c>
      <c r="G2216" t="s">
        <v>465</v>
      </c>
      <c r="H2216">
        <v>99.239997863769531</v>
      </c>
      <c r="I2216">
        <v>15.77000045776367</v>
      </c>
      <c r="L2216" t="s">
        <v>466</v>
      </c>
      <c r="O2216">
        <v>81.92</v>
      </c>
      <c r="P2216">
        <v>99.24</v>
      </c>
      <c r="Q2216">
        <v>15.77</v>
      </c>
      <c r="R2216" s="3" t="s">
        <v>470</v>
      </c>
      <c r="S2216">
        <v>81.92</v>
      </c>
      <c r="T2216" t="s">
        <v>468</v>
      </c>
    </row>
    <row r="2217" spans="1:20" x14ac:dyDescent="0.25">
      <c r="A2217">
        <v>339</v>
      </c>
      <c r="B2217">
        <v>516038</v>
      </c>
      <c r="C2217" t="s">
        <v>401</v>
      </c>
      <c r="D2217">
        <v>2025</v>
      </c>
      <c r="E2217">
        <v>118.8000030517578</v>
      </c>
      <c r="F2217">
        <v>143.69999999999999</v>
      </c>
      <c r="G2217" t="s">
        <v>465</v>
      </c>
      <c r="H2217">
        <v>172.9700012207031</v>
      </c>
      <c r="I2217">
        <v>43.889999389648438</v>
      </c>
      <c r="L2217" t="s">
        <v>469</v>
      </c>
      <c r="M2217">
        <v>1.203688247882416</v>
      </c>
      <c r="N2217">
        <v>0.30542797070040673</v>
      </c>
      <c r="O2217">
        <v>81.92</v>
      </c>
      <c r="P2217">
        <v>99.24</v>
      </c>
      <c r="Q2217">
        <v>15.77</v>
      </c>
      <c r="R2217" s="3" t="s">
        <v>470</v>
      </c>
      <c r="S2217">
        <v>81.92</v>
      </c>
      <c r="T2217" t="s">
        <v>468</v>
      </c>
    </row>
    <row r="2218" spans="1:20" x14ac:dyDescent="0.25">
      <c r="A2218">
        <v>339</v>
      </c>
      <c r="B2218">
        <v>516038</v>
      </c>
      <c r="C2218" t="s">
        <v>401</v>
      </c>
      <c r="D2218">
        <v>2026</v>
      </c>
      <c r="E2218">
        <v>118.8000030517578</v>
      </c>
      <c r="F2218">
        <v>4.54</v>
      </c>
      <c r="G2218" t="s">
        <v>465</v>
      </c>
      <c r="H2218">
        <v>290.95001220703119</v>
      </c>
      <c r="I2218">
        <v>111.09999847412109</v>
      </c>
      <c r="L2218" t="s">
        <v>469</v>
      </c>
      <c r="M2218">
        <v>64.085905772473836</v>
      </c>
      <c r="N2218">
        <v>24.471365302669849</v>
      </c>
      <c r="O2218">
        <v>81.92</v>
      </c>
      <c r="P2218">
        <v>99.24</v>
      </c>
      <c r="Q2218">
        <v>15.77</v>
      </c>
      <c r="R2218" s="3" t="s">
        <v>470</v>
      </c>
      <c r="S2218">
        <v>81.92</v>
      </c>
      <c r="T2218" t="s">
        <v>468</v>
      </c>
    </row>
    <row r="2219" spans="1:20" x14ac:dyDescent="0.25">
      <c r="A2219">
        <v>342</v>
      </c>
      <c r="B2219">
        <v>516098</v>
      </c>
      <c r="C2219" t="s">
        <v>403</v>
      </c>
      <c r="D2219">
        <v>2015</v>
      </c>
      <c r="E2219">
        <v>8.2700004577636719</v>
      </c>
      <c r="F2219">
        <v>1.4</v>
      </c>
      <c r="G2219" t="s">
        <v>465</v>
      </c>
      <c r="H2219">
        <v>24.989999771118161</v>
      </c>
      <c r="I2219">
        <v>5.6399998664855957</v>
      </c>
      <c r="L2219" t="s">
        <v>469</v>
      </c>
      <c r="M2219">
        <v>17.849999836512971</v>
      </c>
      <c r="N2219">
        <v>4.0285713332039972</v>
      </c>
      <c r="O2219">
        <v>15.75</v>
      </c>
      <c r="P2219">
        <v>24.18</v>
      </c>
      <c r="Q2219">
        <v>8.93</v>
      </c>
      <c r="R2219" s="3" t="s">
        <v>470</v>
      </c>
      <c r="S2219">
        <v>15.75</v>
      </c>
      <c r="T2219" t="s">
        <v>468</v>
      </c>
    </row>
    <row r="2220" spans="1:20" x14ac:dyDescent="0.25">
      <c r="A2220">
        <v>342</v>
      </c>
      <c r="B2220">
        <v>516098</v>
      </c>
      <c r="C2220" t="s">
        <v>403</v>
      </c>
      <c r="D2220">
        <v>2016</v>
      </c>
      <c r="E2220">
        <v>8.2700004577636719</v>
      </c>
      <c r="F2220">
        <v>0.01</v>
      </c>
      <c r="G2220" t="s">
        <v>465</v>
      </c>
      <c r="H2220">
        <v>17.870000839233398</v>
      </c>
      <c r="I2220">
        <v>6.9000000953674316</v>
      </c>
      <c r="L2220" t="s">
        <v>484</v>
      </c>
      <c r="M2220">
        <v>1787.0000839233401</v>
      </c>
      <c r="N2220">
        <v>690.00000953674316</v>
      </c>
      <c r="O2220">
        <v>15.75</v>
      </c>
      <c r="P2220">
        <v>24.18</v>
      </c>
      <c r="Q2220">
        <v>8.93</v>
      </c>
      <c r="R2220" s="3" t="s">
        <v>470</v>
      </c>
      <c r="S2220">
        <v>15.75</v>
      </c>
      <c r="T2220" t="s">
        <v>468</v>
      </c>
    </row>
    <row r="2221" spans="1:20" x14ac:dyDescent="0.25">
      <c r="A2221">
        <v>342</v>
      </c>
      <c r="B2221">
        <v>516098</v>
      </c>
      <c r="C2221" t="s">
        <v>403</v>
      </c>
      <c r="D2221">
        <v>2017</v>
      </c>
      <c r="E2221">
        <v>8.2700004577636719</v>
      </c>
      <c r="F2221">
        <v>-0.83</v>
      </c>
      <c r="G2221" t="s">
        <v>465</v>
      </c>
      <c r="H2221">
        <v>7.5999999046325684</v>
      </c>
      <c r="I2221">
        <v>2.130000114440918</v>
      </c>
      <c r="L2221" t="s">
        <v>471</v>
      </c>
      <c r="M2221">
        <v>-9.1566263911235772</v>
      </c>
      <c r="N2221">
        <v>-2.566265198121588</v>
      </c>
      <c r="O2221">
        <v>15.75</v>
      </c>
      <c r="P2221">
        <v>24.18</v>
      </c>
      <c r="Q2221">
        <v>8.93</v>
      </c>
      <c r="R2221" s="3" t="s">
        <v>470</v>
      </c>
      <c r="S2221">
        <v>15.75</v>
      </c>
      <c r="T2221" t="s">
        <v>468</v>
      </c>
    </row>
    <row r="2222" spans="1:20" x14ac:dyDescent="0.25">
      <c r="A2222">
        <v>342</v>
      </c>
      <c r="B2222">
        <v>516098</v>
      </c>
      <c r="C2222" t="s">
        <v>403</v>
      </c>
      <c r="D2222">
        <v>2018</v>
      </c>
      <c r="E2222">
        <v>8.2700004577636719</v>
      </c>
      <c r="F2222">
        <v>-0.75</v>
      </c>
      <c r="G2222" t="s">
        <v>465</v>
      </c>
      <c r="H2222">
        <v>6.130000114440918</v>
      </c>
      <c r="I2222">
        <v>2.2699999809265141</v>
      </c>
      <c r="L2222" t="s">
        <v>471</v>
      </c>
      <c r="M2222">
        <v>-8.1733334859212246</v>
      </c>
      <c r="N2222">
        <v>-3.026666641235352</v>
      </c>
      <c r="O2222">
        <v>15.75</v>
      </c>
      <c r="P2222">
        <v>24.18</v>
      </c>
      <c r="Q2222">
        <v>8.93</v>
      </c>
      <c r="R2222" s="3" t="s">
        <v>470</v>
      </c>
      <c r="S2222">
        <v>15.75</v>
      </c>
      <c r="T2222" t="s">
        <v>468</v>
      </c>
    </row>
    <row r="2223" spans="1:20" x14ac:dyDescent="0.25">
      <c r="A2223">
        <v>342</v>
      </c>
      <c r="B2223">
        <v>516098</v>
      </c>
      <c r="C2223" t="s">
        <v>403</v>
      </c>
      <c r="D2223">
        <v>2019</v>
      </c>
      <c r="E2223">
        <v>8.2700004577636719</v>
      </c>
      <c r="F2223">
        <v>-2.61</v>
      </c>
      <c r="G2223" t="s">
        <v>465</v>
      </c>
      <c r="H2223">
        <v>5.8000001907348633</v>
      </c>
      <c r="I2223">
        <v>5.0900001525878906</v>
      </c>
      <c r="L2223" t="s">
        <v>471</v>
      </c>
      <c r="M2223">
        <v>-2.222222295300714</v>
      </c>
      <c r="N2223">
        <v>-1.95019162934402</v>
      </c>
      <c r="O2223">
        <v>15.75</v>
      </c>
      <c r="P2223">
        <v>24.18</v>
      </c>
      <c r="Q2223">
        <v>8.93</v>
      </c>
      <c r="R2223" s="3" t="s">
        <v>470</v>
      </c>
      <c r="S2223">
        <v>15.75</v>
      </c>
      <c r="T2223" t="s">
        <v>468</v>
      </c>
    </row>
    <row r="2224" spans="1:20" x14ac:dyDescent="0.25">
      <c r="A2224">
        <v>342</v>
      </c>
      <c r="B2224">
        <v>516098</v>
      </c>
      <c r="C2224" t="s">
        <v>403</v>
      </c>
      <c r="D2224">
        <v>2020</v>
      </c>
      <c r="E2224">
        <v>8.2700004577636719</v>
      </c>
      <c r="F2224">
        <v>-2.58</v>
      </c>
      <c r="G2224" t="s">
        <v>465</v>
      </c>
      <c r="H2224">
        <v>5.0900001525878906</v>
      </c>
      <c r="I2224">
        <v>3.0699999332427979</v>
      </c>
      <c r="L2224" t="s">
        <v>471</v>
      </c>
      <c r="M2224">
        <v>-1.972868276196857</v>
      </c>
      <c r="N2224">
        <v>-1.18992245474527</v>
      </c>
      <c r="O2224">
        <v>15.75</v>
      </c>
      <c r="P2224">
        <v>24.18</v>
      </c>
      <c r="Q2224">
        <v>8.93</v>
      </c>
      <c r="R2224" s="3" t="s">
        <v>470</v>
      </c>
      <c r="S2224">
        <v>15.75</v>
      </c>
      <c r="T2224" t="s">
        <v>468</v>
      </c>
    </row>
    <row r="2225" spans="1:20" x14ac:dyDescent="0.25">
      <c r="A2225">
        <v>342</v>
      </c>
      <c r="B2225">
        <v>516098</v>
      </c>
      <c r="C2225" t="s">
        <v>403</v>
      </c>
      <c r="D2225">
        <v>2021</v>
      </c>
      <c r="E2225">
        <v>8.2700004577636719</v>
      </c>
      <c r="F2225">
        <v>-2.5499999999999998</v>
      </c>
      <c r="G2225" t="s">
        <v>465</v>
      </c>
      <c r="H2225">
        <v>9.0799999237060547</v>
      </c>
      <c r="I2225">
        <v>1.889999985694885</v>
      </c>
      <c r="L2225" t="s">
        <v>471</v>
      </c>
      <c r="M2225">
        <v>-3.5607842838062962</v>
      </c>
      <c r="N2225">
        <v>-0.7411764649783863</v>
      </c>
      <c r="O2225">
        <v>15.75</v>
      </c>
      <c r="P2225">
        <v>24.18</v>
      </c>
      <c r="Q2225">
        <v>8.93</v>
      </c>
      <c r="R2225" s="3" t="s">
        <v>470</v>
      </c>
      <c r="S2225">
        <v>15.75</v>
      </c>
      <c r="T2225" t="s">
        <v>468</v>
      </c>
    </row>
    <row r="2226" spans="1:20" x14ac:dyDescent="0.25">
      <c r="A2226">
        <v>342</v>
      </c>
      <c r="B2226">
        <v>516098</v>
      </c>
      <c r="C2226" t="s">
        <v>403</v>
      </c>
      <c r="D2226">
        <v>2022</v>
      </c>
      <c r="E2226">
        <v>8.2700004577636719</v>
      </c>
      <c r="F2226">
        <v>-0.84</v>
      </c>
      <c r="G2226" t="s">
        <v>465</v>
      </c>
      <c r="H2226">
        <v>9.5</v>
      </c>
      <c r="I2226">
        <v>3.4000000953674321</v>
      </c>
      <c r="L2226" t="s">
        <v>471</v>
      </c>
      <c r="M2226">
        <v>-11.30952380952381</v>
      </c>
      <c r="N2226">
        <v>-4.0476191611517054</v>
      </c>
      <c r="O2226">
        <v>15.75</v>
      </c>
      <c r="P2226">
        <v>24.18</v>
      </c>
      <c r="Q2226">
        <v>8.93</v>
      </c>
      <c r="R2226" s="3" t="s">
        <v>470</v>
      </c>
      <c r="S2226">
        <v>15.75</v>
      </c>
      <c r="T2226" t="s">
        <v>468</v>
      </c>
    </row>
    <row r="2227" spans="1:20" x14ac:dyDescent="0.25">
      <c r="A2227">
        <v>342</v>
      </c>
      <c r="B2227">
        <v>516098</v>
      </c>
      <c r="C2227" t="s">
        <v>403</v>
      </c>
      <c r="D2227">
        <v>2023</v>
      </c>
      <c r="E2227">
        <v>8.2700004577636719</v>
      </c>
      <c r="F2227">
        <v>-0.6</v>
      </c>
      <c r="G2227" t="s">
        <v>465</v>
      </c>
      <c r="H2227">
        <v>20.329999923706051</v>
      </c>
      <c r="I2227">
        <v>5.5</v>
      </c>
      <c r="L2227" t="s">
        <v>471</v>
      </c>
      <c r="M2227">
        <v>-33.883333206176751</v>
      </c>
      <c r="N2227">
        <v>-9.1666666666666679</v>
      </c>
      <c r="O2227">
        <v>15.75</v>
      </c>
      <c r="P2227">
        <v>24.18</v>
      </c>
      <c r="Q2227">
        <v>8.93</v>
      </c>
      <c r="R2227" s="3" t="s">
        <v>470</v>
      </c>
      <c r="S2227">
        <v>15.75</v>
      </c>
      <c r="T2227" t="s">
        <v>468</v>
      </c>
    </row>
    <row r="2228" spans="1:20" x14ac:dyDescent="0.25">
      <c r="A2228">
        <v>342</v>
      </c>
      <c r="B2228">
        <v>516098</v>
      </c>
      <c r="C2228" t="s">
        <v>403</v>
      </c>
      <c r="D2228">
        <v>2024</v>
      </c>
      <c r="E2228">
        <v>8.2700004577636719</v>
      </c>
      <c r="F2228">
        <v>4.8499999999999996</v>
      </c>
      <c r="G2228" t="s">
        <v>465</v>
      </c>
      <c r="H2228">
        <v>24.180000305175781</v>
      </c>
      <c r="I2228">
        <v>8.9300003051757813</v>
      </c>
      <c r="L2228" t="s">
        <v>469</v>
      </c>
      <c r="M2228">
        <v>4.9855670732321196</v>
      </c>
      <c r="N2228">
        <v>1.841237176324904</v>
      </c>
      <c r="O2228">
        <v>15.75</v>
      </c>
      <c r="P2228">
        <v>24.18</v>
      </c>
      <c r="Q2228">
        <v>8.93</v>
      </c>
      <c r="R2228" s="3" t="s">
        <v>470</v>
      </c>
      <c r="S2228">
        <v>15.75</v>
      </c>
      <c r="T2228" t="s">
        <v>468</v>
      </c>
    </row>
    <row r="2229" spans="1:20" x14ac:dyDescent="0.25">
      <c r="A2229">
        <v>342</v>
      </c>
      <c r="B2229">
        <v>516098</v>
      </c>
      <c r="C2229" t="s">
        <v>403</v>
      </c>
      <c r="D2229">
        <v>2025</v>
      </c>
      <c r="E2229">
        <v>8.2700004577636719</v>
      </c>
      <c r="F2229">
        <v>-0.6</v>
      </c>
      <c r="G2229" t="s">
        <v>465</v>
      </c>
      <c r="H2229">
        <v>18.20000076293945</v>
      </c>
      <c r="I2229">
        <v>8.1599998474121094</v>
      </c>
      <c r="L2229" t="s">
        <v>471</v>
      </c>
      <c r="M2229">
        <v>-30.333334604899079</v>
      </c>
      <c r="N2229">
        <v>-13.59999974568685</v>
      </c>
      <c r="O2229">
        <v>15.75</v>
      </c>
      <c r="P2229">
        <v>24.18</v>
      </c>
      <c r="Q2229">
        <v>8.93</v>
      </c>
      <c r="R2229" s="3" t="s">
        <v>470</v>
      </c>
      <c r="S2229">
        <v>15.75</v>
      </c>
      <c r="T2229" t="s">
        <v>468</v>
      </c>
    </row>
    <row r="2230" spans="1:20" x14ac:dyDescent="0.25">
      <c r="A2230">
        <v>342</v>
      </c>
      <c r="B2230">
        <v>516098</v>
      </c>
      <c r="C2230" t="s">
        <v>403</v>
      </c>
      <c r="D2230">
        <v>2026</v>
      </c>
      <c r="E2230">
        <v>8.2700004577636719</v>
      </c>
      <c r="F2230">
        <v>-0.18</v>
      </c>
      <c r="G2230" t="s">
        <v>465</v>
      </c>
      <c r="H2230">
        <v>10.55000019073486</v>
      </c>
      <c r="I2230">
        <v>6.5500001907348633</v>
      </c>
      <c r="L2230" t="s">
        <v>471</v>
      </c>
      <c r="M2230">
        <v>-58.611112170749223</v>
      </c>
      <c r="N2230">
        <v>-36.388889948527023</v>
      </c>
      <c r="O2230">
        <v>15.75</v>
      </c>
      <c r="P2230">
        <v>24.18</v>
      </c>
      <c r="Q2230">
        <v>8.93</v>
      </c>
      <c r="R2230" s="3" t="s">
        <v>470</v>
      </c>
      <c r="S2230">
        <v>15.75</v>
      </c>
      <c r="T2230" t="s">
        <v>468</v>
      </c>
    </row>
    <row r="2231" spans="1:20" x14ac:dyDescent="0.25">
      <c r="A2231">
        <v>343</v>
      </c>
      <c r="B2231">
        <v>516108</v>
      </c>
      <c r="C2231" t="s">
        <v>405</v>
      </c>
      <c r="D2231">
        <v>2015</v>
      </c>
      <c r="E2231">
        <v>105</v>
      </c>
      <c r="F2231">
        <v>9.02</v>
      </c>
      <c r="G2231" t="s">
        <v>465</v>
      </c>
      <c r="H2231">
        <v>120</v>
      </c>
      <c r="I2231">
        <v>62</v>
      </c>
      <c r="L2231" t="s">
        <v>469</v>
      </c>
      <c r="M2231">
        <v>13.30376940133038</v>
      </c>
      <c r="N2231">
        <v>6.8736141906873618</v>
      </c>
      <c r="O2231">
        <v>112.11</v>
      </c>
      <c r="P2231">
        <v>120.75</v>
      </c>
      <c r="Q2231">
        <v>68.599999999999994</v>
      </c>
      <c r="R2231" s="3" t="s">
        <v>470</v>
      </c>
      <c r="S2231">
        <v>112.11</v>
      </c>
      <c r="T2231" t="s">
        <v>468</v>
      </c>
    </row>
    <row r="2232" spans="1:20" x14ac:dyDescent="0.25">
      <c r="A2232">
        <v>343</v>
      </c>
      <c r="B2232">
        <v>516108</v>
      </c>
      <c r="C2232" t="s">
        <v>405</v>
      </c>
      <c r="D2232">
        <v>2016</v>
      </c>
      <c r="E2232">
        <v>105</v>
      </c>
      <c r="F2232">
        <v>16.059999999999999</v>
      </c>
      <c r="G2232" t="s">
        <v>465</v>
      </c>
      <c r="H2232">
        <v>165.6000061035156</v>
      </c>
      <c r="I2232">
        <v>88.699996948242188</v>
      </c>
      <c r="L2232" t="s">
        <v>469</v>
      </c>
      <c r="M2232">
        <v>10.311332883157879</v>
      </c>
      <c r="N2232">
        <v>5.5230384152081067</v>
      </c>
      <c r="O2232">
        <v>112.11</v>
      </c>
      <c r="P2232">
        <v>120.75</v>
      </c>
      <c r="Q2232">
        <v>68.599999999999994</v>
      </c>
      <c r="R2232" s="3" t="s">
        <v>470</v>
      </c>
      <c r="S2232">
        <v>112.11</v>
      </c>
      <c r="T2232" t="s">
        <v>468</v>
      </c>
    </row>
    <row r="2233" spans="1:20" x14ac:dyDescent="0.25">
      <c r="A2233">
        <v>343</v>
      </c>
      <c r="B2233">
        <v>516108</v>
      </c>
      <c r="C2233" t="s">
        <v>405</v>
      </c>
      <c r="D2233">
        <v>2017</v>
      </c>
      <c r="E2233">
        <v>105</v>
      </c>
      <c r="F2233">
        <v>7.97</v>
      </c>
      <c r="G2233" t="s">
        <v>465</v>
      </c>
      <c r="H2233">
        <v>157.05000305175781</v>
      </c>
      <c r="I2233">
        <v>90.25</v>
      </c>
      <c r="L2233" t="s">
        <v>469</v>
      </c>
      <c r="M2233">
        <v>19.705144673997221</v>
      </c>
      <c r="N2233">
        <v>11.3237139272271</v>
      </c>
      <c r="O2233">
        <v>112.11</v>
      </c>
      <c r="P2233">
        <v>120.75</v>
      </c>
      <c r="Q2233">
        <v>68.599999999999994</v>
      </c>
      <c r="R2233" s="3" t="s">
        <v>470</v>
      </c>
      <c r="S2233">
        <v>112.11</v>
      </c>
      <c r="T2233" t="s">
        <v>468</v>
      </c>
    </row>
    <row r="2234" spans="1:20" x14ac:dyDescent="0.25">
      <c r="A2234">
        <v>343</v>
      </c>
      <c r="B2234">
        <v>516108</v>
      </c>
      <c r="C2234" t="s">
        <v>405</v>
      </c>
      <c r="D2234">
        <v>2018</v>
      </c>
      <c r="E2234">
        <v>105</v>
      </c>
      <c r="F2234">
        <v>0.63</v>
      </c>
      <c r="G2234" t="s">
        <v>465</v>
      </c>
      <c r="H2234">
        <v>168</v>
      </c>
      <c r="I2234">
        <v>84.550003051757813</v>
      </c>
      <c r="L2234" t="s">
        <v>469</v>
      </c>
      <c r="M2234">
        <v>266.66666666666669</v>
      </c>
      <c r="N2234">
        <v>134.2063540504092</v>
      </c>
      <c r="O2234">
        <v>112.11</v>
      </c>
      <c r="P2234">
        <v>120.75</v>
      </c>
      <c r="Q2234">
        <v>68.599999999999994</v>
      </c>
      <c r="R2234" s="3" t="s">
        <v>470</v>
      </c>
      <c r="S2234">
        <v>112.11</v>
      </c>
      <c r="T2234" t="s">
        <v>468</v>
      </c>
    </row>
    <row r="2235" spans="1:20" x14ac:dyDescent="0.25">
      <c r="A2235">
        <v>343</v>
      </c>
      <c r="B2235">
        <v>516108</v>
      </c>
      <c r="C2235" t="s">
        <v>405</v>
      </c>
      <c r="D2235">
        <v>2019</v>
      </c>
      <c r="E2235">
        <v>105</v>
      </c>
      <c r="F2235">
        <v>12.25</v>
      </c>
      <c r="G2235" t="s">
        <v>465</v>
      </c>
      <c r="H2235">
        <v>99</v>
      </c>
      <c r="I2235">
        <v>66.449996948242188</v>
      </c>
      <c r="L2235" t="s">
        <v>469</v>
      </c>
      <c r="M2235">
        <v>8.0816326530612237</v>
      </c>
      <c r="N2235">
        <v>5.4244895467952814</v>
      </c>
      <c r="O2235">
        <v>112.11</v>
      </c>
      <c r="P2235">
        <v>120.75</v>
      </c>
      <c r="Q2235">
        <v>68.599999999999994</v>
      </c>
      <c r="R2235" s="3" t="s">
        <v>470</v>
      </c>
      <c r="S2235">
        <v>112.11</v>
      </c>
      <c r="T2235" t="s">
        <v>468</v>
      </c>
    </row>
    <row r="2236" spans="1:20" x14ac:dyDescent="0.25">
      <c r="A2236">
        <v>343</v>
      </c>
      <c r="B2236">
        <v>516108</v>
      </c>
      <c r="C2236" t="s">
        <v>405</v>
      </c>
      <c r="D2236">
        <v>2020</v>
      </c>
      <c r="E2236">
        <v>105</v>
      </c>
      <c r="F2236">
        <v>10.63</v>
      </c>
      <c r="G2236" t="s">
        <v>465</v>
      </c>
      <c r="H2236">
        <v>84</v>
      </c>
      <c r="I2236">
        <v>32.599998474121087</v>
      </c>
      <c r="L2236" t="s">
        <v>469</v>
      </c>
      <c r="M2236">
        <v>7.9021636876763868</v>
      </c>
      <c r="N2236">
        <v>3.066791954291729</v>
      </c>
      <c r="O2236">
        <v>112.11</v>
      </c>
      <c r="P2236">
        <v>120.75</v>
      </c>
      <c r="Q2236">
        <v>68.599999999999994</v>
      </c>
      <c r="R2236" s="3" t="s">
        <v>470</v>
      </c>
      <c r="S2236">
        <v>112.11</v>
      </c>
      <c r="T2236" t="s">
        <v>468</v>
      </c>
    </row>
    <row r="2237" spans="1:20" x14ac:dyDescent="0.25">
      <c r="A2237">
        <v>343</v>
      </c>
      <c r="B2237">
        <v>516108</v>
      </c>
      <c r="C2237" t="s">
        <v>405</v>
      </c>
      <c r="D2237">
        <v>2021</v>
      </c>
      <c r="E2237">
        <v>105</v>
      </c>
      <c r="F2237">
        <v>12.7</v>
      </c>
      <c r="G2237" t="s">
        <v>465</v>
      </c>
      <c r="H2237">
        <v>189.80000305175781</v>
      </c>
      <c r="I2237">
        <v>74</v>
      </c>
      <c r="L2237" t="s">
        <v>469</v>
      </c>
      <c r="M2237">
        <v>14.944882130059669</v>
      </c>
      <c r="N2237">
        <v>5.8267716535433074</v>
      </c>
      <c r="O2237">
        <v>112.11</v>
      </c>
      <c r="P2237">
        <v>120.75</v>
      </c>
      <c r="Q2237">
        <v>68.599999999999994</v>
      </c>
      <c r="R2237" s="3" t="s">
        <v>470</v>
      </c>
      <c r="S2237">
        <v>112.11</v>
      </c>
      <c r="T2237" t="s">
        <v>468</v>
      </c>
    </row>
    <row r="2238" spans="1:20" x14ac:dyDescent="0.25">
      <c r="A2238">
        <v>343</v>
      </c>
      <c r="B2238">
        <v>516108</v>
      </c>
      <c r="C2238" t="s">
        <v>405</v>
      </c>
      <c r="D2238">
        <v>2022</v>
      </c>
      <c r="E2238">
        <v>105</v>
      </c>
      <c r="F2238">
        <v>14.44</v>
      </c>
      <c r="G2238" t="s">
        <v>465</v>
      </c>
      <c r="H2238">
        <v>195</v>
      </c>
      <c r="I2238">
        <v>107</v>
      </c>
      <c r="L2238" t="s">
        <v>469</v>
      </c>
      <c r="M2238">
        <v>13.504155124653741</v>
      </c>
      <c r="N2238">
        <v>7.4099722991689756</v>
      </c>
      <c r="O2238">
        <v>112.11</v>
      </c>
      <c r="P2238">
        <v>120.75</v>
      </c>
      <c r="Q2238">
        <v>68.599999999999994</v>
      </c>
      <c r="R2238" s="3" t="s">
        <v>470</v>
      </c>
      <c r="S2238">
        <v>112.11</v>
      </c>
      <c r="T2238" t="s">
        <v>468</v>
      </c>
    </row>
    <row r="2239" spans="1:20" x14ac:dyDescent="0.25">
      <c r="A2239">
        <v>343</v>
      </c>
      <c r="B2239">
        <v>516108</v>
      </c>
      <c r="C2239" t="s">
        <v>405</v>
      </c>
      <c r="D2239">
        <v>2023</v>
      </c>
      <c r="E2239">
        <v>105</v>
      </c>
      <c r="F2239">
        <v>-8.89</v>
      </c>
      <c r="G2239" t="s">
        <v>465</v>
      </c>
      <c r="H2239">
        <v>140</v>
      </c>
      <c r="I2239">
        <v>85</v>
      </c>
      <c r="L2239" t="s">
        <v>471</v>
      </c>
      <c r="M2239">
        <v>-15.748031496062991</v>
      </c>
      <c r="N2239">
        <v>-9.5613048368953883</v>
      </c>
      <c r="O2239">
        <v>112.11</v>
      </c>
      <c r="P2239">
        <v>120.75</v>
      </c>
      <c r="Q2239">
        <v>68.599999999999994</v>
      </c>
      <c r="R2239" s="3" t="s">
        <v>470</v>
      </c>
      <c r="S2239">
        <v>112.11</v>
      </c>
      <c r="T2239" t="s">
        <v>468</v>
      </c>
    </row>
    <row r="2240" spans="1:20" x14ac:dyDescent="0.25">
      <c r="A2240">
        <v>343</v>
      </c>
      <c r="B2240">
        <v>516108</v>
      </c>
      <c r="C2240" t="s">
        <v>405</v>
      </c>
      <c r="D2240">
        <v>2024</v>
      </c>
      <c r="E2240">
        <v>105</v>
      </c>
      <c r="F2240">
        <v>-7.16</v>
      </c>
      <c r="G2240" t="s">
        <v>465</v>
      </c>
      <c r="H2240">
        <v>120.75</v>
      </c>
      <c r="I2240">
        <v>68.599998474121094</v>
      </c>
      <c r="L2240" t="s">
        <v>471</v>
      </c>
      <c r="M2240">
        <v>-16.864525139664799</v>
      </c>
      <c r="N2240">
        <v>-9.5810053734805987</v>
      </c>
      <c r="O2240">
        <v>112.11</v>
      </c>
      <c r="P2240">
        <v>120.75</v>
      </c>
      <c r="Q2240">
        <v>68.599999999999994</v>
      </c>
      <c r="R2240" s="3" t="s">
        <v>470</v>
      </c>
      <c r="S2240">
        <v>112.11</v>
      </c>
      <c r="T2240" t="s">
        <v>468</v>
      </c>
    </row>
    <row r="2241" spans="1:20" x14ac:dyDescent="0.25">
      <c r="A2241">
        <v>343</v>
      </c>
      <c r="B2241">
        <v>516108</v>
      </c>
      <c r="C2241" t="s">
        <v>405</v>
      </c>
      <c r="D2241">
        <v>2025</v>
      </c>
      <c r="E2241">
        <v>105</v>
      </c>
      <c r="F2241">
        <v>-5.14</v>
      </c>
      <c r="G2241" t="s">
        <v>465</v>
      </c>
      <c r="H2241">
        <v>112</v>
      </c>
      <c r="I2241">
        <v>65.099998474121094</v>
      </c>
      <c r="L2241" t="s">
        <v>471</v>
      </c>
      <c r="M2241">
        <v>-21.789883268482491</v>
      </c>
      <c r="N2241">
        <v>-12.66536935294185</v>
      </c>
      <c r="O2241">
        <v>112.11</v>
      </c>
      <c r="P2241">
        <v>120.75</v>
      </c>
      <c r="Q2241">
        <v>68.599999999999994</v>
      </c>
      <c r="R2241" s="3" t="s">
        <v>470</v>
      </c>
      <c r="S2241">
        <v>112.11</v>
      </c>
      <c r="T2241" t="s">
        <v>468</v>
      </c>
    </row>
    <row r="2242" spans="1:20" x14ac:dyDescent="0.25">
      <c r="A2242">
        <v>343</v>
      </c>
      <c r="B2242">
        <v>516108</v>
      </c>
      <c r="C2242" t="s">
        <v>405</v>
      </c>
      <c r="D2242">
        <v>2026</v>
      </c>
      <c r="E2242">
        <v>105</v>
      </c>
      <c r="F2242">
        <v>5.73</v>
      </c>
      <c r="G2242" t="s">
        <v>465</v>
      </c>
      <c r="H2242">
        <v>120</v>
      </c>
      <c r="I2242">
        <v>78</v>
      </c>
      <c r="L2242" t="s">
        <v>469</v>
      </c>
      <c r="M2242">
        <v>20.94240837696335</v>
      </c>
      <c r="N2242">
        <v>13.612565445026179</v>
      </c>
      <c r="O2242">
        <v>112.11</v>
      </c>
      <c r="P2242">
        <v>120.75</v>
      </c>
      <c r="Q2242">
        <v>68.599999999999994</v>
      </c>
      <c r="R2242" s="3" t="s">
        <v>470</v>
      </c>
      <c r="S2242">
        <v>112.11</v>
      </c>
      <c r="T2242" t="s">
        <v>468</v>
      </c>
    </row>
    <row r="2243" spans="1:20" x14ac:dyDescent="0.25">
      <c r="A2243">
        <v>344</v>
      </c>
      <c r="B2243">
        <v>516110</v>
      </c>
      <c r="C2243" t="s">
        <v>407</v>
      </c>
      <c r="D2243">
        <v>2015</v>
      </c>
      <c r="E2243">
        <v>2.7699999809265141</v>
      </c>
      <c r="F2243">
        <v>-3.41</v>
      </c>
      <c r="G2243" t="s">
        <v>465</v>
      </c>
      <c r="H2243">
        <v>5.3940219879150391</v>
      </c>
      <c r="I2243">
        <v>1.660403966903687</v>
      </c>
      <c r="L2243" t="s">
        <v>471</v>
      </c>
      <c r="M2243">
        <v>-1.5818246298871079</v>
      </c>
      <c r="N2243">
        <v>-0.48692198442923368</v>
      </c>
      <c r="O2243">
        <v>7.44</v>
      </c>
      <c r="P2243">
        <v>10.34</v>
      </c>
      <c r="Q2243">
        <v>6.01</v>
      </c>
      <c r="R2243" s="3" t="s">
        <v>470</v>
      </c>
      <c r="S2243">
        <v>7.44</v>
      </c>
      <c r="T2243" t="s">
        <v>468</v>
      </c>
    </row>
    <row r="2244" spans="1:20" x14ac:dyDescent="0.25">
      <c r="A2244">
        <v>344</v>
      </c>
      <c r="B2244">
        <v>516110</v>
      </c>
      <c r="C2244" t="s">
        <v>407</v>
      </c>
      <c r="D2244">
        <v>2016</v>
      </c>
      <c r="E2244">
        <v>2.7699999809265141</v>
      </c>
      <c r="G2244" t="s">
        <v>465</v>
      </c>
      <c r="H2244">
        <v>13.30158615112305</v>
      </c>
      <c r="I2244">
        <v>5.3940219879150391</v>
      </c>
      <c r="L2244" t="s">
        <v>466</v>
      </c>
      <c r="O2244">
        <v>7.44</v>
      </c>
      <c r="P2244">
        <v>10.34</v>
      </c>
      <c r="Q2244">
        <v>6.01</v>
      </c>
      <c r="R2244" s="3" t="s">
        <v>470</v>
      </c>
      <c r="S2244">
        <v>7.44</v>
      </c>
      <c r="T2244" t="s">
        <v>468</v>
      </c>
    </row>
    <row r="2245" spans="1:20" x14ac:dyDescent="0.25">
      <c r="A2245">
        <v>344</v>
      </c>
      <c r="B2245">
        <v>516110</v>
      </c>
      <c r="C2245" t="s">
        <v>407</v>
      </c>
      <c r="D2245">
        <v>2017</v>
      </c>
      <c r="E2245">
        <v>2.7699999809265141</v>
      </c>
      <c r="F2245">
        <v>0.02</v>
      </c>
      <c r="G2245" t="s">
        <v>465</v>
      </c>
      <c r="H2245">
        <v>20.6403923034668</v>
      </c>
      <c r="I2245">
        <v>9.4670600891113281</v>
      </c>
      <c r="L2245" t="s">
        <v>484</v>
      </c>
      <c r="M2245">
        <v>1032.0196151733401</v>
      </c>
      <c r="N2245">
        <v>473.35300445556641</v>
      </c>
      <c r="O2245">
        <v>7.44</v>
      </c>
      <c r="P2245">
        <v>10.34</v>
      </c>
      <c r="Q2245">
        <v>6.01</v>
      </c>
      <c r="R2245" s="3" t="s">
        <v>470</v>
      </c>
      <c r="S2245">
        <v>7.44</v>
      </c>
      <c r="T2245" t="s">
        <v>468</v>
      </c>
    </row>
    <row r="2246" spans="1:20" x14ac:dyDescent="0.25">
      <c r="A2246">
        <v>344</v>
      </c>
      <c r="B2246">
        <v>516110</v>
      </c>
      <c r="C2246" t="s">
        <v>407</v>
      </c>
      <c r="D2246">
        <v>2018</v>
      </c>
      <c r="E2246">
        <v>2.7699999809265141</v>
      </c>
      <c r="F2246">
        <v>0.12</v>
      </c>
      <c r="G2246" t="s">
        <v>465</v>
      </c>
      <c r="H2246">
        <v>22.245756149291989</v>
      </c>
      <c r="I2246">
        <v>9.3661508560180664</v>
      </c>
      <c r="L2246" t="s">
        <v>484</v>
      </c>
      <c r="M2246">
        <v>185.38130124409989</v>
      </c>
      <c r="N2246">
        <v>78.051257133483887</v>
      </c>
      <c r="O2246">
        <v>7.44</v>
      </c>
      <c r="P2246">
        <v>10.34</v>
      </c>
      <c r="Q2246">
        <v>6.01</v>
      </c>
      <c r="R2246" s="3" t="s">
        <v>470</v>
      </c>
      <c r="S2246">
        <v>7.44</v>
      </c>
      <c r="T2246" t="s">
        <v>468</v>
      </c>
    </row>
    <row r="2247" spans="1:20" x14ac:dyDescent="0.25">
      <c r="A2247">
        <v>344</v>
      </c>
      <c r="B2247">
        <v>516110</v>
      </c>
      <c r="C2247" t="s">
        <v>407</v>
      </c>
      <c r="D2247">
        <v>2019</v>
      </c>
      <c r="E2247">
        <v>2.7699999809265141</v>
      </c>
      <c r="G2247" t="s">
        <v>465</v>
      </c>
      <c r="H2247">
        <v>13.25571918487549</v>
      </c>
      <c r="I2247">
        <v>6.1737709045410156</v>
      </c>
      <c r="L2247" t="s">
        <v>466</v>
      </c>
      <c r="O2247">
        <v>7.44</v>
      </c>
      <c r="P2247">
        <v>10.34</v>
      </c>
      <c r="Q2247">
        <v>6.01</v>
      </c>
      <c r="R2247" s="3" t="s">
        <v>470</v>
      </c>
      <c r="S2247">
        <v>7.44</v>
      </c>
      <c r="T2247" t="s">
        <v>468</v>
      </c>
    </row>
    <row r="2248" spans="1:20" x14ac:dyDescent="0.25">
      <c r="A2248">
        <v>344</v>
      </c>
      <c r="B2248">
        <v>516110</v>
      </c>
      <c r="C2248" t="s">
        <v>407</v>
      </c>
      <c r="D2248">
        <v>2020</v>
      </c>
      <c r="E2248">
        <v>2.7699999809265141</v>
      </c>
      <c r="G2248" t="s">
        <v>465</v>
      </c>
      <c r="H2248">
        <v>13.14563655853271</v>
      </c>
      <c r="I2248">
        <v>4.926173210144043</v>
      </c>
      <c r="L2248" t="s">
        <v>466</v>
      </c>
      <c r="O2248">
        <v>7.44</v>
      </c>
      <c r="P2248">
        <v>10.34</v>
      </c>
      <c r="Q2248">
        <v>6.01</v>
      </c>
      <c r="R2248" s="3" t="s">
        <v>470</v>
      </c>
      <c r="S2248">
        <v>7.44</v>
      </c>
      <c r="T2248" t="s">
        <v>468</v>
      </c>
    </row>
    <row r="2249" spans="1:20" x14ac:dyDescent="0.25">
      <c r="A2249">
        <v>344</v>
      </c>
      <c r="B2249">
        <v>516110</v>
      </c>
      <c r="C2249" t="s">
        <v>407</v>
      </c>
      <c r="D2249">
        <v>2021</v>
      </c>
      <c r="E2249">
        <v>2.7699999809265141</v>
      </c>
      <c r="F2249">
        <v>0.56000000000000005</v>
      </c>
      <c r="G2249" t="s">
        <v>465</v>
      </c>
      <c r="H2249">
        <v>24.768472671508789</v>
      </c>
      <c r="I2249">
        <v>10.27432918548584</v>
      </c>
      <c r="L2249" t="s">
        <v>469</v>
      </c>
      <c r="M2249">
        <v>44.229415484837119</v>
      </c>
      <c r="N2249">
        <v>18.347016402653281</v>
      </c>
      <c r="O2249">
        <v>7.44</v>
      </c>
      <c r="P2249">
        <v>10.34</v>
      </c>
      <c r="Q2249">
        <v>6.01</v>
      </c>
      <c r="R2249" s="3" t="s">
        <v>470</v>
      </c>
      <c r="S2249">
        <v>7.44</v>
      </c>
      <c r="T2249" t="s">
        <v>468</v>
      </c>
    </row>
    <row r="2250" spans="1:20" x14ac:dyDescent="0.25">
      <c r="A2250">
        <v>344</v>
      </c>
      <c r="B2250">
        <v>516110</v>
      </c>
      <c r="C2250" t="s">
        <v>407</v>
      </c>
      <c r="D2250">
        <v>2022</v>
      </c>
      <c r="E2250">
        <v>2.7699999809265141</v>
      </c>
      <c r="F2250">
        <v>0.71</v>
      </c>
      <c r="G2250" t="s">
        <v>465</v>
      </c>
      <c r="H2250">
        <v>53.343948364257813</v>
      </c>
      <c r="I2250">
        <v>10.549533843994141</v>
      </c>
      <c r="L2250" t="s">
        <v>469</v>
      </c>
      <c r="M2250">
        <v>75.132321639799741</v>
      </c>
      <c r="N2250">
        <v>14.85849837182273</v>
      </c>
      <c r="O2250">
        <v>7.44</v>
      </c>
      <c r="P2250">
        <v>10.34</v>
      </c>
      <c r="Q2250">
        <v>6.01</v>
      </c>
      <c r="R2250" s="3" t="s">
        <v>470</v>
      </c>
      <c r="S2250">
        <v>7.44</v>
      </c>
      <c r="T2250" t="s">
        <v>468</v>
      </c>
    </row>
    <row r="2251" spans="1:20" x14ac:dyDescent="0.25">
      <c r="A2251">
        <v>344</v>
      </c>
      <c r="B2251">
        <v>516110</v>
      </c>
      <c r="C2251" t="s">
        <v>407</v>
      </c>
      <c r="D2251">
        <v>2023</v>
      </c>
      <c r="E2251">
        <v>2.7699999809265141</v>
      </c>
      <c r="F2251">
        <v>0.97</v>
      </c>
      <c r="G2251" t="s">
        <v>465</v>
      </c>
      <c r="H2251">
        <v>15.39999961853027</v>
      </c>
      <c r="I2251">
        <v>6.3499999046325684</v>
      </c>
      <c r="L2251" t="s">
        <v>469</v>
      </c>
      <c r="M2251">
        <v>15.87628826652605</v>
      </c>
      <c r="N2251">
        <v>6.5463916542603799</v>
      </c>
      <c r="O2251">
        <v>7.44</v>
      </c>
      <c r="P2251">
        <v>10.34</v>
      </c>
      <c r="Q2251">
        <v>6.01</v>
      </c>
      <c r="R2251" s="3" t="s">
        <v>470</v>
      </c>
      <c r="S2251">
        <v>7.44</v>
      </c>
      <c r="T2251" t="s">
        <v>468</v>
      </c>
    </row>
    <row r="2252" spans="1:20" x14ac:dyDescent="0.25">
      <c r="A2252">
        <v>344</v>
      </c>
      <c r="B2252">
        <v>516110</v>
      </c>
      <c r="C2252" t="s">
        <v>407</v>
      </c>
      <c r="D2252">
        <v>2024</v>
      </c>
      <c r="E2252">
        <v>2.7699999809265141</v>
      </c>
      <c r="F2252">
        <v>2.3199999999999998</v>
      </c>
      <c r="G2252" t="s">
        <v>465</v>
      </c>
      <c r="H2252">
        <v>10.340000152587891</v>
      </c>
      <c r="I2252">
        <v>6.2300000190734863</v>
      </c>
      <c r="L2252" t="s">
        <v>469</v>
      </c>
      <c r="M2252">
        <v>4.4568966174947811</v>
      </c>
      <c r="N2252">
        <v>2.685344835807538</v>
      </c>
      <c r="O2252">
        <v>7.44</v>
      </c>
      <c r="P2252">
        <v>10.34</v>
      </c>
      <c r="Q2252">
        <v>6.01</v>
      </c>
      <c r="R2252" s="3" t="s">
        <v>470</v>
      </c>
      <c r="S2252">
        <v>7.44</v>
      </c>
      <c r="T2252" t="s">
        <v>468</v>
      </c>
    </row>
    <row r="2253" spans="1:20" x14ac:dyDescent="0.25">
      <c r="A2253">
        <v>344</v>
      </c>
      <c r="B2253">
        <v>516110</v>
      </c>
      <c r="C2253" t="s">
        <v>407</v>
      </c>
      <c r="D2253">
        <v>2025</v>
      </c>
      <c r="E2253">
        <v>2.7699999809265141</v>
      </c>
      <c r="F2253">
        <v>-8.17</v>
      </c>
      <c r="G2253" t="s">
        <v>465</v>
      </c>
      <c r="H2253">
        <v>7.2899999618530273</v>
      </c>
      <c r="I2253">
        <v>3.4000000953674321</v>
      </c>
      <c r="L2253" t="s">
        <v>471</v>
      </c>
      <c r="M2253">
        <v>-0.89228885701995442</v>
      </c>
      <c r="N2253">
        <v>-0.41615668241951431</v>
      </c>
      <c r="O2253">
        <v>7.44</v>
      </c>
      <c r="P2253">
        <v>10.34</v>
      </c>
      <c r="Q2253">
        <v>6.01</v>
      </c>
      <c r="R2253" s="3" t="s">
        <v>470</v>
      </c>
      <c r="S2253">
        <v>7.44</v>
      </c>
      <c r="T2253" t="s">
        <v>468</v>
      </c>
    </row>
    <row r="2254" spans="1:20" x14ac:dyDescent="0.25">
      <c r="A2254">
        <v>344</v>
      </c>
      <c r="B2254">
        <v>516110</v>
      </c>
      <c r="C2254" t="s">
        <v>407</v>
      </c>
      <c r="D2254">
        <v>2026</v>
      </c>
      <c r="E2254">
        <v>2.7699999809265141</v>
      </c>
      <c r="F2254">
        <v>-1.61</v>
      </c>
      <c r="G2254" t="s">
        <v>465</v>
      </c>
      <c r="H2254">
        <v>4.0799999237060547</v>
      </c>
      <c r="I2254">
        <v>2.5099999904632568</v>
      </c>
      <c r="L2254" t="s">
        <v>471</v>
      </c>
      <c r="M2254">
        <v>-2.534161443295686</v>
      </c>
      <c r="N2254">
        <v>-1.5590062052566811</v>
      </c>
      <c r="O2254">
        <v>7.44</v>
      </c>
      <c r="P2254">
        <v>10.34</v>
      </c>
      <c r="Q2254">
        <v>6.01</v>
      </c>
      <c r="R2254" s="3" t="s">
        <v>470</v>
      </c>
      <c r="S2254">
        <v>7.44</v>
      </c>
      <c r="T2254" t="s">
        <v>468</v>
      </c>
    </row>
    <row r="2255" spans="1:20" x14ac:dyDescent="0.25">
      <c r="A2255">
        <v>371</v>
      </c>
      <c r="B2255">
        <v>517044</v>
      </c>
      <c r="C2255" t="s">
        <v>409</v>
      </c>
      <c r="D2255">
        <v>2015</v>
      </c>
      <c r="E2255">
        <v>37.610000610351563</v>
      </c>
      <c r="F2255">
        <v>-0.64</v>
      </c>
      <c r="G2255" t="s">
        <v>465</v>
      </c>
      <c r="H2255">
        <v>16.25</v>
      </c>
      <c r="I2255">
        <v>16.25</v>
      </c>
      <c r="L2255" t="s">
        <v>471</v>
      </c>
      <c r="M2255">
        <v>-25.390625</v>
      </c>
      <c r="N2255">
        <v>-25.390625</v>
      </c>
      <c r="O2255">
        <v>26.91</v>
      </c>
      <c r="P2255">
        <v>38.32</v>
      </c>
      <c r="Q2255">
        <v>15.68</v>
      </c>
      <c r="R2255" s="3" t="s">
        <v>470</v>
      </c>
      <c r="S2255">
        <v>26.91</v>
      </c>
      <c r="T2255" t="s">
        <v>468</v>
      </c>
    </row>
    <row r="2256" spans="1:20" x14ac:dyDescent="0.25">
      <c r="A2256">
        <v>371</v>
      </c>
      <c r="B2256">
        <v>517044</v>
      </c>
      <c r="C2256" t="s">
        <v>409</v>
      </c>
      <c r="D2256">
        <v>2016</v>
      </c>
      <c r="E2256">
        <v>37.610000610351563</v>
      </c>
      <c r="F2256">
        <v>-0.14000000000000001</v>
      </c>
      <c r="G2256" t="s">
        <v>465</v>
      </c>
      <c r="H2256">
        <v>19.64999961853027</v>
      </c>
      <c r="I2256">
        <v>16.25</v>
      </c>
      <c r="L2256" t="s">
        <v>471</v>
      </c>
      <c r="M2256">
        <v>-140.35714013235909</v>
      </c>
      <c r="N2256">
        <v>-116.0714285714286</v>
      </c>
      <c r="O2256">
        <v>26.91</v>
      </c>
      <c r="P2256">
        <v>38.32</v>
      </c>
      <c r="Q2256">
        <v>15.68</v>
      </c>
      <c r="R2256" s="3" t="s">
        <v>470</v>
      </c>
      <c r="S2256">
        <v>26.91</v>
      </c>
      <c r="T2256" t="s">
        <v>468</v>
      </c>
    </row>
    <row r="2257" spans="1:20" x14ac:dyDescent="0.25">
      <c r="A2257">
        <v>371</v>
      </c>
      <c r="B2257">
        <v>517044</v>
      </c>
      <c r="C2257" t="s">
        <v>409</v>
      </c>
      <c r="D2257">
        <v>2017</v>
      </c>
      <c r="E2257">
        <v>37.610000610351563</v>
      </c>
      <c r="F2257">
        <v>-0.64</v>
      </c>
      <c r="G2257" t="s">
        <v>465</v>
      </c>
      <c r="H2257">
        <v>23.14999961853027</v>
      </c>
      <c r="I2257">
        <v>16.29999923706055</v>
      </c>
      <c r="L2257" t="s">
        <v>471</v>
      </c>
      <c r="M2257">
        <v>-36.171874403953552</v>
      </c>
      <c r="N2257">
        <v>-25.468748807907112</v>
      </c>
      <c r="O2257">
        <v>26.91</v>
      </c>
      <c r="P2257">
        <v>38.32</v>
      </c>
      <c r="Q2257">
        <v>15.68</v>
      </c>
      <c r="R2257" s="3" t="s">
        <v>470</v>
      </c>
      <c r="S2257">
        <v>26.91</v>
      </c>
      <c r="T2257" t="s">
        <v>468</v>
      </c>
    </row>
    <row r="2258" spans="1:20" x14ac:dyDescent="0.25">
      <c r="A2258">
        <v>371</v>
      </c>
      <c r="B2258">
        <v>517044</v>
      </c>
      <c r="C2258" t="s">
        <v>409</v>
      </c>
      <c r="D2258">
        <v>2018</v>
      </c>
      <c r="E2258">
        <v>37.610000610351563</v>
      </c>
      <c r="F2258">
        <v>44.95</v>
      </c>
      <c r="G2258" t="s">
        <v>465</v>
      </c>
      <c r="H2258">
        <v>16.29999923706055</v>
      </c>
      <c r="I2258">
        <v>11.060000419616699</v>
      </c>
      <c r="L2258" t="s">
        <v>469</v>
      </c>
      <c r="M2258">
        <v>0.36262512207031261</v>
      </c>
      <c r="N2258">
        <v>0.24605117729959289</v>
      </c>
      <c r="O2258">
        <v>26.91</v>
      </c>
      <c r="P2258">
        <v>38.32</v>
      </c>
      <c r="Q2258">
        <v>15.68</v>
      </c>
      <c r="R2258" s="3" t="s">
        <v>470</v>
      </c>
      <c r="S2258">
        <v>26.91</v>
      </c>
      <c r="T2258" t="s">
        <v>468</v>
      </c>
    </row>
    <row r="2259" spans="1:20" x14ac:dyDescent="0.25">
      <c r="A2259">
        <v>371</v>
      </c>
      <c r="B2259">
        <v>517044</v>
      </c>
      <c r="C2259" t="s">
        <v>409</v>
      </c>
      <c r="D2259">
        <v>2019</v>
      </c>
      <c r="E2259">
        <v>37.610000610351563</v>
      </c>
      <c r="F2259">
        <v>-0.73</v>
      </c>
      <c r="G2259" t="s">
        <v>465</v>
      </c>
      <c r="H2259">
        <v>14.55000019073486</v>
      </c>
      <c r="I2259">
        <v>7.4699997901916504</v>
      </c>
      <c r="L2259" t="s">
        <v>471</v>
      </c>
      <c r="M2259">
        <v>-19.9315071105957</v>
      </c>
      <c r="N2259">
        <v>-10.23287642492007</v>
      </c>
      <c r="O2259">
        <v>26.91</v>
      </c>
      <c r="P2259">
        <v>38.32</v>
      </c>
      <c r="Q2259">
        <v>15.68</v>
      </c>
      <c r="R2259" s="3" t="s">
        <v>470</v>
      </c>
      <c r="S2259">
        <v>26.91</v>
      </c>
      <c r="T2259" t="s">
        <v>468</v>
      </c>
    </row>
    <row r="2260" spans="1:20" x14ac:dyDescent="0.25">
      <c r="A2260">
        <v>371</v>
      </c>
      <c r="B2260">
        <v>517044</v>
      </c>
      <c r="C2260" t="s">
        <v>409</v>
      </c>
      <c r="D2260">
        <v>2020</v>
      </c>
      <c r="E2260">
        <v>37.610000610351563</v>
      </c>
      <c r="F2260">
        <v>-0.77</v>
      </c>
      <c r="G2260" t="s">
        <v>465</v>
      </c>
      <c r="H2260">
        <v>7.7800002098083496</v>
      </c>
      <c r="I2260">
        <v>5</v>
      </c>
      <c r="L2260" t="s">
        <v>471</v>
      </c>
      <c r="M2260">
        <v>-10.103896376374481</v>
      </c>
      <c r="N2260">
        <v>-6.4935064935064926</v>
      </c>
      <c r="O2260">
        <v>26.91</v>
      </c>
      <c r="P2260">
        <v>38.32</v>
      </c>
      <c r="Q2260">
        <v>15.68</v>
      </c>
      <c r="R2260" s="3" t="s">
        <v>470</v>
      </c>
      <c r="S2260">
        <v>26.91</v>
      </c>
      <c r="T2260" t="s">
        <v>468</v>
      </c>
    </row>
    <row r="2261" spans="1:20" x14ac:dyDescent="0.25">
      <c r="A2261">
        <v>371</v>
      </c>
      <c r="B2261">
        <v>517044</v>
      </c>
      <c r="C2261" t="s">
        <v>409</v>
      </c>
      <c r="D2261">
        <v>2021</v>
      </c>
      <c r="E2261">
        <v>37.610000610351563</v>
      </c>
      <c r="F2261">
        <v>-0.41</v>
      </c>
      <c r="G2261" t="s">
        <v>465</v>
      </c>
      <c r="H2261">
        <v>24.85000038146973</v>
      </c>
      <c r="I2261">
        <v>3.5399999618530269</v>
      </c>
      <c r="L2261" t="s">
        <v>471</v>
      </c>
      <c r="M2261">
        <v>-60.609757027974958</v>
      </c>
      <c r="N2261">
        <v>-8.6341462484220166</v>
      </c>
      <c r="O2261">
        <v>26.91</v>
      </c>
      <c r="P2261">
        <v>38.32</v>
      </c>
      <c r="Q2261">
        <v>15.68</v>
      </c>
      <c r="R2261" s="3" t="s">
        <v>470</v>
      </c>
      <c r="S2261">
        <v>26.91</v>
      </c>
      <c r="T2261" t="s">
        <v>468</v>
      </c>
    </row>
    <row r="2262" spans="1:20" x14ac:dyDescent="0.25">
      <c r="A2262">
        <v>371</v>
      </c>
      <c r="B2262">
        <v>517044</v>
      </c>
      <c r="C2262" t="s">
        <v>409</v>
      </c>
      <c r="D2262">
        <v>2022</v>
      </c>
      <c r="E2262">
        <v>37.610000610351563</v>
      </c>
      <c r="F2262">
        <v>-0.36</v>
      </c>
      <c r="G2262" t="s">
        <v>465</v>
      </c>
      <c r="H2262">
        <v>25.10000038146973</v>
      </c>
      <c r="I2262">
        <v>7.6999998092651367</v>
      </c>
      <c r="L2262" t="s">
        <v>471</v>
      </c>
      <c r="M2262">
        <v>-69.722223281860366</v>
      </c>
      <c r="N2262">
        <v>-21.388888359069821</v>
      </c>
      <c r="O2262">
        <v>26.91</v>
      </c>
      <c r="P2262">
        <v>38.32</v>
      </c>
      <c r="Q2262">
        <v>15.68</v>
      </c>
      <c r="R2262" s="3" t="s">
        <v>470</v>
      </c>
      <c r="S2262">
        <v>26.91</v>
      </c>
      <c r="T2262" t="s">
        <v>468</v>
      </c>
    </row>
    <row r="2263" spans="1:20" x14ac:dyDescent="0.25">
      <c r="A2263">
        <v>371</v>
      </c>
      <c r="B2263">
        <v>517044</v>
      </c>
      <c r="C2263" t="s">
        <v>409</v>
      </c>
      <c r="D2263">
        <v>2023</v>
      </c>
      <c r="E2263">
        <v>37.610000610351563</v>
      </c>
      <c r="F2263">
        <v>-7.5</v>
      </c>
      <c r="G2263" t="s">
        <v>465</v>
      </c>
      <c r="H2263">
        <v>21.45000076293945</v>
      </c>
      <c r="I2263">
        <v>10</v>
      </c>
      <c r="L2263" t="s">
        <v>471</v>
      </c>
      <c r="M2263">
        <v>-2.8600001017252601</v>
      </c>
      <c r="N2263">
        <v>-1.333333333333333</v>
      </c>
      <c r="O2263">
        <v>26.91</v>
      </c>
      <c r="P2263">
        <v>38.32</v>
      </c>
      <c r="Q2263">
        <v>15.68</v>
      </c>
      <c r="R2263" s="3" t="s">
        <v>470</v>
      </c>
      <c r="S2263">
        <v>26.91</v>
      </c>
      <c r="T2263" t="s">
        <v>468</v>
      </c>
    </row>
    <row r="2264" spans="1:20" x14ac:dyDescent="0.25">
      <c r="A2264">
        <v>371</v>
      </c>
      <c r="B2264">
        <v>517044</v>
      </c>
      <c r="C2264" t="s">
        <v>409</v>
      </c>
      <c r="D2264">
        <v>2024</v>
      </c>
      <c r="E2264">
        <v>37.610000610351563</v>
      </c>
      <c r="F2264">
        <v>-0.77</v>
      </c>
      <c r="G2264" t="s">
        <v>465</v>
      </c>
      <c r="H2264">
        <v>38.319999694824219</v>
      </c>
      <c r="I2264">
        <v>13.39999961853027</v>
      </c>
      <c r="L2264" t="s">
        <v>471</v>
      </c>
      <c r="M2264">
        <v>-49.766233369901578</v>
      </c>
      <c r="N2264">
        <v>-17.402596907182168</v>
      </c>
      <c r="O2264">
        <v>26.91</v>
      </c>
      <c r="P2264">
        <v>38.32</v>
      </c>
      <c r="Q2264">
        <v>15.68</v>
      </c>
      <c r="R2264" s="3" t="s">
        <v>470</v>
      </c>
      <c r="S2264">
        <v>26.91</v>
      </c>
      <c r="T2264" t="s">
        <v>468</v>
      </c>
    </row>
    <row r="2265" spans="1:20" x14ac:dyDescent="0.25">
      <c r="A2265">
        <v>371</v>
      </c>
      <c r="B2265">
        <v>517044</v>
      </c>
      <c r="C2265" t="s">
        <v>409</v>
      </c>
      <c r="D2265">
        <v>2025</v>
      </c>
      <c r="E2265">
        <v>37.610000610351563</v>
      </c>
      <c r="F2265">
        <v>-0.59</v>
      </c>
      <c r="G2265" t="s">
        <v>465</v>
      </c>
      <c r="H2265">
        <v>40.669998168945313</v>
      </c>
      <c r="I2265">
        <v>20.79999923706055</v>
      </c>
      <c r="L2265" t="s">
        <v>471</v>
      </c>
      <c r="M2265">
        <v>-68.932200286347992</v>
      </c>
      <c r="N2265">
        <v>-35.254235995017893</v>
      </c>
      <c r="O2265">
        <v>26.91</v>
      </c>
      <c r="P2265">
        <v>38.32</v>
      </c>
      <c r="Q2265">
        <v>15.68</v>
      </c>
      <c r="R2265" s="3" t="s">
        <v>470</v>
      </c>
      <c r="S2265">
        <v>26.91</v>
      </c>
      <c r="T2265" t="s">
        <v>468</v>
      </c>
    </row>
    <row r="2266" spans="1:20" x14ac:dyDescent="0.25">
      <c r="A2266">
        <v>371</v>
      </c>
      <c r="B2266">
        <v>517044</v>
      </c>
      <c r="C2266" t="s">
        <v>409</v>
      </c>
      <c r="D2266">
        <v>2026</v>
      </c>
      <c r="E2266">
        <v>37.610000610351563</v>
      </c>
      <c r="F2266">
        <v>-0.64</v>
      </c>
      <c r="G2266" t="s">
        <v>465</v>
      </c>
      <c r="H2266">
        <v>37.610000610351563</v>
      </c>
      <c r="I2266">
        <v>26.60000038146973</v>
      </c>
      <c r="L2266" t="s">
        <v>471</v>
      </c>
      <c r="M2266">
        <v>-58.765625953674324</v>
      </c>
      <c r="N2266">
        <v>-41.562500596046448</v>
      </c>
      <c r="O2266">
        <v>26.91</v>
      </c>
      <c r="P2266">
        <v>38.32</v>
      </c>
      <c r="Q2266">
        <v>15.68</v>
      </c>
      <c r="R2266" s="3" t="s">
        <v>470</v>
      </c>
      <c r="S2266">
        <v>26.91</v>
      </c>
      <c r="T2266" t="s">
        <v>468</v>
      </c>
    </row>
    <row r="2267" spans="1:20" x14ac:dyDescent="0.25">
      <c r="A2267">
        <v>373</v>
      </c>
      <c r="B2267">
        <v>517146</v>
      </c>
      <c r="C2267" t="s">
        <v>411</v>
      </c>
      <c r="D2267">
        <v>2015</v>
      </c>
      <c r="E2267">
        <v>501.89999389648438</v>
      </c>
      <c r="F2267">
        <v>-8.31</v>
      </c>
      <c r="G2267" t="s">
        <v>465</v>
      </c>
      <c r="H2267">
        <v>34.349998474121087</v>
      </c>
      <c r="I2267">
        <v>10.14999961853027</v>
      </c>
      <c r="L2267" t="s">
        <v>471</v>
      </c>
      <c r="M2267">
        <v>-4.1335738236006119</v>
      </c>
      <c r="N2267">
        <v>-1.22141993002771</v>
      </c>
      <c r="O2267">
        <v>5.52</v>
      </c>
      <c r="P2267">
        <v>7.14</v>
      </c>
      <c r="Q2267">
        <v>3.88</v>
      </c>
      <c r="R2267" s="3" t="s">
        <v>470</v>
      </c>
      <c r="S2267">
        <v>5.52</v>
      </c>
      <c r="T2267" t="s">
        <v>468</v>
      </c>
    </row>
    <row r="2268" spans="1:20" x14ac:dyDescent="0.25">
      <c r="A2268">
        <v>373</v>
      </c>
      <c r="B2268">
        <v>517146</v>
      </c>
      <c r="C2268" t="s">
        <v>411</v>
      </c>
      <c r="D2268">
        <v>2016</v>
      </c>
      <c r="E2268">
        <v>501.89999389648438</v>
      </c>
      <c r="F2268">
        <v>-14.1</v>
      </c>
      <c r="G2268" t="s">
        <v>465</v>
      </c>
      <c r="H2268">
        <v>20</v>
      </c>
      <c r="I2268">
        <v>6.75</v>
      </c>
      <c r="L2268" t="s">
        <v>471</v>
      </c>
      <c r="M2268">
        <v>-1.418439716312057</v>
      </c>
      <c r="N2268">
        <v>-0.47872340425531917</v>
      </c>
      <c r="O2268">
        <v>5.52</v>
      </c>
      <c r="P2268">
        <v>7.14</v>
      </c>
      <c r="Q2268">
        <v>3.88</v>
      </c>
      <c r="R2268" s="3" t="s">
        <v>470</v>
      </c>
      <c r="S2268">
        <v>5.52</v>
      </c>
      <c r="T2268" t="s">
        <v>468</v>
      </c>
    </row>
    <row r="2269" spans="1:20" x14ac:dyDescent="0.25">
      <c r="A2269">
        <v>373</v>
      </c>
      <c r="B2269">
        <v>517146</v>
      </c>
      <c r="C2269" t="s">
        <v>411</v>
      </c>
      <c r="D2269">
        <v>2017</v>
      </c>
      <c r="E2269">
        <v>501.89999389648438</v>
      </c>
      <c r="F2269">
        <v>-11.78</v>
      </c>
      <c r="G2269" t="s">
        <v>465</v>
      </c>
      <c r="H2269">
        <v>28.89999961853027</v>
      </c>
      <c r="I2269">
        <v>15.25</v>
      </c>
      <c r="L2269" t="s">
        <v>471</v>
      </c>
      <c r="M2269">
        <v>-2.453310663712247</v>
      </c>
      <c r="N2269">
        <v>-1.2945670628183359</v>
      </c>
      <c r="O2269">
        <v>5.52</v>
      </c>
      <c r="P2269">
        <v>7.14</v>
      </c>
      <c r="Q2269">
        <v>3.88</v>
      </c>
      <c r="R2269" s="3" t="s">
        <v>470</v>
      </c>
      <c r="S2269">
        <v>5.52</v>
      </c>
      <c r="T2269" t="s">
        <v>468</v>
      </c>
    </row>
    <row r="2270" spans="1:20" x14ac:dyDescent="0.25">
      <c r="A2270">
        <v>373</v>
      </c>
      <c r="B2270">
        <v>517146</v>
      </c>
      <c r="C2270" t="s">
        <v>411</v>
      </c>
      <c r="D2270">
        <v>2018</v>
      </c>
      <c r="E2270">
        <v>501.89999389648438</v>
      </c>
      <c r="F2270">
        <v>-8.9</v>
      </c>
      <c r="G2270" t="s">
        <v>465</v>
      </c>
      <c r="H2270">
        <v>45.700000762939453</v>
      </c>
      <c r="I2270">
        <v>17.89999961853027</v>
      </c>
      <c r="L2270" t="s">
        <v>471</v>
      </c>
      <c r="M2270">
        <v>-5.1348315463976908</v>
      </c>
      <c r="N2270">
        <v>-2.0112359121944121</v>
      </c>
      <c r="O2270">
        <v>5.52</v>
      </c>
      <c r="P2270">
        <v>7.14</v>
      </c>
      <c r="Q2270">
        <v>3.88</v>
      </c>
      <c r="R2270" s="3" t="s">
        <v>470</v>
      </c>
      <c r="S2270">
        <v>5.52</v>
      </c>
      <c r="T2270" t="s">
        <v>468</v>
      </c>
    </row>
    <row r="2271" spans="1:20" x14ac:dyDescent="0.25">
      <c r="A2271">
        <v>373</v>
      </c>
      <c r="B2271">
        <v>517146</v>
      </c>
      <c r="C2271" t="s">
        <v>411</v>
      </c>
      <c r="D2271">
        <v>2019</v>
      </c>
      <c r="E2271">
        <v>501.89999389648438</v>
      </c>
      <c r="F2271">
        <v>1.57</v>
      </c>
      <c r="G2271" t="s">
        <v>465</v>
      </c>
      <c r="H2271">
        <v>43.299999237060547</v>
      </c>
      <c r="I2271">
        <v>21.5</v>
      </c>
      <c r="L2271" t="s">
        <v>469</v>
      </c>
      <c r="M2271">
        <v>27.579617348446209</v>
      </c>
      <c r="N2271">
        <v>13.69426751592357</v>
      </c>
      <c r="O2271">
        <v>5.52</v>
      </c>
      <c r="P2271">
        <v>7.14</v>
      </c>
      <c r="Q2271">
        <v>3.88</v>
      </c>
      <c r="R2271" s="3" t="s">
        <v>470</v>
      </c>
      <c r="S2271">
        <v>5.52</v>
      </c>
      <c r="T2271" t="s">
        <v>468</v>
      </c>
    </row>
    <row r="2272" spans="1:20" x14ac:dyDescent="0.25">
      <c r="A2272">
        <v>373</v>
      </c>
      <c r="B2272">
        <v>517146</v>
      </c>
      <c r="C2272" t="s">
        <v>411</v>
      </c>
      <c r="D2272">
        <v>2020</v>
      </c>
      <c r="E2272">
        <v>501.89999389648438</v>
      </c>
      <c r="F2272">
        <v>13.74</v>
      </c>
      <c r="G2272" t="s">
        <v>465</v>
      </c>
      <c r="H2272">
        <v>38.400001525878913</v>
      </c>
      <c r="I2272">
        <v>10.5</v>
      </c>
      <c r="L2272" t="s">
        <v>469</v>
      </c>
      <c r="M2272">
        <v>2.7947599363812889</v>
      </c>
      <c r="N2272">
        <v>0.76419213973799127</v>
      </c>
      <c r="O2272">
        <v>5.52</v>
      </c>
      <c r="P2272">
        <v>7.14</v>
      </c>
      <c r="Q2272">
        <v>3.88</v>
      </c>
      <c r="R2272" s="3" t="s">
        <v>470</v>
      </c>
      <c r="S2272">
        <v>5.52</v>
      </c>
      <c r="T2272" t="s">
        <v>468</v>
      </c>
    </row>
    <row r="2273" spans="1:20" x14ac:dyDescent="0.25">
      <c r="A2273">
        <v>373</v>
      </c>
      <c r="B2273">
        <v>517146</v>
      </c>
      <c r="C2273" t="s">
        <v>411</v>
      </c>
      <c r="D2273">
        <v>2021</v>
      </c>
      <c r="E2273">
        <v>501.89999389648438</v>
      </c>
      <c r="F2273">
        <v>4.91</v>
      </c>
      <c r="G2273" t="s">
        <v>465</v>
      </c>
      <c r="H2273">
        <v>102.65000152587891</v>
      </c>
      <c r="I2273">
        <v>28.35000038146973</v>
      </c>
      <c r="L2273" t="s">
        <v>469</v>
      </c>
      <c r="M2273">
        <v>20.906313956390811</v>
      </c>
      <c r="N2273">
        <v>5.773930831256564</v>
      </c>
      <c r="O2273">
        <v>5.52</v>
      </c>
      <c r="P2273">
        <v>7.14</v>
      </c>
      <c r="Q2273">
        <v>3.88</v>
      </c>
      <c r="R2273" s="3" t="s">
        <v>470</v>
      </c>
      <c r="S2273">
        <v>5.52</v>
      </c>
      <c r="T2273" t="s">
        <v>468</v>
      </c>
    </row>
    <row r="2274" spans="1:20" x14ac:dyDescent="0.25">
      <c r="A2274">
        <v>373</v>
      </c>
      <c r="B2274">
        <v>517146</v>
      </c>
      <c r="C2274" t="s">
        <v>411</v>
      </c>
      <c r="D2274">
        <v>2022</v>
      </c>
      <c r="E2274">
        <v>501.89999389648438</v>
      </c>
      <c r="F2274">
        <v>9.56</v>
      </c>
      <c r="G2274" t="s">
        <v>465</v>
      </c>
      <c r="H2274">
        <v>181.6000061035156</v>
      </c>
      <c r="I2274">
        <v>80.550003051757813</v>
      </c>
      <c r="L2274" t="s">
        <v>469</v>
      </c>
      <c r="M2274">
        <v>18.995816538024641</v>
      </c>
      <c r="N2274">
        <v>8.4257325367947491</v>
      </c>
      <c r="O2274">
        <v>5.52</v>
      </c>
      <c r="P2274">
        <v>7.14</v>
      </c>
      <c r="Q2274">
        <v>3.88</v>
      </c>
      <c r="R2274" s="3" t="s">
        <v>470</v>
      </c>
      <c r="S2274">
        <v>5.52</v>
      </c>
      <c r="T2274" t="s">
        <v>468</v>
      </c>
    </row>
    <row r="2275" spans="1:20" x14ac:dyDescent="0.25">
      <c r="A2275">
        <v>373</v>
      </c>
      <c r="B2275">
        <v>517146</v>
      </c>
      <c r="C2275" t="s">
        <v>411</v>
      </c>
      <c r="D2275">
        <v>2023</v>
      </c>
      <c r="E2275">
        <v>501.89999389648438</v>
      </c>
      <c r="F2275">
        <v>11.49</v>
      </c>
      <c r="G2275" t="s">
        <v>465</v>
      </c>
      <c r="H2275">
        <v>373.60000610351563</v>
      </c>
      <c r="I2275">
        <v>164.44999694824219</v>
      </c>
      <c r="L2275" t="s">
        <v>469</v>
      </c>
      <c r="M2275">
        <v>32.515231166537482</v>
      </c>
      <c r="N2275">
        <v>14.3124453392726</v>
      </c>
      <c r="O2275">
        <v>5.52</v>
      </c>
      <c r="P2275">
        <v>7.14</v>
      </c>
      <c r="Q2275">
        <v>3.88</v>
      </c>
      <c r="R2275" s="3" t="s">
        <v>470</v>
      </c>
      <c r="S2275">
        <v>5.52</v>
      </c>
      <c r="T2275" t="s">
        <v>468</v>
      </c>
    </row>
    <row r="2276" spans="1:20" x14ac:dyDescent="0.25">
      <c r="A2276">
        <v>373</v>
      </c>
      <c r="B2276">
        <v>517146</v>
      </c>
      <c r="C2276" t="s">
        <v>411</v>
      </c>
      <c r="D2276">
        <v>2024</v>
      </c>
      <c r="E2276">
        <v>501.89999389648438</v>
      </c>
      <c r="F2276">
        <v>13.91</v>
      </c>
      <c r="G2276" t="s">
        <v>465</v>
      </c>
      <c r="H2276">
        <v>450.85000610351563</v>
      </c>
      <c r="I2276">
        <v>272.64999389648438</v>
      </c>
      <c r="L2276" t="s">
        <v>469</v>
      </c>
      <c r="M2276">
        <v>32.411934299318162</v>
      </c>
      <c r="N2276">
        <v>19.601006031379178</v>
      </c>
      <c r="O2276">
        <v>5.52</v>
      </c>
      <c r="P2276">
        <v>7.14</v>
      </c>
      <c r="Q2276">
        <v>3.88</v>
      </c>
      <c r="R2276" s="3" t="s">
        <v>470</v>
      </c>
      <c r="S2276">
        <v>5.52</v>
      </c>
      <c r="T2276" t="s">
        <v>468</v>
      </c>
    </row>
    <row r="2277" spans="1:20" x14ac:dyDescent="0.25">
      <c r="A2277">
        <v>373</v>
      </c>
      <c r="B2277">
        <v>517146</v>
      </c>
      <c r="C2277" t="s">
        <v>411</v>
      </c>
      <c r="D2277">
        <v>2025</v>
      </c>
      <c r="E2277">
        <v>501.89999389648438</v>
      </c>
      <c r="F2277">
        <v>13.37</v>
      </c>
      <c r="G2277" t="s">
        <v>465</v>
      </c>
      <c r="H2277">
        <v>497.5</v>
      </c>
      <c r="I2277">
        <v>278.79998779296881</v>
      </c>
      <c r="L2277" t="s">
        <v>469</v>
      </c>
      <c r="M2277">
        <v>37.210172026925953</v>
      </c>
      <c r="N2277">
        <v>20.85265428518839</v>
      </c>
      <c r="O2277">
        <v>5.52</v>
      </c>
      <c r="P2277">
        <v>7.14</v>
      </c>
      <c r="Q2277">
        <v>3.88</v>
      </c>
      <c r="R2277" s="3" t="s">
        <v>470</v>
      </c>
      <c r="S2277">
        <v>5.52</v>
      </c>
      <c r="T2277" t="s">
        <v>468</v>
      </c>
    </row>
    <row r="2278" spans="1:20" x14ac:dyDescent="0.25">
      <c r="A2278">
        <v>373</v>
      </c>
      <c r="B2278">
        <v>517146</v>
      </c>
      <c r="C2278" t="s">
        <v>411</v>
      </c>
      <c r="D2278">
        <v>2026</v>
      </c>
      <c r="E2278">
        <v>501.89999389648438</v>
      </c>
      <c r="F2278">
        <v>15.29</v>
      </c>
      <c r="G2278" t="s">
        <v>465</v>
      </c>
      <c r="H2278">
        <v>527</v>
      </c>
      <c r="I2278">
        <v>378.54998779296881</v>
      </c>
      <c r="L2278" t="s">
        <v>469</v>
      </c>
      <c r="M2278">
        <v>34.466971877043818</v>
      </c>
      <c r="N2278">
        <v>24.758010974033279</v>
      </c>
      <c r="O2278">
        <v>5.52</v>
      </c>
      <c r="P2278">
        <v>7.14</v>
      </c>
      <c r="Q2278">
        <v>3.88</v>
      </c>
      <c r="R2278" s="3" t="s">
        <v>470</v>
      </c>
      <c r="S2278">
        <v>5.52</v>
      </c>
      <c r="T2278" t="s">
        <v>468</v>
      </c>
    </row>
    <row r="2279" spans="1:20" x14ac:dyDescent="0.25">
      <c r="A2279">
        <v>376</v>
      </c>
      <c r="B2279">
        <v>517230</v>
      </c>
      <c r="C2279" t="s">
        <v>413</v>
      </c>
      <c r="D2279">
        <v>2026</v>
      </c>
      <c r="E2279">
        <v>9.5699996948242188</v>
      </c>
      <c r="G2279" t="s">
        <v>465</v>
      </c>
      <c r="H2279">
        <v>9.5699996948242188</v>
      </c>
      <c r="I2279">
        <v>8.6899995803833008</v>
      </c>
      <c r="L2279" t="s">
        <v>466</v>
      </c>
      <c r="O2279">
        <v>4.7</v>
      </c>
      <c r="P2279">
        <v>531</v>
      </c>
      <c r="Q2279">
        <v>4.75</v>
      </c>
      <c r="R2279" s="3" t="s">
        <v>470</v>
      </c>
      <c r="S2279">
        <v>4.7</v>
      </c>
      <c r="T2279" t="s">
        <v>468</v>
      </c>
    </row>
    <row r="2280" spans="1:20" x14ac:dyDescent="0.25">
      <c r="A2280">
        <v>377</v>
      </c>
      <c r="B2280">
        <v>517246</v>
      </c>
      <c r="C2280" t="s">
        <v>415</v>
      </c>
      <c r="D2280">
        <v>2015</v>
      </c>
      <c r="E2280">
        <v>198.30000305175781</v>
      </c>
      <c r="F2280">
        <v>-1.44</v>
      </c>
      <c r="G2280" t="s">
        <v>465</v>
      </c>
      <c r="H2280">
        <v>3.3599998950958252</v>
      </c>
      <c r="I2280">
        <v>1.450000047683716</v>
      </c>
      <c r="L2280" t="s">
        <v>471</v>
      </c>
      <c r="M2280">
        <v>-2.333333260483212</v>
      </c>
      <c r="N2280">
        <v>-1.006944477558136</v>
      </c>
      <c r="O2280">
        <v>75.900000000000006</v>
      </c>
      <c r="P2280">
        <v>167</v>
      </c>
      <c r="Q2280">
        <v>47.53</v>
      </c>
      <c r="R2280" s="3" t="s">
        <v>470</v>
      </c>
      <c r="S2280">
        <v>75.900000000000006</v>
      </c>
      <c r="T2280" t="s">
        <v>468</v>
      </c>
    </row>
    <row r="2281" spans="1:20" x14ac:dyDescent="0.25">
      <c r="A2281">
        <v>377</v>
      </c>
      <c r="B2281">
        <v>517246</v>
      </c>
      <c r="C2281" t="s">
        <v>415</v>
      </c>
      <c r="D2281">
        <v>2016</v>
      </c>
      <c r="E2281">
        <v>198.30000305175781</v>
      </c>
      <c r="F2281">
        <v>-0.94</v>
      </c>
      <c r="G2281" t="s">
        <v>465</v>
      </c>
      <c r="H2281">
        <v>7.7699999809265137</v>
      </c>
      <c r="I2281">
        <v>3.5199999809265141</v>
      </c>
      <c r="L2281" t="s">
        <v>471</v>
      </c>
      <c r="M2281">
        <v>-8.2659574265175682</v>
      </c>
      <c r="N2281">
        <v>-3.744680830772888</v>
      </c>
      <c r="O2281">
        <v>75.900000000000006</v>
      </c>
      <c r="P2281">
        <v>167</v>
      </c>
      <c r="Q2281">
        <v>47.53</v>
      </c>
      <c r="R2281" s="3" t="s">
        <v>470</v>
      </c>
      <c r="S2281">
        <v>75.900000000000006</v>
      </c>
      <c r="T2281" t="s">
        <v>468</v>
      </c>
    </row>
    <row r="2282" spans="1:20" x14ac:dyDescent="0.25">
      <c r="A2282">
        <v>377</v>
      </c>
      <c r="B2282">
        <v>517246</v>
      </c>
      <c r="C2282" t="s">
        <v>415</v>
      </c>
      <c r="D2282">
        <v>2017</v>
      </c>
      <c r="E2282">
        <v>198.30000305175781</v>
      </c>
      <c r="F2282">
        <v>-0.15</v>
      </c>
      <c r="G2282" t="s">
        <v>465</v>
      </c>
      <c r="H2282">
        <v>17.520000457763668</v>
      </c>
      <c r="I2282">
        <v>8.1499996185302734</v>
      </c>
      <c r="L2282" t="s">
        <v>471</v>
      </c>
      <c r="M2282">
        <v>-116.8000030517578</v>
      </c>
      <c r="N2282">
        <v>-54.333330790201828</v>
      </c>
      <c r="O2282">
        <v>75.900000000000006</v>
      </c>
      <c r="P2282">
        <v>167</v>
      </c>
      <c r="Q2282">
        <v>47.53</v>
      </c>
      <c r="R2282" s="3" t="s">
        <v>470</v>
      </c>
      <c r="S2282">
        <v>75.900000000000006</v>
      </c>
      <c r="T2282" t="s">
        <v>468</v>
      </c>
    </row>
    <row r="2283" spans="1:20" x14ac:dyDescent="0.25">
      <c r="A2283">
        <v>377</v>
      </c>
      <c r="B2283">
        <v>517246</v>
      </c>
      <c r="C2283" t="s">
        <v>415</v>
      </c>
      <c r="D2283">
        <v>2018</v>
      </c>
      <c r="E2283">
        <v>198.30000305175781</v>
      </c>
      <c r="F2283">
        <v>-0.32</v>
      </c>
      <c r="G2283" t="s">
        <v>465</v>
      </c>
      <c r="H2283">
        <v>21.70000076293945</v>
      </c>
      <c r="I2283">
        <v>6.570000171661377</v>
      </c>
      <c r="L2283" t="s">
        <v>471</v>
      </c>
      <c r="M2283">
        <v>-67.812502384185777</v>
      </c>
      <c r="N2283">
        <v>-20.531250536441799</v>
      </c>
      <c r="O2283">
        <v>75.900000000000006</v>
      </c>
      <c r="P2283">
        <v>167</v>
      </c>
      <c r="Q2283">
        <v>47.53</v>
      </c>
      <c r="R2283" s="3" t="s">
        <v>470</v>
      </c>
      <c r="S2283">
        <v>75.900000000000006</v>
      </c>
      <c r="T2283" t="s">
        <v>468</v>
      </c>
    </row>
    <row r="2284" spans="1:20" x14ac:dyDescent="0.25">
      <c r="A2284">
        <v>377</v>
      </c>
      <c r="B2284">
        <v>517246</v>
      </c>
      <c r="C2284" t="s">
        <v>415</v>
      </c>
      <c r="D2284">
        <v>2019</v>
      </c>
      <c r="E2284">
        <v>198.30000305175781</v>
      </c>
      <c r="F2284">
        <v>0.1</v>
      </c>
      <c r="G2284" t="s">
        <v>465</v>
      </c>
      <c r="H2284">
        <v>18.39999961853027</v>
      </c>
      <c r="I2284">
        <v>4.2800002098083496</v>
      </c>
      <c r="L2284" t="s">
        <v>484</v>
      </c>
      <c r="M2284">
        <v>183.99999618530271</v>
      </c>
      <c r="N2284">
        <v>42.800002098083503</v>
      </c>
      <c r="O2284">
        <v>75.900000000000006</v>
      </c>
      <c r="P2284">
        <v>167</v>
      </c>
      <c r="Q2284">
        <v>47.53</v>
      </c>
      <c r="R2284" s="3" t="s">
        <v>470</v>
      </c>
      <c r="S2284">
        <v>75.900000000000006</v>
      </c>
      <c r="T2284" t="s">
        <v>468</v>
      </c>
    </row>
    <row r="2285" spans="1:20" x14ac:dyDescent="0.25">
      <c r="A2285">
        <v>377</v>
      </c>
      <c r="B2285">
        <v>517246</v>
      </c>
      <c r="C2285" t="s">
        <v>415</v>
      </c>
      <c r="D2285">
        <v>2020</v>
      </c>
      <c r="E2285">
        <v>198.30000305175781</v>
      </c>
      <c r="F2285">
        <v>-0.48</v>
      </c>
      <c r="G2285" t="s">
        <v>465</v>
      </c>
      <c r="H2285">
        <v>12.340000152587891</v>
      </c>
      <c r="I2285">
        <v>4.429999828338623</v>
      </c>
      <c r="L2285" t="s">
        <v>471</v>
      </c>
      <c r="M2285">
        <v>-25.70833365122477</v>
      </c>
      <c r="N2285">
        <v>-9.2291663090387992</v>
      </c>
      <c r="O2285">
        <v>75.900000000000006</v>
      </c>
      <c r="P2285">
        <v>167</v>
      </c>
      <c r="Q2285">
        <v>47.53</v>
      </c>
      <c r="R2285" s="3" t="s">
        <v>470</v>
      </c>
      <c r="S2285">
        <v>75.900000000000006</v>
      </c>
      <c r="T2285" t="s">
        <v>468</v>
      </c>
    </row>
    <row r="2286" spans="1:20" x14ac:dyDescent="0.25">
      <c r="A2286">
        <v>377</v>
      </c>
      <c r="B2286">
        <v>517246</v>
      </c>
      <c r="C2286" t="s">
        <v>415</v>
      </c>
      <c r="D2286">
        <v>2021</v>
      </c>
      <c r="E2286">
        <v>198.30000305175781</v>
      </c>
      <c r="F2286">
        <v>0.3</v>
      </c>
      <c r="G2286" t="s">
        <v>465</v>
      </c>
      <c r="H2286">
        <v>23.5</v>
      </c>
      <c r="I2286">
        <v>10.55000019073486</v>
      </c>
      <c r="L2286" t="s">
        <v>484</v>
      </c>
      <c r="M2286">
        <v>78.333333333333343</v>
      </c>
      <c r="N2286">
        <v>35.166667302449532</v>
      </c>
      <c r="O2286">
        <v>75.900000000000006</v>
      </c>
      <c r="P2286">
        <v>167</v>
      </c>
      <c r="Q2286">
        <v>47.53</v>
      </c>
      <c r="R2286" s="3" t="s">
        <v>470</v>
      </c>
      <c r="S2286">
        <v>75.900000000000006</v>
      </c>
      <c r="T2286" t="s">
        <v>468</v>
      </c>
    </row>
    <row r="2287" spans="1:20" x14ac:dyDescent="0.25">
      <c r="A2287">
        <v>377</v>
      </c>
      <c r="B2287">
        <v>517246</v>
      </c>
      <c r="C2287" t="s">
        <v>415</v>
      </c>
      <c r="D2287">
        <v>2022</v>
      </c>
      <c r="E2287">
        <v>198.30000305175781</v>
      </c>
      <c r="F2287">
        <v>0.45</v>
      </c>
      <c r="G2287" t="s">
        <v>465</v>
      </c>
      <c r="H2287">
        <v>34.200000762939453</v>
      </c>
      <c r="I2287">
        <v>13.69999980926514</v>
      </c>
      <c r="L2287" t="s">
        <v>484</v>
      </c>
      <c r="M2287">
        <v>76.000001695421005</v>
      </c>
      <c r="N2287">
        <v>30.444444020589199</v>
      </c>
      <c r="O2287">
        <v>75.900000000000006</v>
      </c>
      <c r="P2287">
        <v>167</v>
      </c>
      <c r="Q2287">
        <v>47.53</v>
      </c>
      <c r="R2287" s="3" t="s">
        <v>470</v>
      </c>
      <c r="S2287">
        <v>75.900000000000006</v>
      </c>
      <c r="T2287" t="s">
        <v>468</v>
      </c>
    </row>
    <row r="2288" spans="1:20" x14ac:dyDescent="0.25">
      <c r="A2288">
        <v>377</v>
      </c>
      <c r="B2288">
        <v>517246</v>
      </c>
      <c r="C2288" t="s">
        <v>415</v>
      </c>
      <c r="D2288">
        <v>2023</v>
      </c>
      <c r="E2288">
        <v>198.30000305175781</v>
      </c>
      <c r="F2288">
        <v>1.1599999999999999</v>
      </c>
      <c r="G2288" t="s">
        <v>465</v>
      </c>
      <c r="H2288">
        <v>81.529998779296875</v>
      </c>
      <c r="I2288">
        <v>21.04999923706055</v>
      </c>
      <c r="L2288" t="s">
        <v>469</v>
      </c>
      <c r="M2288">
        <v>70.284481706290421</v>
      </c>
      <c r="N2288">
        <v>18.14655106643151</v>
      </c>
      <c r="O2288">
        <v>75.900000000000006</v>
      </c>
      <c r="P2288">
        <v>167</v>
      </c>
      <c r="Q2288">
        <v>47.53</v>
      </c>
      <c r="R2288" s="3" t="s">
        <v>470</v>
      </c>
      <c r="S2288">
        <v>75.900000000000006</v>
      </c>
      <c r="T2288" t="s">
        <v>468</v>
      </c>
    </row>
    <row r="2289" spans="1:20" x14ac:dyDescent="0.25">
      <c r="A2289">
        <v>377</v>
      </c>
      <c r="B2289">
        <v>517246</v>
      </c>
      <c r="C2289" t="s">
        <v>415</v>
      </c>
      <c r="D2289">
        <v>2024</v>
      </c>
      <c r="E2289">
        <v>198.30000305175781</v>
      </c>
      <c r="F2289">
        <v>1.89</v>
      </c>
      <c r="G2289" t="s">
        <v>465</v>
      </c>
      <c r="H2289">
        <v>142.3500061035156</v>
      </c>
      <c r="I2289">
        <v>47.529998779296882</v>
      </c>
      <c r="L2289" t="s">
        <v>469</v>
      </c>
      <c r="M2289">
        <v>75.31746354683365</v>
      </c>
      <c r="N2289">
        <v>25.148147502273481</v>
      </c>
      <c r="O2289">
        <v>75.900000000000006</v>
      </c>
      <c r="P2289">
        <v>167</v>
      </c>
      <c r="Q2289">
        <v>47.53</v>
      </c>
      <c r="R2289" s="3" t="s">
        <v>470</v>
      </c>
      <c r="S2289">
        <v>75.900000000000006</v>
      </c>
      <c r="T2289" t="s">
        <v>468</v>
      </c>
    </row>
    <row r="2290" spans="1:20" x14ac:dyDescent="0.25">
      <c r="A2290">
        <v>377</v>
      </c>
      <c r="B2290">
        <v>517246</v>
      </c>
      <c r="C2290" t="s">
        <v>415</v>
      </c>
      <c r="D2290">
        <v>2025</v>
      </c>
      <c r="E2290">
        <v>198.30000305175781</v>
      </c>
      <c r="F2290">
        <v>1.88</v>
      </c>
      <c r="G2290" t="s">
        <v>465</v>
      </c>
      <c r="H2290">
        <v>218.8500061035156</v>
      </c>
      <c r="I2290">
        <v>87.819999694824219</v>
      </c>
      <c r="L2290" t="s">
        <v>469</v>
      </c>
      <c r="M2290">
        <v>116.409577714636</v>
      </c>
      <c r="N2290">
        <v>46.712765795119267</v>
      </c>
      <c r="O2290">
        <v>75.900000000000006</v>
      </c>
      <c r="P2290">
        <v>167</v>
      </c>
      <c r="Q2290">
        <v>47.53</v>
      </c>
      <c r="R2290" s="3" t="s">
        <v>470</v>
      </c>
      <c r="S2290">
        <v>75.900000000000006</v>
      </c>
      <c r="T2290" t="s">
        <v>468</v>
      </c>
    </row>
    <row r="2291" spans="1:20" x14ac:dyDescent="0.25">
      <c r="A2291">
        <v>377</v>
      </c>
      <c r="B2291">
        <v>517246</v>
      </c>
      <c r="C2291" t="s">
        <v>415</v>
      </c>
      <c r="D2291">
        <v>2026</v>
      </c>
      <c r="E2291">
        <v>198.30000305175781</v>
      </c>
      <c r="F2291">
        <v>2.95</v>
      </c>
      <c r="G2291" t="s">
        <v>465</v>
      </c>
      <c r="H2291">
        <v>228</v>
      </c>
      <c r="I2291">
        <v>102</v>
      </c>
      <c r="L2291" t="s">
        <v>469</v>
      </c>
      <c r="M2291">
        <v>77.288135593220332</v>
      </c>
      <c r="N2291">
        <v>34.576271186440678</v>
      </c>
      <c r="O2291">
        <v>75.900000000000006</v>
      </c>
      <c r="P2291">
        <v>167</v>
      </c>
      <c r="Q2291">
        <v>47.53</v>
      </c>
      <c r="R2291" s="3" t="s">
        <v>470</v>
      </c>
      <c r="S2291">
        <v>75.900000000000006</v>
      </c>
      <c r="T2291" t="s">
        <v>468</v>
      </c>
    </row>
    <row r="2292" spans="1:20" x14ac:dyDescent="0.25">
      <c r="A2292">
        <v>378</v>
      </c>
      <c r="B2292">
        <v>517271</v>
      </c>
      <c r="C2292" t="s">
        <v>417</v>
      </c>
      <c r="D2292">
        <v>2015</v>
      </c>
      <c r="E2292">
        <v>713.8499755859375</v>
      </c>
      <c r="F2292">
        <v>0.56000000000000005</v>
      </c>
      <c r="G2292" t="s">
        <v>465</v>
      </c>
      <c r="H2292">
        <v>64.5</v>
      </c>
      <c r="I2292">
        <v>31.89999961853027</v>
      </c>
      <c r="L2292" t="s">
        <v>469</v>
      </c>
      <c r="M2292">
        <v>115.1785714285714</v>
      </c>
      <c r="N2292">
        <v>56.964285033089759</v>
      </c>
      <c r="O2292">
        <v>60.4</v>
      </c>
      <c r="P2292">
        <v>72.95</v>
      </c>
      <c r="Q2292">
        <v>41</v>
      </c>
      <c r="R2292" s="3" t="s">
        <v>470</v>
      </c>
      <c r="S2292">
        <v>60.4</v>
      </c>
      <c r="T2292" t="s">
        <v>468</v>
      </c>
    </row>
    <row r="2293" spans="1:20" x14ac:dyDescent="0.25">
      <c r="A2293">
        <v>378</v>
      </c>
      <c r="B2293">
        <v>517271</v>
      </c>
      <c r="C2293" t="s">
        <v>417</v>
      </c>
      <c r="D2293">
        <v>2016</v>
      </c>
      <c r="E2293">
        <v>713.8499755859375</v>
      </c>
      <c r="F2293">
        <v>0.59</v>
      </c>
      <c r="G2293" t="s">
        <v>465</v>
      </c>
      <c r="H2293">
        <v>47.849998474121087</v>
      </c>
      <c r="I2293">
        <v>28.75</v>
      </c>
      <c r="L2293" t="s">
        <v>469</v>
      </c>
      <c r="M2293">
        <v>81.101692329018789</v>
      </c>
      <c r="N2293">
        <v>48.728813559322028</v>
      </c>
      <c r="O2293">
        <v>60.4</v>
      </c>
      <c r="P2293">
        <v>72.95</v>
      </c>
      <c r="Q2293">
        <v>41</v>
      </c>
      <c r="R2293" s="3" t="s">
        <v>470</v>
      </c>
      <c r="S2293">
        <v>60.4</v>
      </c>
      <c r="T2293" t="s">
        <v>468</v>
      </c>
    </row>
    <row r="2294" spans="1:20" x14ac:dyDescent="0.25">
      <c r="A2294">
        <v>378</v>
      </c>
      <c r="B2294">
        <v>517271</v>
      </c>
      <c r="C2294" t="s">
        <v>417</v>
      </c>
      <c r="D2294">
        <v>2017</v>
      </c>
      <c r="E2294">
        <v>713.8499755859375</v>
      </c>
      <c r="F2294">
        <v>1.53</v>
      </c>
      <c r="G2294" t="s">
        <v>465</v>
      </c>
      <c r="H2294">
        <v>75</v>
      </c>
      <c r="I2294">
        <v>37.950000762939453</v>
      </c>
      <c r="L2294" t="s">
        <v>469</v>
      </c>
      <c r="M2294">
        <v>49.019607843137251</v>
      </c>
      <c r="N2294">
        <v>24.803922067280691</v>
      </c>
      <c r="O2294">
        <v>60.4</v>
      </c>
      <c r="P2294">
        <v>72.95</v>
      </c>
      <c r="Q2294">
        <v>41</v>
      </c>
      <c r="R2294" s="3" t="s">
        <v>470</v>
      </c>
      <c r="S2294">
        <v>60.4</v>
      </c>
      <c r="T2294" t="s">
        <v>468</v>
      </c>
    </row>
    <row r="2295" spans="1:20" x14ac:dyDescent="0.25">
      <c r="A2295">
        <v>378</v>
      </c>
      <c r="B2295">
        <v>517271</v>
      </c>
      <c r="C2295" t="s">
        <v>417</v>
      </c>
      <c r="D2295">
        <v>2018</v>
      </c>
      <c r="E2295">
        <v>713.8499755859375</v>
      </c>
      <c r="F2295">
        <v>1.1399999999999999</v>
      </c>
      <c r="G2295" t="s">
        <v>465</v>
      </c>
      <c r="H2295">
        <v>76.400001525878906</v>
      </c>
      <c r="I2295">
        <v>24</v>
      </c>
      <c r="L2295" t="s">
        <v>469</v>
      </c>
      <c r="M2295">
        <v>67.017545198139402</v>
      </c>
      <c r="N2295">
        <v>21.05263157894737</v>
      </c>
      <c r="O2295">
        <v>60.4</v>
      </c>
      <c r="P2295">
        <v>72.95</v>
      </c>
      <c r="Q2295">
        <v>41</v>
      </c>
      <c r="R2295" s="3" t="s">
        <v>470</v>
      </c>
      <c r="S2295">
        <v>60.4</v>
      </c>
      <c r="T2295" t="s">
        <v>468</v>
      </c>
    </row>
    <row r="2296" spans="1:20" x14ac:dyDescent="0.25">
      <c r="A2296">
        <v>378</v>
      </c>
      <c r="B2296">
        <v>517271</v>
      </c>
      <c r="C2296" t="s">
        <v>417</v>
      </c>
      <c r="D2296">
        <v>2019</v>
      </c>
      <c r="E2296">
        <v>713.8499755859375</v>
      </c>
      <c r="F2296">
        <v>1</v>
      </c>
      <c r="G2296" t="s">
        <v>465</v>
      </c>
      <c r="H2296">
        <v>30.60000038146973</v>
      </c>
      <c r="I2296">
        <v>12.5</v>
      </c>
      <c r="L2296" t="s">
        <v>469</v>
      </c>
      <c r="M2296">
        <v>30.60000038146973</v>
      </c>
      <c r="N2296">
        <v>12.5</v>
      </c>
      <c r="O2296">
        <v>60.4</v>
      </c>
      <c r="P2296">
        <v>72.95</v>
      </c>
      <c r="Q2296">
        <v>41</v>
      </c>
      <c r="R2296" s="3" t="s">
        <v>470</v>
      </c>
      <c r="S2296">
        <v>60.4</v>
      </c>
      <c r="T2296" t="s">
        <v>468</v>
      </c>
    </row>
    <row r="2297" spans="1:20" x14ac:dyDescent="0.25">
      <c r="A2297">
        <v>378</v>
      </c>
      <c r="B2297">
        <v>517271</v>
      </c>
      <c r="C2297" t="s">
        <v>417</v>
      </c>
      <c r="D2297">
        <v>2020</v>
      </c>
      <c r="E2297">
        <v>713.8499755859375</v>
      </c>
      <c r="F2297">
        <v>0.95</v>
      </c>
      <c r="G2297" t="s">
        <v>465</v>
      </c>
      <c r="H2297">
        <v>43.900001525878913</v>
      </c>
      <c r="I2297">
        <v>9.1499996185302734</v>
      </c>
      <c r="L2297" t="s">
        <v>469</v>
      </c>
      <c r="M2297">
        <v>46.210527921977807</v>
      </c>
      <c r="N2297">
        <v>9.6315785458213412</v>
      </c>
      <c r="O2297">
        <v>60.4</v>
      </c>
      <c r="P2297">
        <v>72.95</v>
      </c>
      <c r="Q2297">
        <v>41</v>
      </c>
      <c r="R2297" s="3" t="s">
        <v>470</v>
      </c>
      <c r="S2297">
        <v>60.4</v>
      </c>
      <c r="T2297" t="s">
        <v>468</v>
      </c>
    </row>
    <row r="2298" spans="1:20" x14ac:dyDescent="0.25">
      <c r="A2298">
        <v>378</v>
      </c>
      <c r="B2298">
        <v>517271</v>
      </c>
      <c r="C2298" t="s">
        <v>417</v>
      </c>
      <c r="D2298">
        <v>2021</v>
      </c>
      <c r="E2298">
        <v>713.8499755859375</v>
      </c>
      <c r="F2298">
        <v>0.5</v>
      </c>
      <c r="G2298" t="s">
        <v>465</v>
      </c>
      <c r="H2298">
        <v>68.699996948242188</v>
      </c>
      <c r="I2298">
        <v>29.54999923706055</v>
      </c>
      <c r="L2298" t="s">
        <v>469</v>
      </c>
      <c r="M2298">
        <v>137.3999938964844</v>
      </c>
      <c r="N2298">
        <v>59.099998474121101</v>
      </c>
      <c r="O2298">
        <v>60.4</v>
      </c>
      <c r="P2298">
        <v>72.95</v>
      </c>
      <c r="Q2298">
        <v>41</v>
      </c>
      <c r="R2298" s="3" t="s">
        <v>470</v>
      </c>
      <c r="S2298">
        <v>60.4</v>
      </c>
      <c r="T2298" t="s">
        <v>468</v>
      </c>
    </row>
    <row r="2299" spans="1:20" x14ac:dyDescent="0.25">
      <c r="A2299">
        <v>378</v>
      </c>
      <c r="B2299">
        <v>517271</v>
      </c>
      <c r="C2299" t="s">
        <v>417</v>
      </c>
      <c r="D2299">
        <v>2022</v>
      </c>
      <c r="E2299">
        <v>713.8499755859375</v>
      </c>
      <c r="F2299">
        <v>3.39</v>
      </c>
      <c r="G2299" t="s">
        <v>465</v>
      </c>
      <c r="H2299">
        <v>121.8000030517578</v>
      </c>
      <c r="I2299">
        <v>56.299999237060547</v>
      </c>
      <c r="L2299" t="s">
        <v>469</v>
      </c>
      <c r="M2299">
        <v>35.929204440046547</v>
      </c>
      <c r="N2299">
        <v>16.60766939146329</v>
      </c>
      <c r="O2299">
        <v>60.4</v>
      </c>
      <c r="P2299">
        <v>72.95</v>
      </c>
      <c r="Q2299">
        <v>41</v>
      </c>
      <c r="R2299" s="3" t="s">
        <v>470</v>
      </c>
      <c r="S2299">
        <v>60.4</v>
      </c>
      <c r="T2299" t="s">
        <v>468</v>
      </c>
    </row>
    <row r="2300" spans="1:20" x14ac:dyDescent="0.25">
      <c r="A2300">
        <v>378</v>
      </c>
      <c r="B2300">
        <v>517271</v>
      </c>
      <c r="C2300" t="s">
        <v>417</v>
      </c>
      <c r="D2300">
        <v>2023</v>
      </c>
      <c r="E2300">
        <v>713.8499755859375</v>
      </c>
      <c r="F2300">
        <v>3.56</v>
      </c>
      <c r="G2300" t="s">
        <v>465</v>
      </c>
      <c r="H2300">
        <v>479.5</v>
      </c>
      <c r="I2300">
        <v>86.099998474121094</v>
      </c>
      <c r="L2300" t="s">
        <v>469</v>
      </c>
      <c r="M2300">
        <v>134.69101123595499</v>
      </c>
      <c r="N2300">
        <v>24.185392829809299</v>
      </c>
      <c r="O2300">
        <v>60.4</v>
      </c>
      <c r="P2300">
        <v>72.95</v>
      </c>
      <c r="Q2300">
        <v>41</v>
      </c>
      <c r="R2300" s="3" t="s">
        <v>470</v>
      </c>
      <c r="S2300">
        <v>60.4</v>
      </c>
      <c r="T2300" t="s">
        <v>468</v>
      </c>
    </row>
    <row r="2301" spans="1:20" x14ac:dyDescent="0.25">
      <c r="A2301">
        <v>378</v>
      </c>
      <c r="B2301">
        <v>517271</v>
      </c>
      <c r="C2301" t="s">
        <v>417</v>
      </c>
      <c r="D2301">
        <v>2024</v>
      </c>
      <c r="E2301">
        <v>713.8499755859375</v>
      </c>
      <c r="F2301">
        <v>10.130000000000001</v>
      </c>
      <c r="G2301" t="s">
        <v>465</v>
      </c>
      <c r="H2301">
        <v>738.6500244140625</v>
      </c>
      <c r="I2301">
        <v>378.95001220703119</v>
      </c>
      <c r="L2301" t="s">
        <v>469</v>
      </c>
      <c r="M2301">
        <v>72.917080396254931</v>
      </c>
      <c r="N2301">
        <v>37.408688273152137</v>
      </c>
      <c r="O2301">
        <v>60.4</v>
      </c>
      <c r="P2301">
        <v>72.95</v>
      </c>
      <c r="Q2301">
        <v>41</v>
      </c>
      <c r="R2301" s="3" t="s">
        <v>470</v>
      </c>
      <c r="S2301">
        <v>60.4</v>
      </c>
      <c r="T2301" t="s">
        <v>468</v>
      </c>
    </row>
    <row r="2302" spans="1:20" x14ac:dyDescent="0.25">
      <c r="A2302">
        <v>378</v>
      </c>
      <c r="B2302">
        <v>517271</v>
      </c>
      <c r="C2302" t="s">
        <v>417</v>
      </c>
      <c r="D2302">
        <v>2025</v>
      </c>
      <c r="E2302">
        <v>713.8499755859375</v>
      </c>
      <c r="F2302">
        <v>9.99</v>
      </c>
      <c r="G2302" t="s">
        <v>465</v>
      </c>
      <c r="H2302">
        <v>1121.949951171875</v>
      </c>
      <c r="I2302">
        <v>404.29998779296881</v>
      </c>
      <c r="L2302" t="s">
        <v>469</v>
      </c>
      <c r="M2302">
        <v>112.3073024196071</v>
      </c>
      <c r="N2302">
        <v>40.470469248545427</v>
      </c>
      <c r="O2302">
        <v>60.4</v>
      </c>
      <c r="P2302">
        <v>72.95</v>
      </c>
      <c r="Q2302">
        <v>41</v>
      </c>
      <c r="R2302" s="3" t="s">
        <v>470</v>
      </c>
      <c r="S2302">
        <v>60.4</v>
      </c>
      <c r="T2302" t="s">
        <v>468</v>
      </c>
    </row>
    <row r="2303" spans="1:20" x14ac:dyDescent="0.25">
      <c r="A2303">
        <v>378</v>
      </c>
      <c r="B2303">
        <v>517271</v>
      </c>
      <c r="C2303" t="s">
        <v>417</v>
      </c>
      <c r="D2303">
        <v>2026</v>
      </c>
      <c r="E2303">
        <v>713.8499755859375</v>
      </c>
      <c r="F2303">
        <v>29.4</v>
      </c>
      <c r="G2303" t="s">
        <v>465</v>
      </c>
      <c r="H2303">
        <v>984.5</v>
      </c>
      <c r="I2303">
        <v>603.20001220703125</v>
      </c>
      <c r="L2303" t="s">
        <v>469</v>
      </c>
      <c r="M2303">
        <v>33.486394557823132</v>
      </c>
      <c r="N2303">
        <v>20.517007217926231</v>
      </c>
      <c r="O2303">
        <v>60.4</v>
      </c>
      <c r="P2303">
        <v>72.95</v>
      </c>
      <c r="Q2303">
        <v>41</v>
      </c>
      <c r="R2303" s="3" t="s">
        <v>470</v>
      </c>
      <c r="S2303">
        <v>60.4</v>
      </c>
      <c r="T2303" t="s">
        <v>468</v>
      </c>
    </row>
    <row r="2304" spans="1:20" x14ac:dyDescent="0.25">
      <c r="A2304">
        <v>383</v>
      </c>
      <c r="B2304">
        <v>517380</v>
      </c>
      <c r="C2304" t="s">
        <v>419</v>
      </c>
      <c r="D2304">
        <v>2015</v>
      </c>
      <c r="E2304">
        <v>456.5</v>
      </c>
      <c r="F2304">
        <v>14.23</v>
      </c>
      <c r="G2304" t="s">
        <v>465</v>
      </c>
      <c r="H2304">
        <v>688.7579345703125</v>
      </c>
      <c r="I2304">
        <v>258.95162963867188</v>
      </c>
      <c r="L2304" t="s">
        <v>469</v>
      </c>
      <c r="M2304">
        <v>48.401822527780219</v>
      </c>
      <c r="N2304">
        <v>18.197584654860989</v>
      </c>
      <c r="O2304">
        <v>451.15</v>
      </c>
      <c r="P2304">
        <v>665</v>
      </c>
      <c r="Q2304">
        <v>271.05</v>
      </c>
      <c r="R2304" s="2" t="s">
        <v>467</v>
      </c>
      <c r="S2304">
        <v>451.15</v>
      </c>
      <c r="T2304" t="s">
        <v>468</v>
      </c>
    </row>
    <row r="2305" spans="1:20" x14ac:dyDescent="0.25">
      <c r="A2305">
        <v>383</v>
      </c>
      <c r="B2305">
        <v>517380</v>
      </c>
      <c r="C2305" t="s">
        <v>419</v>
      </c>
      <c r="D2305">
        <v>2016</v>
      </c>
      <c r="E2305">
        <v>456.5</v>
      </c>
      <c r="F2305">
        <v>18.5</v>
      </c>
      <c r="G2305" t="s">
        <v>465</v>
      </c>
      <c r="H2305">
        <v>747.4892578125</v>
      </c>
      <c r="I2305">
        <v>331.03094482421881</v>
      </c>
      <c r="L2305" t="s">
        <v>469</v>
      </c>
      <c r="M2305">
        <v>40.404824746621621</v>
      </c>
      <c r="N2305">
        <v>17.893564585092911</v>
      </c>
      <c r="O2305">
        <v>451.15</v>
      </c>
      <c r="P2305">
        <v>665</v>
      </c>
      <c r="Q2305">
        <v>271.05</v>
      </c>
      <c r="R2305" s="2" t="s">
        <v>467</v>
      </c>
      <c r="S2305">
        <v>451.15</v>
      </c>
      <c r="T2305" t="s">
        <v>468</v>
      </c>
    </row>
    <row r="2306" spans="1:20" x14ac:dyDescent="0.25">
      <c r="A2306">
        <v>383</v>
      </c>
      <c r="B2306">
        <v>517380</v>
      </c>
      <c r="C2306" t="s">
        <v>419</v>
      </c>
      <c r="D2306">
        <v>2017</v>
      </c>
      <c r="E2306">
        <v>456.5</v>
      </c>
      <c r="F2306">
        <v>21.9</v>
      </c>
      <c r="G2306" t="s">
        <v>465</v>
      </c>
      <c r="H2306">
        <v>1001.101684570312</v>
      </c>
      <c r="I2306">
        <v>612.6741943359375</v>
      </c>
      <c r="L2306" t="s">
        <v>469</v>
      </c>
      <c r="M2306">
        <v>45.712405688142113</v>
      </c>
      <c r="N2306">
        <v>27.975990608946919</v>
      </c>
      <c r="O2306">
        <v>451.15</v>
      </c>
      <c r="P2306">
        <v>665</v>
      </c>
      <c r="Q2306">
        <v>271.05</v>
      </c>
      <c r="R2306" s="2" t="s">
        <v>467</v>
      </c>
      <c r="S2306">
        <v>451.15</v>
      </c>
      <c r="T2306" t="s">
        <v>468</v>
      </c>
    </row>
    <row r="2307" spans="1:20" x14ac:dyDescent="0.25">
      <c r="A2307">
        <v>383</v>
      </c>
      <c r="B2307">
        <v>517380</v>
      </c>
      <c r="C2307" t="s">
        <v>419</v>
      </c>
      <c r="D2307">
        <v>2018</v>
      </c>
      <c r="E2307">
        <v>456.5</v>
      </c>
      <c r="F2307">
        <v>27.69</v>
      </c>
      <c r="G2307" t="s">
        <v>465</v>
      </c>
      <c r="H2307">
        <v>775.96502685546875</v>
      </c>
      <c r="I2307">
        <v>533</v>
      </c>
      <c r="L2307" t="s">
        <v>469</v>
      </c>
      <c r="M2307">
        <v>28.023294577662291</v>
      </c>
      <c r="N2307">
        <v>19.248826291079808</v>
      </c>
      <c r="O2307">
        <v>451.15</v>
      </c>
      <c r="P2307">
        <v>665</v>
      </c>
      <c r="Q2307">
        <v>271.05</v>
      </c>
      <c r="R2307" s="2" t="s">
        <v>467</v>
      </c>
      <c r="S2307">
        <v>451.15</v>
      </c>
      <c r="T2307" t="s">
        <v>468</v>
      </c>
    </row>
    <row r="2308" spans="1:20" x14ac:dyDescent="0.25">
      <c r="A2308">
        <v>383</v>
      </c>
      <c r="B2308">
        <v>517380</v>
      </c>
      <c r="C2308" t="s">
        <v>419</v>
      </c>
      <c r="D2308">
        <v>2019</v>
      </c>
      <c r="E2308">
        <v>456.5</v>
      </c>
      <c r="F2308">
        <v>18.239999999999998</v>
      </c>
      <c r="G2308" t="s">
        <v>465</v>
      </c>
      <c r="H2308">
        <v>576.75</v>
      </c>
      <c r="I2308">
        <v>171.1000061035156</v>
      </c>
      <c r="L2308" t="s">
        <v>469</v>
      </c>
      <c r="M2308">
        <v>31.620065789473689</v>
      </c>
      <c r="N2308">
        <v>9.3804827907629171</v>
      </c>
      <c r="O2308">
        <v>451.15</v>
      </c>
      <c r="P2308">
        <v>665</v>
      </c>
      <c r="Q2308">
        <v>271.05</v>
      </c>
      <c r="R2308" s="2" t="s">
        <v>467</v>
      </c>
      <c r="S2308">
        <v>451.15</v>
      </c>
      <c r="T2308" t="s">
        <v>468</v>
      </c>
    </row>
    <row r="2309" spans="1:20" x14ac:dyDescent="0.25">
      <c r="A2309">
        <v>383</v>
      </c>
      <c r="B2309">
        <v>517380</v>
      </c>
      <c r="C2309" t="s">
        <v>419</v>
      </c>
      <c r="D2309">
        <v>2020</v>
      </c>
      <c r="E2309">
        <v>456.5</v>
      </c>
      <c r="F2309">
        <v>9.5</v>
      </c>
      <c r="G2309" t="s">
        <v>465</v>
      </c>
      <c r="H2309">
        <v>382.39999389648438</v>
      </c>
      <c r="I2309">
        <v>150.6499938964844</v>
      </c>
      <c r="L2309" t="s">
        <v>469</v>
      </c>
      <c r="M2309">
        <v>40.252630936472038</v>
      </c>
      <c r="N2309">
        <v>15.857894094366779</v>
      </c>
      <c r="O2309">
        <v>451.15</v>
      </c>
      <c r="P2309">
        <v>665</v>
      </c>
      <c r="Q2309">
        <v>271.05</v>
      </c>
      <c r="R2309" s="2" t="s">
        <v>467</v>
      </c>
      <c r="S2309">
        <v>451.15</v>
      </c>
      <c r="T2309" t="s">
        <v>468</v>
      </c>
    </row>
    <row r="2310" spans="1:20" x14ac:dyDescent="0.25">
      <c r="A2310">
        <v>383</v>
      </c>
      <c r="B2310">
        <v>517380</v>
      </c>
      <c r="C2310" t="s">
        <v>419</v>
      </c>
      <c r="D2310">
        <v>2021</v>
      </c>
      <c r="E2310">
        <v>456.5</v>
      </c>
      <c r="F2310">
        <v>8.14</v>
      </c>
      <c r="G2310" t="s">
        <v>465</v>
      </c>
      <c r="H2310">
        <v>612.20001220703125</v>
      </c>
      <c r="I2310">
        <v>262.85000610351563</v>
      </c>
      <c r="L2310" t="s">
        <v>469</v>
      </c>
      <c r="M2310">
        <v>75.208846708480493</v>
      </c>
      <c r="N2310">
        <v>32.291155540972433</v>
      </c>
      <c r="O2310">
        <v>451.15</v>
      </c>
      <c r="P2310">
        <v>665</v>
      </c>
      <c r="Q2310">
        <v>271.05</v>
      </c>
      <c r="R2310" s="2" t="s">
        <v>467</v>
      </c>
      <c r="S2310">
        <v>451.15</v>
      </c>
      <c r="T2310" t="s">
        <v>468</v>
      </c>
    </row>
    <row r="2311" spans="1:20" x14ac:dyDescent="0.25">
      <c r="A2311">
        <v>383</v>
      </c>
      <c r="B2311">
        <v>517380</v>
      </c>
      <c r="C2311" t="s">
        <v>419</v>
      </c>
      <c r="D2311">
        <v>2022</v>
      </c>
      <c r="E2311">
        <v>456.5</v>
      </c>
      <c r="F2311">
        <v>0.38</v>
      </c>
      <c r="G2311" t="s">
        <v>465</v>
      </c>
      <c r="H2311">
        <v>543.95001220703125</v>
      </c>
      <c r="I2311">
        <v>254.80000305175781</v>
      </c>
      <c r="L2311" t="s">
        <v>484</v>
      </c>
      <c r="M2311">
        <v>1431.4474005448189</v>
      </c>
      <c r="N2311">
        <v>670.52632382041531</v>
      </c>
      <c r="O2311">
        <v>451.15</v>
      </c>
      <c r="P2311">
        <v>665</v>
      </c>
      <c r="Q2311">
        <v>271.05</v>
      </c>
      <c r="R2311" s="2" t="s">
        <v>467</v>
      </c>
      <c r="S2311">
        <v>451.15</v>
      </c>
      <c r="T2311" t="s">
        <v>468</v>
      </c>
    </row>
    <row r="2312" spans="1:20" x14ac:dyDescent="0.25">
      <c r="A2312">
        <v>383</v>
      </c>
      <c r="B2312">
        <v>517380</v>
      </c>
      <c r="C2312" t="s">
        <v>419</v>
      </c>
      <c r="D2312">
        <v>2023</v>
      </c>
      <c r="E2312">
        <v>456.5</v>
      </c>
      <c r="F2312">
        <v>1.66</v>
      </c>
      <c r="G2312" t="s">
        <v>465</v>
      </c>
      <c r="H2312">
        <v>691.6500244140625</v>
      </c>
      <c r="I2312">
        <v>329.95001220703119</v>
      </c>
      <c r="L2312" t="s">
        <v>469</v>
      </c>
      <c r="M2312">
        <v>416.6566412132907</v>
      </c>
      <c r="N2312">
        <v>198.7650675945971</v>
      </c>
      <c r="O2312">
        <v>451.15</v>
      </c>
      <c r="P2312">
        <v>665</v>
      </c>
      <c r="Q2312">
        <v>271.05</v>
      </c>
      <c r="R2312" s="2" t="s">
        <v>467</v>
      </c>
      <c r="S2312">
        <v>451.15</v>
      </c>
      <c r="T2312" t="s">
        <v>468</v>
      </c>
    </row>
    <row r="2313" spans="1:20" x14ac:dyDescent="0.25">
      <c r="A2313">
        <v>383</v>
      </c>
      <c r="B2313">
        <v>517380</v>
      </c>
      <c r="C2313" t="s">
        <v>419</v>
      </c>
      <c r="D2313">
        <v>2024</v>
      </c>
      <c r="E2313">
        <v>456.5</v>
      </c>
      <c r="F2313">
        <v>3.04</v>
      </c>
      <c r="G2313" t="s">
        <v>465</v>
      </c>
      <c r="H2313">
        <v>848</v>
      </c>
      <c r="I2313">
        <v>406.39999389648438</v>
      </c>
      <c r="L2313" t="s">
        <v>469</v>
      </c>
      <c r="M2313">
        <v>278.9473684210526</v>
      </c>
      <c r="N2313">
        <v>133.68420851858039</v>
      </c>
      <c r="O2313">
        <v>451.15</v>
      </c>
      <c r="P2313">
        <v>665</v>
      </c>
      <c r="Q2313">
        <v>271.05</v>
      </c>
      <c r="R2313" s="2" t="s">
        <v>467</v>
      </c>
      <c r="S2313">
        <v>451.15</v>
      </c>
      <c r="T2313" t="s">
        <v>468</v>
      </c>
    </row>
    <row r="2314" spans="1:20" x14ac:dyDescent="0.25">
      <c r="A2314">
        <v>383</v>
      </c>
      <c r="B2314">
        <v>517380</v>
      </c>
      <c r="C2314" t="s">
        <v>419</v>
      </c>
      <c r="D2314">
        <v>2025</v>
      </c>
      <c r="E2314">
        <v>456.5</v>
      </c>
      <c r="F2314">
        <v>7.68</v>
      </c>
      <c r="G2314" t="s">
        <v>465</v>
      </c>
      <c r="H2314">
        <v>759.04998779296875</v>
      </c>
      <c r="I2314">
        <v>401.64999389648438</v>
      </c>
      <c r="L2314" t="s">
        <v>469</v>
      </c>
      <c r="M2314">
        <v>98.834633827209473</v>
      </c>
      <c r="N2314">
        <v>52.298176288604743</v>
      </c>
      <c r="O2314">
        <v>451.15</v>
      </c>
      <c r="P2314">
        <v>665</v>
      </c>
      <c r="Q2314">
        <v>271.05</v>
      </c>
      <c r="R2314" s="2" t="s">
        <v>467</v>
      </c>
      <c r="S2314">
        <v>451.15</v>
      </c>
      <c r="T2314" t="s">
        <v>468</v>
      </c>
    </row>
    <row r="2315" spans="1:20" x14ac:dyDescent="0.25">
      <c r="A2315">
        <v>383</v>
      </c>
      <c r="B2315">
        <v>517380</v>
      </c>
      <c r="C2315" t="s">
        <v>419</v>
      </c>
      <c r="D2315">
        <v>2026</v>
      </c>
      <c r="E2315">
        <v>456.5</v>
      </c>
      <c r="F2315">
        <v>3.86</v>
      </c>
      <c r="G2315" t="s">
        <v>465</v>
      </c>
      <c r="H2315">
        <v>506.5</v>
      </c>
      <c r="I2315">
        <v>272</v>
      </c>
      <c r="L2315" t="s">
        <v>469</v>
      </c>
      <c r="M2315">
        <v>131.2176165803109</v>
      </c>
      <c r="N2315">
        <v>70.466321243523325</v>
      </c>
      <c r="O2315">
        <v>451.15</v>
      </c>
      <c r="P2315">
        <v>665</v>
      </c>
      <c r="Q2315">
        <v>271.05</v>
      </c>
      <c r="R2315" s="2" t="s">
        <v>467</v>
      </c>
      <c r="S2315">
        <v>451.15</v>
      </c>
      <c r="T2315" t="s">
        <v>468</v>
      </c>
    </row>
    <row r="2316" spans="1:20" x14ac:dyDescent="0.25">
      <c r="A2316">
        <v>384</v>
      </c>
      <c r="B2316">
        <v>517385</v>
      </c>
      <c r="C2316" t="s">
        <v>421</v>
      </c>
      <c r="D2316">
        <v>2015</v>
      </c>
      <c r="E2316">
        <v>699.45001220703125</v>
      </c>
      <c r="F2316">
        <v>16.559999999999999</v>
      </c>
      <c r="G2316" t="s">
        <v>465</v>
      </c>
      <c r="H2316">
        <v>1635</v>
      </c>
      <c r="I2316">
        <v>824.5250244140625</v>
      </c>
      <c r="L2316" t="s">
        <v>469</v>
      </c>
      <c r="M2316">
        <v>98.731884057971016</v>
      </c>
      <c r="N2316">
        <v>49.790158479110048</v>
      </c>
      <c r="O2316">
        <v>687.95</v>
      </c>
      <c r="P2316">
        <v>1150.0999999999999</v>
      </c>
      <c r="Q2316">
        <v>656</v>
      </c>
      <c r="R2316" s="2" t="s">
        <v>467</v>
      </c>
      <c r="S2316">
        <v>687.95</v>
      </c>
      <c r="T2316" t="s">
        <v>468</v>
      </c>
    </row>
    <row r="2317" spans="1:20" x14ac:dyDescent="0.25">
      <c r="A2317">
        <v>384</v>
      </c>
      <c r="B2317">
        <v>517385</v>
      </c>
      <c r="C2317" t="s">
        <v>421</v>
      </c>
      <c r="D2317">
        <v>2016</v>
      </c>
      <c r="E2317">
        <v>699.45001220703125</v>
      </c>
      <c r="F2317">
        <v>16.91</v>
      </c>
      <c r="G2317" t="s">
        <v>465</v>
      </c>
      <c r="H2317">
        <v>1465</v>
      </c>
      <c r="I2317">
        <v>978</v>
      </c>
      <c r="L2317" t="s">
        <v>469</v>
      </c>
      <c r="M2317">
        <v>86.635127143701951</v>
      </c>
      <c r="N2317">
        <v>57.835600236546419</v>
      </c>
      <c r="O2317">
        <v>687.95</v>
      </c>
      <c r="P2317">
        <v>1150.0999999999999</v>
      </c>
      <c r="Q2317">
        <v>656</v>
      </c>
      <c r="R2317" s="2" t="s">
        <v>467</v>
      </c>
      <c r="S2317">
        <v>687.95</v>
      </c>
      <c r="T2317" t="s">
        <v>468</v>
      </c>
    </row>
    <row r="2318" spans="1:20" x14ac:dyDescent="0.25">
      <c r="A2318">
        <v>384</v>
      </c>
      <c r="B2318">
        <v>517385</v>
      </c>
      <c r="C2318" t="s">
        <v>421</v>
      </c>
      <c r="D2318">
        <v>2017</v>
      </c>
      <c r="E2318">
        <v>699.45001220703125</v>
      </c>
      <c r="F2318">
        <v>23.77</v>
      </c>
      <c r="G2318" t="s">
        <v>465</v>
      </c>
      <c r="H2318">
        <v>1848</v>
      </c>
      <c r="I2318">
        <v>1148</v>
      </c>
      <c r="L2318" t="s">
        <v>469</v>
      </c>
      <c r="M2318">
        <v>77.745056794278497</v>
      </c>
      <c r="N2318">
        <v>48.296171644930588</v>
      </c>
      <c r="O2318">
        <v>687.95</v>
      </c>
      <c r="P2318">
        <v>1150.0999999999999</v>
      </c>
      <c r="Q2318">
        <v>656</v>
      </c>
      <c r="R2318" s="2" t="s">
        <v>467</v>
      </c>
      <c r="S2318">
        <v>687.95</v>
      </c>
      <c r="T2318" t="s">
        <v>468</v>
      </c>
    </row>
    <row r="2319" spans="1:20" x14ac:dyDescent="0.25">
      <c r="A2319">
        <v>384</v>
      </c>
      <c r="B2319">
        <v>517385</v>
      </c>
      <c r="C2319" t="s">
        <v>421</v>
      </c>
      <c r="D2319">
        <v>2018</v>
      </c>
      <c r="E2319">
        <v>699.45001220703125</v>
      </c>
      <c r="F2319">
        <v>27.52</v>
      </c>
      <c r="G2319" t="s">
        <v>465</v>
      </c>
      <c r="H2319">
        <v>2212.75</v>
      </c>
      <c r="I2319">
        <v>811.8499755859375</v>
      </c>
      <c r="L2319" t="s">
        <v>469</v>
      </c>
      <c r="M2319">
        <v>80.405159883720927</v>
      </c>
      <c r="N2319">
        <v>29.50036248495412</v>
      </c>
      <c r="O2319">
        <v>687.95</v>
      </c>
      <c r="P2319">
        <v>1150.0999999999999</v>
      </c>
      <c r="Q2319">
        <v>656</v>
      </c>
      <c r="R2319" s="2" t="s">
        <v>467</v>
      </c>
      <c r="S2319">
        <v>687.95</v>
      </c>
      <c r="T2319" t="s">
        <v>468</v>
      </c>
    </row>
    <row r="2320" spans="1:20" x14ac:dyDescent="0.25">
      <c r="A2320">
        <v>384</v>
      </c>
      <c r="B2320">
        <v>517385</v>
      </c>
      <c r="C2320" t="s">
        <v>421</v>
      </c>
      <c r="D2320">
        <v>2019</v>
      </c>
      <c r="E2320">
        <v>699.45001220703125</v>
      </c>
      <c r="F2320">
        <v>13.19</v>
      </c>
      <c r="G2320" t="s">
        <v>465</v>
      </c>
      <c r="H2320">
        <v>1575</v>
      </c>
      <c r="I2320">
        <v>1070</v>
      </c>
      <c r="L2320" t="s">
        <v>469</v>
      </c>
      <c r="M2320">
        <v>119.4086429112964</v>
      </c>
      <c r="N2320">
        <v>81.122062168309327</v>
      </c>
      <c r="O2320">
        <v>687.95</v>
      </c>
      <c r="P2320">
        <v>1150.0999999999999</v>
      </c>
      <c r="Q2320">
        <v>656</v>
      </c>
      <c r="R2320" s="2" t="s">
        <v>467</v>
      </c>
      <c r="S2320">
        <v>687.95</v>
      </c>
      <c r="T2320" t="s">
        <v>468</v>
      </c>
    </row>
    <row r="2321" spans="1:20" x14ac:dyDescent="0.25">
      <c r="A2321">
        <v>384</v>
      </c>
      <c r="B2321">
        <v>517385</v>
      </c>
      <c r="C2321" t="s">
        <v>421</v>
      </c>
      <c r="D2321">
        <v>2020</v>
      </c>
      <c r="E2321">
        <v>699.45001220703125</v>
      </c>
      <c r="F2321">
        <v>25.94</v>
      </c>
      <c r="G2321" t="s">
        <v>465</v>
      </c>
      <c r="H2321">
        <v>1407.349975585938</v>
      </c>
      <c r="I2321">
        <v>690</v>
      </c>
      <c r="L2321" t="s">
        <v>469</v>
      </c>
      <c r="M2321">
        <v>54.254046861447101</v>
      </c>
      <c r="N2321">
        <v>26.599845797995371</v>
      </c>
      <c r="O2321">
        <v>687.95</v>
      </c>
      <c r="P2321">
        <v>1150.0999999999999</v>
      </c>
      <c r="Q2321">
        <v>656</v>
      </c>
      <c r="R2321" s="2" t="s">
        <v>467</v>
      </c>
      <c r="S2321">
        <v>687.95</v>
      </c>
      <c r="T2321" t="s">
        <v>468</v>
      </c>
    </row>
    <row r="2322" spans="1:20" x14ac:dyDescent="0.25">
      <c r="A2322">
        <v>384</v>
      </c>
      <c r="B2322">
        <v>517385</v>
      </c>
      <c r="C2322" t="s">
        <v>421</v>
      </c>
      <c r="D2322">
        <v>2021</v>
      </c>
      <c r="E2322">
        <v>699.45001220703125</v>
      </c>
      <c r="F2322">
        <v>15.34</v>
      </c>
      <c r="G2322" t="s">
        <v>465</v>
      </c>
      <c r="H2322">
        <v>1529.650024414062</v>
      </c>
      <c r="I2322">
        <v>890</v>
      </c>
      <c r="L2322" t="s">
        <v>469</v>
      </c>
      <c r="M2322">
        <v>99.716429231685922</v>
      </c>
      <c r="N2322">
        <v>58.018252933507171</v>
      </c>
      <c r="O2322">
        <v>687.95</v>
      </c>
      <c r="P2322">
        <v>1150.0999999999999</v>
      </c>
      <c r="Q2322">
        <v>656</v>
      </c>
      <c r="R2322" s="2" t="s">
        <v>467</v>
      </c>
      <c r="S2322">
        <v>687.95</v>
      </c>
      <c r="T2322" t="s">
        <v>468</v>
      </c>
    </row>
    <row r="2323" spans="1:20" x14ac:dyDescent="0.25">
      <c r="A2323">
        <v>384</v>
      </c>
      <c r="B2323">
        <v>517385</v>
      </c>
      <c r="C2323" t="s">
        <v>421</v>
      </c>
      <c r="D2323">
        <v>2022</v>
      </c>
      <c r="E2323">
        <v>699.45001220703125</v>
      </c>
      <c r="F2323">
        <v>17.2</v>
      </c>
      <c r="G2323" t="s">
        <v>465</v>
      </c>
      <c r="H2323">
        <v>1214</v>
      </c>
      <c r="I2323">
        <v>821</v>
      </c>
      <c r="L2323" t="s">
        <v>469</v>
      </c>
      <c r="M2323">
        <v>70.581395348837219</v>
      </c>
      <c r="N2323">
        <v>47.732558139534888</v>
      </c>
      <c r="O2323">
        <v>687.95</v>
      </c>
      <c r="P2323">
        <v>1150.0999999999999</v>
      </c>
      <c r="Q2323">
        <v>656</v>
      </c>
      <c r="R2323" s="2" t="s">
        <v>467</v>
      </c>
      <c r="S2323">
        <v>687.95</v>
      </c>
      <c r="T2323" t="s">
        <v>468</v>
      </c>
    </row>
    <row r="2324" spans="1:20" x14ac:dyDescent="0.25">
      <c r="A2324">
        <v>384</v>
      </c>
      <c r="B2324">
        <v>517385</v>
      </c>
      <c r="C2324" t="s">
        <v>421</v>
      </c>
      <c r="D2324">
        <v>2023</v>
      </c>
      <c r="E2324">
        <v>699.45001220703125</v>
      </c>
      <c r="F2324">
        <v>16.64</v>
      </c>
      <c r="G2324" t="s">
        <v>465</v>
      </c>
      <c r="H2324">
        <v>1218.949951171875</v>
      </c>
      <c r="I2324">
        <v>825.25</v>
      </c>
      <c r="L2324" t="s">
        <v>469</v>
      </c>
      <c r="M2324">
        <v>73.254203796386719</v>
      </c>
      <c r="N2324">
        <v>49.59435096153846</v>
      </c>
      <c r="O2324">
        <v>687.95</v>
      </c>
      <c r="P2324">
        <v>1150.0999999999999</v>
      </c>
      <c r="Q2324">
        <v>656</v>
      </c>
      <c r="R2324" s="2" t="s">
        <v>467</v>
      </c>
      <c r="S2324">
        <v>687.95</v>
      </c>
      <c r="T2324" t="s">
        <v>468</v>
      </c>
    </row>
    <row r="2325" spans="1:20" x14ac:dyDescent="0.25">
      <c r="A2325">
        <v>384</v>
      </c>
      <c r="B2325">
        <v>517385</v>
      </c>
      <c r="C2325" t="s">
        <v>421</v>
      </c>
      <c r="D2325">
        <v>2024</v>
      </c>
      <c r="E2325">
        <v>699.45001220703125</v>
      </c>
      <c r="F2325">
        <v>21.48</v>
      </c>
      <c r="G2325" t="s">
        <v>465</v>
      </c>
      <c r="H2325">
        <v>1878.949951171875</v>
      </c>
      <c r="I2325">
        <v>820.0999755859375</v>
      </c>
      <c r="L2325" t="s">
        <v>469</v>
      </c>
      <c r="M2325">
        <v>87.474392512657118</v>
      </c>
      <c r="N2325">
        <v>38.179700911822053</v>
      </c>
      <c r="O2325">
        <v>687.95</v>
      </c>
      <c r="P2325">
        <v>1150.0999999999999</v>
      </c>
      <c r="Q2325">
        <v>656</v>
      </c>
      <c r="R2325" s="2" t="s">
        <v>467</v>
      </c>
      <c r="S2325">
        <v>687.95</v>
      </c>
      <c r="T2325" t="s">
        <v>468</v>
      </c>
    </row>
    <row r="2326" spans="1:20" x14ac:dyDescent="0.25">
      <c r="A2326">
        <v>384</v>
      </c>
      <c r="B2326">
        <v>517385</v>
      </c>
      <c r="C2326" t="s">
        <v>421</v>
      </c>
      <c r="D2326">
        <v>2025</v>
      </c>
      <c r="E2326">
        <v>699.45001220703125</v>
      </c>
      <c r="F2326">
        <v>30.94</v>
      </c>
      <c r="G2326" t="s">
        <v>465</v>
      </c>
      <c r="H2326">
        <v>1453.949951171875</v>
      </c>
      <c r="I2326">
        <v>839</v>
      </c>
      <c r="L2326" t="s">
        <v>469</v>
      </c>
      <c r="M2326">
        <v>46.992564679116839</v>
      </c>
      <c r="N2326">
        <v>27.117000646412411</v>
      </c>
      <c r="O2326">
        <v>687.95</v>
      </c>
      <c r="P2326">
        <v>1150.0999999999999</v>
      </c>
      <c r="Q2326">
        <v>656</v>
      </c>
      <c r="R2326" s="2" t="s">
        <v>467</v>
      </c>
      <c r="S2326">
        <v>687.95</v>
      </c>
      <c r="T2326" t="s">
        <v>468</v>
      </c>
    </row>
    <row r="2327" spans="1:20" x14ac:dyDescent="0.25">
      <c r="A2327">
        <v>384</v>
      </c>
      <c r="B2327">
        <v>517385</v>
      </c>
      <c r="C2327" t="s">
        <v>421</v>
      </c>
      <c r="D2327">
        <v>2026</v>
      </c>
      <c r="E2327">
        <v>699.45001220703125</v>
      </c>
      <c r="F2327">
        <v>-20.54</v>
      </c>
      <c r="G2327" t="s">
        <v>465</v>
      </c>
      <c r="H2327">
        <v>967.5</v>
      </c>
      <c r="I2327">
        <v>658.79998779296875</v>
      </c>
      <c r="L2327" t="s">
        <v>471</v>
      </c>
      <c r="M2327">
        <v>-47.103213242453748</v>
      </c>
      <c r="N2327">
        <v>-32.074001353114348</v>
      </c>
      <c r="O2327">
        <v>687.95</v>
      </c>
      <c r="P2327">
        <v>1150.0999999999999</v>
      </c>
      <c r="Q2327">
        <v>656</v>
      </c>
      <c r="R2327" s="2" t="s">
        <v>467</v>
      </c>
      <c r="S2327">
        <v>687.95</v>
      </c>
      <c r="T2327" t="s">
        <v>468</v>
      </c>
    </row>
    <row r="2328" spans="1:20" x14ac:dyDescent="0.25">
      <c r="A2328">
        <v>385</v>
      </c>
      <c r="B2328">
        <v>517399</v>
      </c>
      <c r="C2328" t="s">
        <v>423</v>
      </c>
      <c r="D2328">
        <v>2015</v>
      </c>
      <c r="E2328">
        <v>3.9800000190734859</v>
      </c>
      <c r="F2328">
        <v>-3.4</v>
      </c>
      <c r="G2328" t="s">
        <v>465</v>
      </c>
      <c r="H2328">
        <v>26.5</v>
      </c>
      <c r="I2328">
        <v>10.44999980926514</v>
      </c>
      <c r="L2328" t="s">
        <v>471</v>
      </c>
      <c r="M2328">
        <v>-7.7941176470588234</v>
      </c>
      <c r="N2328">
        <v>-3.073529355666218</v>
      </c>
      <c r="O2328">
        <v>5.28</v>
      </c>
      <c r="P2328">
        <v>8.15</v>
      </c>
      <c r="Q2328">
        <v>3.97</v>
      </c>
      <c r="R2328" s="3" t="s">
        <v>470</v>
      </c>
      <c r="S2328">
        <v>5.28</v>
      </c>
      <c r="T2328" t="s">
        <v>468</v>
      </c>
    </row>
    <row r="2329" spans="1:20" x14ac:dyDescent="0.25">
      <c r="A2329">
        <v>385</v>
      </c>
      <c r="B2329">
        <v>517399</v>
      </c>
      <c r="C2329" t="s">
        <v>423</v>
      </c>
      <c r="D2329">
        <v>2016</v>
      </c>
      <c r="E2329">
        <v>3.9800000190734859</v>
      </c>
      <c r="F2329">
        <v>-3.43</v>
      </c>
      <c r="G2329" t="s">
        <v>465</v>
      </c>
      <c r="H2329">
        <v>14.19999980926514</v>
      </c>
      <c r="I2329">
        <v>5.5999999046325684</v>
      </c>
      <c r="L2329" t="s">
        <v>471</v>
      </c>
      <c r="M2329">
        <v>-4.1399416353542682</v>
      </c>
      <c r="N2329">
        <v>-1.632653033420574</v>
      </c>
      <c r="O2329">
        <v>5.28</v>
      </c>
      <c r="P2329">
        <v>8.15</v>
      </c>
      <c r="Q2329">
        <v>3.97</v>
      </c>
      <c r="R2329" s="3" t="s">
        <v>470</v>
      </c>
      <c r="S2329">
        <v>5.28</v>
      </c>
      <c r="T2329" t="s">
        <v>468</v>
      </c>
    </row>
    <row r="2330" spans="1:20" x14ac:dyDescent="0.25">
      <c r="A2330">
        <v>385</v>
      </c>
      <c r="B2330">
        <v>517399</v>
      </c>
      <c r="C2330" t="s">
        <v>423</v>
      </c>
      <c r="D2330">
        <v>2017</v>
      </c>
      <c r="E2330">
        <v>3.9800000190734859</v>
      </c>
      <c r="G2330" t="s">
        <v>465</v>
      </c>
      <c r="H2330">
        <v>10.329999923706049</v>
      </c>
      <c r="I2330">
        <v>5</v>
      </c>
      <c r="L2330" t="s">
        <v>466</v>
      </c>
      <c r="O2330">
        <v>5.28</v>
      </c>
      <c r="P2330">
        <v>8.15</v>
      </c>
      <c r="Q2330">
        <v>3.97</v>
      </c>
      <c r="R2330" s="3" t="s">
        <v>470</v>
      </c>
      <c r="S2330">
        <v>5.28</v>
      </c>
      <c r="T2330" t="s">
        <v>468</v>
      </c>
    </row>
    <row r="2331" spans="1:20" x14ac:dyDescent="0.25">
      <c r="A2331">
        <v>385</v>
      </c>
      <c r="B2331">
        <v>517399</v>
      </c>
      <c r="C2331" t="s">
        <v>423</v>
      </c>
      <c r="D2331">
        <v>2018</v>
      </c>
      <c r="E2331">
        <v>3.9800000190734859</v>
      </c>
      <c r="G2331" t="s">
        <v>465</v>
      </c>
      <c r="H2331">
        <v>11</v>
      </c>
      <c r="I2331">
        <v>6.0500001907348633</v>
      </c>
      <c r="L2331" t="s">
        <v>466</v>
      </c>
      <c r="O2331">
        <v>5.28</v>
      </c>
      <c r="P2331">
        <v>8.15</v>
      </c>
      <c r="Q2331">
        <v>3.97</v>
      </c>
      <c r="R2331" s="3" t="s">
        <v>470</v>
      </c>
      <c r="S2331">
        <v>5.28</v>
      </c>
      <c r="T2331" t="s">
        <v>468</v>
      </c>
    </row>
    <row r="2332" spans="1:20" x14ac:dyDescent="0.25">
      <c r="A2332">
        <v>385</v>
      </c>
      <c r="B2332">
        <v>517399</v>
      </c>
      <c r="C2332" t="s">
        <v>423</v>
      </c>
      <c r="D2332">
        <v>2019</v>
      </c>
      <c r="E2332">
        <v>3.9800000190734859</v>
      </c>
      <c r="G2332" t="s">
        <v>465</v>
      </c>
      <c r="H2332">
        <v>11.27999973297119</v>
      </c>
      <c r="I2332">
        <v>1.0900000333786011</v>
      </c>
      <c r="L2332" t="s">
        <v>466</v>
      </c>
      <c r="O2332">
        <v>5.28</v>
      </c>
      <c r="P2332">
        <v>8.15</v>
      </c>
      <c r="Q2332">
        <v>3.97</v>
      </c>
      <c r="R2332" s="3" t="s">
        <v>470</v>
      </c>
      <c r="S2332">
        <v>5.28</v>
      </c>
      <c r="T2332" t="s">
        <v>468</v>
      </c>
    </row>
    <row r="2333" spans="1:20" x14ac:dyDescent="0.25">
      <c r="A2333">
        <v>385</v>
      </c>
      <c r="B2333">
        <v>517399</v>
      </c>
      <c r="C2333" t="s">
        <v>423</v>
      </c>
      <c r="D2333">
        <v>2020</v>
      </c>
      <c r="E2333">
        <v>3.9800000190734859</v>
      </c>
      <c r="G2333" t="s">
        <v>465</v>
      </c>
      <c r="H2333">
        <v>3.6400001049041748</v>
      </c>
      <c r="I2333">
        <v>1.1000000238418579</v>
      </c>
      <c r="L2333" t="s">
        <v>466</v>
      </c>
      <c r="O2333">
        <v>5.28</v>
      </c>
      <c r="P2333">
        <v>8.15</v>
      </c>
      <c r="Q2333">
        <v>3.97</v>
      </c>
      <c r="R2333" s="3" t="s">
        <v>470</v>
      </c>
      <c r="S2333">
        <v>5.28</v>
      </c>
      <c r="T2333" t="s">
        <v>468</v>
      </c>
    </row>
    <row r="2334" spans="1:20" x14ac:dyDescent="0.25">
      <c r="A2334">
        <v>385</v>
      </c>
      <c r="B2334">
        <v>517399</v>
      </c>
      <c r="C2334" t="s">
        <v>423</v>
      </c>
      <c r="D2334">
        <v>2021</v>
      </c>
      <c r="E2334">
        <v>3.9800000190734859</v>
      </c>
      <c r="G2334" t="s">
        <v>465</v>
      </c>
      <c r="H2334">
        <v>12.35999965667725</v>
      </c>
      <c r="I2334">
        <v>2.2300000190734859</v>
      </c>
      <c r="L2334" t="s">
        <v>466</v>
      </c>
      <c r="O2334">
        <v>5.28</v>
      </c>
      <c r="P2334">
        <v>8.15</v>
      </c>
      <c r="Q2334">
        <v>3.97</v>
      </c>
      <c r="R2334" s="3" t="s">
        <v>470</v>
      </c>
      <c r="S2334">
        <v>5.28</v>
      </c>
      <c r="T2334" t="s">
        <v>468</v>
      </c>
    </row>
    <row r="2335" spans="1:20" x14ac:dyDescent="0.25">
      <c r="A2335">
        <v>385</v>
      </c>
      <c r="B2335">
        <v>517399</v>
      </c>
      <c r="C2335" t="s">
        <v>423</v>
      </c>
      <c r="D2335">
        <v>2022</v>
      </c>
      <c r="E2335">
        <v>3.9800000190734859</v>
      </c>
      <c r="G2335" t="s">
        <v>465</v>
      </c>
      <c r="H2335">
        <v>11.75</v>
      </c>
      <c r="I2335">
        <v>5.2800002098083496</v>
      </c>
      <c r="L2335" t="s">
        <v>466</v>
      </c>
      <c r="O2335">
        <v>5.28</v>
      </c>
      <c r="P2335">
        <v>8.15</v>
      </c>
      <c r="Q2335">
        <v>3.97</v>
      </c>
      <c r="R2335" s="3" t="s">
        <v>470</v>
      </c>
      <c r="S2335">
        <v>5.28</v>
      </c>
      <c r="T2335" t="s">
        <v>468</v>
      </c>
    </row>
    <row r="2336" spans="1:20" x14ac:dyDescent="0.25">
      <c r="A2336">
        <v>385</v>
      </c>
      <c r="B2336">
        <v>517399</v>
      </c>
      <c r="C2336" t="s">
        <v>423</v>
      </c>
      <c r="D2336">
        <v>2023</v>
      </c>
      <c r="E2336">
        <v>3.9800000190734859</v>
      </c>
      <c r="G2336" t="s">
        <v>465</v>
      </c>
      <c r="H2336">
        <v>16.010000228881839</v>
      </c>
      <c r="I2336">
        <v>5.4200000762939453</v>
      </c>
      <c r="L2336" t="s">
        <v>466</v>
      </c>
      <c r="O2336">
        <v>5.28</v>
      </c>
      <c r="P2336">
        <v>8.15</v>
      </c>
      <c r="Q2336">
        <v>3.97</v>
      </c>
      <c r="R2336" s="3" t="s">
        <v>470</v>
      </c>
      <c r="S2336">
        <v>5.28</v>
      </c>
      <c r="T2336" t="s">
        <v>468</v>
      </c>
    </row>
    <row r="2337" spans="1:20" x14ac:dyDescent="0.25">
      <c r="A2337">
        <v>385</v>
      </c>
      <c r="B2337">
        <v>517399</v>
      </c>
      <c r="C2337" t="s">
        <v>423</v>
      </c>
      <c r="D2337">
        <v>2024</v>
      </c>
      <c r="E2337">
        <v>3.9800000190734859</v>
      </c>
      <c r="G2337" t="s">
        <v>465</v>
      </c>
      <c r="H2337">
        <v>8.1499996185302734</v>
      </c>
      <c r="I2337">
        <v>3.970000028610229</v>
      </c>
      <c r="L2337" t="s">
        <v>466</v>
      </c>
      <c r="O2337">
        <v>5.28</v>
      </c>
      <c r="P2337">
        <v>8.15</v>
      </c>
      <c r="Q2337">
        <v>3.97</v>
      </c>
      <c r="R2337" s="3" t="s">
        <v>470</v>
      </c>
      <c r="S2337">
        <v>5.28</v>
      </c>
      <c r="T2337" t="s">
        <v>468</v>
      </c>
    </row>
    <row r="2338" spans="1:20" x14ac:dyDescent="0.25">
      <c r="A2338">
        <v>385</v>
      </c>
      <c r="B2338">
        <v>517399</v>
      </c>
      <c r="C2338" t="s">
        <v>423</v>
      </c>
      <c r="D2338">
        <v>2025</v>
      </c>
      <c r="E2338">
        <v>3.9800000190734859</v>
      </c>
      <c r="G2338" t="s">
        <v>465</v>
      </c>
      <c r="H2338">
        <v>5.9499998092651367</v>
      </c>
      <c r="I2338">
        <v>2.5999999046325679</v>
      </c>
      <c r="L2338" t="s">
        <v>466</v>
      </c>
      <c r="O2338">
        <v>5.28</v>
      </c>
      <c r="P2338">
        <v>8.15</v>
      </c>
      <c r="Q2338">
        <v>3.97</v>
      </c>
      <c r="R2338" s="3" t="s">
        <v>470</v>
      </c>
      <c r="S2338">
        <v>5.28</v>
      </c>
      <c r="T2338" t="s">
        <v>468</v>
      </c>
    </row>
    <row r="2339" spans="1:20" x14ac:dyDescent="0.25">
      <c r="A2339">
        <v>385</v>
      </c>
      <c r="B2339">
        <v>517399</v>
      </c>
      <c r="C2339" t="s">
        <v>423</v>
      </c>
      <c r="D2339">
        <v>2026</v>
      </c>
      <c r="E2339">
        <v>3.9800000190734859</v>
      </c>
      <c r="G2339" t="s">
        <v>465</v>
      </c>
      <c r="H2339">
        <v>4.1999998092651367</v>
      </c>
      <c r="I2339">
        <v>2.7300000190734859</v>
      </c>
      <c r="L2339" t="s">
        <v>466</v>
      </c>
      <c r="O2339">
        <v>5.28</v>
      </c>
      <c r="P2339">
        <v>8.15</v>
      </c>
      <c r="Q2339">
        <v>3.97</v>
      </c>
      <c r="R2339" s="3" t="s">
        <v>470</v>
      </c>
      <c r="S2339">
        <v>5.28</v>
      </c>
      <c r="T2339" t="s">
        <v>468</v>
      </c>
    </row>
    <row r="2340" spans="1:20" x14ac:dyDescent="0.25">
      <c r="A2340">
        <v>386</v>
      </c>
      <c r="B2340">
        <v>517421</v>
      </c>
      <c r="C2340" t="s">
        <v>425</v>
      </c>
      <c r="D2340">
        <v>2015</v>
      </c>
      <c r="E2340">
        <v>764.04998779296875</v>
      </c>
      <c r="F2340">
        <v>1.58</v>
      </c>
      <c r="G2340" t="s">
        <v>465</v>
      </c>
      <c r="H2340">
        <v>282</v>
      </c>
      <c r="I2340">
        <v>128</v>
      </c>
      <c r="L2340" t="s">
        <v>469</v>
      </c>
      <c r="M2340">
        <v>178.48101265822791</v>
      </c>
      <c r="N2340">
        <v>81.012658227848092</v>
      </c>
      <c r="O2340">
        <f>IFERROR(VLOOKUP(B2340,BSE_500_LIVE!A:E,3,FALSE),"")</f>
        <v>0</v>
      </c>
      <c r="P2340">
        <f>IFERROR(VLOOKUP(B2340,BSE_500_LIVE!A:E,4,FALSE),"")</f>
        <v>0</v>
      </c>
      <c r="Q2340">
        <f>IFERROR(VLOOKUP(B2340,BSE_500_LIVE!A:E,5,FALSE),"")</f>
        <v>0</v>
      </c>
      <c r="R2340" t="str">
        <f t="shared" ref="R2340:R2351" si="30">IF(OR(E2340="",O2340=""),"PENDING_FETCH",IF(ABS(E2340-O2340)/E2340&gt;0.005,"MISMATCH_NEEDS_CORRECTION","VERIFIED_OK"))</f>
        <v>MISMATCH_NEEDS_CORRECTION</v>
      </c>
      <c r="S2340">
        <f t="shared" ref="S2340:S2351" si="31">IF(O2340&lt;&gt;"",O2340,E2340)</f>
        <v>0</v>
      </c>
      <c r="T2340">
        <f>IFERROR(VLOOKUP(B2340,BSE_500_LIVE!A:F,6,FALSE),"")</f>
        <v>0</v>
      </c>
    </row>
    <row r="2341" spans="1:20" x14ac:dyDescent="0.25">
      <c r="A2341">
        <v>386</v>
      </c>
      <c r="B2341">
        <v>517421</v>
      </c>
      <c r="C2341" t="s">
        <v>425</v>
      </c>
      <c r="D2341">
        <v>2016</v>
      </c>
      <c r="E2341">
        <v>764.04998779296875</v>
      </c>
      <c r="F2341">
        <v>6.93</v>
      </c>
      <c r="G2341" t="s">
        <v>465</v>
      </c>
      <c r="H2341">
        <v>307.39999389648438</v>
      </c>
      <c r="I2341">
        <v>138.1499938964844</v>
      </c>
      <c r="L2341" t="s">
        <v>469</v>
      </c>
      <c r="M2341">
        <v>44.357863477126173</v>
      </c>
      <c r="N2341">
        <v>19.935064054326759</v>
      </c>
      <c r="O2341">
        <f>IFERROR(VLOOKUP(B2341,BSE_500_LIVE!A:E,3,FALSE),"")</f>
        <v>0</v>
      </c>
      <c r="P2341">
        <f>IFERROR(VLOOKUP(B2341,BSE_500_LIVE!A:E,4,FALSE),"")</f>
        <v>0</v>
      </c>
      <c r="Q2341">
        <f>IFERROR(VLOOKUP(B2341,BSE_500_LIVE!A:E,5,FALSE),"")</f>
        <v>0</v>
      </c>
      <c r="R2341" t="str">
        <f t="shared" si="30"/>
        <v>MISMATCH_NEEDS_CORRECTION</v>
      </c>
      <c r="S2341">
        <f t="shared" si="31"/>
        <v>0</v>
      </c>
      <c r="T2341">
        <f>IFERROR(VLOOKUP(B2341,BSE_500_LIVE!A:F,6,FALSE),"")</f>
        <v>0</v>
      </c>
    </row>
    <row r="2342" spans="1:20" x14ac:dyDescent="0.25">
      <c r="A2342">
        <v>386</v>
      </c>
      <c r="B2342">
        <v>517421</v>
      </c>
      <c r="C2342" t="s">
        <v>425</v>
      </c>
      <c r="D2342">
        <v>2017</v>
      </c>
      <c r="E2342">
        <v>764.04998779296875</v>
      </c>
      <c r="F2342">
        <v>-28.95</v>
      </c>
      <c r="G2342" t="s">
        <v>465</v>
      </c>
      <c r="H2342">
        <v>611.9000244140625</v>
      </c>
      <c r="I2342">
        <v>157</v>
      </c>
      <c r="L2342" t="s">
        <v>471</v>
      </c>
      <c r="M2342">
        <v>-21.136442984941709</v>
      </c>
      <c r="N2342">
        <v>-5.4231433506044908</v>
      </c>
      <c r="O2342">
        <f>IFERROR(VLOOKUP(B2342,BSE_500_LIVE!A:E,3,FALSE),"")</f>
        <v>0</v>
      </c>
      <c r="P2342">
        <f>IFERROR(VLOOKUP(B2342,BSE_500_LIVE!A:E,4,FALSE),"")</f>
        <v>0</v>
      </c>
      <c r="Q2342">
        <f>IFERROR(VLOOKUP(B2342,BSE_500_LIVE!A:E,5,FALSE),"")</f>
        <v>0</v>
      </c>
      <c r="R2342" t="str">
        <f t="shared" si="30"/>
        <v>MISMATCH_NEEDS_CORRECTION</v>
      </c>
      <c r="S2342">
        <f t="shared" si="31"/>
        <v>0</v>
      </c>
      <c r="T2342">
        <f>IFERROR(VLOOKUP(B2342,BSE_500_LIVE!A:F,6,FALSE),"")</f>
        <v>0</v>
      </c>
    </row>
    <row r="2343" spans="1:20" x14ac:dyDescent="0.25">
      <c r="A2343">
        <v>386</v>
      </c>
      <c r="B2343">
        <v>517421</v>
      </c>
      <c r="C2343" t="s">
        <v>425</v>
      </c>
      <c r="D2343">
        <v>2018</v>
      </c>
      <c r="E2343">
        <v>764.04998779296875</v>
      </c>
      <c r="F2343">
        <v>2.69</v>
      </c>
      <c r="G2343" t="s">
        <v>465</v>
      </c>
      <c r="H2343">
        <v>661</v>
      </c>
      <c r="I2343">
        <v>199.8999938964844</v>
      </c>
      <c r="L2343" t="s">
        <v>469</v>
      </c>
      <c r="M2343">
        <v>245.72490706319701</v>
      </c>
      <c r="N2343">
        <v>74.312265389027658</v>
      </c>
      <c r="O2343">
        <f>IFERROR(VLOOKUP(B2343,BSE_500_LIVE!A:E,3,FALSE),"")</f>
        <v>0</v>
      </c>
      <c r="P2343">
        <f>IFERROR(VLOOKUP(B2343,BSE_500_LIVE!A:E,4,FALSE),"")</f>
        <v>0</v>
      </c>
      <c r="Q2343">
        <f>IFERROR(VLOOKUP(B2343,BSE_500_LIVE!A:E,5,FALSE),"")</f>
        <v>0</v>
      </c>
      <c r="R2343" t="str">
        <f t="shared" si="30"/>
        <v>MISMATCH_NEEDS_CORRECTION</v>
      </c>
      <c r="S2343">
        <f t="shared" si="31"/>
        <v>0</v>
      </c>
      <c r="T2343">
        <f>IFERROR(VLOOKUP(B2343,BSE_500_LIVE!A:F,6,FALSE),"")</f>
        <v>0</v>
      </c>
    </row>
    <row r="2344" spans="1:20" x14ac:dyDescent="0.25">
      <c r="A2344">
        <v>386</v>
      </c>
      <c r="B2344">
        <v>517421</v>
      </c>
      <c r="C2344" t="s">
        <v>425</v>
      </c>
      <c r="D2344">
        <v>2019</v>
      </c>
      <c r="E2344">
        <v>764.04998779296875</v>
      </c>
      <c r="F2344">
        <v>5.35</v>
      </c>
      <c r="G2344" t="s">
        <v>465</v>
      </c>
      <c r="H2344">
        <v>310.89999389648438</v>
      </c>
      <c r="I2344">
        <v>141</v>
      </c>
      <c r="L2344" t="s">
        <v>469</v>
      </c>
      <c r="M2344">
        <v>58.112148391866242</v>
      </c>
      <c r="N2344">
        <v>26.355140186915889</v>
      </c>
      <c r="O2344">
        <f>IFERROR(VLOOKUP(B2344,BSE_500_LIVE!A:E,3,FALSE),"")</f>
        <v>0</v>
      </c>
      <c r="P2344">
        <f>IFERROR(VLOOKUP(B2344,BSE_500_LIVE!A:E,4,FALSE),"")</f>
        <v>0</v>
      </c>
      <c r="Q2344">
        <f>IFERROR(VLOOKUP(B2344,BSE_500_LIVE!A:E,5,FALSE),"")</f>
        <v>0</v>
      </c>
      <c r="R2344" t="str">
        <f t="shared" si="30"/>
        <v>MISMATCH_NEEDS_CORRECTION</v>
      </c>
      <c r="S2344">
        <f t="shared" si="31"/>
        <v>0</v>
      </c>
      <c r="T2344">
        <f>IFERROR(VLOOKUP(B2344,BSE_500_LIVE!A:F,6,FALSE),"")</f>
        <v>0</v>
      </c>
    </row>
    <row r="2345" spans="1:20" x14ac:dyDescent="0.25">
      <c r="A2345">
        <v>386</v>
      </c>
      <c r="B2345">
        <v>517421</v>
      </c>
      <c r="C2345" t="s">
        <v>425</v>
      </c>
      <c r="D2345">
        <v>2020</v>
      </c>
      <c r="E2345">
        <v>764.04998779296875</v>
      </c>
      <c r="F2345">
        <v>2.23</v>
      </c>
      <c r="G2345" t="s">
        <v>465</v>
      </c>
      <c r="H2345">
        <v>500</v>
      </c>
      <c r="I2345">
        <v>84.5</v>
      </c>
      <c r="L2345" t="s">
        <v>469</v>
      </c>
      <c r="M2345">
        <v>224.2152466367713</v>
      </c>
      <c r="N2345">
        <v>37.892376681614351</v>
      </c>
      <c r="O2345">
        <f>IFERROR(VLOOKUP(B2345,BSE_500_LIVE!A:E,3,FALSE),"")</f>
        <v>0</v>
      </c>
      <c r="P2345">
        <f>IFERROR(VLOOKUP(B2345,BSE_500_LIVE!A:E,4,FALSE),"")</f>
        <v>0</v>
      </c>
      <c r="Q2345">
        <f>IFERROR(VLOOKUP(B2345,BSE_500_LIVE!A:E,5,FALSE),"")</f>
        <v>0</v>
      </c>
      <c r="R2345" t="str">
        <f t="shared" si="30"/>
        <v>MISMATCH_NEEDS_CORRECTION</v>
      </c>
      <c r="S2345">
        <f t="shared" si="31"/>
        <v>0</v>
      </c>
      <c r="T2345">
        <f>IFERROR(VLOOKUP(B2345,BSE_500_LIVE!A:F,6,FALSE),"")</f>
        <v>0</v>
      </c>
    </row>
    <row r="2346" spans="1:20" x14ac:dyDescent="0.25">
      <c r="A2346">
        <v>386</v>
      </c>
      <c r="B2346">
        <v>517421</v>
      </c>
      <c r="C2346" t="s">
        <v>425</v>
      </c>
      <c r="D2346">
        <v>2021</v>
      </c>
      <c r="E2346">
        <v>764.04998779296875</v>
      </c>
      <c r="F2346">
        <v>20.22</v>
      </c>
      <c r="G2346" t="s">
        <v>465</v>
      </c>
      <c r="H2346">
        <v>1200.650024414062</v>
      </c>
      <c r="I2346">
        <v>457.54998779296881</v>
      </c>
      <c r="L2346" t="s">
        <v>469</v>
      </c>
      <c r="M2346">
        <v>59.379328606036701</v>
      </c>
      <c r="N2346">
        <v>22.628584955141879</v>
      </c>
      <c r="O2346">
        <f>IFERROR(VLOOKUP(B2346,BSE_500_LIVE!A:E,3,FALSE),"")</f>
        <v>0</v>
      </c>
      <c r="P2346">
        <f>IFERROR(VLOOKUP(B2346,BSE_500_LIVE!A:E,4,FALSE),"")</f>
        <v>0</v>
      </c>
      <c r="Q2346">
        <f>IFERROR(VLOOKUP(B2346,BSE_500_LIVE!A:E,5,FALSE),"")</f>
        <v>0</v>
      </c>
      <c r="R2346" t="str">
        <f t="shared" si="30"/>
        <v>MISMATCH_NEEDS_CORRECTION</v>
      </c>
      <c r="S2346">
        <f t="shared" si="31"/>
        <v>0</v>
      </c>
      <c r="T2346">
        <f>IFERROR(VLOOKUP(B2346,BSE_500_LIVE!A:F,6,FALSE),"")</f>
        <v>0</v>
      </c>
    </row>
    <row r="2347" spans="1:20" x14ac:dyDescent="0.25">
      <c r="A2347">
        <v>386</v>
      </c>
      <c r="B2347">
        <v>517421</v>
      </c>
      <c r="C2347" t="s">
        <v>425</v>
      </c>
      <c r="D2347">
        <v>2022</v>
      </c>
      <c r="E2347">
        <v>764.04998779296875</v>
      </c>
      <c r="F2347">
        <v>9.02</v>
      </c>
      <c r="G2347" t="s">
        <v>465</v>
      </c>
      <c r="H2347">
        <v>1862.550048828125</v>
      </c>
      <c r="I2347">
        <v>1065.650024414062</v>
      </c>
      <c r="L2347" t="s">
        <v>469</v>
      </c>
      <c r="M2347">
        <v>206.49113623371679</v>
      </c>
      <c r="N2347">
        <v>118.1430182277231</v>
      </c>
      <c r="O2347">
        <f>IFERROR(VLOOKUP(B2347,BSE_500_LIVE!A:E,3,FALSE),"")</f>
        <v>0</v>
      </c>
      <c r="P2347">
        <f>IFERROR(VLOOKUP(B2347,BSE_500_LIVE!A:E,4,FALSE),"")</f>
        <v>0</v>
      </c>
      <c r="Q2347">
        <f>IFERROR(VLOOKUP(B2347,BSE_500_LIVE!A:E,5,FALSE),"")</f>
        <v>0</v>
      </c>
      <c r="R2347" t="str">
        <f t="shared" si="30"/>
        <v>MISMATCH_NEEDS_CORRECTION</v>
      </c>
      <c r="S2347">
        <f t="shared" si="31"/>
        <v>0</v>
      </c>
      <c r="T2347">
        <f>IFERROR(VLOOKUP(B2347,BSE_500_LIVE!A:F,6,FALSE),"")</f>
        <v>0</v>
      </c>
    </row>
    <row r="2348" spans="1:20" x14ac:dyDescent="0.25">
      <c r="A2348">
        <v>386</v>
      </c>
      <c r="B2348">
        <v>517421</v>
      </c>
      <c r="C2348" t="s">
        <v>425</v>
      </c>
      <c r="D2348">
        <v>2023</v>
      </c>
      <c r="E2348">
        <v>764.04998779296875</v>
      </c>
      <c r="F2348">
        <v>28.9</v>
      </c>
      <c r="G2348" t="s">
        <v>465</v>
      </c>
      <c r="H2348">
        <v>1590</v>
      </c>
      <c r="I2348">
        <v>980.6500244140625</v>
      </c>
      <c r="L2348" t="s">
        <v>469</v>
      </c>
      <c r="M2348">
        <v>55.017301038062293</v>
      </c>
      <c r="N2348">
        <v>33.932526796334344</v>
      </c>
      <c r="O2348">
        <f>IFERROR(VLOOKUP(B2348,BSE_500_LIVE!A:E,3,FALSE),"")</f>
        <v>0</v>
      </c>
      <c r="P2348">
        <f>IFERROR(VLOOKUP(B2348,BSE_500_LIVE!A:E,4,FALSE),"")</f>
        <v>0</v>
      </c>
      <c r="Q2348">
        <f>IFERROR(VLOOKUP(B2348,BSE_500_LIVE!A:E,5,FALSE),"")</f>
        <v>0</v>
      </c>
      <c r="R2348" t="str">
        <f t="shared" si="30"/>
        <v>MISMATCH_NEEDS_CORRECTION</v>
      </c>
      <c r="S2348">
        <f t="shared" si="31"/>
        <v>0</v>
      </c>
      <c r="T2348">
        <f>IFERROR(VLOOKUP(B2348,BSE_500_LIVE!A:F,6,FALSE),"")</f>
        <v>0</v>
      </c>
    </row>
    <row r="2349" spans="1:20" x14ac:dyDescent="0.25">
      <c r="A2349">
        <v>386</v>
      </c>
      <c r="B2349">
        <v>517421</v>
      </c>
      <c r="C2349" t="s">
        <v>425</v>
      </c>
      <c r="D2349">
        <v>2024</v>
      </c>
      <c r="E2349">
        <v>764.04998779296875</v>
      </c>
      <c r="F2349">
        <v>4.13</v>
      </c>
      <c r="G2349" t="s">
        <v>465</v>
      </c>
      <c r="H2349">
        <v>1250.650024414062</v>
      </c>
      <c r="I2349">
        <v>685</v>
      </c>
      <c r="L2349" t="s">
        <v>469</v>
      </c>
      <c r="M2349">
        <v>302.82082915594731</v>
      </c>
      <c r="N2349">
        <v>165.8595641646489</v>
      </c>
      <c r="O2349">
        <f>IFERROR(VLOOKUP(B2349,BSE_500_LIVE!A:E,3,FALSE),"")</f>
        <v>0</v>
      </c>
      <c r="P2349">
        <f>IFERROR(VLOOKUP(B2349,BSE_500_LIVE!A:E,4,FALSE),"")</f>
        <v>0</v>
      </c>
      <c r="Q2349">
        <f>IFERROR(VLOOKUP(B2349,BSE_500_LIVE!A:E,5,FALSE),"")</f>
        <v>0</v>
      </c>
      <c r="R2349" t="str">
        <f t="shared" si="30"/>
        <v>MISMATCH_NEEDS_CORRECTION</v>
      </c>
      <c r="S2349">
        <f t="shared" si="31"/>
        <v>0</v>
      </c>
      <c r="T2349">
        <f>IFERROR(VLOOKUP(B2349,BSE_500_LIVE!A:F,6,FALSE),"")</f>
        <v>0</v>
      </c>
    </row>
    <row r="2350" spans="1:20" x14ac:dyDescent="0.25">
      <c r="A2350">
        <v>386</v>
      </c>
      <c r="B2350">
        <v>517421</v>
      </c>
      <c r="C2350" t="s">
        <v>425</v>
      </c>
      <c r="D2350">
        <v>2025</v>
      </c>
      <c r="E2350">
        <v>764.04998779296875</v>
      </c>
      <c r="F2350">
        <v>18.190000000000001</v>
      </c>
      <c r="G2350" t="s">
        <v>465</v>
      </c>
      <c r="H2350">
        <v>850</v>
      </c>
      <c r="I2350">
        <v>550.04998779296875</v>
      </c>
      <c r="L2350" t="s">
        <v>469</v>
      </c>
      <c r="M2350">
        <v>46.728971962616818</v>
      </c>
      <c r="N2350">
        <v>30.239141714841601</v>
      </c>
      <c r="O2350">
        <f>IFERROR(VLOOKUP(B2350,BSE_500_LIVE!A:E,3,FALSE),"")</f>
        <v>0</v>
      </c>
      <c r="P2350">
        <f>IFERROR(VLOOKUP(B2350,BSE_500_LIVE!A:E,4,FALSE),"")</f>
        <v>0</v>
      </c>
      <c r="Q2350">
        <f>IFERROR(VLOOKUP(B2350,BSE_500_LIVE!A:E,5,FALSE),"")</f>
        <v>0</v>
      </c>
      <c r="R2350" t="str">
        <f t="shared" si="30"/>
        <v>MISMATCH_NEEDS_CORRECTION</v>
      </c>
      <c r="S2350">
        <f t="shared" si="31"/>
        <v>0</v>
      </c>
      <c r="T2350">
        <f>IFERROR(VLOOKUP(B2350,BSE_500_LIVE!A:F,6,FALSE),"")</f>
        <v>0</v>
      </c>
    </row>
    <row r="2351" spans="1:20" x14ac:dyDescent="0.25">
      <c r="A2351">
        <v>386</v>
      </c>
      <c r="B2351">
        <v>517421</v>
      </c>
      <c r="C2351" t="s">
        <v>425</v>
      </c>
      <c r="D2351">
        <v>2026</v>
      </c>
      <c r="E2351">
        <v>764.04998779296875</v>
      </c>
      <c r="F2351">
        <v>25.53</v>
      </c>
      <c r="G2351" t="s">
        <v>465</v>
      </c>
      <c r="H2351">
        <v>789</v>
      </c>
      <c r="I2351">
        <v>566.95001220703125</v>
      </c>
      <c r="L2351" t="s">
        <v>469</v>
      </c>
      <c r="M2351">
        <v>30.904817861339598</v>
      </c>
      <c r="N2351">
        <v>22.20720768535179</v>
      </c>
      <c r="O2351">
        <f>IFERROR(VLOOKUP(B2351,BSE_500_LIVE!A:E,3,FALSE),"")</f>
        <v>0</v>
      </c>
      <c r="P2351">
        <f>IFERROR(VLOOKUP(B2351,BSE_500_LIVE!A:E,4,FALSE),"")</f>
        <v>0</v>
      </c>
      <c r="Q2351">
        <f>IFERROR(VLOOKUP(B2351,BSE_500_LIVE!A:E,5,FALSE),"")</f>
        <v>0</v>
      </c>
      <c r="R2351" t="str">
        <f t="shared" si="30"/>
        <v>MISMATCH_NEEDS_CORRECTION</v>
      </c>
      <c r="S2351">
        <f t="shared" si="31"/>
        <v>0</v>
      </c>
      <c r="T2351">
        <f>IFERROR(VLOOKUP(B2351,BSE_500_LIVE!A:F,6,FALSE),"")</f>
        <v>0</v>
      </c>
    </row>
    <row r="2352" spans="1:20" x14ac:dyDescent="0.25">
      <c r="A2352">
        <v>387</v>
      </c>
      <c r="B2352">
        <v>517467</v>
      </c>
      <c r="C2352" t="s">
        <v>427</v>
      </c>
      <c r="D2352">
        <v>2015</v>
      </c>
      <c r="E2352">
        <v>112.15000152587891</v>
      </c>
      <c r="G2352" t="s">
        <v>465</v>
      </c>
      <c r="H2352">
        <v>43.049999237060547</v>
      </c>
      <c r="I2352">
        <v>16.25</v>
      </c>
      <c r="L2352" t="s">
        <v>466</v>
      </c>
      <c r="O2352">
        <v>41.48</v>
      </c>
      <c r="P2352">
        <v>356</v>
      </c>
      <c r="Q2352">
        <v>11.54</v>
      </c>
      <c r="R2352" s="3" t="s">
        <v>470</v>
      </c>
      <c r="S2352">
        <v>41.48</v>
      </c>
      <c r="T2352" t="s">
        <v>468</v>
      </c>
    </row>
    <row r="2353" spans="1:20" x14ac:dyDescent="0.25">
      <c r="A2353">
        <v>387</v>
      </c>
      <c r="B2353">
        <v>517467</v>
      </c>
      <c r="C2353" t="s">
        <v>427</v>
      </c>
      <c r="D2353">
        <v>2016</v>
      </c>
      <c r="E2353">
        <v>112.15000152587891</v>
      </c>
      <c r="F2353">
        <v>1.66</v>
      </c>
      <c r="G2353" t="s">
        <v>465</v>
      </c>
      <c r="H2353">
        <v>98</v>
      </c>
      <c r="I2353">
        <v>36.049999237060547</v>
      </c>
      <c r="L2353" t="s">
        <v>469</v>
      </c>
      <c r="M2353">
        <v>59.036144578313262</v>
      </c>
      <c r="N2353">
        <v>21.71686701027744</v>
      </c>
      <c r="O2353">
        <v>41.48</v>
      </c>
      <c r="P2353">
        <v>356</v>
      </c>
      <c r="Q2353">
        <v>11.54</v>
      </c>
      <c r="R2353" s="3" t="s">
        <v>470</v>
      </c>
      <c r="S2353">
        <v>41.48</v>
      </c>
      <c r="T2353" t="s">
        <v>468</v>
      </c>
    </row>
    <row r="2354" spans="1:20" x14ac:dyDescent="0.25">
      <c r="A2354">
        <v>387</v>
      </c>
      <c r="B2354">
        <v>517467</v>
      </c>
      <c r="C2354" t="s">
        <v>427</v>
      </c>
      <c r="D2354">
        <v>2017</v>
      </c>
      <c r="E2354">
        <v>112.15000152587891</v>
      </c>
      <c r="F2354">
        <v>-3.98</v>
      </c>
      <c r="G2354" t="s">
        <v>465</v>
      </c>
      <c r="H2354">
        <v>93</v>
      </c>
      <c r="I2354">
        <v>23.25</v>
      </c>
      <c r="L2354" t="s">
        <v>471</v>
      </c>
      <c r="M2354">
        <v>-23.366834170854268</v>
      </c>
      <c r="N2354">
        <v>-5.841708542713568</v>
      </c>
      <c r="O2354">
        <v>41.48</v>
      </c>
      <c r="P2354">
        <v>356</v>
      </c>
      <c r="Q2354">
        <v>11.54</v>
      </c>
      <c r="R2354" s="3" t="s">
        <v>470</v>
      </c>
      <c r="S2354">
        <v>41.48</v>
      </c>
      <c r="T2354" t="s">
        <v>468</v>
      </c>
    </row>
    <row r="2355" spans="1:20" x14ac:dyDescent="0.25">
      <c r="A2355">
        <v>387</v>
      </c>
      <c r="B2355">
        <v>517467</v>
      </c>
      <c r="C2355" t="s">
        <v>427</v>
      </c>
      <c r="D2355">
        <v>2018</v>
      </c>
      <c r="E2355">
        <v>112.15000152587891</v>
      </c>
      <c r="F2355">
        <v>-36.630000000000003</v>
      </c>
      <c r="G2355" t="s">
        <v>465</v>
      </c>
      <c r="H2355">
        <v>39.900001525878913</v>
      </c>
      <c r="I2355">
        <v>5.5</v>
      </c>
      <c r="L2355" t="s">
        <v>471</v>
      </c>
      <c r="M2355">
        <v>-1.0892711309276251</v>
      </c>
      <c r="N2355">
        <v>-0.15015015015015021</v>
      </c>
      <c r="O2355">
        <v>41.48</v>
      </c>
      <c r="P2355">
        <v>356</v>
      </c>
      <c r="Q2355">
        <v>11.54</v>
      </c>
      <c r="R2355" s="3" t="s">
        <v>470</v>
      </c>
      <c r="S2355">
        <v>41.48</v>
      </c>
      <c r="T2355" t="s">
        <v>468</v>
      </c>
    </row>
    <row r="2356" spans="1:20" x14ac:dyDescent="0.25">
      <c r="A2356">
        <v>387</v>
      </c>
      <c r="B2356">
        <v>517467</v>
      </c>
      <c r="C2356" t="s">
        <v>427</v>
      </c>
      <c r="D2356">
        <v>2019</v>
      </c>
      <c r="E2356">
        <v>112.15000152587891</v>
      </c>
      <c r="F2356">
        <v>-8.6300000000000008</v>
      </c>
      <c r="G2356" t="s">
        <v>465</v>
      </c>
      <c r="H2356">
        <v>9.8500003814697266</v>
      </c>
      <c r="I2356">
        <v>4.5</v>
      </c>
      <c r="L2356" t="s">
        <v>471</v>
      </c>
      <c r="M2356">
        <v>-1.1413673674935949</v>
      </c>
      <c r="N2356">
        <v>-0.52143684820393965</v>
      </c>
      <c r="O2356">
        <v>41.48</v>
      </c>
      <c r="P2356">
        <v>356</v>
      </c>
      <c r="Q2356">
        <v>11.54</v>
      </c>
      <c r="R2356" s="3" t="s">
        <v>470</v>
      </c>
      <c r="S2356">
        <v>41.48</v>
      </c>
      <c r="T2356" t="s">
        <v>468</v>
      </c>
    </row>
    <row r="2357" spans="1:20" x14ac:dyDescent="0.25">
      <c r="A2357">
        <v>387</v>
      </c>
      <c r="B2357">
        <v>517467</v>
      </c>
      <c r="C2357" t="s">
        <v>427</v>
      </c>
      <c r="D2357">
        <v>2020</v>
      </c>
      <c r="E2357">
        <v>112.15000152587891</v>
      </c>
      <c r="G2357" t="s">
        <v>465</v>
      </c>
      <c r="H2357">
        <v>9.75</v>
      </c>
      <c r="I2357">
        <v>2.4300000667572021</v>
      </c>
      <c r="L2357" t="s">
        <v>466</v>
      </c>
      <c r="O2357">
        <v>41.48</v>
      </c>
      <c r="P2357">
        <v>356</v>
      </c>
      <c r="Q2357">
        <v>11.54</v>
      </c>
      <c r="R2357" s="3" t="s">
        <v>470</v>
      </c>
      <c r="S2357">
        <v>41.48</v>
      </c>
      <c r="T2357" t="s">
        <v>468</v>
      </c>
    </row>
    <row r="2358" spans="1:20" x14ac:dyDescent="0.25">
      <c r="A2358">
        <v>387</v>
      </c>
      <c r="B2358">
        <v>517467</v>
      </c>
      <c r="C2358" t="s">
        <v>427</v>
      </c>
      <c r="D2358">
        <v>2021</v>
      </c>
      <c r="E2358">
        <v>112.15000152587891</v>
      </c>
      <c r="G2358" t="s">
        <v>465</v>
      </c>
      <c r="H2358">
        <v>15.75</v>
      </c>
      <c r="I2358">
        <v>6.8499999046325684</v>
      </c>
      <c r="L2358" t="s">
        <v>466</v>
      </c>
      <c r="O2358">
        <v>41.48</v>
      </c>
      <c r="P2358">
        <v>356</v>
      </c>
      <c r="Q2358">
        <v>11.54</v>
      </c>
      <c r="R2358" s="3" t="s">
        <v>470</v>
      </c>
      <c r="S2358">
        <v>41.48</v>
      </c>
      <c r="T2358" t="s">
        <v>468</v>
      </c>
    </row>
    <row r="2359" spans="1:20" x14ac:dyDescent="0.25">
      <c r="A2359">
        <v>387</v>
      </c>
      <c r="B2359">
        <v>517467</v>
      </c>
      <c r="C2359" t="s">
        <v>427</v>
      </c>
      <c r="D2359">
        <v>2022</v>
      </c>
      <c r="E2359">
        <v>112.15000152587891</v>
      </c>
      <c r="G2359" t="s">
        <v>465</v>
      </c>
      <c r="H2359">
        <v>16.25</v>
      </c>
      <c r="I2359">
        <v>3.0199999809265141</v>
      </c>
      <c r="L2359" t="s">
        <v>466</v>
      </c>
      <c r="O2359">
        <v>41.48</v>
      </c>
      <c r="P2359">
        <v>356</v>
      </c>
      <c r="Q2359">
        <v>11.54</v>
      </c>
      <c r="R2359" s="3" t="s">
        <v>470</v>
      </c>
      <c r="S2359">
        <v>41.48</v>
      </c>
      <c r="T2359" t="s">
        <v>468</v>
      </c>
    </row>
    <row r="2360" spans="1:20" x14ac:dyDescent="0.25">
      <c r="A2360">
        <v>387</v>
      </c>
      <c r="B2360">
        <v>517467</v>
      </c>
      <c r="C2360" t="s">
        <v>427</v>
      </c>
      <c r="D2360">
        <v>2023</v>
      </c>
      <c r="E2360">
        <v>112.15000152587891</v>
      </c>
      <c r="G2360" t="s">
        <v>465</v>
      </c>
      <c r="H2360">
        <v>9</v>
      </c>
      <c r="I2360">
        <v>3.0499999523162842</v>
      </c>
      <c r="L2360" t="s">
        <v>466</v>
      </c>
      <c r="O2360">
        <v>41.48</v>
      </c>
      <c r="P2360">
        <v>356</v>
      </c>
      <c r="Q2360">
        <v>11.54</v>
      </c>
      <c r="R2360" s="3" t="s">
        <v>470</v>
      </c>
      <c r="S2360">
        <v>41.48</v>
      </c>
      <c r="T2360" t="s">
        <v>468</v>
      </c>
    </row>
    <row r="2361" spans="1:20" x14ac:dyDescent="0.25">
      <c r="A2361">
        <v>387</v>
      </c>
      <c r="B2361">
        <v>517467</v>
      </c>
      <c r="C2361" t="s">
        <v>427</v>
      </c>
      <c r="D2361">
        <v>2024</v>
      </c>
      <c r="E2361">
        <v>112.15000152587891</v>
      </c>
      <c r="F2361">
        <v>0.04</v>
      </c>
      <c r="G2361" t="s">
        <v>465</v>
      </c>
      <c r="H2361">
        <v>356</v>
      </c>
      <c r="I2361">
        <v>7.8600001335144043</v>
      </c>
      <c r="L2361" t="s">
        <v>484</v>
      </c>
      <c r="M2361">
        <v>8900</v>
      </c>
      <c r="N2361">
        <v>196.50000333786011</v>
      </c>
      <c r="O2361">
        <v>41.48</v>
      </c>
      <c r="P2361">
        <v>356</v>
      </c>
      <c r="Q2361">
        <v>11.54</v>
      </c>
      <c r="R2361" s="3" t="s">
        <v>470</v>
      </c>
      <c r="S2361">
        <v>41.48</v>
      </c>
      <c r="T2361" t="s">
        <v>468</v>
      </c>
    </row>
    <row r="2362" spans="1:20" x14ac:dyDescent="0.25">
      <c r="A2362">
        <v>387</v>
      </c>
      <c r="B2362">
        <v>517467</v>
      </c>
      <c r="C2362" t="s">
        <v>427</v>
      </c>
      <c r="D2362">
        <v>2025</v>
      </c>
      <c r="E2362">
        <v>112.15000152587891</v>
      </c>
      <c r="F2362">
        <v>1.63</v>
      </c>
      <c r="G2362" t="s">
        <v>465</v>
      </c>
      <c r="H2362">
        <v>231.5</v>
      </c>
      <c r="I2362">
        <v>115</v>
      </c>
      <c r="L2362" t="s">
        <v>469</v>
      </c>
      <c r="M2362">
        <v>142.02453987730061</v>
      </c>
      <c r="N2362">
        <v>70.552147239263803</v>
      </c>
      <c r="O2362">
        <v>41.48</v>
      </c>
      <c r="P2362">
        <v>356</v>
      </c>
      <c r="Q2362">
        <v>11.54</v>
      </c>
      <c r="R2362" s="3" t="s">
        <v>470</v>
      </c>
      <c r="S2362">
        <v>41.48</v>
      </c>
      <c r="T2362" t="s">
        <v>468</v>
      </c>
    </row>
    <row r="2363" spans="1:20" x14ac:dyDescent="0.25">
      <c r="A2363">
        <v>387</v>
      </c>
      <c r="B2363">
        <v>517467</v>
      </c>
      <c r="C2363" t="s">
        <v>427</v>
      </c>
      <c r="D2363">
        <v>2026</v>
      </c>
      <c r="E2363">
        <v>112.15000152587891</v>
      </c>
      <c r="F2363">
        <v>2.69</v>
      </c>
      <c r="G2363" t="s">
        <v>465</v>
      </c>
      <c r="H2363">
        <v>175.55000305175781</v>
      </c>
      <c r="I2363">
        <v>104.6999969482422</v>
      </c>
      <c r="L2363" t="s">
        <v>469</v>
      </c>
      <c r="M2363">
        <v>65.260224182809594</v>
      </c>
      <c r="N2363">
        <v>38.92193195101941</v>
      </c>
      <c r="O2363">
        <v>41.48</v>
      </c>
      <c r="P2363">
        <v>356</v>
      </c>
      <c r="Q2363">
        <v>11.54</v>
      </c>
      <c r="R2363" s="3" t="s">
        <v>470</v>
      </c>
      <c r="S2363">
        <v>41.48</v>
      </c>
      <c r="T2363" t="s">
        <v>468</v>
      </c>
    </row>
    <row r="2364" spans="1:20" x14ac:dyDescent="0.25">
      <c r="A2364">
        <v>388</v>
      </c>
      <c r="B2364">
        <v>517506</v>
      </c>
      <c r="C2364" t="s">
        <v>429</v>
      </c>
      <c r="D2364">
        <v>2015</v>
      </c>
      <c r="G2364" t="s">
        <v>465</v>
      </c>
      <c r="H2364">
        <v>414.24581909179688</v>
      </c>
      <c r="I2364">
        <v>249.08332824707031</v>
      </c>
      <c r="L2364" t="s">
        <v>466</v>
      </c>
      <c r="O2364">
        <v>667.25</v>
      </c>
      <c r="P2364">
        <v>771.2</v>
      </c>
      <c r="Q2364">
        <v>423</v>
      </c>
      <c r="R2364" s="3" t="s">
        <v>470</v>
      </c>
      <c r="S2364">
        <v>667.25</v>
      </c>
      <c r="T2364" t="s">
        <v>468</v>
      </c>
    </row>
    <row r="2365" spans="1:20" x14ac:dyDescent="0.25">
      <c r="A2365">
        <v>388</v>
      </c>
      <c r="B2365">
        <v>517506</v>
      </c>
      <c r="C2365" t="s">
        <v>429</v>
      </c>
      <c r="D2365">
        <v>2016</v>
      </c>
      <c r="F2365">
        <v>8.2799999999999994</v>
      </c>
      <c r="G2365" t="s">
        <v>465</v>
      </c>
      <c r="H2365">
        <v>545.83331298828125</v>
      </c>
      <c r="I2365">
        <v>336.70001220703119</v>
      </c>
      <c r="L2365" t="s">
        <v>469</v>
      </c>
      <c r="M2365">
        <v>65.921897703898708</v>
      </c>
      <c r="N2365">
        <v>40.664252682008602</v>
      </c>
      <c r="O2365">
        <v>667.25</v>
      </c>
      <c r="P2365">
        <v>771.2</v>
      </c>
      <c r="Q2365">
        <v>423</v>
      </c>
      <c r="R2365" s="3" t="s">
        <v>470</v>
      </c>
      <c r="S2365">
        <v>667.25</v>
      </c>
      <c r="T2365" t="s">
        <v>468</v>
      </c>
    </row>
    <row r="2366" spans="1:20" x14ac:dyDescent="0.25">
      <c r="A2366">
        <v>388</v>
      </c>
      <c r="B2366">
        <v>517506</v>
      </c>
      <c r="C2366" t="s">
        <v>429</v>
      </c>
      <c r="D2366">
        <v>2017</v>
      </c>
      <c r="F2366">
        <v>10.78</v>
      </c>
      <c r="G2366" t="s">
        <v>465</v>
      </c>
      <c r="H2366">
        <v>699.91668701171875</v>
      </c>
      <c r="I2366">
        <v>441.66665649414063</v>
      </c>
      <c r="L2366" t="s">
        <v>469</v>
      </c>
      <c r="M2366">
        <v>64.927336457487826</v>
      </c>
      <c r="N2366">
        <v>40.970932884428628</v>
      </c>
      <c r="O2366">
        <v>667.25</v>
      </c>
      <c r="P2366">
        <v>771.2</v>
      </c>
      <c r="Q2366">
        <v>423</v>
      </c>
      <c r="R2366" s="3" t="s">
        <v>470</v>
      </c>
      <c r="S2366">
        <v>667.25</v>
      </c>
      <c r="T2366" t="s">
        <v>468</v>
      </c>
    </row>
    <row r="2367" spans="1:20" x14ac:dyDescent="0.25">
      <c r="A2367">
        <v>388</v>
      </c>
      <c r="B2367">
        <v>517506</v>
      </c>
      <c r="C2367" t="s">
        <v>429</v>
      </c>
      <c r="D2367">
        <v>2018</v>
      </c>
      <c r="F2367">
        <v>19.010000000000002</v>
      </c>
      <c r="G2367" t="s">
        <v>465</v>
      </c>
      <c r="H2367">
        <v>742.5999755859375</v>
      </c>
      <c r="I2367">
        <v>458.33334350585938</v>
      </c>
      <c r="L2367" t="s">
        <v>469</v>
      </c>
      <c r="M2367">
        <v>39.063649425877827</v>
      </c>
      <c r="N2367">
        <v>24.11011801714147</v>
      </c>
      <c r="O2367">
        <v>667.25</v>
      </c>
      <c r="P2367">
        <v>771.2</v>
      </c>
      <c r="Q2367">
        <v>423</v>
      </c>
      <c r="R2367" s="3" t="s">
        <v>470</v>
      </c>
      <c r="S2367">
        <v>667.25</v>
      </c>
      <c r="T2367" t="s">
        <v>468</v>
      </c>
    </row>
    <row r="2368" spans="1:20" x14ac:dyDescent="0.25">
      <c r="A2368">
        <v>388</v>
      </c>
      <c r="B2368">
        <v>517506</v>
      </c>
      <c r="C2368" t="s">
        <v>429</v>
      </c>
      <c r="D2368">
        <v>2019</v>
      </c>
      <c r="F2368">
        <v>13.88</v>
      </c>
      <c r="G2368" t="s">
        <v>465</v>
      </c>
      <c r="H2368">
        <v>774.16668701171875</v>
      </c>
      <c r="I2368">
        <v>504.66500854492188</v>
      </c>
      <c r="L2368" t="s">
        <v>469</v>
      </c>
      <c r="M2368">
        <v>55.775697911507109</v>
      </c>
      <c r="N2368">
        <v>36.359150471536147</v>
      </c>
      <c r="O2368">
        <v>667.25</v>
      </c>
      <c r="P2368">
        <v>771.2</v>
      </c>
      <c r="Q2368">
        <v>423</v>
      </c>
      <c r="R2368" s="3" t="s">
        <v>470</v>
      </c>
      <c r="S2368">
        <v>667.25</v>
      </c>
      <c r="T2368" t="s">
        <v>468</v>
      </c>
    </row>
    <row r="2369" spans="1:20" x14ac:dyDescent="0.25">
      <c r="A2369">
        <v>388</v>
      </c>
      <c r="B2369">
        <v>517506</v>
      </c>
      <c r="C2369" t="s">
        <v>429</v>
      </c>
      <c r="D2369">
        <v>2020</v>
      </c>
      <c r="F2369">
        <v>13.39</v>
      </c>
      <c r="G2369" t="s">
        <v>465</v>
      </c>
      <c r="H2369">
        <v>656.0150146484375</v>
      </c>
      <c r="I2369">
        <v>391.80499267578119</v>
      </c>
      <c r="L2369" t="s">
        <v>469</v>
      </c>
      <c r="M2369">
        <v>48.992906247082708</v>
      </c>
      <c r="N2369">
        <v>29.261015136354079</v>
      </c>
      <c r="O2369">
        <v>667.25</v>
      </c>
      <c r="P2369">
        <v>771.2</v>
      </c>
      <c r="Q2369">
        <v>423</v>
      </c>
      <c r="R2369" s="3" t="s">
        <v>470</v>
      </c>
      <c r="S2369">
        <v>667.25</v>
      </c>
      <c r="T2369" t="s">
        <v>468</v>
      </c>
    </row>
    <row r="2370" spans="1:20" x14ac:dyDescent="0.25">
      <c r="A2370">
        <v>388</v>
      </c>
      <c r="B2370">
        <v>517506</v>
      </c>
      <c r="C2370" t="s">
        <v>429</v>
      </c>
      <c r="D2370">
        <v>2021</v>
      </c>
      <c r="F2370">
        <v>17.079999999999998</v>
      </c>
      <c r="G2370" t="s">
        <v>465</v>
      </c>
      <c r="H2370">
        <v>1269.599975585938</v>
      </c>
      <c r="I2370">
        <v>583.95501708984375</v>
      </c>
      <c r="L2370" t="s">
        <v>469</v>
      </c>
      <c r="M2370">
        <v>74.332551263813698</v>
      </c>
      <c r="N2370">
        <v>34.189403810880783</v>
      </c>
      <c r="O2370">
        <v>667.25</v>
      </c>
      <c r="P2370">
        <v>771.2</v>
      </c>
      <c r="Q2370">
        <v>423</v>
      </c>
      <c r="R2370" s="3" t="s">
        <v>470</v>
      </c>
      <c r="S2370">
        <v>667.25</v>
      </c>
      <c r="T2370" t="s">
        <v>468</v>
      </c>
    </row>
    <row r="2371" spans="1:20" x14ac:dyDescent="0.25">
      <c r="A2371">
        <v>388</v>
      </c>
      <c r="B2371">
        <v>517506</v>
      </c>
      <c r="C2371" t="s">
        <v>429</v>
      </c>
      <c r="D2371">
        <v>2022</v>
      </c>
      <c r="F2371">
        <v>21.99</v>
      </c>
      <c r="G2371" t="s">
        <v>465</v>
      </c>
      <c r="H2371">
        <v>1051</v>
      </c>
      <c r="I2371">
        <v>748.54998779296875</v>
      </c>
      <c r="L2371" t="s">
        <v>469</v>
      </c>
      <c r="M2371">
        <v>47.794452023647118</v>
      </c>
      <c r="N2371">
        <v>34.040472387129093</v>
      </c>
      <c r="O2371">
        <v>667.25</v>
      </c>
      <c r="P2371">
        <v>771.2</v>
      </c>
      <c r="Q2371">
        <v>423</v>
      </c>
      <c r="R2371" s="3" t="s">
        <v>470</v>
      </c>
      <c r="S2371">
        <v>667.25</v>
      </c>
      <c r="T2371" t="s">
        <v>468</v>
      </c>
    </row>
    <row r="2372" spans="1:20" x14ac:dyDescent="0.25">
      <c r="A2372">
        <v>388</v>
      </c>
      <c r="B2372">
        <v>517506</v>
      </c>
      <c r="C2372" t="s">
        <v>429</v>
      </c>
      <c r="D2372">
        <v>2023</v>
      </c>
      <c r="F2372">
        <v>18.34</v>
      </c>
      <c r="G2372" t="s">
        <v>465</v>
      </c>
      <c r="H2372">
        <v>832</v>
      </c>
      <c r="I2372">
        <v>652.0999755859375</v>
      </c>
      <c r="L2372" t="s">
        <v>469</v>
      </c>
      <c r="M2372">
        <v>45.365321701199562</v>
      </c>
      <c r="N2372">
        <v>35.556160064663977</v>
      </c>
      <c r="O2372">
        <v>667.25</v>
      </c>
      <c r="P2372">
        <v>771.2</v>
      </c>
      <c r="Q2372">
        <v>423</v>
      </c>
      <c r="R2372" s="3" t="s">
        <v>470</v>
      </c>
      <c r="S2372">
        <v>667.25</v>
      </c>
      <c r="T2372" t="s">
        <v>468</v>
      </c>
    </row>
    <row r="2373" spans="1:20" x14ac:dyDescent="0.25">
      <c r="A2373">
        <v>388</v>
      </c>
      <c r="B2373">
        <v>517506</v>
      </c>
      <c r="C2373" t="s">
        <v>429</v>
      </c>
      <c r="D2373">
        <v>2024</v>
      </c>
      <c r="F2373">
        <v>16.48</v>
      </c>
      <c r="G2373" t="s">
        <v>465</v>
      </c>
      <c r="H2373">
        <v>1022</v>
      </c>
      <c r="I2373">
        <v>647.4000244140625</v>
      </c>
      <c r="L2373" t="s">
        <v>469</v>
      </c>
      <c r="M2373">
        <v>62.014563106796118</v>
      </c>
      <c r="N2373">
        <v>39.283982063960103</v>
      </c>
      <c r="O2373">
        <v>667.25</v>
      </c>
      <c r="P2373">
        <v>771.2</v>
      </c>
      <c r="Q2373">
        <v>423</v>
      </c>
      <c r="R2373" s="3" t="s">
        <v>470</v>
      </c>
      <c r="S2373">
        <v>667.25</v>
      </c>
      <c r="T2373" t="s">
        <v>468</v>
      </c>
    </row>
    <row r="2374" spans="1:20" x14ac:dyDescent="0.25">
      <c r="A2374">
        <v>388</v>
      </c>
      <c r="B2374">
        <v>517506</v>
      </c>
      <c r="C2374" t="s">
        <v>429</v>
      </c>
      <c r="D2374">
        <v>2025</v>
      </c>
      <c r="F2374">
        <v>8.2100000000000009</v>
      </c>
      <c r="G2374" t="s">
        <v>465</v>
      </c>
      <c r="H2374">
        <v>827.6500244140625</v>
      </c>
      <c r="I2374">
        <v>583</v>
      </c>
      <c r="L2374" t="s">
        <v>469</v>
      </c>
      <c r="M2374">
        <v>100.8099907934303</v>
      </c>
      <c r="N2374">
        <v>71.010962241169295</v>
      </c>
      <c r="O2374">
        <v>667.25</v>
      </c>
      <c r="P2374">
        <v>771.2</v>
      </c>
      <c r="Q2374">
        <v>423</v>
      </c>
      <c r="R2374" s="3" t="s">
        <v>470</v>
      </c>
      <c r="S2374">
        <v>667.25</v>
      </c>
      <c r="T2374" t="s">
        <v>468</v>
      </c>
    </row>
    <row r="2375" spans="1:20" x14ac:dyDescent="0.25">
      <c r="A2375">
        <v>388</v>
      </c>
      <c r="B2375">
        <v>517506</v>
      </c>
      <c r="C2375" t="s">
        <v>429</v>
      </c>
      <c r="D2375">
        <v>2026</v>
      </c>
      <c r="F2375">
        <v>11.73</v>
      </c>
      <c r="G2375" t="s">
        <v>465</v>
      </c>
      <c r="H2375">
        <v>682.20001220703125</v>
      </c>
      <c r="I2375">
        <v>423.29998779296881</v>
      </c>
      <c r="L2375" t="s">
        <v>469</v>
      </c>
      <c r="M2375">
        <v>58.158568815603687</v>
      </c>
      <c r="N2375">
        <v>36.086955481071513</v>
      </c>
      <c r="O2375">
        <v>667.25</v>
      </c>
      <c r="P2375">
        <v>771.2</v>
      </c>
      <c r="Q2375">
        <v>423</v>
      </c>
      <c r="R2375" s="3" t="s">
        <v>470</v>
      </c>
      <c r="S2375">
        <v>667.25</v>
      </c>
      <c r="T2375" t="s">
        <v>468</v>
      </c>
    </row>
    <row r="2376" spans="1:20" x14ac:dyDescent="0.25">
      <c r="A2376">
        <v>389</v>
      </c>
      <c r="B2376">
        <v>517530</v>
      </c>
      <c r="C2376" t="s">
        <v>431</v>
      </c>
      <c r="D2376">
        <v>2015</v>
      </c>
      <c r="E2376">
        <v>18.10000038146973</v>
      </c>
      <c r="F2376">
        <v>0.15</v>
      </c>
      <c r="G2376" t="s">
        <v>465</v>
      </c>
      <c r="H2376">
        <v>17.440000534057621</v>
      </c>
      <c r="I2376">
        <v>3.0999999046325679</v>
      </c>
      <c r="L2376" t="s">
        <v>484</v>
      </c>
      <c r="M2376">
        <v>116.2666702270508</v>
      </c>
      <c r="N2376">
        <v>20.666666030883789</v>
      </c>
      <c r="O2376">
        <v>17.25</v>
      </c>
      <c r="P2376">
        <v>29.32</v>
      </c>
      <c r="Q2376">
        <v>15.4</v>
      </c>
      <c r="R2376" s="2" t="s">
        <v>467</v>
      </c>
      <c r="S2376">
        <v>17.25</v>
      </c>
      <c r="T2376" t="s">
        <v>468</v>
      </c>
    </row>
    <row r="2377" spans="1:20" x14ac:dyDescent="0.25">
      <c r="A2377">
        <v>389</v>
      </c>
      <c r="B2377">
        <v>517530</v>
      </c>
      <c r="C2377" t="s">
        <v>431</v>
      </c>
      <c r="D2377">
        <v>2016</v>
      </c>
      <c r="E2377">
        <v>18.10000038146973</v>
      </c>
      <c r="F2377">
        <v>0.12</v>
      </c>
      <c r="G2377" t="s">
        <v>465</v>
      </c>
      <c r="H2377">
        <v>9</v>
      </c>
      <c r="I2377">
        <v>4.2100000381469727</v>
      </c>
      <c r="L2377" t="s">
        <v>484</v>
      </c>
      <c r="M2377">
        <v>75</v>
      </c>
      <c r="N2377">
        <v>35.083333651224777</v>
      </c>
      <c r="O2377">
        <v>17.25</v>
      </c>
      <c r="P2377">
        <v>29.32</v>
      </c>
      <c r="Q2377">
        <v>15.4</v>
      </c>
      <c r="R2377" s="2" t="s">
        <v>467</v>
      </c>
      <c r="S2377">
        <v>17.25</v>
      </c>
      <c r="T2377" t="s">
        <v>468</v>
      </c>
    </row>
    <row r="2378" spans="1:20" x14ac:dyDescent="0.25">
      <c r="A2378">
        <v>389</v>
      </c>
      <c r="B2378">
        <v>517530</v>
      </c>
      <c r="C2378" t="s">
        <v>431</v>
      </c>
      <c r="D2378">
        <v>2017</v>
      </c>
      <c r="E2378">
        <v>18.10000038146973</v>
      </c>
      <c r="F2378">
        <v>0.15</v>
      </c>
      <c r="G2378" t="s">
        <v>465</v>
      </c>
      <c r="H2378">
        <v>9.3900003433227539</v>
      </c>
      <c r="I2378">
        <v>3.7899999618530269</v>
      </c>
      <c r="L2378" t="s">
        <v>484</v>
      </c>
      <c r="M2378">
        <v>62.600002288818359</v>
      </c>
      <c r="N2378">
        <v>25.266666412353509</v>
      </c>
      <c r="O2378">
        <v>17.25</v>
      </c>
      <c r="P2378">
        <v>29.32</v>
      </c>
      <c r="Q2378">
        <v>15.4</v>
      </c>
      <c r="R2378" s="2" t="s">
        <v>467</v>
      </c>
      <c r="S2378">
        <v>17.25</v>
      </c>
      <c r="T2378" t="s">
        <v>468</v>
      </c>
    </row>
    <row r="2379" spans="1:20" x14ac:dyDescent="0.25">
      <c r="A2379">
        <v>389</v>
      </c>
      <c r="B2379">
        <v>517530</v>
      </c>
      <c r="C2379" t="s">
        <v>431</v>
      </c>
      <c r="D2379">
        <v>2018</v>
      </c>
      <c r="E2379">
        <v>18.10000038146973</v>
      </c>
      <c r="F2379">
        <v>0.14000000000000001</v>
      </c>
      <c r="G2379" t="s">
        <v>465</v>
      </c>
      <c r="H2379">
        <v>7.0799999237060547</v>
      </c>
      <c r="I2379">
        <v>3.9000000953674321</v>
      </c>
      <c r="L2379" t="s">
        <v>484</v>
      </c>
      <c r="M2379">
        <v>50.571428026471807</v>
      </c>
      <c r="N2379">
        <v>27.8571435383388</v>
      </c>
      <c r="O2379">
        <v>17.25</v>
      </c>
      <c r="P2379">
        <v>29.32</v>
      </c>
      <c r="Q2379">
        <v>15.4</v>
      </c>
      <c r="R2379" s="2" t="s">
        <v>467</v>
      </c>
      <c r="S2379">
        <v>17.25</v>
      </c>
      <c r="T2379" t="s">
        <v>468</v>
      </c>
    </row>
    <row r="2380" spans="1:20" x14ac:dyDescent="0.25">
      <c r="A2380">
        <v>389</v>
      </c>
      <c r="B2380">
        <v>517530</v>
      </c>
      <c r="C2380" t="s">
        <v>431</v>
      </c>
      <c r="D2380">
        <v>2019</v>
      </c>
      <c r="E2380">
        <v>18.10000038146973</v>
      </c>
      <c r="F2380">
        <v>0.42</v>
      </c>
      <c r="G2380" t="s">
        <v>465</v>
      </c>
      <c r="H2380">
        <v>5.7300000190734863</v>
      </c>
      <c r="I2380">
        <v>3.0099999904632568</v>
      </c>
      <c r="L2380" t="s">
        <v>484</v>
      </c>
      <c r="M2380">
        <v>13.642857188270209</v>
      </c>
      <c r="N2380">
        <v>7.1666666439601352</v>
      </c>
      <c r="O2380">
        <v>17.25</v>
      </c>
      <c r="P2380">
        <v>29.32</v>
      </c>
      <c r="Q2380">
        <v>15.4</v>
      </c>
      <c r="R2380" s="2" t="s">
        <v>467</v>
      </c>
      <c r="S2380">
        <v>17.25</v>
      </c>
      <c r="T2380" t="s">
        <v>468</v>
      </c>
    </row>
    <row r="2381" spans="1:20" x14ac:dyDescent="0.25">
      <c r="A2381">
        <v>389</v>
      </c>
      <c r="B2381">
        <v>517530</v>
      </c>
      <c r="C2381" t="s">
        <v>431</v>
      </c>
      <c r="D2381">
        <v>2020</v>
      </c>
      <c r="E2381">
        <v>18.10000038146973</v>
      </c>
      <c r="F2381">
        <v>0.51</v>
      </c>
      <c r="G2381" t="s">
        <v>465</v>
      </c>
      <c r="H2381">
        <v>5.820000171661377</v>
      </c>
      <c r="I2381">
        <v>2.0499999523162842</v>
      </c>
      <c r="L2381" t="s">
        <v>469</v>
      </c>
      <c r="M2381">
        <v>11.41176504247329</v>
      </c>
      <c r="N2381">
        <v>4.0196077496397731</v>
      </c>
      <c r="O2381">
        <v>17.25</v>
      </c>
      <c r="P2381">
        <v>29.32</v>
      </c>
      <c r="Q2381">
        <v>15.4</v>
      </c>
      <c r="R2381" s="2" t="s">
        <v>467</v>
      </c>
      <c r="S2381">
        <v>17.25</v>
      </c>
      <c r="T2381" t="s">
        <v>468</v>
      </c>
    </row>
    <row r="2382" spans="1:20" x14ac:dyDescent="0.25">
      <c r="A2382">
        <v>389</v>
      </c>
      <c r="B2382">
        <v>517530</v>
      </c>
      <c r="C2382" t="s">
        <v>431</v>
      </c>
      <c r="D2382">
        <v>2021</v>
      </c>
      <c r="E2382">
        <v>18.10000038146973</v>
      </c>
      <c r="F2382">
        <v>0.25</v>
      </c>
      <c r="G2382" t="s">
        <v>465</v>
      </c>
      <c r="H2382">
        <v>11.210000038146971</v>
      </c>
      <c r="I2382">
        <v>3.9600000381469731</v>
      </c>
      <c r="L2382" t="s">
        <v>484</v>
      </c>
      <c r="M2382">
        <v>44.840000152587884</v>
      </c>
      <c r="N2382">
        <v>15.840000152587891</v>
      </c>
      <c r="O2382">
        <v>17.25</v>
      </c>
      <c r="P2382">
        <v>29.32</v>
      </c>
      <c r="Q2382">
        <v>15.4</v>
      </c>
      <c r="R2382" s="2" t="s">
        <v>467</v>
      </c>
      <c r="S2382">
        <v>17.25</v>
      </c>
      <c r="T2382" t="s">
        <v>468</v>
      </c>
    </row>
    <row r="2383" spans="1:20" x14ac:dyDescent="0.25">
      <c r="A2383">
        <v>389</v>
      </c>
      <c r="B2383">
        <v>517530</v>
      </c>
      <c r="C2383" t="s">
        <v>431</v>
      </c>
      <c r="D2383">
        <v>2022</v>
      </c>
      <c r="E2383">
        <v>18.10000038146973</v>
      </c>
      <c r="F2383">
        <v>0.57999999999999996</v>
      </c>
      <c r="G2383" t="s">
        <v>465</v>
      </c>
      <c r="H2383">
        <v>17.969999313354489</v>
      </c>
      <c r="I2383">
        <v>8.8999996185302734</v>
      </c>
      <c r="L2383" t="s">
        <v>469</v>
      </c>
      <c r="M2383">
        <v>30.98275743681809</v>
      </c>
      <c r="N2383">
        <v>15.344826928500471</v>
      </c>
      <c r="O2383">
        <v>17.25</v>
      </c>
      <c r="P2383">
        <v>29.32</v>
      </c>
      <c r="Q2383">
        <v>15.4</v>
      </c>
      <c r="R2383" s="2" t="s">
        <v>467</v>
      </c>
      <c r="S2383">
        <v>17.25</v>
      </c>
      <c r="T2383" t="s">
        <v>468</v>
      </c>
    </row>
    <row r="2384" spans="1:20" x14ac:dyDescent="0.25">
      <c r="A2384">
        <v>389</v>
      </c>
      <c r="B2384">
        <v>517530</v>
      </c>
      <c r="C2384" t="s">
        <v>431</v>
      </c>
      <c r="D2384">
        <v>2023</v>
      </c>
      <c r="E2384">
        <v>18.10000038146973</v>
      </c>
      <c r="F2384">
        <v>0.39</v>
      </c>
      <c r="G2384" t="s">
        <v>465</v>
      </c>
      <c r="H2384">
        <v>17.54999923706055</v>
      </c>
      <c r="I2384">
        <v>7.6500000953674316</v>
      </c>
      <c r="L2384" t="s">
        <v>484</v>
      </c>
      <c r="M2384">
        <v>44.999998043745002</v>
      </c>
      <c r="N2384">
        <v>19.615384859916489</v>
      </c>
      <c r="O2384">
        <v>17.25</v>
      </c>
      <c r="P2384">
        <v>29.32</v>
      </c>
      <c r="Q2384">
        <v>15.4</v>
      </c>
      <c r="R2384" s="2" t="s">
        <v>467</v>
      </c>
      <c r="S2384">
        <v>17.25</v>
      </c>
      <c r="T2384" t="s">
        <v>468</v>
      </c>
    </row>
    <row r="2385" spans="1:20" x14ac:dyDescent="0.25">
      <c r="A2385">
        <v>389</v>
      </c>
      <c r="B2385">
        <v>517530</v>
      </c>
      <c r="C2385" t="s">
        <v>431</v>
      </c>
      <c r="D2385">
        <v>2024</v>
      </c>
      <c r="E2385">
        <v>18.10000038146973</v>
      </c>
      <c r="F2385">
        <v>0.59</v>
      </c>
      <c r="G2385" t="s">
        <v>465</v>
      </c>
      <c r="H2385">
        <v>30.479999542236332</v>
      </c>
      <c r="I2385">
        <v>13.930000305175779</v>
      </c>
      <c r="L2385" t="s">
        <v>469</v>
      </c>
      <c r="M2385">
        <v>51.661016173281922</v>
      </c>
      <c r="N2385">
        <v>23.61017000877251</v>
      </c>
      <c r="O2385">
        <v>17.25</v>
      </c>
      <c r="P2385">
        <v>29.32</v>
      </c>
      <c r="Q2385">
        <v>15.4</v>
      </c>
      <c r="R2385" s="2" t="s">
        <v>467</v>
      </c>
      <c r="S2385">
        <v>17.25</v>
      </c>
      <c r="T2385" t="s">
        <v>468</v>
      </c>
    </row>
    <row r="2386" spans="1:20" x14ac:dyDescent="0.25">
      <c r="A2386">
        <v>389</v>
      </c>
      <c r="B2386">
        <v>517530</v>
      </c>
      <c r="C2386" t="s">
        <v>431</v>
      </c>
      <c r="D2386">
        <v>2025</v>
      </c>
      <c r="E2386">
        <v>18.10000038146973</v>
      </c>
      <c r="F2386">
        <v>1.73</v>
      </c>
      <c r="G2386" t="s">
        <v>465</v>
      </c>
      <c r="H2386">
        <v>29.319999694824219</v>
      </c>
      <c r="I2386">
        <v>15.5</v>
      </c>
      <c r="L2386" t="s">
        <v>469</v>
      </c>
      <c r="M2386">
        <v>16.947976702210529</v>
      </c>
      <c r="N2386">
        <v>8.9595375722543356</v>
      </c>
      <c r="O2386">
        <v>17.25</v>
      </c>
      <c r="P2386">
        <v>29.32</v>
      </c>
      <c r="Q2386">
        <v>15.4</v>
      </c>
      <c r="R2386" s="2" t="s">
        <v>467</v>
      </c>
      <c r="S2386">
        <v>17.25</v>
      </c>
      <c r="T2386" t="s">
        <v>468</v>
      </c>
    </row>
    <row r="2387" spans="1:20" x14ac:dyDescent="0.25">
      <c r="A2387">
        <v>389</v>
      </c>
      <c r="B2387">
        <v>517530</v>
      </c>
      <c r="C2387" t="s">
        <v>431</v>
      </c>
      <c r="D2387">
        <v>2026</v>
      </c>
      <c r="E2387">
        <v>18.10000038146973</v>
      </c>
      <c r="F2387">
        <v>1.83</v>
      </c>
      <c r="G2387" t="s">
        <v>465</v>
      </c>
      <c r="H2387">
        <v>21.25</v>
      </c>
      <c r="I2387">
        <v>15.39999961853027</v>
      </c>
      <c r="L2387" t="s">
        <v>469</v>
      </c>
      <c r="M2387">
        <v>11.6120218579235</v>
      </c>
      <c r="N2387">
        <v>8.4153003379946831</v>
      </c>
      <c r="O2387">
        <v>17.25</v>
      </c>
      <c r="P2387">
        <v>29.32</v>
      </c>
      <c r="Q2387">
        <v>15.4</v>
      </c>
      <c r="R2387" s="2" t="s">
        <v>467</v>
      </c>
      <c r="S2387">
        <v>17.25</v>
      </c>
      <c r="T2387" t="s">
        <v>468</v>
      </c>
    </row>
    <row r="2388" spans="1:20" x14ac:dyDescent="0.25">
      <c r="A2388">
        <v>390</v>
      </c>
      <c r="B2388">
        <v>517546</v>
      </c>
      <c r="C2388" t="s">
        <v>433</v>
      </c>
      <c r="D2388">
        <v>2015</v>
      </c>
      <c r="E2388">
        <v>40.369998931884773</v>
      </c>
      <c r="F2388">
        <v>-1.87</v>
      </c>
      <c r="G2388" t="s">
        <v>465</v>
      </c>
      <c r="H2388">
        <v>26.89999961853027</v>
      </c>
      <c r="I2388">
        <v>14.85000038146973</v>
      </c>
      <c r="L2388" t="s">
        <v>471</v>
      </c>
      <c r="M2388">
        <v>-14.385026533973409</v>
      </c>
      <c r="N2388">
        <v>-7.941176674582743</v>
      </c>
      <c r="O2388">
        <v>86.97</v>
      </c>
      <c r="P2388">
        <v>162.94999999999999</v>
      </c>
      <c r="Q2388">
        <v>75.5</v>
      </c>
      <c r="R2388" s="3" t="s">
        <v>470</v>
      </c>
      <c r="S2388">
        <v>86.97</v>
      </c>
      <c r="T2388" t="s">
        <v>468</v>
      </c>
    </row>
    <row r="2389" spans="1:20" x14ac:dyDescent="0.25">
      <c r="A2389">
        <v>390</v>
      </c>
      <c r="B2389">
        <v>517546</v>
      </c>
      <c r="C2389" t="s">
        <v>433</v>
      </c>
      <c r="D2389">
        <v>2016</v>
      </c>
      <c r="E2389">
        <v>40.369998931884773</v>
      </c>
      <c r="F2389">
        <v>-1.03</v>
      </c>
      <c r="G2389" t="s">
        <v>465</v>
      </c>
      <c r="H2389">
        <v>28.60000038146973</v>
      </c>
      <c r="I2389">
        <v>17.54999923706055</v>
      </c>
      <c r="L2389" t="s">
        <v>471</v>
      </c>
      <c r="M2389">
        <v>-27.766990661621101</v>
      </c>
      <c r="N2389">
        <v>-17.038834210738401</v>
      </c>
      <c r="O2389">
        <v>86.97</v>
      </c>
      <c r="P2389">
        <v>162.94999999999999</v>
      </c>
      <c r="Q2389">
        <v>75.5</v>
      </c>
      <c r="R2389" s="3" t="s">
        <v>470</v>
      </c>
      <c r="S2389">
        <v>86.97</v>
      </c>
      <c r="T2389" t="s">
        <v>468</v>
      </c>
    </row>
    <row r="2390" spans="1:20" x14ac:dyDescent="0.25">
      <c r="A2390">
        <v>390</v>
      </c>
      <c r="B2390">
        <v>517546</v>
      </c>
      <c r="C2390" t="s">
        <v>433</v>
      </c>
      <c r="D2390">
        <v>2017</v>
      </c>
      <c r="E2390">
        <v>40.369998931884773</v>
      </c>
      <c r="F2390">
        <v>-4.49</v>
      </c>
      <c r="G2390" t="s">
        <v>465</v>
      </c>
      <c r="H2390">
        <v>33.599998474121087</v>
      </c>
      <c r="I2390">
        <v>18.35000038146973</v>
      </c>
      <c r="L2390" t="s">
        <v>471</v>
      </c>
      <c r="M2390">
        <v>-7.4832958739690616</v>
      </c>
      <c r="N2390">
        <v>-4.086859773155842</v>
      </c>
      <c r="O2390">
        <v>86.97</v>
      </c>
      <c r="P2390">
        <v>162.94999999999999</v>
      </c>
      <c r="Q2390">
        <v>75.5</v>
      </c>
      <c r="R2390" s="3" t="s">
        <v>470</v>
      </c>
      <c r="S2390">
        <v>86.97</v>
      </c>
      <c r="T2390" t="s">
        <v>468</v>
      </c>
    </row>
    <row r="2391" spans="1:20" x14ac:dyDescent="0.25">
      <c r="A2391">
        <v>390</v>
      </c>
      <c r="B2391">
        <v>517546</v>
      </c>
      <c r="C2391" t="s">
        <v>433</v>
      </c>
      <c r="D2391">
        <v>2018</v>
      </c>
      <c r="E2391">
        <v>40.369998931884773</v>
      </c>
      <c r="F2391">
        <v>-3.76</v>
      </c>
      <c r="G2391" t="s">
        <v>465</v>
      </c>
      <c r="H2391">
        <v>49.5</v>
      </c>
      <c r="I2391">
        <v>27.14999961853027</v>
      </c>
      <c r="L2391" t="s">
        <v>471</v>
      </c>
      <c r="M2391">
        <v>-13.16489361702128</v>
      </c>
      <c r="N2391">
        <v>-7.2207445793963494</v>
      </c>
      <c r="O2391">
        <v>86.97</v>
      </c>
      <c r="P2391">
        <v>162.94999999999999</v>
      </c>
      <c r="Q2391">
        <v>75.5</v>
      </c>
      <c r="R2391" s="3" t="s">
        <v>470</v>
      </c>
      <c r="S2391">
        <v>86.97</v>
      </c>
      <c r="T2391" t="s">
        <v>468</v>
      </c>
    </row>
    <row r="2392" spans="1:20" x14ac:dyDescent="0.25">
      <c r="A2392">
        <v>390</v>
      </c>
      <c r="B2392">
        <v>517546</v>
      </c>
      <c r="C2392" t="s">
        <v>433</v>
      </c>
      <c r="D2392">
        <v>2019</v>
      </c>
      <c r="E2392">
        <v>40.369998931884773</v>
      </c>
      <c r="F2392">
        <v>-1.54</v>
      </c>
      <c r="G2392" t="s">
        <v>465</v>
      </c>
      <c r="H2392">
        <v>32.700000762939453</v>
      </c>
      <c r="I2392">
        <v>17.60000038146973</v>
      </c>
      <c r="L2392" t="s">
        <v>471</v>
      </c>
      <c r="M2392">
        <v>-21.233766729181461</v>
      </c>
      <c r="N2392">
        <v>-11.42857167627905</v>
      </c>
      <c r="O2392">
        <v>86.97</v>
      </c>
      <c r="P2392">
        <v>162.94999999999999</v>
      </c>
      <c r="Q2392">
        <v>75.5</v>
      </c>
      <c r="R2392" s="3" t="s">
        <v>470</v>
      </c>
      <c r="S2392">
        <v>86.97</v>
      </c>
      <c r="T2392" t="s">
        <v>468</v>
      </c>
    </row>
    <row r="2393" spans="1:20" x14ac:dyDescent="0.25">
      <c r="A2393">
        <v>390</v>
      </c>
      <c r="B2393">
        <v>517546</v>
      </c>
      <c r="C2393" t="s">
        <v>433</v>
      </c>
      <c r="D2393">
        <v>2020</v>
      </c>
      <c r="E2393">
        <v>40.369998931884773</v>
      </c>
      <c r="G2393" t="s">
        <v>465</v>
      </c>
      <c r="H2393">
        <v>19</v>
      </c>
      <c r="I2393">
        <v>9.3500003814697266</v>
      </c>
      <c r="L2393" t="s">
        <v>466</v>
      </c>
      <c r="O2393">
        <v>86.97</v>
      </c>
      <c r="P2393">
        <v>162.94999999999999</v>
      </c>
      <c r="Q2393">
        <v>75.5</v>
      </c>
      <c r="R2393" s="3" t="s">
        <v>470</v>
      </c>
      <c r="S2393">
        <v>86.97</v>
      </c>
      <c r="T2393" t="s">
        <v>468</v>
      </c>
    </row>
    <row r="2394" spans="1:20" x14ac:dyDescent="0.25">
      <c r="A2394">
        <v>390</v>
      </c>
      <c r="B2394">
        <v>517546</v>
      </c>
      <c r="C2394" t="s">
        <v>433</v>
      </c>
      <c r="D2394">
        <v>2021</v>
      </c>
      <c r="E2394">
        <v>40.369998931884773</v>
      </c>
      <c r="G2394" t="s">
        <v>465</v>
      </c>
      <c r="H2394">
        <v>17.20000076293945</v>
      </c>
      <c r="I2394">
        <v>6.1100001335144043</v>
      </c>
      <c r="L2394" t="s">
        <v>466</v>
      </c>
      <c r="O2394">
        <v>86.97</v>
      </c>
      <c r="P2394">
        <v>162.94999999999999</v>
      </c>
      <c r="Q2394">
        <v>75.5</v>
      </c>
      <c r="R2394" s="3" t="s">
        <v>470</v>
      </c>
      <c r="S2394">
        <v>86.97</v>
      </c>
      <c r="T2394" t="s">
        <v>468</v>
      </c>
    </row>
    <row r="2395" spans="1:20" x14ac:dyDescent="0.25">
      <c r="A2395">
        <v>390</v>
      </c>
      <c r="B2395">
        <v>517546</v>
      </c>
      <c r="C2395" t="s">
        <v>433</v>
      </c>
      <c r="D2395">
        <v>2022</v>
      </c>
      <c r="E2395">
        <v>40.369998931884773</v>
      </c>
      <c r="G2395" t="s">
        <v>465</v>
      </c>
      <c r="H2395">
        <v>14.80000019073486</v>
      </c>
      <c r="I2395">
        <v>5.4000000953674316</v>
      </c>
      <c r="L2395" t="s">
        <v>466</v>
      </c>
      <c r="O2395">
        <v>86.97</v>
      </c>
      <c r="P2395">
        <v>162.94999999999999</v>
      </c>
      <c r="Q2395">
        <v>75.5</v>
      </c>
      <c r="R2395" s="3" t="s">
        <v>470</v>
      </c>
      <c r="S2395">
        <v>86.97</v>
      </c>
      <c r="T2395" t="s">
        <v>468</v>
      </c>
    </row>
    <row r="2396" spans="1:20" x14ac:dyDescent="0.25">
      <c r="A2396">
        <v>390</v>
      </c>
      <c r="B2396">
        <v>517546</v>
      </c>
      <c r="C2396" t="s">
        <v>433</v>
      </c>
      <c r="D2396">
        <v>2023</v>
      </c>
      <c r="E2396">
        <v>40.369998931884773</v>
      </c>
      <c r="G2396" t="s">
        <v>465</v>
      </c>
      <c r="H2396">
        <v>77.80999755859375</v>
      </c>
      <c r="I2396">
        <v>11.55000019073486</v>
      </c>
      <c r="L2396" t="s">
        <v>466</v>
      </c>
      <c r="O2396">
        <v>86.97</v>
      </c>
      <c r="P2396">
        <v>162.94999999999999</v>
      </c>
      <c r="Q2396">
        <v>75.5</v>
      </c>
      <c r="R2396" s="3" t="s">
        <v>470</v>
      </c>
      <c r="S2396">
        <v>86.97</v>
      </c>
      <c r="T2396" t="s">
        <v>468</v>
      </c>
    </row>
    <row r="2397" spans="1:20" x14ac:dyDescent="0.25">
      <c r="A2397">
        <v>390</v>
      </c>
      <c r="B2397">
        <v>517546</v>
      </c>
      <c r="C2397" t="s">
        <v>433</v>
      </c>
      <c r="D2397">
        <v>2024</v>
      </c>
      <c r="E2397">
        <v>40.369998931884773</v>
      </c>
      <c r="G2397" t="s">
        <v>465</v>
      </c>
      <c r="H2397">
        <v>162.94999694824219</v>
      </c>
      <c r="I2397">
        <v>75.5</v>
      </c>
      <c r="L2397" t="s">
        <v>466</v>
      </c>
      <c r="O2397">
        <v>86.97</v>
      </c>
      <c r="P2397">
        <v>162.94999999999999</v>
      </c>
      <c r="Q2397">
        <v>75.5</v>
      </c>
      <c r="R2397" s="3" t="s">
        <v>470</v>
      </c>
      <c r="S2397">
        <v>86.97</v>
      </c>
      <c r="T2397" t="s">
        <v>468</v>
      </c>
    </row>
    <row r="2398" spans="1:20" x14ac:dyDescent="0.25">
      <c r="A2398">
        <v>390</v>
      </c>
      <c r="B2398">
        <v>517546</v>
      </c>
      <c r="C2398" t="s">
        <v>433</v>
      </c>
      <c r="D2398">
        <v>2025</v>
      </c>
      <c r="E2398">
        <v>40.369998931884773</v>
      </c>
      <c r="G2398" t="s">
        <v>465</v>
      </c>
      <c r="H2398">
        <v>128.8999938964844</v>
      </c>
      <c r="I2398">
        <v>35</v>
      </c>
      <c r="L2398" t="s">
        <v>466</v>
      </c>
      <c r="O2398">
        <v>86.97</v>
      </c>
      <c r="P2398">
        <v>162.94999999999999</v>
      </c>
      <c r="Q2398">
        <v>75.5</v>
      </c>
      <c r="R2398" s="3" t="s">
        <v>470</v>
      </c>
      <c r="S2398">
        <v>86.97</v>
      </c>
      <c r="T2398" t="s">
        <v>468</v>
      </c>
    </row>
    <row r="2399" spans="1:20" x14ac:dyDescent="0.25">
      <c r="A2399">
        <v>390</v>
      </c>
      <c r="B2399">
        <v>517546</v>
      </c>
      <c r="C2399" t="s">
        <v>433</v>
      </c>
      <c r="D2399">
        <v>2026</v>
      </c>
      <c r="E2399">
        <v>40.369998931884773</v>
      </c>
      <c r="G2399" t="s">
        <v>465</v>
      </c>
      <c r="H2399">
        <v>52.340000152587891</v>
      </c>
      <c r="I2399">
        <v>27.030000686645511</v>
      </c>
      <c r="L2399" t="s">
        <v>466</v>
      </c>
      <c r="O2399">
        <v>86.97</v>
      </c>
      <c r="P2399">
        <v>162.94999999999999</v>
      </c>
      <c r="Q2399">
        <v>75.5</v>
      </c>
      <c r="R2399" s="3" t="s">
        <v>470</v>
      </c>
      <c r="S2399">
        <v>86.97</v>
      </c>
      <c r="T2399" t="s">
        <v>468</v>
      </c>
    </row>
    <row r="2400" spans="1:20" x14ac:dyDescent="0.25">
      <c r="A2400">
        <v>391</v>
      </c>
      <c r="B2400">
        <v>517548</v>
      </c>
      <c r="C2400" t="s">
        <v>435</v>
      </c>
      <c r="D2400">
        <v>2015</v>
      </c>
      <c r="E2400">
        <v>3.6400001049041748</v>
      </c>
      <c r="F2400">
        <v>1.1299999999999999</v>
      </c>
      <c r="G2400" t="s">
        <v>465</v>
      </c>
      <c r="H2400">
        <v>49.990001678466797</v>
      </c>
      <c r="I2400">
        <v>2.9000000953674321</v>
      </c>
      <c r="L2400" t="s">
        <v>469</v>
      </c>
      <c r="M2400">
        <v>44.238939538466198</v>
      </c>
      <c r="N2400">
        <v>2.566371765811887</v>
      </c>
      <c r="O2400">
        <v>3.42</v>
      </c>
      <c r="P2400">
        <v>3.64</v>
      </c>
      <c r="Q2400">
        <v>2.08</v>
      </c>
      <c r="R2400" s="3" t="s">
        <v>470</v>
      </c>
      <c r="S2400">
        <v>3.42</v>
      </c>
      <c r="T2400" t="s">
        <v>468</v>
      </c>
    </row>
    <row r="2401" spans="1:20" x14ac:dyDescent="0.25">
      <c r="A2401">
        <v>391</v>
      </c>
      <c r="B2401">
        <v>517548</v>
      </c>
      <c r="C2401" t="s">
        <v>435</v>
      </c>
      <c r="D2401">
        <v>2016</v>
      </c>
      <c r="E2401">
        <v>3.6400001049041748</v>
      </c>
      <c r="F2401">
        <v>0.7</v>
      </c>
      <c r="G2401" t="s">
        <v>465</v>
      </c>
      <c r="H2401">
        <v>63</v>
      </c>
      <c r="I2401">
        <v>35</v>
      </c>
      <c r="L2401" t="s">
        <v>469</v>
      </c>
      <c r="M2401">
        <v>90</v>
      </c>
      <c r="N2401">
        <v>50</v>
      </c>
      <c r="O2401">
        <v>3.42</v>
      </c>
      <c r="P2401">
        <v>3.64</v>
      </c>
      <c r="Q2401">
        <v>2.08</v>
      </c>
      <c r="R2401" s="3" t="s">
        <v>470</v>
      </c>
      <c r="S2401">
        <v>3.42</v>
      </c>
      <c r="T2401" t="s">
        <v>468</v>
      </c>
    </row>
    <row r="2402" spans="1:20" x14ac:dyDescent="0.25">
      <c r="A2402">
        <v>391</v>
      </c>
      <c r="B2402">
        <v>517548</v>
      </c>
      <c r="C2402" t="s">
        <v>435</v>
      </c>
      <c r="D2402">
        <v>2017</v>
      </c>
      <c r="E2402">
        <v>3.6400001049041748</v>
      </c>
      <c r="F2402">
        <v>1.19</v>
      </c>
      <c r="G2402" t="s">
        <v>465</v>
      </c>
      <c r="H2402">
        <v>70</v>
      </c>
      <c r="I2402">
        <v>41</v>
      </c>
      <c r="L2402" t="s">
        <v>469</v>
      </c>
      <c r="M2402">
        <v>58.82352941176471</v>
      </c>
      <c r="N2402">
        <v>34.45378151260504</v>
      </c>
      <c r="O2402">
        <v>3.42</v>
      </c>
      <c r="P2402">
        <v>3.64</v>
      </c>
      <c r="Q2402">
        <v>2.08</v>
      </c>
      <c r="R2402" s="3" t="s">
        <v>470</v>
      </c>
      <c r="S2402">
        <v>3.42</v>
      </c>
      <c r="T2402" t="s">
        <v>468</v>
      </c>
    </row>
    <row r="2403" spans="1:20" x14ac:dyDescent="0.25">
      <c r="A2403">
        <v>391</v>
      </c>
      <c r="B2403">
        <v>517548</v>
      </c>
      <c r="C2403" t="s">
        <v>435</v>
      </c>
      <c r="D2403">
        <v>2018</v>
      </c>
      <c r="E2403">
        <v>3.6400001049041748</v>
      </c>
      <c r="F2403">
        <v>0.59</v>
      </c>
      <c r="G2403" t="s">
        <v>465</v>
      </c>
      <c r="H2403">
        <v>60.900001525878913</v>
      </c>
      <c r="I2403">
        <v>17.75</v>
      </c>
      <c r="L2403" t="s">
        <v>469</v>
      </c>
      <c r="M2403">
        <v>103.2203415692863</v>
      </c>
      <c r="N2403">
        <v>30.084745762711869</v>
      </c>
      <c r="O2403">
        <v>3.42</v>
      </c>
      <c r="P2403">
        <v>3.64</v>
      </c>
      <c r="Q2403">
        <v>2.08</v>
      </c>
      <c r="R2403" s="3" t="s">
        <v>470</v>
      </c>
      <c r="S2403">
        <v>3.42</v>
      </c>
      <c r="T2403" t="s">
        <v>468</v>
      </c>
    </row>
    <row r="2404" spans="1:20" x14ac:dyDescent="0.25">
      <c r="A2404">
        <v>391</v>
      </c>
      <c r="B2404">
        <v>517548</v>
      </c>
      <c r="C2404" t="s">
        <v>435</v>
      </c>
      <c r="D2404">
        <v>2019</v>
      </c>
      <c r="E2404">
        <v>3.6400001049041748</v>
      </c>
      <c r="F2404">
        <v>0.57999999999999996</v>
      </c>
      <c r="G2404" t="s">
        <v>465</v>
      </c>
      <c r="H2404">
        <v>23.85000038146973</v>
      </c>
      <c r="I2404">
        <v>6.0799999237060547</v>
      </c>
      <c r="L2404" t="s">
        <v>469</v>
      </c>
      <c r="M2404">
        <v>41.12069031287885</v>
      </c>
      <c r="N2404">
        <v>10.48275848914837</v>
      </c>
      <c r="O2404">
        <v>3.42</v>
      </c>
      <c r="P2404">
        <v>3.64</v>
      </c>
      <c r="Q2404">
        <v>2.08</v>
      </c>
      <c r="R2404" s="3" t="s">
        <v>470</v>
      </c>
      <c r="S2404">
        <v>3.42</v>
      </c>
      <c r="T2404" t="s">
        <v>468</v>
      </c>
    </row>
    <row r="2405" spans="1:20" x14ac:dyDescent="0.25">
      <c r="A2405">
        <v>391</v>
      </c>
      <c r="B2405">
        <v>517548</v>
      </c>
      <c r="C2405" t="s">
        <v>435</v>
      </c>
      <c r="D2405">
        <v>2020</v>
      </c>
      <c r="E2405">
        <v>3.6400001049041748</v>
      </c>
      <c r="F2405">
        <v>-9.01</v>
      </c>
      <c r="G2405" t="s">
        <v>465</v>
      </c>
      <c r="H2405">
        <v>6.9499998092651367</v>
      </c>
      <c r="I2405">
        <v>2.089999914169312</v>
      </c>
      <c r="L2405" t="s">
        <v>471</v>
      </c>
      <c r="M2405">
        <v>-0.77136512866427709</v>
      </c>
      <c r="N2405">
        <v>-0.2319644743806118</v>
      </c>
      <c r="O2405">
        <v>3.42</v>
      </c>
      <c r="P2405">
        <v>3.64</v>
      </c>
      <c r="Q2405">
        <v>2.08</v>
      </c>
      <c r="R2405" s="3" t="s">
        <v>470</v>
      </c>
      <c r="S2405">
        <v>3.42</v>
      </c>
      <c r="T2405" t="s">
        <v>468</v>
      </c>
    </row>
    <row r="2406" spans="1:20" x14ac:dyDescent="0.25">
      <c r="A2406">
        <v>391</v>
      </c>
      <c r="B2406">
        <v>517548</v>
      </c>
      <c r="C2406" t="s">
        <v>435</v>
      </c>
      <c r="D2406">
        <v>2021</v>
      </c>
      <c r="E2406">
        <v>3.6400001049041748</v>
      </c>
      <c r="F2406">
        <v>-0.71</v>
      </c>
      <c r="G2406" t="s">
        <v>465</v>
      </c>
      <c r="H2406">
        <v>7.6700000762939453</v>
      </c>
      <c r="I2406">
        <v>1.970000028610229</v>
      </c>
      <c r="L2406" t="s">
        <v>471</v>
      </c>
      <c r="M2406">
        <v>-10.802817008864711</v>
      </c>
      <c r="N2406">
        <v>-2.7746479276200411</v>
      </c>
      <c r="O2406">
        <v>3.42</v>
      </c>
      <c r="P2406">
        <v>3.64</v>
      </c>
      <c r="Q2406">
        <v>2.08</v>
      </c>
      <c r="R2406" s="3" t="s">
        <v>470</v>
      </c>
      <c r="S2406">
        <v>3.42</v>
      </c>
      <c r="T2406" t="s">
        <v>468</v>
      </c>
    </row>
    <row r="2407" spans="1:20" x14ac:dyDescent="0.25">
      <c r="A2407">
        <v>391</v>
      </c>
      <c r="B2407">
        <v>517548</v>
      </c>
      <c r="C2407" t="s">
        <v>435</v>
      </c>
      <c r="D2407">
        <v>2022</v>
      </c>
      <c r="E2407">
        <v>3.6400001049041748</v>
      </c>
      <c r="F2407">
        <v>-0.46</v>
      </c>
      <c r="G2407" t="s">
        <v>465</v>
      </c>
      <c r="H2407">
        <v>15.10000038146973</v>
      </c>
      <c r="I2407">
        <v>2.6500000953674321</v>
      </c>
      <c r="L2407" t="s">
        <v>471</v>
      </c>
      <c r="M2407">
        <v>-32.826087785803757</v>
      </c>
      <c r="N2407">
        <v>-5.7608697725378946</v>
      </c>
      <c r="O2407">
        <v>3.42</v>
      </c>
      <c r="P2407">
        <v>3.64</v>
      </c>
      <c r="Q2407">
        <v>2.08</v>
      </c>
      <c r="R2407" s="3" t="s">
        <v>470</v>
      </c>
      <c r="S2407">
        <v>3.42</v>
      </c>
      <c r="T2407" t="s">
        <v>468</v>
      </c>
    </row>
    <row r="2408" spans="1:20" x14ac:dyDescent="0.25">
      <c r="A2408">
        <v>391</v>
      </c>
      <c r="B2408">
        <v>517548</v>
      </c>
      <c r="C2408" t="s">
        <v>435</v>
      </c>
      <c r="D2408">
        <v>2023</v>
      </c>
      <c r="E2408">
        <v>3.6400001049041748</v>
      </c>
      <c r="F2408">
        <v>-0.38</v>
      </c>
      <c r="G2408" t="s">
        <v>465</v>
      </c>
      <c r="H2408">
        <v>3.9600000381469731</v>
      </c>
      <c r="I2408">
        <v>1.8999999761581421</v>
      </c>
      <c r="L2408" t="s">
        <v>471</v>
      </c>
      <c r="M2408">
        <v>-10.42105273196572</v>
      </c>
      <c r="N2408">
        <v>-4.9999999372582682</v>
      </c>
      <c r="O2408">
        <v>3.42</v>
      </c>
      <c r="P2408">
        <v>3.64</v>
      </c>
      <c r="Q2408">
        <v>2.08</v>
      </c>
      <c r="R2408" s="3" t="s">
        <v>470</v>
      </c>
      <c r="S2408">
        <v>3.42</v>
      </c>
      <c r="T2408" t="s">
        <v>468</v>
      </c>
    </row>
    <row r="2409" spans="1:20" x14ac:dyDescent="0.25">
      <c r="A2409">
        <v>391</v>
      </c>
      <c r="B2409">
        <v>517548</v>
      </c>
      <c r="C2409" t="s">
        <v>435</v>
      </c>
      <c r="D2409">
        <v>2024</v>
      </c>
      <c r="E2409">
        <v>3.6400001049041748</v>
      </c>
      <c r="F2409">
        <v>6.06</v>
      </c>
      <c r="G2409" t="s">
        <v>465</v>
      </c>
      <c r="H2409">
        <v>3.6400001049041748</v>
      </c>
      <c r="I2409">
        <v>1.970000028610229</v>
      </c>
      <c r="L2409" t="s">
        <v>469</v>
      </c>
      <c r="M2409">
        <v>0.60066008331752063</v>
      </c>
      <c r="N2409">
        <v>0.32508251297198498</v>
      </c>
      <c r="O2409">
        <v>3.42</v>
      </c>
      <c r="P2409">
        <v>3.64</v>
      </c>
      <c r="Q2409">
        <v>2.08</v>
      </c>
      <c r="R2409" s="3" t="s">
        <v>470</v>
      </c>
      <c r="S2409">
        <v>3.42</v>
      </c>
      <c r="T2409" t="s">
        <v>468</v>
      </c>
    </row>
    <row r="2410" spans="1:20" x14ac:dyDescent="0.25">
      <c r="A2410">
        <v>391</v>
      </c>
      <c r="B2410">
        <v>517548</v>
      </c>
      <c r="C2410" t="s">
        <v>435</v>
      </c>
      <c r="D2410">
        <v>2025</v>
      </c>
      <c r="E2410">
        <v>3.6400001049041748</v>
      </c>
      <c r="F2410">
        <v>-0.04</v>
      </c>
      <c r="G2410" t="s">
        <v>465</v>
      </c>
      <c r="H2410">
        <v>3.6400001049041748</v>
      </c>
      <c r="I2410">
        <v>3.6400001049041748</v>
      </c>
      <c r="L2410" t="s">
        <v>471</v>
      </c>
      <c r="M2410">
        <v>-91.00000262260437</v>
      </c>
      <c r="N2410">
        <v>-91.00000262260437</v>
      </c>
      <c r="O2410">
        <v>3.42</v>
      </c>
      <c r="P2410">
        <v>3.64</v>
      </c>
      <c r="Q2410">
        <v>2.08</v>
      </c>
      <c r="R2410" s="3" t="s">
        <v>470</v>
      </c>
      <c r="S2410">
        <v>3.42</v>
      </c>
      <c r="T2410" t="s">
        <v>468</v>
      </c>
    </row>
    <row r="2411" spans="1:20" x14ac:dyDescent="0.25">
      <c r="A2411">
        <v>391</v>
      </c>
      <c r="B2411">
        <v>517548</v>
      </c>
      <c r="C2411" t="s">
        <v>435</v>
      </c>
      <c r="D2411">
        <v>2026</v>
      </c>
      <c r="E2411">
        <v>3.6400001049041748</v>
      </c>
      <c r="F2411">
        <v>-0.04</v>
      </c>
      <c r="G2411" t="s">
        <v>465</v>
      </c>
      <c r="H2411">
        <v>3.6400001049041748</v>
      </c>
      <c r="I2411">
        <v>3.6400001049041748</v>
      </c>
      <c r="L2411" t="s">
        <v>471</v>
      </c>
      <c r="M2411">
        <v>-91.00000262260437</v>
      </c>
      <c r="N2411">
        <v>-91.00000262260437</v>
      </c>
      <c r="O2411">
        <v>3.42</v>
      </c>
      <c r="P2411">
        <v>3.64</v>
      </c>
      <c r="Q2411">
        <v>2.08</v>
      </c>
      <c r="R2411" s="3" t="s">
        <v>470</v>
      </c>
      <c r="S2411">
        <v>3.42</v>
      </c>
      <c r="T2411" t="s">
        <v>468</v>
      </c>
    </row>
    <row r="2412" spans="1:20" x14ac:dyDescent="0.25">
      <c r="A2412">
        <v>392</v>
      </c>
      <c r="B2412">
        <v>517562</v>
      </c>
      <c r="C2412" t="s">
        <v>437</v>
      </c>
      <c r="D2412">
        <v>2015</v>
      </c>
      <c r="E2412">
        <v>53.580001831054688</v>
      </c>
      <c r="F2412">
        <v>8.32</v>
      </c>
      <c r="G2412" t="s">
        <v>465</v>
      </c>
      <c r="H2412">
        <v>100.6999969482422</v>
      </c>
      <c r="I2412">
        <v>26.75</v>
      </c>
      <c r="L2412" t="s">
        <v>469</v>
      </c>
      <c r="M2412">
        <v>12.10336501781757</v>
      </c>
      <c r="N2412">
        <v>3.2151442307692308</v>
      </c>
      <c r="O2412">
        <v>612.5</v>
      </c>
      <c r="P2412">
        <v>787.85</v>
      </c>
      <c r="Q2412">
        <v>428.5</v>
      </c>
      <c r="R2412" s="3" t="s">
        <v>470</v>
      </c>
      <c r="S2412">
        <v>612.5</v>
      </c>
      <c r="T2412" t="s">
        <v>468</v>
      </c>
    </row>
    <row r="2413" spans="1:20" x14ac:dyDescent="0.25">
      <c r="A2413">
        <v>392</v>
      </c>
      <c r="B2413">
        <v>517562</v>
      </c>
      <c r="C2413" t="s">
        <v>437</v>
      </c>
      <c r="D2413">
        <v>2016</v>
      </c>
      <c r="E2413">
        <v>53.580001831054688</v>
      </c>
      <c r="F2413">
        <v>13.02</v>
      </c>
      <c r="G2413" t="s">
        <v>465</v>
      </c>
      <c r="H2413">
        <v>140.6000061035156</v>
      </c>
      <c r="I2413">
        <v>48.599998474121087</v>
      </c>
      <c r="L2413" t="s">
        <v>469</v>
      </c>
      <c r="M2413">
        <v>10.79877159013177</v>
      </c>
      <c r="N2413">
        <v>3.7327187768142158</v>
      </c>
      <c r="O2413">
        <v>612.5</v>
      </c>
      <c r="P2413">
        <v>787.85</v>
      </c>
      <c r="Q2413">
        <v>428.5</v>
      </c>
      <c r="R2413" s="3" t="s">
        <v>470</v>
      </c>
      <c r="S2413">
        <v>612.5</v>
      </c>
      <c r="T2413" t="s">
        <v>468</v>
      </c>
    </row>
    <row r="2414" spans="1:20" x14ac:dyDescent="0.25">
      <c r="A2414">
        <v>392</v>
      </c>
      <c r="B2414">
        <v>517562</v>
      </c>
      <c r="C2414" t="s">
        <v>437</v>
      </c>
      <c r="D2414">
        <v>2017</v>
      </c>
      <c r="E2414">
        <v>53.580001831054688</v>
      </c>
      <c r="F2414">
        <v>13.13</v>
      </c>
      <c r="G2414" t="s">
        <v>465</v>
      </c>
      <c r="H2414">
        <v>164</v>
      </c>
      <c r="I2414">
        <v>87.650001525878906</v>
      </c>
      <c r="L2414" t="s">
        <v>469</v>
      </c>
      <c r="M2414">
        <v>12.49047981721249</v>
      </c>
      <c r="N2414">
        <v>6.6755522868148436</v>
      </c>
      <c r="O2414">
        <v>612.5</v>
      </c>
      <c r="P2414">
        <v>787.85</v>
      </c>
      <c r="Q2414">
        <v>428.5</v>
      </c>
      <c r="R2414" s="3" t="s">
        <v>470</v>
      </c>
      <c r="S2414">
        <v>612.5</v>
      </c>
      <c r="T2414" t="s">
        <v>468</v>
      </c>
    </row>
    <row r="2415" spans="1:20" x14ac:dyDescent="0.25">
      <c r="A2415">
        <v>392</v>
      </c>
      <c r="B2415">
        <v>517562</v>
      </c>
      <c r="C2415" t="s">
        <v>437</v>
      </c>
      <c r="D2415">
        <v>2018</v>
      </c>
      <c r="E2415">
        <v>53.580001831054688</v>
      </c>
      <c r="F2415">
        <v>13.2</v>
      </c>
      <c r="G2415" t="s">
        <v>465</v>
      </c>
      <c r="H2415">
        <v>189.44999694824219</v>
      </c>
      <c r="I2415">
        <v>64.25</v>
      </c>
      <c r="L2415" t="s">
        <v>469</v>
      </c>
      <c r="M2415">
        <v>14.35227249607895</v>
      </c>
      <c r="N2415">
        <v>4.8674242424242431</v>
      </c>
      <c r="O2415">
        <v>612.5</v>
      </c>
      <c r="P2415">
        <v>787.85</v>
      </c>
      <c r="Q2415">
        <v>428.5</v>
      </c>
      <c r="R2415" s="3" t="s">
        <v>470</v>
      </c>
      <c r="S2415">
        <v>612.5</v>
      </c>
      <c r="T2415" t="s">
        <v>468</v>
      </c>
    </row>
    <row r="2416" spans="1:20" x14ac:dyDescent="0.25">
      <c r="A2416">
        <v>392</v>
      </c>
      <c r="B2416">
        <v>517562</v>
      </c>
      <c r="C2416" t="s">
        <v>437</v>
      </c>
      <c r="D2416">
        <v>2019</v>
      </c>
      <c r="E2416">
        <v>53.580001831054688</v>
      </c>
      <c r="F2416">
        <v>15.74</v>
      </c>
      <c r="G2416" t="s">
        <v>465</v>
      </c>
      <c r="H2416">
        <v>90.25</v>
      </c>
      <c r="I2416">
        <v>39</v>
      </c>
      <c r="L2416" t="s">
        <v>469</v>
      </c>
      <c r="M2416">
        <v>5.7337992376111817</v>
      </c>
      <c r="N2416">
        <v>2.4777636594663281</v>
      </c>
      <c r="O2416">
        <v>612.5</v>
      </c>
      <c r="P2416">
        <v>787.85</v>
      </c>
      <c r="Q2416">
        <v>428.5</v>
      </c>
      <c r="R2416" s="3" t="s">
        <v>470</v>
      </c>
      <c r="S2416">
        <v>612.5</v>
      </c>
      <c r="T2416" t="s">
        <v>468</v>
      </c>
    </row>
    <row r="2417" spans="1:20" x14ac:dyDescent="0.25">
      <c r="A2417">
        <v>392</v>
      </c>
      <c r="B2417">
        <v>517562</v>
      </c>
      <c r="C2417" t="s">
        <v>437</v>
      </c>
      <c r="D2417">
        <v>2020</v>
      </c>
      <c r="E2417">
        <v>53.580001831054688</v>
      </c>
      <c r="F2417">
        <v>16.27</v>
      </c>
      <c r="G2417" t="s">
        <v>465</v>
      </c>
      <c r="H2417">
        <v>88.849998474121094</v>
      </c>
      <c r="I2417">
        <v>18.64999961853027</v>
      </c>
      <c r="L2417" t="s">
        <v>469</v>
      </c>
      <c r="M2417">
        <v>5.4609710186921383</v>
      </c>
      <c r="N2417">
        <v>1.146281476246483</v>
      </c>
      <c r="O2417">
        <v>612.5</v>
      </c>
      <c r="P2417">
        <v>787.85</v>
      </c>
      <c r="Q2417">
        <v>428.5</v>
      </c>
      <c r="R2417" s="3" t="s">
        <v>470</v>
      </c>
      <c r="S2417">
        <v>612.5</v>
      </c>
      <c r="T2417" t="s">
        <v>468</v>
      </c>
    </row>
    <row r="2418" spans="1:20" x14ac:dyDescent="0.25">
      <c r="A2418">
        <v>392</v>
      </c>
      <c r="B2418">
        <v>517562</v>
      </c>
      <c r="C2418" t="s">
        <v>437</v>
      </c>
      <c r="D2418">
        <v>2021</v>
      </c>
      <c r="E2418">
        <v>53.580001831054688</v>
      </c>
      <c r="F2418">
        <v>20.190000000000001</v>
      </c>
      <c r="G2418" t="s">
        <v>465</v>
      </c>
      <c r="H2418">
        <v>173</v>
      </c>
      <c r="I2418">
        <v>57.049999237060547</v>
      </c>
      <c r="L2418" t="s">
        <v>469</v>
      </c>
      <c r="M2418">
        <v>8.5685983159980186</v>
      </c>
      <c r="N2418">
        <v>2.825656227689973</v>
      </c>
      <c r="O2418">
        <v>612.5</v>
      </c>
      <c r="P2418">
        <v>787.85</v>
      </c>
      <c r="Q2418">
        <v>428.5</v>
      </c>
      <c r="R2418" s="3" t="s">
        <v>470</v>
      </c>
      <c r="S2418">
        <v>612.5</v>
      </c>
      <c r="T2418" t="s">
        <v>468</v>
      </c>
    </row>
    <row r="2419" spans="1:20" x14ac:dyDescent="0.25">
      <c r="A2419">
        <v>392</v>
      </c>
      <c r="B2419">
        <v>517562</v>
      </c>
      <c r="C2419" t="s">
        <v>437</v>
      </c>
      <c r="D2419">
        <v>2022</v>
      </c>
      <c r="E2419">
        <v>53.580001831054688</v>
      </c>
      <c r="F2419">
        <v>12.69</v>
      </c>
      <c r="G2419" t="s">
        <v>465</v>
      </c>
      <c r="H2419">
        <v>218.6000061035156</v>
      </c>
      <c r="I2419">
        <v>86</v>
      </c>
      <c r="L2419" t="s">
        <v>469</v>
      </c>
      <c r="M2419">
        <v>17.22616281351581</v>
      </c>
      <c r="N2419">
        <v>6.77698975571316</v>
      </c>
      <c r="O2419">
        <v>612.5</v>
      </c>
      <c r="P2419">
        <v>787.85</v>
      </c>
      <c r="Q2419">
        <v>428.5</v>
      </c>
      <c r="R2419" s="3" t="s">
        <v>470</v>
      </c>
      <c r="S2419">
        <v>612.5</v>
      </c>
      <c r="T2419" t="s">
        <v>468</v>
      </c>
    </row>
    <row r="2420" spans="1:20" x14ac:dyDescent="0.25">
      <c r="A2420">
        <v>392</v>
      </c>
      <c r="B2420">
        <v>517562</v>
      </c>
      <c r="C2420" t="s">
        <v>437</v>
      </c>
      <c r="D2420">
        <v>2023</v>
      </c>
      <c r="E2420">
        <v>53.580001831054688</v>
      </c>
      <c r="F2420">
        <v>11.26</v>
      </c>
      <c r="G2420" t="s">
        <v>465</v>
      </c>
      <c r="H2420">
        <v>148</v>
      </c>
      <c r="I2420">
        <v>84.75</v>
      </c>
      <c r="L2420" t="s">
        <v>469</v>
      </c>
      <c r="M2420">
        <v>13.14387211367673</v>
      </c>
      <c r="N2420">
        <v>7.5266429840142104</v>
      </c>
      <c r="O2420">
        <v>612.5</v>
      </c>
      <c r="P2420">
        <v>787.85</v>
      </c>
      <c r="Q2420">
        <v>428.5</v>
      </c>
      <c r="R2420" s="3" t="s">
        <v>470</v>
      </c>
      <c r="S2420">
        <v>612.5</v>
      </c>
      <c r="T2420" t="s">
        <v>468</v>
      </c>
    </row>
    <row r="2421" spans="1:20" x14ac:dyDescent="0.25">
      <c r="A2421">
        <v>392</v>
      </c>
      <c r="B2421">
        <v>517562</v>
      </c>
      <c r="C2421" t="s">
        <v>437</v>
      </c>
      <c r="D2421">
        <v>2024</v>
      </c>
      <c r="E2421">
        <v>53.580001831054688</v>
      </c>
      <c r="F2421">
        <v>6.48</v>
      </c>
      <c r="G2421" t="s">
        <v>465</v>
      </c>
      <c r="H2421">
        <v>167.8999938964844</v>
      </c>
      <c r="I2421">
        <v>92.449996948242188</v>
      </c>
      <c r="L2421" t="s">
        <v>469</v>
      </c>
      <c r="M2421">
        <v>25.910492885259941</v>
      </c>
      <c r="N2421">
        <v>14.26697483769169</v>
      </c>
      <c r="O2421">
        <v>612.5</v>
      </c>
      <c r="P2421">
        <v>787.85</v>
      </c>
      <c r="Q2421">
        <v>428.5</v>
      </c>
      <c r="R2421" s="3" t="s">
        <v>470</v>
      </c>
      <c r="S2421">
        <v>612.5</v>
      </c>
      <c r="T2421" t="s">
        <v>468</v>
      </c>
    </row>
    <row r="2422" spans="1:20" x14ac:dyDescent="0.25">
      <c r="A2422">
        <v>392</v>
      </c>
      <c r="B2422">
        <v>517562</v>
      </c>
      <c r="C2422" t="s">
        <v>437</v>
      </c>
      <c r="D2422">
        <v>2025</v>
      </c>
      <c r="E2422">
        <v>53.580001831054688</v>
      </c>
      <c r="F2422">
        <v>3.82</v>
      </c>
      <c r="G2422" t="s">
        <v>465</v>
      </c>
      <c r="H2422">
        <v>122.3000030517578</v>
      </c>
      <c r="I2422">
        <v>60</v>
      </c>
      <c r="L2422" t="s">
        <v>469</v>
      </c>
      <c r="M2422">
        <v>32.015707605172203</v>
      </c>
      <c r="N2422">
        <v>15.706806282722511</v>
      </c>
      <c r="O2422">
        <v>612.5</v>
      </c>
      <c r="P2422">
        <v>787.85</v>
      </c>
      <c r="Q2422">
        <v>428.5</v>
      </c>
      <c r="R2422" s="3" t="s">
        <v>470</v>
      </c>
      <c r="S2422">
        <v>612.5</v>
      </c>
      <c r="T2422" t="s">
        <v>468</v>
      </c>
    </row>
    <row r="2423" spans="1:20" x14ac:dyDescent="0.25">
      <c r="A2423">
        <v>392</v>
      </c>
      <c r="B2423">
        <v>517562</v>
      </c>
      <c r="C2423" t="s">
        <v>437</v>
      </c>
      <c r="D2423">
        <v>2026</v>
      </c>
      <c r="E2423">
        <v>53.580001831054688</v>
      </c>
      <c r="F2423">
        <v>0.65</v>
      </c>
      <c r="G2423" t="s">
        <v>465</v>
      </c>
      <c r="H2423">
        <v>69.989997863769531</v>
      </c>
      <c r="I2423">
        <v>37.330001831054688</v>
      </c>
      <c r="L2423" t="s">
        <v>469</v>
      </c>
      <c r="M2423">
        <v>107.6769197904147</v>
      </c>
      <c r="N2423">
        <v>57.430772047776443</v>
      </c>
      <c r="O2423">
        <v>612.5</v>
      </c>
      <c r="P2423">
        <v>787.85</v>
      </c>
      <c r="Q2423">
        <v>428.5</v>
      </c>
      <c r="R2423" s="3" t="s">
        <v>470</v>
      </c>
      <c r="S2423">
        <v>612.5</v>
      </c>
      <c r="T2423" t="s">
        <v>468</v>
      </c>
    </row>
    <row r="2424" spans="1:20" x14ac:dyDescent="0.25">
      <c r="A2424">
        <v>393</v>
      </c>
      <c r="B2424">
        <v>517569</v>
      </c>
      <c r="C2424" t="s">
        <v>439</v>
      </c>
      <c r="D2424">
        <v>2015</v>
      </c>
      <c r="E2424">
        <v>4898.5498046875</v>
      </c>
      <c r="F2424">
        <v>4.43</v>
      </c>
      <c r="G2424" t="s">
        <v>465</v>
      </c>
      <c r="H2424">
        <v>123.59999847412109</v>
      </c>
      <c r="I2424">
        <v>45</v>
      </c>
      <c r="L2424" t="s">
        <v>469</v>
      </c>
      <c r="M2424">
        <v>27.900676856460741</v>
      </c>
      <c r="N2424">
        <v>10.158013544018059</v>
      </c>
      <c r="O2424">
        <v>555.6</v>
      </c>
      <c r="P2424">
        <v>739.4</v>
      </c>
      <c r="Q2424">
        <v>501.65</v>
      </c>
      <c r="R2424" s="3" t="s">
        <v>470</v>
      </c>
      <c r="S2424">
        <v>555.6</v>
      </c>
      <c r="T2424" t="s">
        <v>468</v>
      </c>
    </row>
    <row r="2425" spans="1:20" x14ac:dyDescent="0.25">
      <c r="A2425">
        <v>393</v>
      </c>
      <c r="B2425">
        <v>517569</v>
      </c>
      <c r="C2425" t="s">
        <v>439</v>
      </c>
      <c r="D2425">
        <v>2016</v>
      </c>
      <c r="E2425">
        <v>4898.5498046875</v>
      </c>
      <c r="F2425">
        <v>8.1</v>
      </c>
      <c r="G2425" t="s">
        <v>465</v>
      </c>
      <c r="H2425">
        <v>139.5</v>
      </c>
      <c r="I2425">
        <v>86</v>
      </c>
      <c r="L2425" t="s">
        <v>469</v>
      </c>
      <c r="M2425">
        <v>17.222222222222221</v>
      </c>
      <c r="N2425">
        <v>10.61728395061728</v>
      </c>
      <c r="O2425">
        <v>555.6</v>
      </c>
      <c r="P2425">
        <v>739.4</v>
      </c>
      <c r="Q2425">
        <v>501.65</v>
      </c>
      <c r="R2425" s="3" t="s">
        <v>470</v>
      </c>
      <c r="S2425">
        <v>555.6</v>
      </c>
      <c r="T2425" t="s">
        <v>468</v>
      </c>
    </row>
    <row r="2426" spans="1:20" x14ac:dyDescent="0.25">
      <c r="A2426">
        <v>393</v>
      </c>
      <c r="B2426">
        <v>517569</v>
      </c>
      <c r="C2426" t="s">
        <v>439</v>
      </c>
      <c r="D2426">
        <v>2017</v>
      </c>
      <c r="E2426">
        <v>4898.5498046875</v>
      </c>
      <c r="F2426">
        <v>12.04</v>
      </c>
      <c r="G2426" t="s">
        <v>465</v>
      </c>
      <c r="H2426">
        <v>423.45001220703119</v>
      </c>
      <c r="I2426">
        <v>124.9499969482422</v>
      </c>
      <c r="L2426" t="s">
        <v>469</v>
      </c>
      <c r="M2426">
        <v>35.170266794603933</v>
      </c>
      <c r="N2426">
        <v>10.377906723275929</v>
      </c>
      <c r="O2426">
        <v>555.6</v>
      </c>
      <c r="P2426">
        <v>739.4</v>
      </c>
      <c r="Q2426">
        <v>501.65</v>
      </c>
      <c r="R2426" s="3" t="s">
        <v>470</v>
      </c>
      <c r="S2426">
        <v>555.6</v>
      </c>
      <c r="T2426" t="s">
        <v>468</v>
      </c>
    </row>
    <row r="2427" spans="1:20" x14ac:dyDescent="0.25">
      <c r="A2427">
        <v>393</v>
      </c>
      <c r="B2427">
        <v>517569</v>
      </c>
      <c r="C2427" t="s">
        <v>439</v>
      </c>
      <c r="D2427">
        <v>2018</v>
      </c>
      <c r="E2427">
        <v>4898.5498046875</v>
      </c>
      <c r="F2427">
        <v>18.47</v>
      </c>
      <c r="G2427" t="s">
        <v>465</v>
      </c>
      <c r="H2427">
        <v>494.79998779296881</v>
      </c>
      <c r="I2427">
        <v>248.3999938964844</v>
      </c>
      <c r="L2427" t="s">
        <v>469</v>
      </c>
      <c r="M2427">
        <v>26.789387536165069</v>
      </c>
      <c r="N2427">
        <v>13.44883561973386</v>
      </c>
      <c r="O2427">
        <v>555.6</v>
      </c>
      <c r="P2427">
        <v>739.4</v>
      </c>
      <c r="Q2427">
        <v>501.65</v>
      </c>
      <c r="R2427" s="3" t="s">
        <v>470</v>
      </c>
      <c r="S2427">
        <v>555.6</v>
      </c>
      <c r="T2427" t="s">
        <v>468</v>
      </c>
    </row>
    <row r="2428" spans="1:20" x14ac:dyDescent="0.25">
      <c r="A2428">
        <v>393</v>
      </c>
      <c r="B2428">
        <v>517569</v>
      </c>
      <c r="C2428" t="s">
        <v>439</v>
      </c>
      <c r="D2428">
        <v>2019</v>
      </c>
      <c r="E2428">
        <v>4898.5498046875</v>
      </c>
      <c r="F2428">
        <v>22.92</v>
      </c>
      <c r="G2428" t="s">
        <v>465</v>
      </c>
      <c r="H2428">
        <v>614.70001220703125</v>
      </c>
      <c r="I2428">
        <v>306</v>
      </c>
      <c r="L2428" t="s">
        <v>469</v>
      </c>
      <c r="M2428">
        <v>26.81937226034168</v>
      </c>
      <c r="N2428">
        <v>13.350785340314131</v>
      </c>
      <c r="O2428">
        <v>555.6</v>
      </c>
      <c r="P2428">
        <v>739.4</v>
      </c>
      <c r="Q2428">
        <v>501.65</v>
      </c>
      <c r="R2428" s="3" t="s">
        <v>470</v>
      </c>
      <c r="S2428">
        <v>555.6</v>
      </c>
      <c r="T2428" t="s">
        <v>468</v>
      </c>
    </row>
    <row r="2429" spans="1:20" x14ac:dyDescent="0.25">
      <c r="A2429">
        <v>393</v>
      </c>
      <c r="B2429">
        <v>517569</v>
      </c>
      <c r="C2429" t="s">
        <v>439</v>
      </c>
      <c r="D2429">
        <v>2020</v>
      </c>
      <c r="E2429">
        <v>4898.5498046875</v>
      </c>
      <c r="F2429">
        <v>28.64</v>
      </c>
      <c r="G2429" t="s">
        <v>465</v>
      </c>
      <c r="H2429">
        <v>580</v>
      </c>
      <c r="I2429">
        <v>208.3999938964844</v>
      </c>
      <c r="L2429" t="s">
        <v>469</v>
      </c>
      <c r="M2429">
        <v>20.25139664804469</v>
      </c>
      <c r="N2429">
        <v>7.2765360997375836</v>
      </c>
      <c r="O2429">
        <v>555.6</v>
      </c>
      <c r="P2429">
        <v>739.4</v>
      </c>
      <c r="Q2429">
        <v>501.65</v>
      </c>
      <c r="R2429" s="3" t="s">
        <v>470</v>
      </c>
      <c r="S2429">
        <v>555.6</v>
      </c>
      <c r="T2429" t="s">
        <v>468</v>
      </c>
    </row>
    <row r="2430" spans="1:20" x14ac:dyDescent="0.25">
      <c r="A2430">
        <v>393</v>
      </c>
      <c r="B2430">
        <v>517569</v>
      </c>
      <c r="C2430" t="s">
        <v>439</v>
      </c>
      <c r="D2430">
        <v>2021</v>
      </c>
      <c r="E2430">
        <v>4898.5498046875</v>
      </c>
      <c r="F2430">
        <v>30.33</v>
      </c>
      <c r="G2430" t="s">
        <v>465</v>
      </c>
      <c r="H2430">
        <v>1264</v>
      </c>
      <c r="I2430">
        <v>450</v>
      </c>
      <c r="L2430" t="s">
        <v>469</v>
      </c>
      <c r="M2430">
        <v>41.674909330695677</v>
      </c>
      <c r="N2430">
        <v>14.836795252225521</v>
      </c>
      <c r="O2430">
        <v>555.6</v>
      </c>
      <c r="P2430">
        <v>739.4</v>
      </c>
      <c r="Q2430">
        <v>501.65</v>
      </c>
      <c r="R2430" s="3" t="s">
        <v>470</v>
      </c>
      <c r="S2430">
        <v>555.6</v>
      </c>
      <c r="T2430" t="s">
        <v>468</v>
      </c>
    </row>
    <row r="2431" spans="1:20" x14ac:dyDescent="0.25">
      <c r="A2431">
        <v>393</v>
      </c>
      <c r="B2431">
        <v>517569</v>
      </c>
      <c r="C2431" t="s">
        <v>439</v>
      </c>
      <c r="D2431">
        <v>2022</v>
      </c>
      <c r="E2431">
        <v>4898.5498046875</v>
      </c>
      <c r="F2431">
        <v>41.73</v>
      </c>
      <c r="G2431" t="s">
        <v>465</v>
      </c>
      <c r="H2431">
        <v>1662.449951171875</v>
      </c>
      <c r="I2431">
        <v>905.20001220703125</v>
      </c>
      <c r="L2431" t="s">
        <v>469</v>
      </c>
      <c r="M2431">
        <v>39.838244696186798</v>
      </c>
      <c r="N2431">
        <v>21.691828713324501</v>
      </c>
      <c r="O2431">
        <v>555.6</v>
      </c>
      <c r="P2431">
        <v>739.4</v>
      </c>
      <c r="Q2431">
        <v>501.65</v>
      </c>
      <c r="R2431" s="3" t="s">
        <v>470</v>
      </c>
      <c r="S2431">
        <v>555.6</v>
      </c>
      <c r="T2431" t="s">
        <v>468</v>
      </c>
    </row>
    <row r="2432" spans="1:20" x14ac:dyDescent="0.25">
      <c r="A2432">
        <v>393</v>
      </c>
      <c r="B2432">
        <v>517569</v>
      </c>
      <c r="C2432" t="s">
        <v>439</v>
      </c>
      <c r="D2432">
        <v>2023</v>
      </c>
      <c r="E2432">
        <v>4898.5498046875</v>
      </c>
      <c r="F2432">
        <v>52.93</v>
      </c>
      <c r="G2432" t="s">
        <v>465</v>
      </c>
      <c r="H2432">
        <v>3306.10009765625</v>
      </c>
      <c r="I2432">
        <v>1412</v>
      </c>
      <c r="L2432" t="s">
        <v>469</v>
      </c>
      <c r="M2432">
        <v>62.461743768302483</v>
      </c>
      <c r="N2432">
        <v>26.676742867938788</v>
      </c>
      <c r="O2432">
        <v>555.6</v>
      </c>
      <c r="P2432">
        <v>739.4</v>
      </c>
      <c r="Q2432">
        <v>501.65</v>
      </c>
      <c r="R2432" s="3" t="s">
        <v>470</v>
      </c>
      <c r="S2432">
        <v>555.6</v>
      </c>
      <c r="T2432" t="s">
        <v>468</v>
      </c>
    </row>
    <row r="2433" spans="1:20" x14ac:dyDescent="0.25">
      <c r="A2433">
        <v>393</v>
      </c>
      <c r="B2433">
        <v>517569</v>
      </c>
      <c r="C2433" t="s">
        <v>439</v>
      </c>
      <c r="D2433">
        <v>2024</v>
      </c>
      <c r="E2433">
        <v>4898.5498046875</v>
      </c>
      <c r="F2433">
        <v>64.349999999999994</v>
      </c>
      <c r="G2433" t="s">
        <v>465</v>
      </c>
      <c r="H2433">
        <v>5040.39990234375</v>
      </c>
      <c r="I2433">
        <v>2822.14990234375</v>
      </c>
      <c r="L2433" t="s">
        <v>469</v>
      </c>
      <c r="M2433">
        <v>78.327892810314694</v>
      </c>
      <c r="N2433">
        <v>43.856253338675216</v>
      </c>
      <c r="O2433">
        <v>555.6</v>
      </c>
      <c r="P2433">
        <v>739.4</v>
      </c>
      <c r="Q2433">
        <v>501.65</v>
      </c>
      <c r="R2433" s="3" t="s">
        <v>470</v>
      </c>
      <c r="S2433">
        <v>555.6</v>
      </c>
      <c r="T2433" t="s">
        <v>468</v>
      </c>
    </row>
    <row r="2434" spans="1:20" x14ac:dyDescent="0.25">
      <c r="A2434">
        <v>393</v>
      </c>
      <c r="B2434">
        <v>517569</v>
      </c>
      <c r="C2434" t="s">
        <v>439</v>
      </c>
      <c r="D2434">
        <v>2025</v>
      </c>
      <c r="E2434">
        <v>4898.5498046875</v>
      </c>
      <c r="F2434">
        <v>72.88</v>
      </c>
      <c r="G2434" t="s">
        <v>465</v>
      </c>
      <c r="H2434">
        <v>4574.64990234375</v>
      </c>
      <c r="I2434">
        <v>2443.699951171875</v>
      </c>
      <c r="L2434" t="s">
        <v>469</v>
      </c>
      <c r="M2434">
        <v>62.769619955320387</v>
      </c>
      <c r="N2434">
        <v>33.530460361853393</v>
      </c>
      <c r="O2434">
        <v>555.6</v>
      </c>
      <c r="P2434">
        <v>739.4</v>
      </c>
      <c r="Q2434">
        <v>501.65</v>
      </c>
      <c r="R2434" s="3" t="s">
        <v>470</v>
      </c>
      <c r="S2434">
        <v>555.6</v>
      </c>
      <c r="T2434" t="s">
        <v>468</v>
      </c>
    </row>
    <row r="2435" spans="1:20" x14ac:dyDescent="0.25">
      <c r="A2435">
        <v>393</v>
      </c>
      <c r="B2435">
        <v>517569</v>
      </c>
      <c r="C2435" t="s">
        <v>439</v>
      </c>
      <c r="D2435">
        <v>2026</v>
      </c>
      <c r="E2435">
        <v>4898.5498046875</v>
      </c>
      <c r="F2435">
        <v>96.07</v>
      </c>
      <c r="G2435" t="s">
        <v>465</v>
      </c>
      <c r="H2435">
        <v>5705</v>
      </c>
      <c r="I2435">
        <v>3730</v>
      </c>
      <c r="L2435" t="s">
        <v>469</v>
      </c>
      <c r="M2435">
        <v>59.383782658478196</v>
      </c>
      <c r="N2435">
        <v>38.825856146559801</v>
      </c>
      <c r="O2435">
        <v>555.6</v>
      </c>
      <c r="P2435">
        <v>739.4</v>
      </c>
      <c r="Q2435">
        <v>501.65</v>
      </c>
      <c r="R2435" s="3" t="s">
        <v>470</v>
      </c>
      <c r="S2435">
        <v>555.6</v>
      </c>
      <c r="T2435" t="s">
        <v>468</v>
      </c>
    </row>
    <row r="2436" spans="1:20" x14ac:dyDescent="0.25">
      <c r="A2436">
        <v>394</v>
      </c>
      <c r="B2436">
        <v>517571</v>
      </c>
      <c r="C2436" t="s">
        <v>441</v>
      </c>
      <c r="D2436">
        <v>2015</v>
      </c>
      <c r="E2436">
        <v>25.634519577026371</v>
      </c>
      <c r="F2436">
        <v>3.2</v>
      </c>
      <c r="G2436" t="s">
        <v>465</v>
      </c>
      <c r="H2436">
        <v>123.6999969482422</v>
      </c>
      <c r="I2436">
        <v>44.150001525878913</v>
      </c>
      <c r="L2436" t="s">
        <v>469</v>
      </c>
      <c r="M2436">
        <v>38.656249046325676</v>
      </c>
      <c r="N2436">
        <v>13.79687547683716</v>
      </c>
      <c r="O2436">
        <v>38.51</v>
      </c>
      <c r="P2436">
        <v>62</v>
      </c>
      <c r="Q2436">
        <v>29.5</v>
      </c>
      <c r="R2436" s="3" t="s">
        <v>470</v>
      </c>
      <c r="S2436">
        <v>38.51</v>
      </c>
      <c r="T2436" t="s">
        <v>468</v>
      </c>
    </row>
    <row r="2437" spans="1:20" x14ac:dyDescent="0.25">
      <c r="A2437">
        <v>394</v>
      </c>
      <c r="B2437">
        <v>517571</v>
      </c>
      <c r="C2437" t="s">
        <v>441</v>
      </c>
      <c r="D2437">
        <v>2016</v>
      </c>
      <c r="E2437">
        <v>25.634519577026371</v>
      </c>
      <c r="F2437">
        <v>3.95</v>
      </c>
      <c r="G2437" t="s">
        <v>465</v>
      </c>
      <c r="H2437">
        <v>124.9499969482422</v>
      </c>
      <c r="I2437">
        <v>68</v>
      </c>
      <c r="L2437" t="s">
        <v>469</v>
      </c>
      <c r="M2437">
        <v>31.63291061980815</v>
      </c>
      <c r="N2437">
        <v>17.215189873417721</v>
      </c>
      <c r="O2437">
        <v>38.51</v>
      </c>
      <c r="P2437">
        <v>62</v>
      </c>
      <c r="Q2437">
        <v>29.5</v>
      </c>
      <c r="R2437" s="3" t="s">
        <v>470</v>
      </c>
      <c r="S2437">
        <v>38.51</v>
      </c>
      <c r="T2437" t="s">
        <v>468</v>
      </c>
    </row>
    <row r="2438" spans="1:20" x14ac:dyDescent="0.25">
      <c r="A2438">
        <v>394</v>
      </c>
      <c r="B2438">
        <v>517571</v>
      </c>
      <c r="C2438" t="s">
        <v>441</v>
      </c>
      <c r="D2438">
        <v>2017</v>
      </c>
      <c r="E2438">
        <v>25.634519577026371</v>
      </c>
      <c r="F2438">
        <v>4.18</v>
      </c>
      <c r="G2438" t="s">
        <v>465</v>
      </c>
      <c r="H2438">
        <v>130.25</v>
      </c>
      <c r="I2438">
        <v>71.800003051757813</v>
      </c>
      <c r="L2438" t="s">
        <v>469</v>
      </c>
      <c r="M2438">
        <v>31.16028708133971</v>
      </c>
      <c r="N2438">
        <v>17.177034222908571</v>
      </c>
      <c r="O2438">
        <v>38.51</v>
      </c>
      <c r="P2438">
        <v>62</v>
      </c>
      <c r="Q2438">
        <v>29.5</v>
      </c>
      <c r="R2438" s="3" t="s">
        <v>470</v>
      </c>
      <c r="S2438">
        <v>38.51</v>
      </c>
      <c r="T2438" t="s">
        <v>468</v>
      </c>
    </row>
    <row r="2439" spans="1:20" x14ac:dyDescent="0.25">
      <c r="A2439">
        <v>394</v>
      </c>
      <c r="B2439">
        <v>517571</v>
      </c>
      <c r="C2439" t="s">
        <v>441</v>
      </c>
      <c r="D2439">
        <v>2018</v>
      </c>
      <c r="E2439">
        <v>25.634519577026371</v>
      </c>
      <c r="F2439">
        <v>6.97</v>
      </c>
      <c r="G2439" t="s">
        <v>465</v>
      </c>
      <c r="H2439">
        <v>131.3999938964844</v>
      </c>
      <c r="I2439">
        <v>46</v>
      </c>
      <c r="L2439" t="s">
        <v>469</v>
      </c>
      <c r="M2439">
        <v>18.852222940672078</v>
      </c>
      <c r="N2439">
        <v>6.5997130559540889</v>
      </c>
      <c r="O2439">
        <v>38.51</v>
      </c>
      <c r="P2439">
        <v>62</v>
      </c>
      <c r="Q2439">
        <v>29.5</v>
      </c>
      <c r="R2439" s="3" t="s">
        <v>470</v>
      </c>
      <c r="S2439">
        <v>38.51</v>
      </c>
      <c r="T2439" t="s">
        <v>468</v>
      </c>
    </row>
    <row r="2440" spans="1:20" x14ac:dyDescent="0.25">
      <c r="A2440">
        <v>394</v>
      </c>
      <c r="B2440">
        <v>517571</v>
      </c>
      <c r="C2440" t="s">
        <v>441</v>
      </c>
      <c r="D2440">
        <v>2019</v>
      </c>
      <c r="E2440">
        <v>25.634519577026371</v>
      </c>
      <c r="F2440">
        <v>2.37</v>
      </c>
      <c r="G2440" t="s">
        <v>465</v>
      </c>
      <c r="H2440">
        <v>51.450000762939453</v>
      </c>
      <c r="I2440">
        <v>15.14999961853027</v>
      </c>
      <c r="L2440" t="s">
        <v>469</v>
      </c>
      <c r="M2440">
        <v>21.708861081409051</v>
      </c>
      <c r="N2440">
        <v>6.392404902333447</v>
      </c>
      <c r="O2440">
        <v>38.51</v>
      </c>
      <c r="P2440">
        <v>62</v>
      </c>
      <c r="Q2440">
        <v>29.5</v>
      </c>
      <c r="R2440" s="3" t="s">
        <v>470</v>
      </c>
      <c r="S2440">
        <v>38.51</v>
      </c>
      <c r="T2440" t="s">
        <v>468</v>
      </c>
    </row>
    <row r="2441" spans="1:20" x14ac:dyDescent="0.25">
      <c r="A2441">
        <v>394</v>
      </c>
      <c r="B2441">
        <v>517571</v>
      </c>
      <c r="C2441" t="s">
        <v>441</v>
      </c>
      <c r="D2441">
        <v>2020</v>
      </c>
      <c r="E2441">
        <v>25.634519577026371</v>
      </c>
      <c r="F2441">
        <v>-16.489999999999998</v>
      </c>
      <c r="G2441" t="s">
        <v>465</v>
      </c>
      <c r="H2441">
        <v>25.20000076293945</v>
      </c>
      <c r="I2441">
        <v>9.4499998092651367</v>
      </c>
      <c r="L2441" t="s">
        <v>471</v>
      </c>
      <c r="M2441">
        <v>-1.5281989546961461</v>
      </c>
      <c r="N2441">
        <v>-0.57307457909430792</v>
      </c>
      <c r="O2441">
        <v>38.51</v>
      </c>
      <c r="P2441">
        <v>62</v>
      </c>
      <c r="Q2441">
        <v>29.5</v>
      </c>
      <c r="R2441" s="3" t="s">
        <v>470</v>
      </c>
      <c r="S2441">
        <v>38.51</v>
      </c>
      <c r="T2441" t="s">
        <v>468</v>
      </c>
    </row>
    <row r="2442" spans="1:20" x14ac:dyDescent="0.25">
      <c r="A2442">
        <v>394</v>
      </c>
      <c r="B2442">
        <v>517571</v>
      </c>
      <c r="C2442" t="s">
        <v>441</v>
      </c>
      <c r="D2442">
        <v>2021</v>
      </c>
      <c r="E2442">
        <v>25.634519577026371</v>
      </c>
      <c r="F2442">
        <v>-83.66</v>
      </c>
      <c r="G2442" t="s">
        <v>465</v>
      </c>
      <c r="H2442">
        <v>27.159999847412109</v>
      </c>
      <c r="I2442">
        <v>10.75</v>
      </c>
      <c r="L2442" t="s">
        <v>471</v>
      </c>
      <c r="M2442">
        <v>-0.32464738043762981</v>
      </c>
      <c r="N2442">
        <v>-0.12849629452546019</v>
      </c>
      <c r="O2442">
        <v>38.51</v>
      </c>
      <c r="P2442">
        <v>62</v>
      </c>
      <c r="Q2442">
        <v>29.5</v>
      </c>
      <c r="R2442" s="3" t="s">
        <v>470</v>
      </c>
      <c r="S2442">
        <v>38.51</v>
      </c>
      <c r="T2442" t="s">
        <v>468</v>
      </c>
    </row>
    <row r="2443" spans="1:20" x14ac:dyDescent="0.25">
      <c r="A2443">
        <v>394</v>
      </c>
      <c r="B2443">
        <v>517571</v>
      </c>
      <c r="C2443" t="s">
        <v>441</v>
      </c>
      <c r="D2443">
        <v>2022</v>
      </c>
      <c r="E2443">
        <v>25.634519577026371</v>
      </c>
      <c r="F2443">
        <v>-232.65</v>
      </c>
      <c r="G2443" t="s">
        <v>465</v>
      </c>
      <c r="H2443">
        <v>22.20000076293945</v>
      </c>
      <c r="I2443">
        <v>6.4099998474121094</v>
      </c>
      <c r="L2443" t="s">
        <v>471</v>
      </c>
      <c r="M2443">
        <v>-9.5422311467609919E-2</v>
      </c>
      <c r="N2443">
        <v>-2.755211625795018E-2</v>
      </c>
      <c r="O2443">
        <v>38.51</v>
      </c>
      <c r="P2443">
        <v>62</v>
      </c>
      <c r="Q2443">
        <v>29.5</v>
      </c>
      <c r="R2443" s="3" t="s">
        <v>470</v>
      </c>
      <c r="S2443">
        <v>38.51</v>
      </c>
      <c r="T2443" t="s">
        <v>468</v>
      </c>
    </row>
    <row r="2444" spans="1:20" x14ac:dyDescent="0.25">
      <c r="A2444">
        <v>394</v>
      </c>
      <c r="B2444">
        <v>517571</v>
      </c>
      <c r="C2444" t="s">
        <v>441</v>
      </c>
      <c r="D2444">
        <v>2023</v>
      </c>
      <c r="E2444">
        <v>25.634519577026371</v>
      </c>
      <c r="F2444">
        <v>-60.17</v>
      </c>
      <c r="G2444" t="s">
        <v>465</v>
      </c>
      <c r="H2444">
        <v>7.7699999809265137</v>
      </c>
      <c r="I2444">
        <v>2.9500000476837158</v>
      </c>
      <c r="L2444" t="s">
        <v>471</v>
      </c>
      <c r="M2444">
        <v>-0.1291341196763589</v>
      </c>
      <c r="N2444">
        <v>-4.9027755487513973E-2</v>
      </c>
      <c r="O2444">
        <v>38.51</v>
      </c>
      <c r="P2444">
        <v>62</v>
      </c>
      <c r="Q2444">
        <v>29.5</v>
      </c>
      <c r="R2444" s="3" t="s">
        <v>470</v>
      </c>
      <c r="S2444">
        <v>38.51</v>
      </c>
      <c r="T2444" t="s">
        <v>468</v>
      </c>
    </row>
    <row r="2445" spans="1:20" x14ac:dyDescent="0.25">
      <c r="A2445">
        <v>394</v>
      </c>
      <c r="B2445">
        <v>517571</v>
      </c>
      <c r="C2445" t="s">
        <v>441</v>
      </c>
      <c r="D2445">
        <v>2024</v>
      </c>
      <c r="E2445">
        <v>25.634519577026371</v>
      </c>
      <c r="F2445">
        <v>-23.75</v>
      </c>
      <c r="G2445" t="s">
        <v>465</v>
      </c>
      <c r="H2445">
        <v>6.059999942779541</v>
      </c>
      <c r="I2445">
        <v>6.059999942779541</v>
      </c>
      <c r="L2445" t="s">
        <v>471</v>
      </c>
      <c r="M2445">
        <v>-0.25515789232755959</v>
      </c>
      <c r="N2445">
        <v>-0.25515789232755959</v>
      </c>
      <c r="O2445">
        <v>38.51</v>
      </c>
      <c r="P2445">
        <v>62</v>
      </c>
      <c r="Q2445">
        <v>29.5</v>
      </c>
      <c r="R2445" s="3" t="s">
        <v>470</v>
      </c>
      <c r="S2445">
        <v>38.51</v>
      </c>
      <c r="T2445" t="s">
        <v>468</v>
      </c>
    </row>
    <row r="2446" spans="1:20" x14ac:dyDescent="0.25">
      <c r="A2446">
        <v>394</v>
      </c>
      <c r="B2446">
        <v>517571</v>
      </c>
      <c r="C2446" t="s">
        <v>441</v>
      </c>
      <c r="D2446">
        <v>2025</v>
      </c>
      <c r="E2446">
        <v>25.634519577026371</v>
      </c>
      <c r="F2446">
        <v>-5.56</v>
      </c>
      <c r="G2446" t="s">
        <v>465</v>
      </c>
      <c r="H2446">
        <v>25.634519577026371</v>
      </c>
      <c r="I2446">
        <v>6.059999942779541</v>
      </c>
      <c r="L2446" t="s">
        <v>471</v>
      </c>
      <c r="M2446">
        <v>-4.6105251037817219</v>
      </c>
      <c r="N2446">
        <v>-1.089928047262507</v>
      </c>
      <c r="O2446">
        <v>38.51</v>
      </c>
      <c r="P2446">
        <v>62</v>
      </c>
      <c r="Q2446">
        <v>29.5</v>
      </c>
      <c r="R2446" s="3" t="s">
        <v>470</v>
      </c>
      <c r="S2446">
        <v>38.51</v>
      </c>
      <c r="T2446" t="s">
        <v>468</v>
      </c>
    </row>
    <row r="2447" spans="1:20" x14ac:dyDescent="0.25">
      <c r="A2447">
        <v>394</v>
      </c>
      <c r="B2447">
        <v>517571</v>
      </c>
      <c r="C2447" t="s">
        <v>441</v>
      </c>
      <c r="D2447">
        <v>2026</v>
      </c>
      <c r="E2447">
        <v>25.634519577026371</v>
      </c>
      <c r="F2447">
        <v>0.14000000000000001</v>
      </c>
      <c r="G2447" t="s">
        <v>465</v>
      </c>
      <c r="H2447">
        <v>25.634519577026371</v>
      </c>
      <c r="I2447">
        <v>25.634519577026371</v>
      </c>
      <c r="L2447" t="s">
        <v>484</v>
      </c>
      <c r="M2447">
        <v>183.1037112644741</v>
      </c>
      <c r="N2447">
        <v>183.1037112644741</v>
      </c>
      <c r="O2447">
        <v>38.51</v>
      </c>
      <c r="P2447">
        <v>62</v>
      </c>
      <c r="Q2447">
        <v>29.5</v>
      </c>
      <c r="R2447" s="3" t="s">
        <v>470</v>
      </c>
      <c r="S2447">
        <v>38.51</v>
      </c>
      <c r="T2447" t="s">
        <v>468</v>
      </c>
    </row>
    <row r="2448" spans="1:20" x14ac:dyDescent="0.25">
      <c r="A2448">
        <v>412</v>
      </c>
      <c r="B2448">
        <v>517973</v>
      </c>
      <c r="C2448" t="s">
        <v>443</v>
      </c>
      <c r="D2448">
        <v>2015</v>
      </c>
      <c r="E2448">
        <v>0.69999998807907104</v>
      </c>
      <c r="G2448" t="s">
        <v>465</v>
      </c>
      <c r="H2448">
        <v>1.5199999809265139</v>
      </c>
      <c r="L2448" t="s">
        <v>466</v>
      </c>
      <c r="O2448">
        <v>745</v>
      </c>
      <c r="P2448">
        <v>861.95</v>
      </c>
      <c r="Q2448">
        <v>405</v>
      </c>
      <c r="R2448" s="3" t="s">
        <v>470</v>
      </c>
      <c r="S2448">
        <v>745</v>
      </c>
      <c r="T2448" t="s">
        <v>468</v>
      </c>
    </row>
    <row r="2449" spans="1:20" x14ac:dyDescent="0.25">
      <c r="A2449">
        <v>412</v>
      </c>
      <c r="B2449">
        <v>517973</v>
      </c>
      <c r="C2449" t="s">
        <v>443</v>
      </c>
      <c r="D2449">
        <v>2016</v>
      </c>
      <c r="E2449">
        <v>0.69999998807907104</v>
      </c>
      <c r="G2449" t="s">
        <v>465</v>
      </c>
      <c r="L2449" t="s">
        <v>466</v>
      </c>
      <c r="O2449">
        <v>745</v>
      </c>
      <c r="P2449">
        <v>861.95</v>
      </c>
      <c r="Q2449">
        <v>405</v>
      </c>
      <c r="R2449" s="3" t="s">
        <v>470</v>
      </c>
      <c r="S2449">
        <v>745</v>
      </c>
      <c r="T2449" t="s">
        <v>468</v>
      </c>
    </row>
    <row r="2450" spans="1:20" x14ac:dyDescent="0.25">
      <c r="A2450">
        <v>412</v>
      </c>
      <c r="B2450">
        <v>517973</v>
      </c>
      <c r="C2450" t="s">
        <v>443</v>
      </c>
      <c r="D2450">
        <v>2017</v>
      </c>
      <c r="E2450">
        <v>0.69999998807907104</v>
      </c>
      <c r="G2450" t="s">
        <v>465</v>
      </c>
      <c r="L2450" t="s">
        <v>466</v>
      </c>
      <c r="O2450">
        <v>745</v>
      </c>
      <c r="P2450">
        <v>861.95</v>
      </c>
      <c r="Q2450">
        <v>405</v>
      </c>
      <c r="R2450" s="3" t="s">
        <v>470</v>
      </c>
      <c r="S2450">
        <v>745</v>
      </c>
      <c r="T2450" t="s">
        <v>468</v>
      </c>
    </row>
    <row r="2451" spans="1:20" x14ac:dyDescent="0.25">
      <c r="A2451">
        <v>412</v>
      </c>
      <c r="B2451">
        <v>517973</v>
      </c>
      <c r="C2451" t="s">
        <v>443</v>
      </c>
      <c r="D2451">
        <v>2018</v>
      </c>
      <c r="E2451">
        <v>0.69999998807907104</v>
      </c>
      <c r="G2451" t="s">
        <v>465</v>
      </c>
      <c r="L2451" t="s">
        <v>466</v>
      </c>
      <c r="O2451">
        <v>745</v>
      </c>
      <c r="P2451">
        <v>861.95</v>
      </c>
      <c r="Q2451">
        <v>405</v>
      </c>
      <c r="R2451" s="3" t="s">
        <v>470</v>
      </c>
      <c r="S2451">
        <v>745</v>
      </c>
      <c r="T2451" t="s">
        <v>468</v>
      </c>
    </row>
    <row r="2452" spans="1:20" x14ac:dyDescent="0.25">
      <c r="A2452">
        <v>412</v>
      </c>
      <c r="B2452">
        <v>517973</v>
      </c>
      <c r="C2452" t="s">
        <v>443</v>
      </c>
      <c r="D2452">
        <v>2019</v>
      </c>
      <c r="E2452">
        <v>0.69999998807907104</v>
      </c>
      <c r="G2452" t="s">
        <v>465</v>
      </c>
      <c r="L2452" t="s">
        <v>466</v>
      </c>
      <c r="O2452">
        <v>745</v>
      </c>
      <c r="P2452">
        <v>861.95</v>
      </c>
      <c r="Q2452">
        <v>405</v>
      </c>
      <c r="R2452" s="3" t="s">
        <v>470</v>
      </c>
      <c r="S2452">
        <v>745</v>
      </c>
      <c r="T2452" t="s">
        <v>468</v>
      </c>
    </row>
    <row r="2453" spans="1:20" x14ac:dyDescent="0.25">
      <c r="A2453">
        <v>412</v>
      </c>
      <c r="B2453">
        <v>517973</v>
      </c>
      <c r="C2453" t="s">
        <v>443</v>
      </c>
      <c r="D2453">
        <v>2020</v>
      </c>
      <c r="E2453">
        <v>0.69999998807907104</v>
      </c>
      <c r="G2453" t="s">
        <v>465</v>
      </c>
      <c r="L2453" t="s">
        <v>466</v>
      </c>
      <c r="O2453">
        <v>745</v>
      </c>
      <c r="P2453">
        <v>861.95</v>
      </c>
      <c r="Q2453">
        <v>405</v>
      </c>
      <c r="R2453" s="3" t="s">
        <v>470</v>
      </c>
      <c r="S2453">
        <v>745</v>
      </c>
      <c r="T2453" t="s">
        <v>468</v>
      </c>
    </row>
    <row r="2454" spans="1:20" x14ac:dyDescent="0.25">
      <c r="A2454">
        <v>412</v>
      </c>
      <c r="B2454">
        <v>517973</v>
      </c>
      <c r="C2454" t="s">
        <v>443</v>
      </c>
      <c r="D2454">
        <v>2021</v>
      </c>
      <c r="E2454">
        <v>0.69999998807907104</v>
      </c>
      <c r="G2454" t="s">
        <v>465</v>
      </c>
      <c r="L2454" t="s">
        <v>466</v>
      </c>
      <c r="O2454">
        <v>745</v>
      </c>
      <c r="P2454">
        <v>861.95</v>
      </c>
      <c r="Q2454">
        <v>405</v>
      </c>
      <c r="R2454" s="3" t="s">
        <v>470</v>
      </c>
      <c r="S2454">
        <v>745</v>
      </c>
      <c r="T2454" t="s">
        <v>468</v>
      </c>
    </row>
    <row r="2455" spans="1:20" x14ac:dyDescent="0.25">
      <c r="A2455">
        <v>412</v>
      </c>
      <c r="B2455">
        <v>517973</v>
      </c>
      <c r="C2455" t="s">
        <v>443</v>
      </c>
      <c r="D2455">
        <v>2022</v>
      </c>
      <c r="E2455">
        <v>0.69999998807907104</v>
      </c>
      <c r="G2455" t="s">
        <v>465</v>
      </c>
      <c r="L2455" t="s">
        <v>466</v>
      </c>
      <c r="O2455">
        <v>745</v>
      </c>
      <c r="P2455">
        <v>861.95</v>
      </c>
      <c r="Q2455">
        <v>405</v>
      </c>
      <c r="R2455" s="3" t="s">
        <v>470</v>
      </c>
      <c r="S2455">
        <v>745</v>
      </c>
      <c r="T2455" t="s">
        <v>468</v>
      </c>
    </row>
    <row r="2456" spans="1:20" x14ac:dyDescent="0.25">
      <c r="A2456">
        <v>412</v>
      </c>
      <c r="B2456">
        <v>517973</v>
      </c>
      <c r="C2456" t="s">
        <v>443</v>
      </c>
      <c r="D2456">
        <v>2023</v>
      </c>
      <c r="E2456">
        <v>0.69999998807907104</v>
      </c>
      <c r="G2456" t="s">
        <v>465</v>
      </c>
      <c r="L2456" t="s">
        <v>466</v>
      </c>
      <c r="O2456">
        <v>745</v>
      </c>
      <c r="P2456">
        <v>861.95</v>
      </c>
      <c r="Q2456">
        <v>405</v>
      </c>
      <c r="R2456" s="3" t="s">
        <v>470</v>
      </c>
      <c r="S2456">
        <v>745</v>
      </c>
      <c r="T2456" t="s">
        <v>468</v>
      </c>
    </row>
    <row r="2457" spans="1:20" x14ac:dyDescent="0.25">
      <c r="A2457">
        <v>413</v>
      </c>
      <c r="B2457">
        <v>518011</v>
      </c>
      <c r="C2457" t="s">
        <v>445</v>
      </c>
      <c r="D2457">
        <v>2015</v>
      </c>
      <c r="E2457">
        <v>38</v>
      </c>
      <c r="F2457">
        <v>23.54</v>
      </c>
      <c r="G2457" t="s">
        <v>465</v>
      </c>
      <c r="H2457">
        <v>263.89999389648438</v>
      </c>
      <c r="I2457">
        <v>22.75</v>
      </c>
      <c r="L2457" t="s">
        <v>469</v>
      </c>
      <c r="M2457">
        <v>11.210704923385061</v>
      </c>
      <c r="N2457">
        <v>0.96644010195412067</v>
      </c>
      <c r="O2457">
        <v>111.7</v>
      </c>
      <c r="P2457">
        <v>152</v>
      </c>
      <c r="Q2457">
        <v>80</v>
      </c>
      <c r="R2457" s="3" t="s">
        <v>470</v>
      </c>
      <c r="S2457">
        <v>111.7</v>
      </c>
      <c r="T2457" t="s">
        <v>468</v>
      </c>
    </row>
    <row r="2458" spans="1:20" x14ac:dyDescent="0.25">
      <c r="A2458">
        <v>413</v>
      </c>
      <c r="B2458">
        <v>518011</v>
      </c>
      <c r="C2458" t="s">
        <v>445</v>
      </c>
      <c r="D2458">
        <v>2016</v>
      </c>
      <c r="E2458">
        <v>38</v>
      </c>
      <c r="F2458">
        <v>24.84</v>
      </c>
      <c r="G2458" t="s">
        <v>465</v>
      </c>
      <c r="H2458">
        <v>252.30000305175781</v>
      </c>
      <c r="I2458">
        <v>103</v>
      </c>
      <c r="L2458" t="s">
        <v>469</v>
      </c>
      <c r="M2458">
        <v>10.15700495377447</v>
      </c>
      <c r="N2458">
        <v>4.1465378421900159</v>
      </c>
      <c r="O2458">
        <v>111.7</v>
      </c>
      <c r="P2458">
        <v>152</v>
      </c>
      <c r="Q2458">
        <v>80</v>
      </c>
      <c r="R2458" s="3" t="s">
        <v>470</v>
      </c>
      <c r="S2458">
        <v>111.7</v>
      </c>
      <c r="T2458" t="s">
        <v>468</v>
      </c>
    </row>
    <row r="2459" spans="1:20" x14ac:dyDescent="0.25">
      <c r="A2459">
        <v>413</v>
      </c>
      <c r="B2459">
        <v>518011</v>
      </c>
      <c r="C2459" t="s">
        <v>445</v>
      </c>
      <c r="D2459">
        <v>2017</v>
      </c>
      <c r="E2459">
        <v>38</v>
      </c>
      <c r="F2459">
        <v>14.21</v>
      </c>
      <c r="G2459" t="s">
        <v>465</v>
      </c>
      <c r="H2459">
        <v>214</v>
      </c>
      <c r="I2459">
        <v>117</v>
      </c>
      <c r="L2459" t="s">
        <v>469</v>
      </c>
      <c r="M2459">
        <v>15.05981703026038</v>
      </c>
      <c r="N2459">
        <v>8.2336382828993653</v>
      </c>
      <c r="O2459">
        <v>111.7</v>
      </c>
      <c r="P2459">
        <v>152</v>
      </c>
      <c r="Q2459">
        <v>80</v>
      </c>
      <c r="R2459" s="3" t="s">
        <v>470</v>
      </c>
      <c r="S2459">
        <v>111.7</v>
      </c>
      <c r="T2459" t="s">
        <v>468</v>
      </c>
    </row>
    <row r="2460" spans="1:20" x14ac:dyDescent="0.25">
      <c r="A2460">
        <v>413</v>
      </c>
      <c r="B2460">
        <v>518011</v>
      </c>
      <c r="C2460" t="s">
        <v>445</v>
      </c>
      <c r="D2460">
        <v>2018</v>
      </c>
      <c r="E2460">
        <v>38</v>
      </c>
      <c r="F2460">
        <v>9.92</v>
      </c>
      <c r="G2460" t="s">
        <v>465</v>
      </c>
      <c r="H2460">
        <v>183.44999694824219</v>
      </c>
      <c r="I2460">
        <v>59</v>
      </c>
      <c r="L2460" t="s">
        <v>469</v>
      </c>
      <c r="M2460">
        <v>18.492943240750218</v>
      </c>
      <c r="N2460">
        <v>5.94758064516129</v>
      </c>
      <c r="O2460">
        <v>111.7</v>
      </c>
      <c r="P2460">
        <v>152</v>
      </c>
      <c r="Q2460">
        <v>80</v>
      </c>
      <c r="R2460" s="3" t="s">
        <v>470</v>
      </c>
      <c r="S2460">
        <v>111.7</v>
      </c>
      <c r="T2460" t="s">
        <v>468</v>
      </c>
    </row>
    <row r="2461" spans="1:20" x14ac:dyDescent="0.25">
      <c r="A2461">
        <v>413</v>
      </c>
      <c r="B2461">
        <v>518011</v>
      </c>
      <c r="C2461" t="s">
        <v>445</v>
      </c>
      <c r="D2461">
        <v>2019</v>
      </c>
      <c r="E2461">
        <v>38</v>
      </c>
      <c r="F2461">
        <v>0.09</v>
      </c>
      <c r="G2461" t="s">
        <v>465</v>
      </c>
      <c r="H2461">
        <v>73.949996948242188</v>
      </c>
      <c r="I2461">
        <v>39.75</v>
      </c>
      <c r="L2461" t="s">
        <v>484</v>
      </c>
      <c r="M2461">
        <v>821.66663275824658</v>
      </c>
      <c r="N2461">
        <v>441.66666666666669</v>
      </c>
      <c r="O2461">
        <v>111.7</v>
      </c>
      <c r="P2461">
        <v>152</v>
      </c>
      <c r="Q2461">
        <v>80</v>
      </c>
      <c r="R2461" s="3" t="s">
        <v>470</v>
      </c>
      <c r="S2461">
        <v>111.7</v>
      </c>
      <c r="T2461" t="s">
        <v>468</v>
      </c>
    </row>
    <row r="2462" spans="1:20" x14ac:dyDescent="0.25">
      <c r="A2462">
        <v>413</v>
      </c>
      <c r="B2462">
        <v>518011</v>
      </c>
      <c r="C2462" t="s">
        <v>445</v>
      </c>
      <c r="D2462">
        <v>2020</v>
      </c>
      <c r="E2462">
        <v>38</v>
      </c>
      <c r="F2462">
        <v>-0.4</v>
      </c>
      <c r="G2462" t="s">
        <v>465</v>
      </c>
      <c r="H2462">
        <v>93</v>
      </c>
      <c r="I2462">
        <v>25</v>
      </c>
      <c r="L2462" t="s">
        <v>471</v>
      </c>
      <c r="M2462">
        <v>-232.5</v>
      </c>
      <c r="N2462">
        <v>-62.5</v>
      </c>
      <c r="O2462">
        <v>111.7</v>
      </c>
      <c r="P2462">
        <v>152</v>
      </c>
      <c r="Q2462">
        <v>80</v>
      </c>
      <c r="R2462" s="3" t="s">
        <v>470</v>
      </c>
      <c r="S2462">
        <v>111.7</v>
      </c>
      <c r="T2462" t="s">
        <v>468</v>
      </c>
    </row>
    <row r="2463" spans="1:20" x14ac:dyDescent="0.25">
      <c r="A2463">
        <v>413</v>
      </c>
      <c r="B2463">
        <v>518011</v>
      </c>
      <c r="C2463" t="s">
        <v>445</v>
      </c>
      <c r="D2463">
        <v>2021</v>
      </c>
      <c r="E2463">
        <v>38</v>
      </c>
      <c r="F2463">
        <v>24.02</v>
      </c>
      <c r="G2463" t="s">
        <v>465</v>
      </c>
      <c r="H2463">
        <v>201</v>
      </c>
      <c r="I2463">
        <v>83.449996948242188</v>
      </c>
      <c r="L2463" t="s">
        <v>469</v>
      </c>
      <c r="M2463">
        <v>8.3680266444629474</v>
      </c>
      <c r="N2463">
        <v>3.4741880494688671</v>
      </c>
      <c r="O2463">
        <v>111.7</v>
      </c>
      <c r="P2463">
        <v>152</v>
      </c>
      <c r="Q2463">
        <v>80</v>
      </c>
      <c r="R2463" s="3" t="s">
        <v>470</v>
      </c>
      <c r="S2463">
        <v>111.7</v>
      </c>
      <c r="T2463" t="s">
        <v>468</v>
      </c>
    </row>
    <row r="2464" spans="1:20" x14ac:dyDescent="0.25">
      <c r="A2464">
        <v>413</v>
      </c>
      <c r="B2464">
        <v>518011</v>
      </c>
      <c r="C2464" t="s">
        <v>445</v>
      </c>
      <c r="D2464">
        <v>2022</v>
      </c>
      <c r="E2464">
        <v>38</v>
      </c>
      <c r="F2464">
        <v>19.510000000000002</v>
      </c>
      <c r="G2464" t="s">
        <v>465</v>
      </c>
      <c r="H2464">
        <v>228.55000305175781</v>
      </c>
      <c r="I2464">
        <v>119.09999847412109</v>
      </c>
      <c r="L2464" t="s">
        <v>469</v>
      </c>
      <c r="M2464">
        <v>11.71450553827564</v>
      </c>
      <c r="N2464">
        <v>6.1045616849882656</v>
      </c>
      <c r="O2464">
        <v>111.7</v>
      </c>
      <c r="P2464">
        <v>152</v>
      </c>
      <c r="Q2464">
        <v>80</v>
      </c>
      <c r="R2464" s="3" t="s">
        <v>470</v>
      </c>
      <c r="S2464">
        <v>111.7</v>
      </c>
      <c r="T2464" t="s">
        <v>468</v>
      </c>
    </row>
    <row r="2465" spans="1:20" x14ac:dyDescent="0.25">
      <c r="A2465">
        <v>413</v>
      </c>
      <c r="B2465">
        <v>518011</v>
      </c>
      <c r="C2465" t="s">
        <v>445</v>
      </c>
      <c r="D2465">
        <v>2023</v>
      </c>
      <c r="E2465">
        <v>38</v>
      </c>
      <c r="F2465">
        <v>-9.0299999999999994</v>
      </c>
      <c r="G2465" t="s">
        <v>465</v>
      </c>
      <c r="H2465">
        <v>157</v>
      </c>
      <c r="I2465">
        <v>115.84999847412109</v>
      </c>
      <c r="L2465" t="s">
        <v>471</v>
      </c>
      <c r="M2465">
        <v>-17.38648947951274</v>
      </c>
      <c r="N2465">
        <v>-12.82945719536225</v>
      </c>
      <c r="O2465">
        <v>111.7</v>
      </c>
      <c r="P2465">
        <v>152</v>
      </c>
      <c r="Q2465">
        <v>80</v>
      </c>
      <c r="R2465" s="3" t="s">
        <v>470</v>
      </c>
      <c r="S2465">
        <v>111.7</v>
      </c>
      <c r="T2465" t="s">
        <v>468</v>
      </c>
    </row>
    <row r="2466" spans="1:20" x14ac:dyDescent="0.25">
      <c r="A2466">
        <v>413</v>
      </c>
      <c r="B2466">
        <v>518011</v>
      </c>
      <c r="C2466" t="s">
        <v>445</v>
      </c>
      <c r="D2466">
        <v>2024</v>
      </c>
      <c r="E2466">
        <v>38</v>
      </c>
      <c r="F2466">
        <v>-19.57</v>
      </c>
      <c r="G2466" t="s">
        <v>465</v>
      </c>
      <c r="H2466">
        <v>152</v>
      </c>
      <c r="I2466">
        <v>80</v>
      </c>
      <c r="L2466" t="s">
        <v>471</v>
      </c>
      <c r="M2466">
        <v>-7.766990291262136</v>
      </c>
      <c r="N2466">
        <v>-4.0878896269800711</v>
      </c>
      <c r="O2466">
        <v>111.7</v>
      </c>
      <c r="P2466">
        <v>152</v>
      </c>
      <c r="Q2466">
        <v>80</v>
      </c>
      <c r="R2466" s="3" t="s">
        <v>470</v>
      </c>
      <c r="S2466">
        <v>111.7</v>
      </c>
      <c r="T2466" t="s">
        <v>468</v>
      </c>
    </row>
    <row r="2467" spans="1:20" x14ac:dyDescent="0.25">
      <c r="A2467">
        <v>413</v>
      </c>
      <c r="B2467">
        <v>518011</v>
      </c>
      <c r="C2467" t="s">
        <v>445</v>
      </c>
      <c r="D2467">
        <v>2025</v>
      </c>
      <c r="E2467">
        <v>38</v>
      </c>
      <c r="F2467">
        <v>-28.4</v>
      </c>
      <c r="G2467" t="s">
        <v>465</v>
      </c>
      <c r="H2467">
        <v>98.650001525878906</v>
      </c>
      <c r="I2467">
        <v>60.599998474121087</v>
      </c>
      <c r="L2467" t="s">
        <v>471</v>
      </c>
      <c r="M2467">
        <v>-3.4735916030239049</v>
      </c>
      <c r="N2467">
        <v>-2.1338027631732781</v>
      </c>
      <c r="O2467">
        <v>111.7</v>
      </c>
      <c r="P2467">
        <v>152</v>
      </c>
      <c r="Q2467">
        <v>80</v>
      </c>
      <c r="R2467" s="3" t="s">
        <v>470</v>
      </c>
      <c r="S2467">
        <v>111.7</v>
      </c>
      <c r="T2467" t="s">
        <v>468</v>
      </c>
    </row>
    <row r="2468" spans="1:20" x14ac:dyDescent="0.25">
      <c r="A2468">
        <v>413</v>
      </c>
      <c r="B2468">
        <v>518011</v>
      </c>
      <c r="C2468" t="s">
        <v>445</v>
      </c>
      <c r="D2468">
        <v>2026</v>
      </c>
      <c r="E2468">
        <v>38</v>
      </c>
      <c r="F2468">
        <v>-19.07</v>
      </c>
      <c r="G2468" t="s">
        <v>465</v>
      </c>
      <c r="H2468">
        <v>73.900001525878906</v>
      </c>
      <c r="I2468">
        <v>34.5</v>
      </c>
      <c r="L2468" t="s">
        <v>471</v>
      </c>
      <c r="M2468">
        <v>-3.8751967239579921</v>
      </c>
      <c r="N2468">
        <v>-1.809124278972208</v>
      </c>
      <c r="O2468">
        <v>111.7</v>
      </c>
      <c r="P2468">
        <v>152</v>
      </c>
      <c r="Q2468">
        <v>80</v>
      </c>
      <c r="R2468" s="3" t="s">
        <v>470</v>
      </c>
      <c r="S2468">
        <v>111.7</v>
      </c>
      <c r="T2468" t="s">
        <v>468</v>
      </c>
    </row>
    <row r="2469" spans="1:20" x14ac:dyDescent="0.25">
      <c r="A2469">
        <v>414</v>
      </c>
      <c r="B2469">
        <v>518017</v>
      </c>
      <c r="C2469" t="s">
        <v>447</v>
      </c>
      <c r="D2469">
        <v>2015</v>
      </c>
      <c r="E2469">
        <v>16.14999961853027</v>
      </c>
      <c r="F2469">
        <v>-7.35</v>
      </c>
      <c r="G2469" t="s">
        <v>465</v>
      </c>
      <c r="H2469">
        <v>11.079999923706049</v>
      </c>
      <c r="I2469">
        <v>8.1700000762939453</v>
      </c>
      <c r="L2469" t="s">
        <v>471</v>
      </c>
      <c r="M2469">
        <v>-1.5074829828171501</v>
      </c>
      <c r="N2469">
        <v>-1.111564636230469</v>
      </c>
      <c r="O2469">
        <v>27.99</v>
      </c>
      <c r="P2469">
        <v>35.340000000000003</v>
      </c>
      <c r="Q2469">
        <v>19.89</v>
      </c>
      <c r="R2469" s="3" t="s">
        <v>470</v>
      </c>
      <c r="S2469">
        <v>27.99</v>
      </c>
      <c r="T2469" t="s">
        <v>468</v>
      </c>
    </row>
    <row r="2470" spans="1:20" x14ac:dyDescent="0.25">
      <c r="A2470">
        <v>414</v>
      </c>
      <c r="B2470">
        <v>518017</v>
      </c>
      <c r="C2470" t="s">
        <v>447</v>
      </c>
      <c r="D2470">
        <v>2016</v>
      </c>
      <c r="E2470">
        <v>16.14999961853027</v>
      </c>
      <c r="F2470">
        <v>-0.53</v>
      </c>
      <c r="G2470" t="s">
        <v>465</v>
      </c>
      <c r="H2470">
        <v>9.1000003814697266</v>
      </c>
      <c r="I2470">
        <v>9.1000003814697266</v>
      </c>
      <c r="L2470" t="s">
        <v>471</v>
      </c>
      <c r="M2470">
        <v>-17.169812040508919</v>
      </c>
      <c r="N2470">
        <v>-17.169812040508919</v>
      </c>
      <c r="O2470">
        <v>27.99</v>
      </c>
      <c r="P2470">
        <v>35.340000000000003</v>
      </c>
      <c r="Q2470">
        <v>19.89</v>
      </c>
      <c r="R2470" s="3" t="s">
        <v>470</v>
      </c>
      <c r="S2470">
        <v>27.99</v>
      </c>
      <c r="T2470" t="s">
        <v>468</v>
      </c>
    </row>
    <row r="2471" spans="1:20" x14ac:dyDescent="0.25">
      <c r="A2471">
        <v>414</v>
      </c>
      <c r="B2471">
        <v>518017</v>
      </c>
      <c r="C2471" t="s">
        <v>447</v>
      </c>
      <c r="D2471">
        <v>2017</v>
      </c>
      <c r="E2471">
        <v>16.14999961853027</v>
      </c>
      <c r="F2471">
        <v>-8.0500000000000007</v>
      </c>
      <c r="G2471" t="s">
        <v>465</v>
      </c>
      <c r="H2471">
        <v>9.1000003814697266</v>
      </c>
      <c r="I2471">
        <v>9.1000003814697266</v>
      </c>
      <c r="L2471" t="s">
        <v>471</v>
      </c>
      <c r="M2471">
        <v>-1.130434829996239</v>
      </c>
      <c r="N2471">
        <v>-1.130434829996239</v>
      </c>
      <c r="O2471">
        <v>27.99</v>
      </c>
      <c r="P2471">
        <v>35.340000000000003</v>
      </c>
      <c r="Q2471">
        <v>19.89</v>
      </c>
      <c r="R2471" s="3" t="s">
        <v>470</v>
      </c>
      <c r="S2471">
        <v>27.99</v>
      </c>
      <c r="T2471" t="s">
        <v>468</v>
      </c>
    </row>
    <row r="2472" spans="1:20" x14ac:dyDescent="0.25">
      <c r="A2472">
        <v>414</v>
      </c>
      <c r="B2472">
        <v>518017</v>
      </c>
      <c r="C2472" t="s">
        <v>447</v>
      </c>
      <c r="D2472">
        <v>2018</v>
      </c>
      <c r="E2472">
        <v>16.14999961853027</v>
      </c>
      <c r="F2472">
        <v>-12</v>
      </c>
      <c r="G2472" t="s">
        <v>465</v>
      </c>
      <c r="H2472">
        <v>9.1000003814697266</v>
      </c>
      <c r="I2472">
        <v>9.1000003814697266</v>
      </c>
      <c r="L2472" t="s">
        <v>471</v>
      </c>
      <c r="M2472">
        <v>-0.75833336512247718</v>
      </c>
      <c r="N2472">
        <v>-0.75833336512247718</v>
      </c>
      <c r="O2472">
        <v>27.99</v>
      </c>
      <c r="P2472">
        <v>35.340000000000003</v>
      </c>
      <c r="Q2472">
        <v>19.89</v>
      </c>
      <c r="R2472" s="3" t="s">
        <v>470</v>
      </c>
      <c r="S2472">
        <v>27.99</v>
      </c>
      <c r="T2472" t="s">
        <v>468</v>
      </c>
    </row>
    <row r="2473" spans="1:20" x14ac:dyDescent="0.25">
      <c r="A2473">
        <v>414</v>
      </c>
      <c r="B2473">
        <v>518017</v>
      </c>
      <c r="C2473" t="s">
        <v>447</v>
      </c>
      <c r="D2473">
        <v>2019</v>
      </c>
      <c r="E2473">
        <v>16.14999961853027</v>
      </c>
      <c r="F2473">
        <v>-6.83</v>
      </c>
      <c r="G2473" t="s">
        <v>465</v>
      </c>
      <c r="H2473">
        <v>9.1000003814697266</v>
      </c>
      <c r="I2473">
        <v>9.1000003814697266</v>
      </c>
      <c r="L2473" t="s">
        <v>471</v>
      </c>
      <c r="M2473">
        <v>-1.332357303289857</v>
      </c>
      <c r="N2473">
        <v>-1.332357303289857</v>
      </c>
      <c r="O2473">
        <v>27.99</v>
      </c>
      <c r="P2473">
        <v>35.340000000000003</v>
      </c>
      <c r="Q2473">
        <v>19.89</v>
      </c>
      <c r="R2473" s="3" t="s">
        <v>470</v>
      </c>
      <c r="S2473">
        <v>27.99</v>
      </c>
      <c r="T2473" t="s">
        <v>468</v>
      </c>
    </row>
    <row r="2474" spans="1:20" x14ac:dyDescent="0.25">
      <c r="A2474">
        <v>414</v>
      </c>
      <c r="B2474">
        <v>518017</v>
      </c>
      <c r="C2474" t="s">
        <v>447</v>
      </c>
      <c r="D2474">
        <v>2020</v>
      </c>
      <c r="E2474">
        <v>16.14999961853027</v>
      </c>
      <c r="F2474">
        <v>-3.8</v>
      </c>
      <c r="G2474" t="s">
        <v>465</v>
      </c>
      <c r="H2474">
        <v>9.1000003814697266</v>
      </c>
      <c r="I2474">
        <v>9.1000003814697266</v>
      </c>
      <c r="L2474" t="s">
        <v>471</v>
      </c>
      <c r="M2474">
        <v>-2.3947369424920328</v>
      </c>
      <c r="N2474">
        <v>-2.3947369424920328</v>
      </c>
      <c r="O2474">
        <v>27.99</v>
      </c>
      <c r="P2474">
        <v>35.340000000000003</v>
      </c>
      <c r="Q2474">
        <v>19.89</v>
      </c>
      <c r="R2474" s="3" t="s">
        <v>470</v>
      </c>
      <c r="S2474">
        <v>27.99</v>
      </c>
      <c r="T2474" t="s">
        <v>468</v>
      </c>
    </row>
    <row r="2475" spans="1:20" x14ac:dyDescent="0.25">
      <c r="A2475">
        <v>414</v>
      </c>
      <c r="B2475">
        <v>518017</v>
      </c>
      <c r="C2475" t="s">
        <v>447</v>
      </c>
      <c r="D2475">
        <v>2021</v>
      </c>
      <c r="E2475">
        <v>16.14999961853027</v>
      </c>
      <c r="F2475">
        <v>-7.38</v>
      </c>
      <c r="G2475" t="s">
        <v>465</v>
      </c>
      <c r="H2475">
        <v>9.1000003814697266</v>
      </c>
      <c r="I2475">
        <v>9.1000003814697266</v>
      </c>
      <c r="L2475" t="s">
        <v>471</v>
      </c>
      <c r="M2475">
        <v>-1.2330623823129709</v>
      </c>
      <c r="N2475">
        <v>-1.2330623823129709</v>
      </c>
      <c r="O2475">
        <v>27.99</v>
      </c>
      <c r="P2475">
        <v>35.340000000000003</v>
      </c>
      <c r="Q2475">
        <v>19.89</v>
      </c>
      <c r="R2475" s="3" t="s">
        <v>470</v>
      </c>
      <c r="S2475">
        <v>27.99</v>
      </c>
      <c r="T2475" t="s">
        <v>468</v>
      </c>
    </row>
    <row r="2476" spans="1:20" x14ac:dyDescent="0.25">
      <c r="A2476">
        <v>414</v>
      </c>
      <c r="B2476">
        <v>518017</v>
      </c>
      <c r="C2476" t="s">
        <v>447</v>
      </c>
      <c r="D2476">
        <v>2022</v>
      </c>
      <c r="E2476">
        <v>16.14999961853027</v>
      </c>
      <c r="F2476">
        <v>-11.33</v>
      </c>
      <c r="G2476" t="s">
        <v>465</v>
      </c>
      <c r="H2476">
        <v>190</v>
      </c>
      <c r="I2476">
        <v>9.1000003814697266</v>
      </c>
      <c r="L2476" t="s">
        <v>471</v>
      </c>
      <c r="M2476">
        <v>-16.76963812886143</v>
      </c>
      <c r="N2476">
        <v>-0.80317743878814885</v>
      </c>
      <c r="O2476">
        <v>27.99</v>
      </c>
      <c r="P2476">
        <v>35.340000000000003</v>
      </c>
      <c r="Q2476">
        <v>19.89</v>
      </c>
      <c r="R2476" s="3" t="s">
        <v>470</v>
      </c>
      <c r="S2476">
        <v>27.99</v>
      </c>
      <c r="T2476" t="s">
        <v>468</v>
      </c>
    </row>
    <row r="2477" spans="1:20" x14ac:dyDescent="0.25">
      <c r="A2477">
        <v>414</v>
      </c>
      <c r="B2477">
        <v>518017</v>
      </c>
      <c r="C2477" t="s">
        <v>447</v>
      </c>
      <c r="D2477">
        <v>2023</v>
      </c>
      <c r="E2477">
        <v>16.14999961853027</v>
      </c>
      <c r="F2477">
        <v>-14.42</v>
      </c>
      <c r="G2477" t="s">
        <v>465</v>
      </c>
      <c r="H2477">
        <v>162.94999694824219</v>
      </c>
      <c r="I2477">
        <v>21.309999465942379</v>
      </c>
      <c r="L2477" t="s">
        <v>471</v>
      </c>
      <c r="M2477">
        <v>-11.30027718087671</v>
      </c>
      <c r="N2477">
        <v>-1.4778085621319259</v>
      </c>
      <c r="O2477">
        <v>27.99</v>
      </c>
      <c r="P2477">
        <v>35.340000000000003</v>
      </c>
      <c r="Q2477">
        <v>19.89</v>
      </c>
      <c r="R2477" s="3" t="s">
        <v>470</v>
      </c>
      <c r="S2477">
        <v>27.99</v>
      </c>
      <c r="T2477" t="s">
        <v>468</v>
      </c>
    </row>
    <row r="2478" spans="1:20" x14ac:dyDescent="0.25">
      <c r="A2478">
        <v>414</v>
      </c>
      <c r="B2478">
        <v>518017</v>
      </c>
      <c r="C2478" t="s">
        <v>447</v>
      </c>
      <c r="D2478">
        <v>2024</v>
      </c>
      <c r="E2478">
        <v>16.14999961853027</v>
      </c>
      <c r="F2478">
        <v>-10.35</v>
      </c>
      <c r="G2478" t="s">
        <v>465</v>
      </c>
      <c r="H2478">
        <v>35.340000152587891</v>
      </c>
      <c r="I2478">
        <v>20.329999923706051</v>
      </c>
      <c r="L2478" t="s">
        <v>471</v>
      </c>
      <c r="M2478">
        <v>-3.4144927683659798</v>
      </c>
      <c r="N2478">
        <v>-1.964251200358073</v>
      </c>
      <c r="O2478">
        <v>27.99</v>
      </c>
      <c r="P2478">
        <v>35.340000000000003</v>
      </c>
      <c r="Q2478">
        <v>19.89</v>
      </c>
      <c r="R2478" s="3" t="s">
        <v>470</v>
      </c>
      <c r="S2478">
        <v>27.99</v>
      </c>
      <c r="T2478" t="s">
        <v>468</v>
      </c>
    </row>
    <row r="2479" spans="1:20" x14ac:dyDescent="0.25">
      <c r="A2479">
        <v>414</v>
      </c>
      <c r="B2479">
        <v>518017</v>
      </c>
      <c r="C2479" t="s">
        <v>447</v>
      </c>
      <c r="D2479">
        <v>2025</v>
      </c>
      <c r="E2479">
        <v>16.14999961853027</v>
      </c>
      <c r="F2479">
        <v>-9.23</v>
      </c>
      <c r="G2479" t="s">
        <v>465</v>
      </c>
      <c r="H2479">
        <v>20.930000305175781</v>
      </c>
      <c r="I2479">
        <v>16.14999961853027</v>
      </c>
      <c r="L2479" t="s">
        <v>471</v>
      </c>
      <c r="M2479">
        <v>-2.2676056668662818</v>
      </c>
      <c r="N2479">
        <v>-1.74972910276601</v>
      </c>
      <c r="O2479">
        <v>27.99</v>
      </c>
      <c r="P2479">
        <v>35.340000000000003</v>
      </c>
      <c r="Q2479">
        <v>19.89</v>
      </c>
      <c r="R2479" s="3" t="s">
        <v>470</v>
      </c>
      <c r="S2479">
        <v>27.99</v>
      </c>
      <c r="T2479" t="s">
        <v>468</v>
      </c>
    </row>
    <row r="2480" spans="1:20" x14ac:dyDescent="0.25">
      <c r="A2480">
        <v>414</v>
      </c>
      <c r="B2480">
        <v>518017</v>
      </c>
      <c r="C2480" t="s">
        <v>447</v>
      </c>
      <c r="D2480">
        <v>2026</v>
      </c>
      <c r="E2480">
        <v>16.14999961853027</v>
      </c>
      <c r="G2480" t="s">
        <v>465</v>
      </c>
      <c r="H2480">
        <v>16.14999961853027</v>
      </c>
      <c r="I2480">
        <v>16.14999961853027</v>
      </c>
      <c r="L2480" t="s">
        <v>466</v>
      </c>
      <c r="O2480">
        <v>27.99</v>
      </c>
      <c r="P2480">
        <v>35.340000000000003</v>
      </c>
      <c r="Q2480">
        <v>19.89</v>
      </c>
      <c r="R2480" s="3" t="s">
        <v>470</v>
      </c>
      <c r="S2480">
        <v>27.99</v>
      </c>
      <c r="T2480" t="s">
        <v>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</row>
    <row r="2" spans="1:9" x14ac:dyDescent="0.25">
      <c r="A2">
        <v>500112</v>
      </c>
      <c r="B2" t="s">
        <v>505</v>
      </c>
      <c r="C2">
        <v>2017</v>
      </c>
      <c r="D2">
        <v>0.3</v>
      </c>
      <c r="E2">
        <v>13.15</v>
      </c>
      <c r="F2">
        <v>1172</v>
      </c>
      <c r="G2">
        <v>26.8</v>
      </c>
      <c r="H2" t="s">
        <v>506</v>
      </c>
      <c r="I2" t="s">
        <v>507</v>
      </c>
    </row>
    <row r="3" spans="1:9" x14ac:dyDescent="0.25">
      <c r="A3">
        <v>500825</v>
      </c>
      <c r="B3" t="s">
        <v>508</v>
      </c>
      <c r="C3">
        <v>2017</v>
      </c>
      <c r="D3">
        <v>-0.48</v>
      </c>
      <c r="E3">
        <v>36.799999999999997</v>
      </c>
      <c r="F3">
        <v>-275</v>
      </c>
      <c r="G3">
        <v>95</v>
      </c>
      <c r="H3" t="s">
        <v>509</v>
      </c>
      <c r="I3" t="s">
        <v>507</v>
      </c>
    </row>
    <row r="4" spans="1:9" x14ac:dyDescent="0.25">
      <c r="A4">
        <v>500520</v>
      </c>
      <c r="B4" t="s">
        <v>510</v>
      </c>
      <c r="C4">
        <v>2020</v>
      </c>
      <c r="D4">
        <v>1.02</v>
      </c>
      <c r="E4">
        <v>11.2</v>
      </c>
      <c r="F4">
        <v>749</v>
      </c>
      <c r="G4">
        <v>67</v>
      </c>
      <c r="H4" t="s">
        <v>511</v>
      </c>
      <c r="I4" t="s">
        <v>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5" x14ac:dyDescent="0.25"/>
  <sheetData>
    <row r="1" spans="1:11" x14ac:dyDescent="0.25">
      <c r="A1" t="s">
        <v>512</v>
      </c>
      <c r="B1" t="s">
        <v>0</v>
      </c>
      <c r="C1" t="s">
        <v>497</v>
      </c>
      <c r="D1" t="s">
        <v>450</v>
      </c>
      <c r="E1" t="s">
        <v>513</v>
      </c>
      <c r="F1" t="s">
        <v>514</v>
      </c>
      <c r="G1" t="s">
        <v>515</v>
      </c>
      <c r="H1" t="s">
        <v>516</v>
      </c>
      <c r="I1" t="s">
        <v>517</v>
      </c>
      <c r="J1" t="s">
        <v>518</v>
      </c>
      <c r="K1" t="s">
        <v>519</v>
      </c>
    </row>
    <row r="2" spans="1:11" x14ac:dyDescent="0.25">
      <c r="A2">
        <f ca="1">NOW()</f>
        <v>46243.770403819442</v>
      </c>
      <c r="B2" t="s">
        <v>520</v>
      </c>
      <c r="C2" t="s">
        <v>521</v>
      </c>
      <c r="D2" t="s">
        <v>522</v>
      </c>
      <c r="E2" t="s">
        <v>523</v>
      </c>
      <c r="F2" t="s">
        <v>524</v>
      </c>
      <c r="G2" t="s">
        <v>525</v>
      </c>
      <c r="H2">
        <f>ABS(F2-G2)/F2*100</f>
        <v>1.3333333333333335</v>
      </c>
      <c r="I2" t="s">
        <v>526</v>
      </c>
      <c r="J2" t="s">
        <v>527</v>
      </c>
      <c r="K2" t="s">
        <v>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"/>
  <sheetViews>
    <sheetView workbookViewId="0"/>
  </sheetViews>
  <sheetFormatPr defaultRowHeight="15" x14ac:dyDescent="0.25"/>
  <sheetData>
    <row r="1" spans="1:1" x14ac:dyDescent="0.25">
      <c r="A1" t="s">
        <v>529</v>
      </c>
    </row>
    <row r="3" spans="1:1" x14ac:dyDescent="0.25">
      <c r="A3" t="s">
        <v>530</v>
      </c>
    </row>
    <row r="4" spans="1:1" x14ac:dyDescent="0.25">
      <c r="A4" t="s">
        <v>531</v>
      </c>
    </row>
    <row r="5" spans="1:1" x14ac:dyDescent="0.25">
      <c r="A5" t="s">
        <v>532</v>
      </c>
    </row>
    <row r="7" spans="1:1" x14ac:dyDescent="0.25">
      <c r="A7" t="s">
        <v>533</v>
      </c>
    </row>
    <row r="8" spans="1:1" x14ac:dyDescent="0.25">
      <c r="A8" t="s">
        <v>534</v>
      </c>
    </row>
    <row r="9" spans="1:1" x14ac:dyDescent="0.25">
      <c r="A9" t="s">
        <v>535</v>
      </c>
    </row>
    <row r="10" spans="1:1" x14ac:dyDescent="0.25">
      <c r="A10" t="s">
        <v>536</v>
      </c>
    </row>
    <row r="11" spans="1:1" x14ac:dyDescent="0.25">
      <c r="A11" t="s">
        <v>537</v>
      </c>
    </row>
    <row r="12" spans="1:1" x14ac:dyDescent="0.25">
      <c r="A12" t="s">
        <v>538</v>
      </c>
    </row>
    <row r="14" spans="1:1" x14ac:dyDescent="0.25">
      <c r="A14" t="s">
        <v>539</v>
      </c>
    </row>
    <row r="15" spans="1:1" x14ac:dyDescent="0.25">
      <c r="A15" t="s">
        <v>540</v>
      </c>
    </row>
    <row r="16" spans="1:1" x14ac:dyDescent="0.25">
      <c r="A16" t="s">
        <v>541</v>
      </c>
    </row>
    <row r="17" spans="1:1" x14ac:dyDescent="0.25">
      <c r="A17" t="s">
        <v>542</v>
      </c>
    </row>
    <row r="18" spans="1:1" x14ac:dyDescent="0.25">
      <c r="A18" t="s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BSE_500_LIVE</vt:lpstr>
      <vt:lpstr>PE Band DETAIL v8</vt:lpstr>
      <vt:lpstr>LARGE CAP CORRECTIONS</vt:lpstr>
      <vt:lpstr>VERIFICATION_LOG</vt:lpstr>
      <vt:lpstr>HOW_TO_USE_FINAL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Vinayakam P</cp:lastModifiedBy>
  <dcterms:created xsi:type="dcterms:W3CDTF">2026-07-29T16:02:45Z</dcterms:created>
  <dcterms:modified xsi:type="dcterms:W3CDTF">2026-08-09T13:11:48Z</dcterms:modified>
</cp:coreProperties>
</file>